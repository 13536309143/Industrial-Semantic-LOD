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3b54d06c94f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融合总览" sheetId="1" r:id="R181fdb65072a4955"/>
    <x:sheet xmlns:r="http://schemas.openxmlformats.org/officeDocument/2006/relationships" name="P档位占比" sheetId="2" r:id="Rae355d6ef48c404f"/>
    <x:sheet xmlns:r="http://schemas.openxmlformats.org/officeDocument/2006/relationships" name="成对变化" sheetId="3" r:id="R696215c2be09470f"/>
    <x:sheet xmlns:r="http://schemas.openxmlformats.org/officeDocument/2006/relationships" name="未知功能几何" sheetId="4" r:id="Ra620e987697e4813"/>
    <x:sheet xmlns:r="http://schemas.openxmlformats.org/officeDocument/2006/relationships" name="统计计数" sheetId="5" r:id="R73b83b84e86341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%"/>
  </x:numFmts>
  <x:fonts count="7">
    <x:font>
      <x:sz val="11"/>
      <x:name val="Carlito"/>
    </x:font>
    <x:font>
      <x:sz val="10"/>
      <x:color rgb="FF24334A"/>
      <x:name val="Microsoft YaHei"/>
    </x:font>
    <x:font>
      <x:b/>
      <x:sz val="15"/>
      <x:color rgb="FF20334D"/>
      <x:name val="Microsoft YaHei"/>
    </x:font>
    <x:font>
      <x:sz val="9"/>
      <x:color rgb="FF64758A"/>
      <x:name val="Microsoft YaHei"/>
    </x:font>
    <x:font>
      <x:b/>
      <x:sz val="10"/>
      <x:color rgb="FFFFFFFF"/>
      <x:name val="Microsoft YaHei"/>
    </x:font>
    <x:font>
      <x:sz val="10"/>
      <x:color rgb="FF64758A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033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6" fillId="0" borderId="0" xfId="0" applyNumberFormat="1" applyFont="1" applyFill="1" applyBorder="1"/>
    <x:xf numFmtId="201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f32228b59c427c" /><Relationship Type="http://schemas.openxmlformats.org/officeDocument/2006/relationships/theme" Target="/xl/theme/theme1.xml" Id="R72325587f1ee4338" /><Relationship Type="http://schemas.openxmlformats.org/officeDocument/2006/relationships/sharedStrings" Target="/xl/sharedStrings.xml" Id="R7403ee9f10124512" /><Relationship Type="http://schemas.openxmlformats.org/officeDocument/2006/relationships/worksheet" Target="/xl/worksheets/sheet1.xml" Id="R181fdb65072a4955" /><Relationship Type="http://schemas.openxmlformats.org/officeDocument/2006/relationships/worksheet" Target="/xl/worksheets/sheet2.xml" Id="Rae355d6ef48c404f" /><Relationship Type="http://schemas.openxmlformats.org/officeDocument/2006/relationships/worksheet" Target="/xl/worksheets/sheet3.xml" Id="R696215c2be09470f" /><Relationship Type="http://schemas.openxmlformats.org/officeDocument/2006/relationships/worksheet" Target="/xl/worksheets/sheet4.xml" Id="Ra620e987697e4813" /><Relationship Type="http://schemas.openxmlformats.org/officeDocument/2006/relationships/worksheet" Target="/xl/worksheets/sheet5.xml" Id="R73b83b84e863417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5ca189f844948d2" /><Relationship Type="http://schemas.openxmlformats.org/officeDocument/2006/relationships/chart" Target="/xl/drawings/charts/chart2.xml" Id="R85d18ba3001446a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Microsoft YaHei"/>
                <a:ea typeface="Microsoft YaHei"/>
                <a:cs typeface="Microsoft YaHei"/>
              </a:rPr>
              <a:t>主十二配置的未决证据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功能未明确</c:v>
          </c:tx>
          <c:spPr>
            <a:solidFill xmlns:a="http://schemas.openxmlformats.org/drawingml/2006/main">
              <a:srgbClr val="427BB0"/>
            </a:solidFill>
          </c:spPr>
          <c:invertIfNegative val="0"/>
          <c:cat>
            <c:strRef>
              <c:f>'融合总览'!$A$6:$A$17</c:f>
              <c:strCache>
                <c:ptCount val="0"/>
              </c:strCache>
            </c:strRef>
          </c:cat>
          <c:val>
            <c:numRef>
              <c:f>'融合总览'!$C$6:$C$17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无对象级输出</c:v>
          </c:tx>
          <c:spPr>
            <a:solidFill xmlns:a="http://schemas.openxmlformats.org/drawingml/2006/main">
              <a:srgbClr val="D87A5C"/>
            </a:solidFill>
          </c:spPr>
          <c:invertIfNegative val="0"/>
          <c:cat>
            <c:strRef>
              <c:f>'融合总览'!$A$6:$A$17</c:f>
              <c:strCache>
                <c:ptCount val="0"/>
              </c:strCache>
            </c:strRef>
          </c:cat>
          <c:val>
            <c:numRef>
              <c:f>'融合总览'!$D$6:$D$17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Microsoft YaHei"/>
                <a:ea typeface="Microsoft YaHei"/>
                <a:cs typeface="Microsoft YaHei"/>
              </a:rPr>
              <a:t>结构树改变的节点比例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P档位改变</c:v>
          </c:tx>
          <c:spPr>
            <a:solidFill xmlns:a="http://schemas.openxmlformats.org/drawingml/2006/main">
              <a:srgbClr val="427BB0"/>
            </a:solidFill>
          </c:spPr>
          <c:invertIfNegative val="0"/>
          <c:cat>
            <c:strRef>
              <c:f>'融合总览'!$A$45:$A$50</c:f>
              <c:strCache>
                <c:ptCount val="0"/>
              </c:strCache>
            </c:strRef>
          </c:cat>
          <c:val>
            <c:numRef>
              <c:f>'融合总览'!$B$45:$B$50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功能改变</c:v>
          </c:tx>
          <c:spPr>
            <a:solidFill xmlns:a="http://schemas.openxmlformats.org/drawingml/2006/main">
              <a:srgbClr val="D87A5C"/>
            </a:solidFill>
          </c:spPr>
          <c:invertIfNegative val="0"/>
          <c:cat>
            <c:strRef>
              <c:f>'融合总览'!$A$45:$A$50</c:f>
              <c:strCache>
                <c:ptCount val="0"/>
              </c:strCache>
            </c:strRef>
          </c:cat>
          <c:val>
            <c:numRef>
              <c:f>'融合总览'!$C$45:$C$50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7</xdr:col>
      <xdr:colOff>0</xdr:colOff>
      <xdr:row>41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ca189f844948d2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15</xdr:col>
      <xdr:colOff>0</xdr:colOff>
      <xdr:row>41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d18ba3001446a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5" name="FusionOverview" displayName="FusionOverview" ref="A5:I20" headerRowCount="1" totalsRowCount="0" totalsRowShown="0">
  <x:autoFilter ref="A5:I20"/>
  <x:tableColumns count="9">
    <x:tableColumn id="1" name="配置"/>
    <x:tableColumn id="2" name="节点数"/>
    <x:tableColumn id="3" name="功能未明确"/>
    <x:tableColumn id="4" name="无对象级输出"/>
    <x:tableColumn id="5" name="P1–P3"/>
    <x:tableColumn id="6" name="P4–P7"/>
    <x:tableColumn id="7" name="P8–P10"/>
    <x:tableColumn id="8" name="P6"/>
    <x:tableColumn id="9" name="N/C冲突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orityFractions" displayName="PriorityFractions" ref="A5:N215" headerRowCount="1" totalsRowCount="0" totalsRowShown="0">
  <x:autoFilter ref="A5:N215"/>
  <x:tableColumns count="14">
    <x:tableColumn id="1" name="模型"/>
    <x:tableColumn id="2" name="配置"/>
    <x:tableColumn id="3" name="计数口径"/>
    <x:tableColumn id="4" name="分母"/>
    <x:tableColumn id="5" name="P1"/>
    <x:tableColumn id="6" name="P2"/>
    <x:tableColumn id="7" name="P3"/>
    <x:tableColumn id="8" name="P4"/>
    <x:tableColumn id="9" name="P5"/>
    <x:tableColumn id="10" name="P6"/>
    <x:tableColumn id="11" name="P7"/>
    <x:tableColumn id="12" name="P8"/>
    <x:tableColumn id="13" name="P9"/>
    <x:tableColumn id="14" name="P1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iredChanges" displayName="PairedChanges" ref="A5:M103" headerRowCount="1" totalsRowCount="0" totalsRowShown="0">
  <x:autoFilter ref="A5:M103"/>
  <x:tableColumns count="13">
    <x:tableColumn id="1" name="模型"/>
    <x:tableColumn id="2" name="对照类型"/>
    <x:tableColumn id="3" name="对照前"/>
    <x:tableColumn id="4" name="对照后"/>
    <x:tableColumn id="5" name="节点数"/>
    <x:tableColumn id="6" name="P改变数"/>
    <x:tableColumn id="7" name="P改变比例"/>
    <x:tableColumn id="8" name="升档"/>
    <x:tableColumn id="9" name="降档"/>
    <x:tableColumn id="10" name="功能改变"/>
    <x:tableColumn id="11" name="身份改变"/>
    <x:tableColumn id="12" name="状态改变"/>
    <x:tableColumn id="13" name="约束改变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nknownGeometry" displayName="UnknownGeometry" ref="A5:O50" headerRowCount="1" totalsRowCount="0" totalsRowShown="0">
  <x:autoFilter ref="A5:O50"/>
  <x:tableColumns count="15">
    <x:tableColumn id="1" name="模型"/>
    <x:tableColumn id="2" name="几何分型"/>
    <x:tableColumn id="3" name="未知功能总数"/>
    <x:tableColumn id="4" name="该型节点数"/>
    <x:tableColumn id="5" name="该型占比"/>
    <x:tableColumn id="6" name="P1节点"/>
    <x:tableColumn id="7" name="P2节点"/>
    <x:tableColumn id="8" name="P3节点"/>
    <x:tableColumn id="9" name="P4节点"/>
    <x:tableColumn id="10" name="P5节点"/>
    <x:tableColumn id="11" name="P6节点"/>
    <x:tableColumn id="12" name="P7节点"/>
    <x:tableColumn id="13" name="P8节点"/>
    <x:tableColumn id="14" name="P9节点"/>
    <x:tableColumn id="15" name="P10节点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" name="FusionSourceCounts" displayName="FusionSourceCounts" ref="A5:AC95" headerRowCount="1" totalsRowCount="0" totalsRowShown="0">
  <x:autoFilter ref="A5:AC95"/>
  <x:tableColumns count="29">
    <x:tableColumn id="1" name="模型"/>
    <x:tableColumn id="2" name="配置"/>
    <x:tableColumn id="3" name="节点数"/>
    <x:tableColumn id="4" name="原始三角形实例"/>
    <x:tableColumn id="5" name="P1节点"/>
    <x:tableColumn id="6" name="P2节点"/>
    <x:tableColumn id="7" name="P3节点"/>
    <x:tableColumn id="8" name="P4节点"/>
    <x:tableColumn id="9" name="P5节点"/>
    <x:tableColumn id="10" name="P6节点"/>
    <x:tableColumn id="11" name="P7节点"/>
    <x:tableColumn id="12" name="P8节点"/>
    <x:tableColumn id="13" name="P9节点"/>
    <x:tableColumn id="14" name="P10节点"/>
    <x:tableColumn id="15" name="P1源三角形"/>
    <x:tableColumn id="16" name="P2源三角形"/>
    <x:tableColumn id="17" name="P3源三角形"/>
    <x:tableColumn id="18" name="P4源三角形"/>
    <x:tableColumn id="19" name="P5源三角形"/>
    <x:tableColumn id="20" name="P6源三角形"/>
    <x:tableColumn id="21" name="P7源三角形"/>
    <x:tableColumn id="22" name="P8源三角形"/>
    <x:tableColumn id="23" name="P9源三角形"/>
    <x:tableColumn id="24" name="P10源三角形"/>
    <x:tableColumn id="25" name="功能未知"/>
    <x:tableColumn id="26" name="对象未决"/>
    <x:tableColumn id="27" name="N/C冲突"/>
    <x:tableColumn id="28" name="形状冲突"/>
    <x:tableColumn id="29" name="需复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1a531325b59491b" /><Relationship Type="http://schemas.openxmlformats.org/officeDocument/2006/relationships/table" Target="/xl/tables/table1.xml" Id="R89ce5d46b6a54d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8bd7a24780040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ceca5b12f4b48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2d8b25a403445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9258f3f84364ddd" /></Relationships>
</file>

<file path=xl/worksheets/sheet1.xml><?xml version="1.0" encoding="utf-8"?>
<x:worksheet xmlns:x="http://schemas.openxmlformats.org/spreadsheetml/2006/main">
  <x:sheetPr>
    <x:tabColor rgb="FF20334D"/>
  </x:sheetPr>
  <x:sheetViews>
    <x:sheetView showGridLines="0" workbookViewId="0"/>
  </x:sheetViews>
  <x:sheetFormatPr defaultRowHeight="15"/>
  <x:cols>
    <x:col min="1" max="1" width="21" hidden="0" customWidth="1"/>
    <x:col min="2" max="2" width="16" hidden="0" customWidth="1"/>
    <x:col min="3" max="3" width="19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9" hidden="0" customWidth="1"/>
    <x:col min="11" max="11" width="12" hidden="0" customWidth="1"/>
    <x:col min="12" max="12" width="3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3" t="str">
        <x:v>六模型不同融合配置分析（V5）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4" t="str">
        <x:v>N监督，C开放，G几何；H0关闭树辅助，H1含局部父组与祖先名称，M1额外使用叶名称。</x:v>
      </x:c>
      <x:c r="B3" s="2"/>
      <x:c r="C3" s="2"/>
      <x:c r="D3" s="2"/>
      <x:c r="E3" s="2"/>
      <x:c r="F3" s="2"/>
      <x:c r="G3" s="2"/>
      <x:c r="H3" s="2"/>
      <x:c r="I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2" customHeight="1">
      <x:c r="A5" s="8" t="str">
        <x:v>配置</x:v>
      </x:c>
      <x:c r="B5" s="8" t="str">
        <x:v>节点数</x:v>
      </x:c>
      <x:c r="C5" s="8" t="str">
        <x:v>功能未明确</x:v>
      </x:c>
      <x:c r="D5" s="8" t="str">
        <x:v>无对象级输出</x:v>
      </x:c>
      <x:c r="E5" s="8" t="str">
        <x:v>P1–P3</x:v>
      </x:c>
      <x:c r="F5" s="8" t="str">
        <x:v>P4–P7</x:v>
      </x:c>
      <x:c r="G5" s="8" t="str">
        <x:v>P8–P10</x:v>
      </x:c>
      <x:c r="H5" s="8" t="str">
        <x:v>P6</x:v>
      </x:c>
      <x:c r="I5" s="8" t="str">
        <x:v>N/C冲突数</x:v>
      </x:c>
      <x:c r="K5" s="1" t="str">
        <x:v>符号</x:v>
      </x:c>
      <x:c r="L5" s="1" t="str">
        <x:v>定义</x:v>
      </x:c>
    </x:row>
    <x:row r="6" ht="24" customHeight="1">
      <x:c r="A6" s="10" t="str">
        <x:v>N_H0</x:v>
      </x:c>
      <x:c r="B6" s="13" t="n">
        <x:f>'P档位占比'!D6</x:f>
        <x:v>11000</x:v>
      </x:c>
      <x:c r="C6" s="12" t="n">
        <x:f>SUMIFS('统计计数'!$Y$6:$Y$95,'统计计数'!$B$6:$B$95,"N_H0")/B6</x:f>
        <x:v>0.7292727272727273</x:v>
      </x:c>
      <x:c r="D6" s="12" t="n">
        <x:f>SUMIFS('统计计数'!$Z$6:$Z$95,'统计计数'!$B$6:$B$95,"N_H0")/B6</x:f>
        <x:v>0.6021818181818182</x:v>
      </x:c>
      <x:c r="E6" s="12" t="n">
        <x:f>SUM('P档位占比'!E6:G6)</x:f>
        <x:v>0.1770909090909091</x:v>
      </x:c>
      <x:c r="F6" s="12" t="n">
        <x:f>SUM('P档位占比'!H6:K6)</x:f>
        <x:v>0.753909090909091</x:v>
      </x:c>
      <x:c r="G6" s="12" t="n">
        <x:f>SUM('P档位占比'!L6:N6)</x:f>
        <x:v>0.069</x:v>
      </x:c>
      <x:c r="H6" s="12" t="n">
        <x:f>'P档位占比'!J6</x:f>
        <x:v>0.0011818181818181819</x:v>
      </x:c>
      <x:c r="I6" s="11" t="n">
        <x:f>SUMIFS('统计计数'!$AA$6:$AA$95,'统计计数'!$B$6:$B$95,"N_H0")</x:f>
        <x:v>0</x:v>
      </x:c>
      <x:c r="K6" s="1" t="str">
        <x:v>N</x:v>
      </x:c>
      <x:c r="L6" s="1" t="str">
        <x:v>监督语义</x:v>
      </x:c>
    </x:row>
    <x:row r="7" ht="24" customHeight="1">
      <x:c r="A7" s="10" t="str">
        <x:v>N_H1</x:v>
      </x:c>
      <x:c r="B7" s="13" t="n">
        <x:f>'P档位占比'!D8</x:f>
        <x:v>11000</x:v>
      </x:c>
      <x:c r="C7" s="12" t="n">
        <x:f>SUMIFS('统计计数'!$Y$6:$Y$95,'统计计数'!$B$6:$B$95,"N_H1")/B7</x:f>
        <x:v>0.7292727272727273</x:v>
      </x:c>
      <x:c r="D7" s="12" t="n">
        <x:f>SUMIFS('统计计数'!$Z$6:$Z$95,'统计计数'!$B$6:$B$95,"N_H1")/B7</x:f>
        <x:v>0.6021818181818182</x:v>
      </x:c>
      <x:c r="E7" s="12" t="n">
        <x:f>SUM('P档位占比'!E8:G8)</x:f>
        <x:v>0.15890909090909092</x:v>
      </x:c>
      <x:c r="F7" s="12" t="n">
        <x:f>SUM('P档位占比'!H8:K8)</x:f>
        <x:v>0.7720909090909092</x:v>
      </x:c>
      <x:c r="G7" s="12" t="n">
        <x:f>SUM('P档位占比'!L8:N8)</x:f>
        <x:v>0.069</x:v>
      </x:c>
      <x:c r="H7" s="12" t="n">
        <x:f>'P档位占比'!J8</x:f>
        <x:v>0.012</x:v>
      </x:c>
      <x:c r="I7" s="11" t="n">
        <x:f>SUMIFS('统计计数'!$AA$6:$AA$95,'统计计数'!$B$6:$B$95,"N_H1")</x:f>
        <x:v>0</x:v>
      </x:c>
      <x:c r="K7" s="1" t="str">
        <x:v>C</x:v>
      </x:c>
      <x:c r="L7" s="1" t="str">
        <x:v>开放语义</x:v>
      </x:c>
    </x:row>
    <x:row r="8" ht="24" customHeight="1">
      <x:c r="A8" s="10" t="str">
        <x:v>C_H0</x:v>
      </x:c>
      <x:c r="B8" s="13" t="n">
        <x:f>'P档位占比'!D10</x:f>
        <x:v>11000</x:v>
      </x:c>
      <x:c r="C8" s="12" t="n">
        <x:f>SUMIFS('统计计数'!$Y$6:$Y$95,'统计计数'!$B$6:$B$95,"C_H0")/B8</x:f>
        <x:v>0.6787272727272727</x:v>
      </x:c>
      <x:c r="D8" s="12" t="n">
        <x:f>SUMIFS('统计计数'!$Z$6:$Z$95,'统计计数'!$B$6:$B$95,"C_H0")/B8</x:f>
        <x:v>0.6765454545454546</x:v>
      </x:c>
      <x:c r="E8" s="12" t="n">
        <x:f>SUM('P档位占比'!E10:G10)</x:f>
        <x:v>0.319</x:v>
      </x:c>
      <x:c r="F8" s="12" t="n">
        <x:f>SUM('P档位占比'!H10:K10)</x:f>
        <x:v>0.6789090909090909</x:v>
      </x:c>
      <x:c r="G8" s="12" t="n">
        <x:f>SUM('P档位占比'!L10:N10)</x:f>
        <x:v>0.0020909090909090908</x:v>
      </x:c>
      <x:c r="H8" s="12" t="n">
        <x:f>'P档位占比'!J10</x:f>
        <x:v>0</x:v>
      </x:c>
      <x:c r="I8" s="11" t="n">
        <x:f>SUMIFS('统计计数'!$AA$6:$AA$95,'统计计数'!$B$6:$B$95,"C_H0")</x:f>
        <x:v>0</x:v>
      </x:c>
      <x:c r="K8" s="1" t="str">
        <x:v>G</x:v>
      </x:c>
      <x:c r="L8" s="1" t="str">
        <x:v>几何结构</x:v>
      </x:c>
    </x:row>
    <x:row r="9" ht="24" customHeight="1">
      <x:c r="A9" s="10" t="str">
        <x:v>C_H1</x:v>
      </x:c>
      <x:c r="B9" s="13" t="n">
        <x:f>'P档位占比'!D12</x:f>
        <x:v>11000</x:v>
      </x:c>
      <x:c r="C9" s="12" t="n">
        <x:f>SUMIFS('统计计数'!$Y$6:$Y$95,'统计计数'!$B$6:$B$95,"C_H1")/B9</x:f>
        <x:v>0.6787272727272727</x:v>
      </x:c>
      <x:c r="D9" s="12" t="n">
        <x:f>SUMIFS('统计计数'!$Z$6:$Z$95,'统计计数'!$B$6:$B$95,"C_H1")/B9</x:f>
        <x:v>0.6765454545454546</x:v>
      </x:c>
      <x:c r="E9" s="12" t="n">
        <x:f>SUM('P档位占比'!E12:G12)</x:f>
        <x:v>0.30636363636363634</x:v>
      </x:c>
      <x:c r="F9" s="12" t="n">
        <x:f>SUM('P档位占比'!H12:K12)</x:f>
        <x:v>0.6915454545454546</x:v>
      </x:c>
      <x:c r="G9" s="12" t="n">
        <x:f>SUM('P档位占比'!L12:N12)</x:f>
        <x:v>0.0020909090909090908</x:v>
      </x:c>
      <x:c r="H9" s="12" t="n">
        <x:f>'P档位占比'!J12</x:f>
        <x:v>0</x:v>
      </x:c>
      <x:c r="I9" s="11" t="n">
        <x:f>SUMIFS('统计计数'!$AA$6:$AA$95,'统计计数'!$B$6:$B$95,"C_H1")</x:f>
        <x:v>0</x:v>
      </x:c>
      <x:c r="K9" s="1" t="str">
        <x:v>H0</x:v>
      </x:c>
      <x:c r="L9" s="1" t="str">
        <x:v>关闭结构树</x:v>
      </x:c>
    </x:row>
    <x:row r="10" ht="24" customHeight="1">
      <x:c r="A10" s="10" t="str">
        <x:v>NG_H0</x:v>
      </x:c>
      <x:c r="B10" s="13" t="n">
        <x:f>'P档位占比'!D14</x:f>
        <x:v>11000</x:v>
      </x:c>
      <x:c r="C10" s="12" t="n">
        <x:f>SUMIFS('统计计数'!$Y$6:$Y$95,'统计计数'!$B$6:$B$95,"NG_H0")/B10</x:f>
        <x:v>0.7292727272727273</x:v>
      </x:c>
      <x:c r="D10" s="12" t="n">
        <x:f>SUMIFS('统计计数'!$Z$6:$Z$95,'统计计数'!$B$6:$B$95,"NG_H0")/B10</x:f>
        <x:v>0.6021818181818182</x:v>
      </x:c>
      <x:c r="E10" s="12" t="n">
        <x:f>SUM('P档位占比'!E14:G14)</x:f>
        <x:v>0.5499090909090909</x:v>
      </x:c>
      <x:c r="F10" s="12" t="n">
        <x:f>SUM('P档位占比'!H14:K14)</x:f>
        <x:v>0.3810909090909091</x:v>
      </x:c>
      <x:c r="G10" s="12" t="n">
        <x:f>SUM('P档位占比'!L14:N14)</x:f>
        <x:v>0.069</x:v>
      </x:c>
      <x:c r="H10" s="12" t="n">
        <x:f>'P档位占比'!J14</x:f>
        <x:v>0.027181818181818182</x:v>
      </x:c>
      <x:c r="I10" s="11" t="n">
        <x:f>SUMIFS('统计计数'!$AA$6:$AA$95,'统计计数'!$B$6:$B$95,"NG_H0")</x:f>
        <x:v>0</x:v>
      </x:c>
      <x:c r="K10" s="1" t="str">
        <x:v>H1</x:v>
      </x:c>
      <x:c r="L10" s="1" t="str">
        <x:v>局部父组、祖先名称</x:v>
      </x:c>
    </x:row>
    <x:row r="11" ht="24" customHeight="1">
      <x:c r="A11" s="10" t="str">
        <x:v>NG_H1</x:v>
      </x:c>
      <x:c r="B11" s="13" t="n">
        <x:f>'P档位占比'!D16</x:f>
        <x:v>11000</x:v>
      </x:c>
      <x:c r="C11" s="12" t="n">
        <x:f>SUMIFS('统计计数'!$Y$6:$Y$95,'统计计数'!$B$6:$B$95,"NG_H1")/B11</x:f>
        <x:v>0.7292727272727273</x:v>
      </x:c>
      <x:c r="D11" s="12" t="n">
        <x:f>SUMIFS('统计计数'!$Z$6:$Z$95,'统计计数'!$B$6:$B$95,"NG_H1")/B11</x:f>
        <x:v>0.6021818181818182</x:v>
      </x:c>
      <x:c r="E11" s="12" t="n">
        <x:f>SUM('P档位占比'!E16:G16)</x:f>
        <x:v>0.494</x:v>
      </x:c>
      <x:c r="F11" s="12" t="n">
        <x:f>SUM('P档位占比'!H16:K16)</x:f>
        <x:v>0.437</x:v>
      </x:c>
      <x:c r="G11" s="12" t="n">
        <x:f>SUM('P档位占比'!L16:N16)</x:f>
        <x:v>0.069</x:v>
      </x:c>
      <x:c r="H11" s="12" t="n">
        <x:f>'P档位占比'!J16</x:f>
        <x:v>0.038181818181818185</x:v>
      </x:c>
      <x:c r="I11" s="11" t="n">
        <x:f>SUMIFS('统计计数'!$AA$6:$AA$95,'统计计数'!$B$6:$B$95,"NG_H1")</x:f>
        <x:v>0</x:v>
      </x:c>
      <x:c r="K11" s="1" t="str">
        <x:v>M1</x:v>
      </x:c>
      <x:c r="L11" s="1" t="str">
        <x:v>额外使用叶名称</x:v>
      </x:c>
    </x:row>
    <x:row r="12" ht="24" customHeight="1">
      <x:c r="A12" s="10" t="str">
        <x:v>CG_H0</x:v>
      </x:c>
      <x:c r="B12" s="13" t="n">
        <x:f>'P档位占比'!D18</x:f>
        <x:v>11000</x:v>
      </x:c>
      <x:c r="C12" s="12" t="n">
        <x:f>SUMIFS('统计计数'!$Y$6:$Y$95,'统计计数'!$B$6:$B$95,"CG_H0")/B12</x:f>
        <x:v>0.679</x:v>
      </x:c>
      <x:c r="D12" s="12" t="n">
        <x:f>SUMIFS('统计计数'!$Z$6:$Z$95,'统计计数'!$B$6:$B$95,"CG_H0")/B12</x:f>
        <x:v>0.6768181818181818</x:v>
      </x:c>
      <x:c r="E12" s="12" t="n">
        <x:f>SUM('P档位占比'!E18:G18)</x:f>
        <x:v>0.6398181818181818</x:v>
      </x:c>
      <x:c r="F12" s="12" t="n">
        <x:f>SUM('P档位占比'!H18:K18)</x:f>
        <x:v>0.35809090909090907</x:v>
      </x:c>
      <x:c r="G12" s="12" t="n">
        <x:f>SUM('P档位占比'!L18:N18)</x:f>
        <x:v>0.0020909090909090908</x:v>
      </x:c>
      <x:c r="H12" s="12" t="n">
        <x:f>'P档位占比'!J18</x:f>
        <x:v>0.026</x:v>
      </x:c>
      <x:c r="I12" s="11" t="n">
        <x:f>SUMIFS('统计计数'!$AA$6:$AA$95,'统计计数'!$B$6:$B$95,"CG_H0")</x:f>
        <x:v>0</x:v>
      </x:c>
    </x:row>
    <x:row r="13" ht="24" customHeight="1">
      <x:c r="A13" s="10" t="str">
        <x:v>CG_H1</x:v>
      </x:c>
      <x:c r="B13" s="13" t="n">
        <x:f>'P档位占比'!D20</x:f>
        <x:v>11000</x:v>
      </x:c>
      <x:c r="C13" s="12" t="n">
        <x:f>SUMIFS('统计计数'!$Y$6:$Y$95,'统计计数'!$B$6:$B$95,"CG_H1")/B13</x:f>
        <x:v>0.6829090909090909</x:v>
      </x:c>
      <x:c r="D13" s="12" t="n">
        <x:f>SUMIFS('统计计数'!$Z$6:$Z$95,'统计计数'!$B$6:$B$95,"CG_H1")/B13</x:f>
        <x:v>0.6807272727272727</x:v>
      </x:c>
      <x:c r="E13" s="12" t="n">
        <x:f>SUM('P档位占比'!E20:G20)</x:f>
        <x:v>0.598</x:v>
      </x:c>
      <x:c r="F13" s="12" t="n">
        <x:f>SUM('P档位占比'!H20:K20)</x:f>
        <x:v>0.39990909090909094</x:v>
      </x:c>
      <x:c r="G13" s="12" t="n">
        <x:f>SUM('P档位占比'!L20:N20)</x:f>
        <x:v>0.0020909090909090908</x:v>
      </x:c>
      <x:c r="H13" s="12" t="n">
        <x:f>'P档位占比'!J20</x:f>
        <x:v>0.027454545454545454</x:v>
      </x:c>
      <x:c r="I13" s="11" t="n">
        <x:f>SUMIFS('统计计数'!$AA$6:$AA$95,'统计计数'!$B$6:$B$95,"CG_H1")</x:f>
        <x:v>0</x:v>
      </x:c>
    </x:row>
    <x:row r="14" ht="24" customHeight="1">
      <x:c r="A14" s="10" t="str">
        <x:v>NC_H0</x:v>
      </x:c>
      <x:c r="B14" s="13" t="n">
        <x:f>'P档位占比'!D22</x:f>
        <x:v>11000</x:v>
      </x:c>
      <x:c r="C14" s="12" t="n">
        <x:f>SUMIFS('统计计数'!$Y$6:$Y$95,'统计计数'!$B$6:$B$95,"NC_H0")/B14</x:f>
        <x:v>0.609</x:v>
      </x:c>
      <x:c r="D14" s="12" t="n">
        <x:f>SUMIFS('统计计数'!$Z$6:$Z$95,'统计计数'!$B$6:$B$95,"NC_H0")/B14</x:f>
        <x:v>0.4899090909090909</x:v>
      </x:c>
      <x:c r="E14" s="12" t="n">
        <x:f>SUM('P档位占比'!E22:G22)</x:f>
        <x:v>0.32072727272727275</x:v>
      </x:c>
      <x:c r="F14" s="12" t="n">
        <x:f>SUM('P档位占比'!H22:K22)</x:f>
        <x:v>0.6324545454545454</x:v>
      </x:c>
      <x:c r="G14" s="12" t="n">
        <x:f>SUM('P档位占比'!L22:N22)</x:f>
        <x:v>0.04681818181818182</x:v>
      </x:c>
      <x:c r="H14" s="12" t="n">
        <x:f>'P档位占比'!J22</x:f>
        <x:v>0.0005454545454545455</x:v>
      </x:c>
      <x:c r="I14" s="11" t="n">
        <x:f>SUMIFS('统计计数'!$AA$6:$AA$95,'统计计数'!$B$6:$B$95,"NC_H0")</x:f>
        <x:v>1529</x:v>
      </x:c>
      <x:c r="K14" s="14" t="str">
        <x:v>统计口径</x:v>
      </x:c>
      <x:c r="L14" s="14"/>
    </x:row>
    <x:row r="15" ht="24" customHeight="1">
      <x:c r="A15" s="10" t="str">
        <x:v>NC_H1</x:v>
      </x:c>
      <x:c r="B15" s="13" t="n">
        <x:f>'P档位占比'!D24</x:f>
        <x:v>11000</x:v>
      </x:c>
      <x:c r="C15" s="12" t="n">
        <x:f>SUMIFS('统计计数'!$Y$6:$Y$95,'统计计数'!$B$6:$B$95,"NC_H1")/B15</x:f>
        <x:v>0.609</x:v>
      </x:c>
      <x:c r="D15" s="12" t="n">
        <x:f>SUMIFS('统计计数'!$Z$6:$Z$95,'统计计数'!$B$6:$B$95,"NC_H1")/B15</x:f>
        <x:v>0.4899090909090909</x:v>
      </x:c>
      <x:c r="E15" s="12" t="n">
        <x:f>SUM('P档位占比'!E24:G24)</x:f>
        <x:v>0.30154545454545456</x:v>
      </x:c>
      <x:c r="F15" s="12" t="n">
        <x:f>SUM('P档位占比'!H24:K24)</x:f>
        <x:v>0.6516363636363637</x:v>
      </x:c>
      <x:c r="G15" s="12" t="n">
        <x:f>SUM('P档位占比'!L24:N24)</x:f>
        <x:v>0.04681818181818182</x:v>
      </x:c>
      <x:c r="H15" s="12" t="n">
        <x:f>'P档位占比'!J24</x:f>
        <x:v>0.01</x:v>
      </x:c>
      <x:c r="I15" s="11" t="n">
        <x:f>SUMIFS('统计计数'!$AA$6:$AA$95,'统计计数'!$B$6:$B$95,"NC_H1")</x:f>
        <x:v>1529</x:v>
      </x:c>
      <x:c r="K15" s="14" t="str">
        <x:v>P是保护预算，不是识别概率。</x:v>
      </x:c>
      <x:c r="L15" s="14"/>
    </x:row>
    <x:row r="16" ht="24" customHeight="1">
      <x:c r="A16" s="10" t="str">
        <x:v>NCG_H0</x:v>
      </x:c>
      <x:c r="B16" s="13" t="n">
        <x:f>'P档位占比'!D26</x:f>
        <x:v>11000</x:v>
      </x:c>
      <x:c r="C16" s="12" t="n">
        <x:f>SUMIFS('统计计数'!$Y$6:$Y$95,'统计计数'!$B$6:$B$95,"NCG_H0")/B16</x:f>
        <x:v>0.6092727272727273</x:v>
      </x:c>
      <x:c r="D16" s="12" t="n">
        <x:f>SUMIFS('统计计数'!$Z$6:$Z$95,'统计计数'!$B$6:$B$95,"NCG_H0")/B16</x:f>
        <x:v>0.49018181818181816</x:v>
      </x:c>
      <x:c r="E16" s="12" t="n">
        <x:f>SUM('P档位占比'!E26:G26)</x:f>
        <x:v>0.5516363636363637</x:v>
      </x:c>
      <x:c r="F16" s="12" t="n">
        <x:f>SUM('P档位占比'!H26:K26)</x:f>
        <x:v>0.40154545454545454</x:v>
      </x:c>
      <x:c r="G16" s="12" t="n">
        <x:f>SUM('P档位占比'!L26:N26)</x:f>
        <x:v>0.04681818181818182</x:v>
      </x:c>
      <x:c r="H16" s="12" t="n">
        <x:f>'P档位占比'!J26</x:f>
        <x:v>0.029363636363636363</x:v>
      </x:c>
      <x:c r="I16" s="11" t="n">
        <x:f>SUMIFS('统计计数'!$AA$6:$AA$95,'统计计数'!$B$6:$B$95,"NCG_H0")</x:f>
        <x:v>1529</x:v>
      </x:c>
      <x:c r="K16" s="14" t="str">
        <x:v>三角形为源实例数，不等于显存。</x:v>
      </x:c>
      <x:c r="L16" s="14"/>
    </x:row>
    <x:row r="17" ht="24" customHeight="1">
      <x:c r="A17" s="10" t="str">
        <x:v>NCG_H1</x:v>
      </x:c>
      <x:c r="B17" s="13" t="n">
        <x:f>'P档位占比'!D28</x:f>
        <x:v>11000</x:v>
      </x:c>
      <x:c r="C17" s="12" t="n">
        <x:f>SUMIFS('统计计数'!$Y$6:$Y$95,'统计计数'!$B$6:$B$95,"NCG_H1")/B17</x:f>
        <x:v>0.6128181818181818</x:v>
      </x:c>
      <x:c r="D17" s="12" t="n">
        <x:f>SUMIFS('统计计数'!$Z$6:$Z$95,'统计计数'!$B$6:$B$95,"NCG_H1")/B17</x:f>
        <x:v>0.49372727272727274</x:v>
      </x:c>
      <x:c r="E17" s="12" t="n">
        <x:f>SUM('P档位占比'!E28:G28)</x:f>
        <x:v>0.5029090909090909</x:v>
      </x:c>
      <x:c r="F17" s="12" t="n">
        <x:f>SUM('P档位占比'!H28:K28)</x:f>
        <x:v>0.45027272727272727</x:v>
      </x:c>
      <x:c r="G17" s="12" t="n">
        <x:f>SUM('P档位占比'!L28:N28)</x:f>
        <x:v>0.04681818181818182</x:v>
      </x:c>
      <x:c r="H17" s="12" t="n">
        <x:f>'P档位占比'!J28</x:f>
        <x:v>0.04018181818181818</x:v>
      </x:c>
      <x:c r="I17" s="11" t="n">
        <x:f>SUMIFS('统计计数'!$AA$6:$AA$95,'统计计数'!$B$6:$B$95,"NCG_H1")</x:f>
        <x:v>1529</x:v>
      </x:c>
      <x:c r="K17" s="14" t="str">
        <x:v>纯G、M1另列为辅助对照。</x:v>
      </x:c>
      <x:c r="L17" s="14"/>
    </x:row>
    <x:row r="18" ht="24" customHeight="1">
      <x:c r="A18" s="10" t="str">
        <x:v>G_H0</x:v>
      </x:c>
      <x:c r="B18" s="13" t="n">
        <x:f>'P档位占比'!D30</x:f>
        <x:v>11000</x:v>
      </x:c>
      <x:c r="C18" s="12" t="n">
        <x:f>SUMIFS('统计计数'!$Y$6:$Y$95,'统计计数'!$B$6:$B$95,"G_H0")/B18</x:f>
        <x:v>1</x:v>
      </x:c>
      <x:c r="D18" s="12" t="n">
        <x:f>SUMIFS('统计计数'!$Z$6:$Z$95,'统计计数'!$B$6:$B$95,"G_H0")/B18</x:f>
        <x:v>1</x:v>
      </x:c>
      <x:c r="E18" s="12" t="n">
        <x:f>SUM('P档位占比'!E30:G30)</x:f>
        <x:v>0.6265454545454545</x:v>
      </x:c>
      <x:c r="F18" s="12" t="n">
        <x:f>SUM('P档位占比'!H30:K30)</x:f>
        <x:v>0.37345454545454543</x:v>
      </x:c>
      <x:c r="G18" s="12" t="n">
        <x:f>SUM('P档位占比'!L30:N30)</x:f>
        <x:v>0</x:v>
      </x:c>
      <x:c r="H18" s="12" t="n">
        <x:f>'P档位占比'!J30</x:f>
        <x:v>0.026</x:v>
      </x:c>
      <x:c r="I18" s="11" t="n">
        <x:f>SUMIFS('统计计数'!$AA$6:$AA$95,'统计计数'!$B$6:$B$95,"G_H0")</x:f>
        <x:v>0</x:v>
      </x:c>
      <x:c r="K18" s="14" t="str">
        <x:v>未测V5画质、帧率与显存。</x:v>
      </x:c>
      <x:c r="L18" s="14"/>
    </x:row>
    <x:row r="19" ht="24" customHeight="1">
      <x:c r="A19" s="10" t="str">
        <x:v>G_H1</x:v>
      </x:c>
      <x:c r="B19" s="13" t="n">
        <x:f>'P档位占比'!D32</x:f>
        <x:v>11000</x:v>
      </x:c>
      <x:c r="C19" s="12" t="n">
        <x:f>SUMIFS('统计计数'!$Y$6:$Y$95,'统计计数'!$B$6:$B$95,"G_H1")/B19</x:f>
        <x:v>1</x:v>
      </x:c>
      <x:c r="D19" s="12" t="n">
        <x:f>SUMIFS('统计计数'!$Z$6:$Z$95,'统计计数'!$B$6:$B$95,"G_H1")/B19</x:f>
        <x:v>1</x:v>
      </x:c>
      <x:c r="E19" s="12" t="n">
        <x:f>SUM('P档位占比'!E32:G32)</x:f>
        <x:v>0.5852727272727273</x:v>
      </x:c>
      <x:c r="F19" s="12" t="n">
        <x:f>SUM('P档位占比'!H32:K32)</x:f>
        <x:v>0.4147272727272727</x:v>
      </x:c>
      <x:c r="G19" s="12" t="n">
        <x:f>SUM('P档位占比'!L32:N32)</x:f>
        <x:v>0</x:v>
      </x:c>
      <x:c r="H19" s="12" t="n">
        <x:f>'P档位占比'!J32</x:f>
        <x:v>0.02618181818181818</x:v>
      </x:c>
      <x:c r="I19" s="11" t="n">
        <x:f>SUMIFS('统计计数'!$AA$6:$AA$95,'统计计数'!$B$6:$B$95,"G_H1")</x:f>
        <x:v>0</x:v>
      </x:c>
      <x:c r="K19" s="14" t="str">
        <x:v>纯G未决比例不用于识别评价。</x:v>
      </x:c>
      <x:c r="L19" s="14"/>
    </x:row>
    <x:row r="20" ht="24" customHeight="1">
      <x:c r="A20" s="10" t="str">
        <x:v>NCG_H1_M1</x:v>
      </x:c>
      <x:c r="B20" s="13" t="n">
        <x:f>'P档位占比'!D34</x:f>
        <x:v>11000</x:v>
      </x:c>
      <x:c r="C20" s="12" t="n">
        <x:f>SUMIFS('统计计数'!$Y$6:$Y$95,'统计计数'!$B$6:$B$95,"NCG_H1_M1")/B20</x:f>
        <x:v>0.524090909090909</x:v>
      </x:c>
      <x:c r="D20" s="12" t="n">
        <x:f>SUMIFS('统计计数'!$Z$6:$Z$95,'统计计数'!$B$6:$B$95,"NCG_H1_M1")/B20</x:f>
        <x:v>0.4244545454545455</x:v>
      </x:c>
      <x:c r="E20" s="12" t="n">
        <x:f>SUM('P档位占比'!E34:G34)</x:f>
        <x:v>0.4663636363636364</x:v>
      </x:c>
      <x:c r="F20" s="12" t="n">
        <x:f>SUM('P档位占比'!H34:K34)</x:f>
        <x:v>0.4284545454545455</x:v>
      </x:c>
      <x:c r="G20" s="12" t="n">
        <x:f>SUM('P档位占比'!L34:N34)</x:f>
        <x:v>0.10518181818181818</x:v>
      </x:c>
      <x:c r="H20" s="12" t="n">
        <x:f>'P档位占比'!J34</x:f>
        <x:v>0.043272727272727275</x:v>
      </x:c>
      <x:c r="I20" s="11" t="n">
        <x:f>SUMIFS('统计计数'!$AA$6:$AA$95,'统计计数'!$B$6:$B$95,"NCG_H1_M1")</x:f>
        <x:v>1529</x:v>
      </x:c>
    </x:row>
    <x:row r="44" ht="26" customHeight="1">
      <x:c r="A44" s="16" t="str">
        <x:v>分支组合</x:v>
      </x:c>
      <x:c r="B44" s="16" t="str">
        <x:v>P档位改变</x:v>
      </x:c>
      <x:c r="C44" s="16" t="str">
        <x:v>功能改变</x:v>
      </x:c>
    </x:row>
    <x:row r="45">
      <x:c r="A45" s="17" t="str">
        <x:v>N</x:v>
      </x:c>
      <x:c r="B45" s="18" t="n">
        <x:f>'成对变化'!G90</x:f>
        <x:v>0.01818181818181818</x:v>
      </x:c>
      <x:c r="C45" s="18" t="n">
        <x:f>'成对变化'!J90/'成对变化'!E90</x:f>
        <x:v>0.01818181818181818</x:v>
      </x:c>
    </x:row>
    <x:row r="46">
      <x:c r="A46" s="17" t="str">
        <x:v>C</x:v>
      </x:c>
      <x:c r="B46" s="18" t="n">
        <x:f>'成对变化'!G91</x:f>
        <x:v>0.012636363636363637</x:v>
      </x:c>
      <x:c r="C46" s="18" t="n">
        <x:f>'成对变化'!J91/'成对变化'!E91</x:f>
        <x:v>0.012636363636363637</x:v>
      </x:c>
    </x:row>
    <x:row r="47">
      <x:c r="A47" s="17" t="str">
        <x:v>NG</x:v>
      </x:c>
      <x:c r="B47" s="18" t="n">
        <x:f>'成对变化'!G92</x:f>
        <x:v>0.0809090909090909</x:v>
      </x:c>
      <x:c r="C47" s="18" t="n">
        <x:f>'成对变化'!J92/'成对变化'!E92</x:f>
        <x:v>0.01818181818181818</x:v>
      </x:c>
    </x:row>
    <x:row r="48">
      <x:c r="A48" s="17" t="str">
        <x:v>CG</x:v>
      </x:c>
      <x:c r="B48" s="18" t="n">
        <x:f>'成对变化'!G93</x:f>
        <x:v>0.09563636363636363</x:v>
      </x:c>
      <x:c r="C48" s="18" t="n">
        <x:f>'成对变化'!J93/'成对变化'!E93</x:f>
        <x:v>0.016545454545454544</x:v>
      </x:c>
    </x:row>
    <x:row r="49">
      <x:c r="A49" s="17" t="str">
        <x:v>NC</x:v>
      </x:c>
      <x:c r="B49" s="18" t="n">
        <x:f>'成对变化'!G94</x:f>
        <x:v>0.019181818181818182</x:v>
      </x:c>
      <x:c r="C49" s="18" t="n">
        <x:f>'成对变化'!J94/'成对变化'!E94</x:f>
        <x:v>0.019181818181818182</x:v>
      </x:c>
    </x:row>
    <x:row r="50">
      <x:c r="A50" s="17" t="str">
        <x:v>NCG</x:v>
      </x:c>
      <x:c r="B50" s="18" t="n">
        <x:f>'成对变化'!G95</x:f>
        <x:v>0.08945454545454545</x:v>
      </x:c>
      <x:c r="C50" s="18" t="n">
        <x:f>'成对变化'!J95/'成对变化'!E95</x:f>
        <x:v>0.022727272727272728</x:v>
      </x:c>
    </x:row>
  </x:sheetData>
  <x:pageMargins left="0.7" right="0.7" top="0.75" bottom="0.75" header="0.3" footer="0.3"/>
  <x:drawing xmlns:r="http://schemas.openxmlformats.org/officeDocument/2006/relationships" r:id="R81a531325b59491b"/>
  <x:tableParts count="1">
    <x:tablePart xmlns:r="http://schemas.openxmlformats.org/officeDocument/2006/relationships" r:id="R89ce5d46b6a54d6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19" hidden="0" customWidth="1"/>
    <x:col min="3" max="3" width="14" hidden="0" customWidth="1"/>
    <x:col min="4" max="4" width="2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3" t="str">
        <x:v>各配置P1–P10占比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节点数与原始三角形实例数分开列示；六模型合计先相加计数再求比例。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2" customHeight="1">
      <x:c r="A5" s="8" t="str">
        <x:v>模型</x:v>
      </x:c>
      <x:c r="B5" s="8" t="str">
        <x:v>配置</x:v>
      </x:c>
      <x:c r="C5" s="8" t="str">
        <x:v>计数口径</x:v>
      </x:c>
      <x:c r="D5" s="8" t="str">
        <x:v>分母</x:v>
      </x:c>
      <x:c r="E5" s="8" t="str">
        <x:v>P1</x:v>
      </x:c>
      <x:c r="F5" s="8" t="str">
        <x:v>P2</x:v>
      </x:c>
      <x:c r="G5" s="8" t="str">
        <x:v>P3</x:v>
      </x:c>
      <x:c r="H5" s="8" t="str">
        <x:v>P4</x:v>
      </x:c>
      <x:c r="I5" s="8" t="str">
        <x:v>P5</x:v>
      </x:c>
      <x:c r="J5" s="8" t="str">
        <x:v>P6</x:v>
      </x:c>
      <x:c r="K5" s="8" t="str">
        <x:v>P7</x:v>
      </x:c>
      <x:c r="L5" s="8" t="str">
        <x:v>P8</x:v>
      </x:c>
      <x:c r="M5" s="8" t="str">
        <x:v>P9</x:v>
      </x:c>
      <x:c r="N5" s="8" t="str">
        <x:v>P10</x:v>
      </x:c>
    </x:row>
    <x:row r="6" ht="24" customHeight="1">
      <x:c r="A6" s="10" t="str">
        <x:v>ALL</x:v>
      </x:c>
      <x:c r="B6" s="10" t="str">
        <x:v>N_H0</x:v>
      </x:c>
      <x:c r="C6" s="9" t="str">
        <x:v>节点</x:v>
      </x:c>
      <x:c r="D6" s="11" t="n">
        <x:f>SUMIFS('统计计数'!$C$6:$C$95,'统计计数'!$B$6:$B$95,"N_H0")</x:f>
        <x:v>11000</x:v>
      </x:c>
      <x:c r="E6" s="12" t="n">
        <x:f>SUMIFS('统计计数'!$E$6:$E$95,'统计计数'!$B$6:$B$95,"N_H0")/$D6</x:f>
        <x:v>0</x:v>
      </x:c>
      <x:c r="F6" s="12" t="n">
        <x:f>SUMIFS('统计计数'!$F$6:$F$95,'统计计数'!$B$6:$B$95,"N_H0")/$D6</x:f>
        <x:v>0.14018181818181819</x:v>
      </x:c>
      <x:c r="G6" s="12" t="n">
        <x:f>SUMIFS('统计计数'!$G$6:$G$95,'统计计数'!$B$6:$B$95,"N_H0")/$D6</x:f>
        <x:v>0.03690909090909091</x:v>
      </x:c>
      <x:c r="H6" s="12" t="n">
        <x:f>SUMIFS('统计计数'!$H$6:$H$95,'统计计数'!$B$6:$B$95,"N_H0")/$D6</x:f>
        <x:v>0</x:v>
      </x:c>
      <x:c r="I6" s="12" t="n">
        <x:f>SUMIFS('统计计数'!$I$6:$I$95,'统计计数'!$B$6:$B$95,"N_H0")/$D6</x:f>
        <x:v>0.7292727272727273</x:v>
      </x:c>
      <x:c r="J6" s="12" t="n">
        <x:f>SUMIFS('统计计数'!$J$6:$J$95,'统计计数'!$B$6:$B$95,"N_H0")/$D6</x:f>
        <x:v>0.0011818181818181819</x:v>
      </x:c>
      <x:c r="K6" s="12" t="n">
        <x:f>SUMIFS('统计计数'!$K$6:$K$95,'统计计数'!$B$6:$B$95,"N_H0")/$D6</x:f>
        <x:v>0.023454545454545454</x:v>
      </x:c>
      <x:c r="L6" s="12" t="n">
        <x:f>SUMIFS('统计计数'!$L$6:$L$95,'统计计数'!$B$6:$B$95,"N_H0")/$D6</x:f>
        <x:v>0.014</x:v>
      </x:c>
      <x:c r="M6" s="12" t="n">
        <x:f>SUMIFS('统计计数'!$M$6:$M$95,'统计计数'!$B$6:$B$95,"N_H0")/$D6</x:f>
        <x:v>0.055</x:v>
      </x:c>
      <x:c r="N6" s="12" t="n">
        <x:f>SUMIFS('统计计数'!$N$6:$N$95,'统计计数'!$B$6:$B$95,"N_H0")/$D6</x:f>
        <x:v>0</x:v>
      </x:c>
    </x:row>
    <x:row r="7" ht="24" customHeight="1">
      <x:c r="A7" s="10" t="str">
        <x:v>ALL</x:v>
      </x:c>
      <x:c r="B7" s="10" t="str">
        <x:v>N_H0</x:v>
      </x:c>
      <x:c r="C7" s="9" t="str">
        <x:v>源三角形</x:v>
      </x:c>
      <x:c r="D7" s="11" t="n">
        <x:f>SUMIFS('统计计数'!$D$6:$D$95,'统计计数'!$B$6:$B$95,"N_H0")</x:f>
        <x:v>40794715</x:v>
      </x:c>
      <x:c r="E7" s="12" t="n">
        <x:f>SUMIFS('统计计数'!$O$6:$O$95,'统计计数'!$B$6:$B$95,"N_H0")/$D7</x:f>
        <x:v>0</x:v>
      </x:c>
      <x:c r="F7" s="12" t="n">
        <x:f>SUMIFS('统计计数'!$P$6:$P$95,'统计计数'!$B$6:$B$95,"N_H0")/$D7</x:f>
        <x:v>0.05804379317271857</x:v>
      </x:c>
      <x:c r="G7" s="12" t="n">
        <x:f>SUMIFS('统计计数'!$Q$6:$Q$95,'统计计数'!$B$6:$B$95,"N_H0")/$D7</x:f>
        <x:v>0.017452824465129857</x:v>
      </x:c>
      <x:c r="H7" s="12" t="n">
        <x:f>SUMIFS('统计计数'!$R$6:$R$95,'统计计数'!$B$6:$B$95,"N_H0")/$D7</x:f>
        <x:v>0</x:v>
      </x:c>
      <x:c r="I7" s="12" t="n">
        <x:f>SUMIFS('统计计数'!$S$6:$S$95,'统计计数'!$B$6:$B$95,"N_H0")/$D7</x:f>
        <x:v>0.6695000075377411</x:v>
      </x:c>
      <x:c r="J7" s="12" t="n">
        <x:f>SUMIFS('统计计数'!$T$6:$T$95,'统计计数'!$B$6:$B$95,"N_H0")/$D7</x:f>
        <x:v>0.001960008790354339</x:v>
      </x:c>
      <x:c r="K7" s="12" t="n">
        <x:f>SUMIFS('统计计数'!$U$6:$U$95,'统计计数'!$B$6:$B$95,"N_H0")/$D7</x:f>
        <x:v>0.04812074309135387</x:v>
      </x:c>
      <x:c r="L7" s="12" t="n">
        <x:f>SUMIFS('统计计数'!$V$6:$V$95,'统计计数'!$B$6:$B$95,"N_H0")/$D7</x:f>
        <x:v>0.05129360506624449</x:v>
      </x:c>
      <x:c r="M7" s="12" t="n">
        <x:f>SUMIFS('统计计数'!$W$6:$W$95,'统计计数'!$B$6:$B$95,"N_H0")/$D7</x:f>
        <x:v>0.15362901787645777</x:v>
      </x:c>
      <x:c r="N7" s="12" t="n">
        <x:f>SUMIFS('统计计数'!$X$6:$X$95,'统计计数'!$B$6:$B$95,"N_H0")/$D7</x:f>
        <x:v>0</x:v>
      </x:c>
    </x:row>
    <x:row r="8" ht="24" customHeight="1">
      <x:c r="A8" s="10" t="str">
        <x:v>ALL</x:v>
      </x:c>
      <x:c r="B8" s="10" t="str">
        <x:v>N_H1</x:v>
      </x:c>
      <x:c r="C8" s="9" t="str">
        <x:v>节点</x:v>
      </x:c>
      <x:c r="D8" s="11" t="n">
        <x:f>SUMIFS('统计计数'!$C$6:$C$95,'统计计数'!$B$6:$B$95,"N_H1")</x:f>
        <x:v>11000</x:v>
      </x:c>
      <x:c r="E8" s="12" t="n">
        <x:f>SUMIFS('统计计数'!$E$6:$E$95,'统计计数'!$B$6:$B$95,"N_H1")/$D8</x:f>
        <x:v>0</x:v>
      </x:c>
      <x:c r="F8" s="12" t="n">
        <x:f>SUMIFS('统计计数'!$F$6:$F$95,'统计计数'!$B$6:$B$95,"N_H1")/$D8</x:f>
        <x:v>0.13318181818181818</x:v>
      </x:c>
      <x:c r="G8" s="12" t="n">
        <x:f>SUMIFS('统计计数'!$G$6:$G$95,'统计计数'!$B$6:$B$95,"N_H1")/$D8</x:f>
        <x:v>0.025727272727272727</x:v>
      </x:c>
      <x:c r="H8" s="12" t="n">
        <x:f>SUMIFS('统计计数'!$H$6:$H$95,'统计计数'!$B$6:$B$95,"N_H1")/$D8</x:f>
        <x:v>0</x:v>
      </x:c>
      <x:c r="I8" s="12" t="n">
        <x:f>SUMIFS('统计计数'!$I$6:$I$95,'统计计数'!$B$6:$B$95,"N_H1")/$D8</x:f>
        <x:v>0.7292727272727273</x:v>
      </x:c>
      <x:c r="J8" s="12" t="n">
        <x:f>SUMIFS('统计计数'!$J$6:$J$95,'统计计数'!$B$6:$B$95,"N_H1")/$D8</x:f>
        <x:v>0.012</x:v>
      </x:c>
      <x:c r="K8" s="12" t="n">
        <x:f>SUMIFS('统计计数'!$K$6:$K$95,'统计计数'!$B$6:$B$95,"N_H1")/$D8</x:f>
        <x:v>0.030818181818181817</x:v>
      </x:c>
      <x:c r="L8" s="12" t="n">
        <x:f>SUMIFS('统计计数'!$L$6:$L$95,'统计计数'!$B$6:$B$95,"N_H1")/$D8</x:f>
        <x:v>0.014</x:v>
      </x:c>
      <x:c r="M8" s="12" t="n">
        <x:f>SUMIFS('统计计数'!$M$6:$M$95,'统计计数'!$B$6:$B$95,"N_H1")/$D8</x:f>
        <x:v>0.055</x:v>
      </x:c>
      <x:c r="N8" s="12" t="n">
        <x:f>SUMIFS('统计计数'!$N$6:$N$95,'统计计数'!$B$6:$B$95,"N_H1")/$D8</x:f>
        <x:v>0</x:v>
      </x:c>
    </x:row>
    <x:row r="9" ht="24" customHeight="1">
      <x:c r="A9" s="10" t="str">
        <x:v>ALL</x:v>
      </x:c>
      <x:c r="B9" s="10" t="str">
        <x:v>N_H1</x:v>
      </x:c>
      <x:c r="C9" s="9" t="str">
        <x:v>源三角形</x:v>
      </x:c>
      <x:c r="D9" s="11" t="n">
        <x:f>SUMIFS('统计计数'!$D$6:$D$95,'统计计数'!$B$6:$B$95,"N_H1")</x:f>
        <x:v>40794715</x:v>
      </x:c>
      <x:c r="E9" s="12" t="n">
        <x:f>SUMIFS('统计计数'!$O$6:$O$95,'统计计数'!$B$6:$B$95,"N_H1")/$D9</x:f>
        <x:v>0</x:v>
      </x:c>
      <x:c r="F9" s="12" t="n">
        <x:f>SUMIFS('统计计数'!$P$6:$P$95,'统计计数'!$B$6:$B$95,"N_H1")/$D9</x:f>
        <x:v>0.05764452576761475</x:v>
      </x:c>
      <x:c r="G9" s="12" t="n">
        <x:f>SUMIFS('统计计数'!$Q$6:$Q$95,'统计计数'!$B$6:$B$95,"N_H1")/$D9</x:f>
        <x:v>0.013209823870567548</x:v>
      </x:c>
      <x:c r="H9" s="12" t="n">
        <x:f>SUMIFS('统计计数'!$R$6:$R$95,'统计计数'!$B$6:$B$95,"N_H1")/$D9</x:f>
        <x:v>0</x:v>
      </x:c>
      <x:c r="I9" s="12" t="n">
        <x:f>SUMIFS('统计计数'!$S$6:$S$95,'统计计数'!$B$6:$B$95,"N_H1")/$D9</x:f>
        <x:v>0.6695000075377411</x:v>
      </x:c>
      <x:c r="J9" s="12" t="n">
        <x:f>SUMIFS('统计计数'!$T$6:$T$95,'统计计数'!$B$6:$B$95,"N_H1")/$D9</x:f>
        <x:v>0.00611456655598648</x:v>
      </x:c>
      <x:c r="K9" s="12" t="n">
        <x:f>SUMIFS('统计计数'!$U$6:$U$95,'统计计数'!$B$6:$B$95,"N_H1")/$D9</x:f>
        <x:v>0.04860845332538786</x:v>
      </x:c>
      <x:c r="L9" s="12" t="n">
        <x:f>SUMIFS('统计计数'!$V$6:$V$95,'统计计数'!$B$6:$B$95,"N_H1")/$D9</x:f>
        <x:v>0.05129360506624449</x:v>
      </x:c>
      <x:c r="M9" s="12" t="n">
        <x:f>SUMIFS('统计计数'!$W$6:$W$95,'统计计数'!$B$6:$B$95,"N_H1")/$D9</x:f>
        <x:v>0.15362901787645777</x:v>
      </x:c>
      <x:c r="N9" s="12" t="n">
        <x:f>SUMIFS('统计计数'!$X$6:$X$95,'统计计数'!$B$6:$B$95,"N_H1")/$D9</x:f>
        <x:v>0</x:v>
      </x:c>
    </x:row>
    <x:row r="10" ht="24" customHeight="1">
      <x:c r="A10" s="10" t="str">
        <x:v>ALL</x:v>
      </x:c>
      <x:c r="B10" s="10" t="str">
        <x:v>C_H0</x:v>
      </x:c>
      <x:c r="C10" s="9" t="str">
        <x:v>节点</x:v>
      </x:c>
      <x:c r="D10" s="11" t="n">
        <x:f>SUMIFS('统计计数'!$C$6:$C$95,'统计计数'!$B$6:$B$95,"C_H0")</x:f>
        <x:v>11000</x:v>
      </x:c>
      <x:c r="E10" s="12" t="n">
        <x:f>SUMIFS('统计计数'!$E$6:$E$95,'统计计数'!$B$6:$B$95,"C_H0")/$D10</x:f>
        <x:v>0</x:v>
      </x:c>
      <x:c r="F10" s="12" t="n">
        <x:f>SUMIFS('统计计数'!$F$6:$F$95,'统计计数'!$B$6:$B$95,"C_H0")/$D10</x:f>
        <x:v>0.319</x:v>
      </x:c>
      <x:c r="G10" s="12" t="n">
        <x:f>SUMIFS('统计计数'!$G$6:$G$95,'统计计数'!$B$6:$B$95,"C_H0")/$D10</x:f>
        <x:v>0</x:v>
      </x:c>
      <x:c r="H10" s="12" t="n">
        <x:f>SUMIFS('统计计数'!$H$6:$H$95,'统计计数'!$B$6:$B$95,"C_H0")/$D10</x:f>
        <x:v>0</x:v>
      </x:c>
      <x:c r="I10" s="12" t="n">
        <x:f>SUMIFS('统计计数'!$I$6:$I$95,'统计计数'!$B$6:$B$95,"C_H0")/$D10</x:f>
        <x:v>0.6787272727272727</x:v>
      </x:c>
      <x:c r="J10" s="12" t="n">
        <x:f>SUMIFS('统计计数'!$J$6:$J$95,'统计计数'!$B$6:$B$95,"C_H0")/$D10</x:f>
        <x:v>0</x:v>
      </x:c>
      <x:c r="K10" s="12" t="n">
        <x:f>SUMIFS('统计计数'!$K$6:$K$95,'统计计数'!$B$6:$B$95,"C_H0")/$D10</x:f>
        <x:v>0.0001818181818181818</x:v>
      </x:c>
      <x:c r="L10" s="12" t="n">
        <x:f>SUMIFS('统计计数'!$L$6:$L$95,'统计计数'!$B$6:$B$95,"C_H0")/$D10</x:f>
        <x:v>0</x:v>
      </x:c>
      <x:c r="M10" s="12" t="n">
        <x:f>SUMIFS('统计计数'!$M$6:$M$95,'统计计数'!$B$6:$B$95,"C_H0")/$D10</x:f>
        <x:v>0.0020909090909090908</x:v>
      </x:c>
      <x:c r="N10" s="12" t="n">
        <x:f>SUMIFS('统计计数'!$N$6:$N$95,'统计计数'!$B$6:$B$95,"C_H0")/$D10</x:f>
        <x:v>0</x:v>
      </x:c>
    </x:row>
    <x:row r="11" ht="24" customHeight="1">
      <x:c r="A11" s="10" t="str">
        <x:v>ALL</x:v>
      </x:c>
      <x:c r="B11" s="10" t="str">
        <x:v>C_H0</x:v>
      </x:c>
      <x:c r="C11" s="9" t="str">
        <x:v>源三角形</x:v>
      </x:c>
      <x:c r="D11" s="11" t="n">
        <x:f>SUMIFS('统计计数'!$D$6:$D$95,'统计计数'!$B$6:$B$95,"C_H0")</x:f>
        <x:v>40794715</x:v>
      </x:c>
      <x:c r="E11" s="12" t="n">
        <x:f>SUMIFS('统计计数'!$O$6:$O$95,'统计计数'!$B$6:$B$95,"C_H0")/$D11</x:f>
        <x:v>0</x:v>
      </x:c>
      <x:c r="F11" s="12" t="n">
        <x:f>SUMIFS('统计计数'!$P$6:$P$95,'统计计数'!$B$6:$B$95,"C_H0")/$D11</x:f>
        <x:v>0.20218682738683186</x:v>
      </x:c>
      <x:c r="G11" s="12" t="n">
        <x:f>SUMIFS('统计计数'!$Q$6:$Q$95,'统计计数'!$B$6:$B$95,"C_H0")/$D11</x:f>
        <x:v>0</x:v>
      </x:c>
      <x:c r="H11" s="12" t="n">
        <x:f>SUMIFS('统计计数'!$R$6:$R$95,'统计计数'!$B$6:$B$95,"C_H0")/$D11</x:f>
        <x:v>0</x:v>
      </x:c>
      <x:c r="I11" s="12" t="n">
        <x:f>SUMIFS('统计计数'!$S$6:$S$95,'统计计数'!$B$6:$B$95,"C_H0")/$D11</x:f>
        <x:v>0.7972002010554553</x:v>
      </x:c>
      <x:c r="J11" s="12" t="n">
        <x:f>SUMIFS('统计计数'!$T$6:$T$95,'统计计数'!$B$6:$B$95,"C_H0")/$D11</x:f>
        <x:v>0</x:v>
      </x:c>
      <x:c r="K11" s="12" t="n">
        <x:f>SUMIFS('统计计数'!$U$6:$U$95,'统计计数'!$B$6:$B$95,"C_H0")/$D11</x:f>
        <x:v>0.0003757839710364443</x:v>
      </x:c>
      <x:c r="L11" s="12" t="n">
        <x:f>SUMIFS('统计计数'!$V$6:$V$95,'统计计数'!$B$6:$B$95,"C_H0")/$D11</x:f>
        <x:v>0</x:v>
      </x:c>
      <x:c r="M11" s="12" t="n">
        <x:f>SUMIFS('统计计数'!$W$6:$W$95,'统计计数'!$B$6:$B$95,"C_H0")/$D11</x:f>
        <x:v>0.00023718758667636236</x:v>
      </x:c>
      <x:c r="N11" s="12" t="n">
        <x:f>SUMIFS('统计计数'!$X$6:$X$95,'统计计数'!$B$6:$B$95,"C_H0")/$D11</x:f>
        <x:v>0</x:v>
      </x:c>
    </x:row>
    <x:row r="12" ht="24" customHeight="1">
      <x:c r="A12" s="10" t="str">
        <x:v>ALL</x:v>
      </x:c>
      <x:c r="B12" s="10" t="str">
        <x:v>C_H1</x:v>
      </x:c>
      <x:c r="C12" s="9" t="str">
        <x:v>节点</x:v>
      </x:c>
      <x:c r="D12" s="11" t="n">
        <x:f>SUMIFS('统计计数'!$C$6:$C$95,'统计计数'!$B$6:$B$95,"C_H1")</x:f>
        <x:v>11000</x:v>
      </x:c>
      <x:c r="E12" s="12" t="n">
        <x:f>SUMIFS('统计计数'!$E$6:$E$95,'统计计数'!$B$6:$B$95,"C_H1")/$D12</x:f>
        <x:v>0</x:v>
      </x:c>
      <x:c r="F12" s="12" t="n">
        <x:f>SUMIFS('统计计数'!$F$6:$F$95,'统计计数'!$B$6:$B$95,"C_H1")/$D12</x:f>
        <x:v>0.30636363636363634</x:v>
      </x:c>
      <x:c r="G12" s="12" t="n">
        <x:f>SUMIFS('统计计数'!$G$6:$G$95,'统计计数'!$B$6:$B$95,"C_H1")/$D12</x:f>
        <x:v>0</x:v>
      </x:c>
      <x:c r="H12" s="12" t="n">
        <x:f>SUMIFS('统计计数'!$H$6:$H$95,'统计计数'!$B$6:$B$95,"C_H1")/$D12</x:f>
        <x:v>0</x:v>
      </x:c>
      <x:c r="I12" s="12" t="n">
        <x:f>SUMIFS('统计计数'!$I$6:$I$95,'统计计数'!$B$6:$B$95,"C_H1")/$D12</x:f>
        <x:v>0.6787272727272727</x:v>
      </x:c>
      <x:c r="J12" s="12" t="n">
        <x:f>SUMIFS('统计计数'!$J$6:$J$95,'统计计数'!$B$6:$B$95,"C_H1")/$D12</x:f>
        <x:v>0</x:v>
      </x:c>
      <x:c r="K12" s="12" t="n">
        <x:f>SUMIFS('统计计数'!$K$6:$K$95,'统计计数'!$B$6:$B$95,"C_H1")/$D12</x:f>
        <x:v>0.012818181818181819</x:v>
      </x:c>
      <x:c r="L12" s="12" t="n">
        <x:f>SUMIFS('统计计数'!$L$6:$L$95,'统计计数'!$B$6:$B$95,"C_H1")/$D12</x:f>
        <x:v>0</x:v>
      </x:c>
      <x:c r="M12" s="12" t="n">
        <x:f>SUMIFS('统计计数'!$M$6:$M$95,'统计计数'!$B$6:$B$95,"C_H1")/$D12</x:f>
        <x:v>0.0020909090909090908</x:v>
      </x:c>
      <x:c r="N12" s="12" t="n">
        <x:f>SUMIFS('统计计数'!$N$6:$N$95,'统计计数'!$B$6:$B$95,"C_H1")/$D12</x:f>
        <x:v>0</x:v>
      </x:c>
    </x:row>
    <x:row r="13" ht="24" customHeight="1">
      <x:c r="A13" s="10" t="str">
        <x:v>ALL</x:v>
      </x:c>
      <x:c r="B13" s="10" t="str">
        <x:v>C_H1</x:v>
      </x:c>
      <x:c r="C13" s="9" t="str">
        <x:v>源三角形</x:v>
      </x:c>
      <x:c r="D13" s="11" t="n">
        <x:f>SUMIFS('统计计数'!$D$6:$D$95,'统计计数'!$B$6:$B$95,"C_H1")</x:f>
        <x:v>40794715</x:v>
      </x:c>
      <x:c r="E13" s="12" t="n">
        <x:f>SUMIFS('统计计数'!$O$6:$O$95,'统计计数'!$B$6:$B$95,"C_H1")/$D13</x:f>
        <x:v>0</x:v>
      </x:c>
      <x:c r="F13" s="12" t="n">
        <x:f>SUMIFS('统计计数'!$P$6:$P$95,'统计计数'!$B$6:$B$95,"C_H1")/$D13</x:f>
        <x:v>0.20095661901302656</x:v>
      </x:c>
      <x:c r="G13" s="12" t="n">
        <x:f>SUMIFS('统计计数'!$Q$6:$Q$95,'统计计数'!$B$6:$B$95,"C_H1")/$D13</x:f>
        <x:v>0</x:v>
      </x:c>
      <x:c r="H13" s="12" t="n">
        <x:f>SUMIFS('统计计数'!$R$6:$R$95,'统计计数'!$B$6:$B$95,"C_H1")/$D13</x:f>
        <x:v>0</x:v>
      </x:c>
      <x:c r="I13" s="12" t="n">
        <x:f>SUMIFS('统计计数'!$S$6:$S$95,'统计计数'!$B$6:$B$95,"C_H1")/$D13</x:f>
        <x:v>0.7972002010554553</x:v>
      </x:c>
      <x:c r="J13" s="12" t="n">
        <x:f>SUMIFS('统计计数'!$T$6:$T$95,'统计计数'!$B$6:$B$95,"C_H1")/$D13</x:f>
        <x:v>0</x:v>
      </x:c>
      <x:c r="K13" s="12" t="n">
        <x:f>SUMIFS('统计计数'!$U$6:$U$95,'统计计数'!$B$6:$B$95,"C_H1")/$D13</x:f>
        <x:v>0.0016059923448417278</x:v>
      </x:c>
      <x:c r="L13" s="12" t="n">
        <x:f>SUMIFS('统计计数'!$V$6:$V$95,'统计计数'!$B$6:$B$95,"C_H1")/$D13</x:f>
        <x:v>0</x:v>
      </x:c>
      <x:c r="M13" s="12" t="n">
        <x:f>SUMIFS('统计计数'!$W$6:$W$95,'统计计数'!$B$6:$B$95,"C_H1")/$D13</x:f>
        <x:v>0.00023718758667636236</x:v>
      </x:c>
      <x:c r="N13" s="12" t="n">
        <x:f>SUMIFS('统计计数'!$X$6:$X$95,'统计计数'!$B$6:$B$95,"C_H1")/$D13</x:f>
        <x:v>0</x:v>
      </x:c>
    </x:row>
    <x:row r="14" ht="24" customHeight="1">
      <x:c r="A14" s="10" t="str">
        <x:v>ALL</x:v>
      </x:c>
      <x:c r="B14" s="10" t="str">
        <x:v>NG_H0</x:v>
      </x:c>
      <x:c r="C14" s="9" t="str">
        <x:v>节点</x:v>
      </x:c>
      <x:c r="D14" s="11" t="n">
        <x:f>SUMIFS('统计计数'!$C$6:$C$95,'统计计数'!$B$6:$B$95,"NG_H0")</x:f>
        <x:v>11000</x:v>
      </x:c>
      <x:c r="E14" s="12" t="n">
        <x:f>SUMIFS('统计计数'!$E$6:$E$95,'统计计数'!$B$6:$B$95,"NG_H0")/$D14</x:f>
        <x:v>0.0017272727272727272</x:v>
      </x:c>
      <x:c r="F14" s="12" t="n">
        <x:f>SUMIFS('统计计数'!$F$6:$F$95,'统计计数'!$B$6:$B$95,"NG_H0")/$D14</x:f>
        <x:v>0.1459090909090909</x:v>
      </x:c>
      <x:c r="G14" s="12" t="n">
        <x:f>SUMIFS('统计计数'!$G$6:$G$95,'统计计数'!$B$6:$B$95,"NG_H0")/$D14</x:f>
        <x:v>0.4022727272727273</x:v>
      </x:c>
      <x:c r="H14" s="12" t="n">
        <x:f>SUMIFS('统计计数'!$H$6:$H$95,'统计计数'!$B$6:$B$95,"NG_H0")/$D14</x:f>
        <x:v>0.24245454545454545</x:v>
      </x:c>
      <x:c r="I14" s="12" t="n">
        <x:f>SUMIFS('统计计数'!$I$6:$I$95,'统计计数'!$B$6:$B$95,"NG_H0")/$D14</x:f>
        <x:v>0.08790909090909091</x:v>
      </x:c>
      <x:c r="J14" s="12" t="n">
        <x:f>SUMIFS('统计计数'!$J$6:$J$95,'统计计数'!$B$6:$B$95,"NG_H0")/$D14</x:f>
        <x:v>0.027181818181818182</x:v>
      </x:c>
      <x:c r="K14" s="12" t="n">
        <x:f>SUMIFS('统计计数'!$K$6:$K$95,'统计计数'!$B$6:$B$95,"NG_H0")/$D14</x:f>
        <x:v>0.023545454545454546</x:v>
      </x:c>
      <x:c r="L14" s="12" t="n">
        <x:f>SUMIFS('统计计数'!$L$6:$L$95,'统计计数'!$B$6:$B$95,"NG_H0")/$D14</x:f>
        <x:v>0.014</x:v>
      </x:c>
      <x:c r="M14" s="12" t="n">
        <x:f>SUMIFS('统计计数'!$M$6:$M$95,'统计计数'!$B$6:$B$95,"NG_H0")/$D14</x:f>
        <x:v>0.05381818181818182</x:v>
      </x:c>
      <x:c r="N14" s="12" t="n">
        <x:f>SUMIFS('统计计数'!$N$6:$N$95,'统计计数'!$B$6:$B$95,"NG_H0")/$D14</x:f>
        <x:v>0.0011818181818181819</x:v>
      </x:c>
    </x:row>
    <x:row r="15" ht="24" customHeight="1">
      <x:c r="A15" s="10" t="str">
        <x:v>ALL</x:v>
      </x:c>
      <x:c r="B15" s="10" t="str">
        <x:v>NG_H0</x:v>
      </x:c>
      <x:c r="C15" s="9" t="str">
        <x:v>源三角形</x:v>
      </x:c>
      <x:c r="D15" s="11" t="n">
        <x:f>SUMIFS('统计计数'!$D$6:$D$95,'统计计数'!$B$6:$B$95,"NG_H0")</x:f>
        <x:v>40794715</x:v>
      </x:c>
      <x:c r="E15" s="12" t="n">
        <x:f>SUMIFS('统计计数'!$O$6:$O$95,'统计计数'!$B$6:$B$95,"NG_H0")/$D15</x:f>
        <x:v>0.00022395057791186923</x:v>
      </x:c>
      <x:c r="F15" s="12" t="n">
        <x:f>SUMIFS('统计计数'!$P$6:$P$95,'统计计数'!$B$6:$B$95,"NG_H0")/$D15</x:f>
        <x:v>0.07330052434488143</x:v>
      </x:c>
      <x:c r="G15" s="12" t="n">
        <x:f>SUMIFS('统计计数'!$Q$6:$Q$95,'统计计数'!$B$6:$B$95,"NG_H0")/$D15</x:f>
        <x:v>0.1981662575654714</x:v>
      </x:c>
      <x:c r="H15" s="12" t="n">
        <x:f>SUMIFS('统计计数'!$R$6:$R$95,'统计计数'!$B$6:$B$95,"NG_H0")/$D15</x:f>
        <x:v>0.23928955012922629</x:v>
      </x:c>
      <x:c r="I15" s="12" t="n">
        <x:f>SUMIFS('统计计数'!$S$6:$S$95,'统计计数'!$B$6:$B$95,"NG_H0")/$D15</x:f>
        <x:v>0.19667351518450368</x:v>
      </x:c>
      <x:c r="J15" s="12" t="n">
        <x:f>SUMIFS('统计计数'!$T$6:$T$95,'统计计数'!$B$6:$B$95,"NG_H0")/$D15</x:f>
        <x:v>0.030367855247916305</x:v>
      </x:c>
      <x:c r="K15" s="12" t="n">
        <x:f>SUMIFS('统计计数'!$U$6:$U$95,'统计计数'!$B$6:$B$95,"NG_H0")/$D15</x:f>
        <x:v>0.05705572400738674</x:v>
      </x:c>
      <x:c r="L15" s="12" t="n">
        <x:f>SUMIFS('统计计数'!$V$6:$V$95,'统计计数'!$B$6:$B$95,"NG_H0")/$D15</x:f>
        <x:v>0.05129360506624449</x:v>
      </x:c>
      <x:c r="M15" s="12" t="n">
        <x:f>SUMIFS('统计计数'!$W$6:$W$95,'统计计数'!$B$6:$B$95,"NG_H0")/$D15</x:f>
        <x:v>0.15314057225304797</x:v>
      </x:c>
      <x:c r="N15" s="12" t="n">
        <x:f>SUMIFS('统计计数'!$X$6:$X$95,'统计计数'!$B$6:$B$95,"NG_H0")/$D15</x:f>
        <x:v>0.0004884456234097971</x:v>
      </x:c>
    </x:row>
    <x:row r="16" ht="24" customHeight="1">
      <x:c r="A16" s="10" t="str">
        <x:v>ALL</x:v>
      </x:c>
      <x:c r="B16" s="10" t="str">
        <x:v>NG_H1</x:v>
      </x:c>
      <x:c r="C16" s="9" t="str">
        <x:v>节点</x:v>
      </x:c>
      <x:c r="D16" s="11" t="n">
        <x:f>SUMIFS('统计计数'!$C$6:$C$95,'统计计数'!$B$6:$B$95,"NG_H1")</x:f>
        <x:v>11000</x:v>
      </x:c>
      <x:c r="E16" s="12" t="n">
        <x:f>SUMIFS('统计计数'!$E$6:$E$95,'统计计数'!$B$6:$B$95,"NG_H1")/$D16</x:f>
        <x:v>0.0017272727272727272</x:v>
      </x:c>
      <x:c r="F16" s="12" t="n">
        <x:f>SUMIFS('统计计数'!$F$6:$F$95,'统计计数'!$B$6:$B$95,"NG_H1")/$D16</x:f>
        <x:v>0.12736363636363637</x:v>
      </x:c>
      <x:c r="G16" s="12" t="n">
        <x:f>SUMIFS('统计计数'!$G$6:$G$95,'统计计数'!$B$6:$B$95,"NG_H1")/$D16</x:f>
        <x:v>0.3649090909090909</x:v>
      </x:c>
      <x:c r="H16" s="12" t="n">
        <x:f>SUMIFS('统计计数'!$H$6:$H$95,'统计计数'!$B$6:$B$95,"NG_H1")/$D16</x:f>
        <x:v>0.2696363636363636</x:v>
      </x:c>
      <x:c r="I16" s="12" t="n">
        <x:f>SUMIFS('统计计数'!$I$6:$I$95,'统计计数'!$B$6:$B$95,"NG_H1")/$D16</x:f>
        <x:v>0.09827272727272728</x:v>
      </x:c>
      <x:c r="J16" s="12" t="n">
        <x:f>SUMIFS('统计计数'!$J$6:$J$95,'统计计数'!$B$6:$B$95,"NG_H1")/$D16</x:f>
        <x:v>0.038181818181818185</x:v>
      </x:c>
      <x:c r="K16" s="12" t="n">
        <x:f>SUMIFS('统计计数'!$K$6:$K$95,'统计计数'!$B$6:$B$95,"NG_H1")/$D16</x:f>
        <x:v>0.03090909090909091</x:v>
      </x:c>
      <x:c r="L16" s="12" t="n">
        <x:f>SUMIFS('统计计数'!$L$6:$L$95,'统计计数'!$B$6:$B$95,"NG_H1")/$D16</x:f>
        <x:v>0.014</x:v>
      </x:c>
      <x:c r="M16" s="12" t="n">
        <x:f>SUMIFS('统计计数'!$M$6:$M$95,'统计计数'!$B$6:$B$95,"NG_H1")/$D16</x:f>
        <x:v>0.05381818181818182</x:v>
      </x:c>
      <x:c r="N16" s="12" t="n">
        <x:f>SUMIFS('统计计数'!$N$6:$N$95,'统计计数'!$B$6:$B$95,"NG_H1")/$D16</x:f>
        <x:v>0.0011818181818181819</x:v>
      </x:c>
    </x:row>
    <x:row r="17" ht="24" customHeight="1">
      <x:c r="A17" s="10" t="str">
        <x:v>ALL</x:v>
      </x:c>
      <x:c r="B17" s="10" t="str">
        <x:v>NG_H1</x:v>
      </x:c>
      <x:c r="C17" s="9" t="str">
        <x:v>源三角形</x:v>
      </x:c>
      <x:c r="D17" s="11" t="n">
        <x:f>SUMIFS('统计计数'!$D$6:$D$95,'统计计数'!$B$6:$B$95,"NG_H1")</x:f>
        <x:v>40794715</x:v>
      </x:c>
      <x:c r="E17" s="12" t="n">
        <x:f>SUMIFS('统计计数'!$O$6:$O$95,'统计计数'!$B$6:$B$95,"NG_H1")/$D17</x:f>
        <x:v>0.00022395057791186923</x:v>
      </x:c>
      <x:c r="F17" s="12" t="n">
        <x:f>SUMIFS('统计计数'!$P$6:$P$95,'统计计数'!$B$6:$B$95,"NG_H1")/$D17</x:f>
        <x:v>0.07043863402403963</x:v>
      </x:c>
      <x:c r="G17" s="12" t="n">
        <x:f>SUMIFS('统计计数'!$Q$6:$Q$95,'统计计数'!$B$6:$B$95,"NG_H1")/$D17</x:f>
        <x:v>0.17870334429349488</x:v>
      </x:c>
      <x:c r="H17" s="12" t="n">
        <x:f>SUMIFS('统计计数'!$R$6:$R$95,'统计计数'!$B$6:$B$95,"NG_H1")/$D17</x:f>
        <x:v>0.2544420521138584</x:v>
      </x:c>
      <x:c r="I17" s="12" t="n">
        <x:f>SUMIFS('统计计数'!$S$6:$S$95,'统计计数'!$B$6:$B$95,"NG_H1")/$D17</x:f>
        <x:v>0.19905607871019568</x:v>
      </x:c>
      <x:c r="J17" s="12" t="n">
        <x:f>SUMIFS('统计计数'!$T$6:$T$95,'统计计数'!$B$6:$B$95,"NG_H1")/$D17</x:f>
        <x:v>0.03466988309637658</x:v>
      </x:c>
      <x:c r="K17" s="12" t="n">
        <x:f>SUMIFS('统计计数'!$U$6:$U$95,'统计计数'!$B$6:$B$95,"NG_H1")/$D17</x:f>
        <x:v>0.057543434241420735</x:v>
      </x:c>
      <x:c r="L17" s="12" t="n">
        <x:f>SUMIFS('统计计数'!$V$6:$V$95,'统计计数'!$B$6:$B$95,"NG_H1")/$D17</x:f>
        <x:v>0.05129360506624449</x:v>
      </x:c>
      <x:c r="M17" s="12" t="n">
        <x:f>SUMIFS('统计计数'!$W$6:$W$95,'统计计数'!$B$6:$B$95,"NG_H1")/$D17</x:f>
        <x:v>0.15314057225304797</x:v>
      </x:c>
      <x:c r="N17" s="12" t="n">
        <x:f>SUMIFS('统计计数'!$X$6:$X$95,'统计计数'!$B$6:$B$95,"NG_H1")/$D17</x:f>
        <x:v>0.0004884456234097971</x:v>
      </x:c>
    </x:row>
    <x:row r="18" ht="24" customHeight="1">
      <x:c r="A18" s="10" t="str">
        <x:v>ALL</x:v>
      </x:c>
      <x:c r="B18" s="10" t="str">
        <x:v>CG_H0</x:v>
      </x:c>
      <x:c r="C18" s="9" t="str">
        <x:v>节点</x:v>
      </x:c>
      <x:c r="D18" s="11" t="n">
        <x:f>SUMIFS('统计计数'!$C$6:$C$95,'统计计数'!$B$6:$B$95,"CG_H0")</x:f>
        <x:v>11000</x:v>
      </x:c>
      <x:c r="E18" s="12" t="n">
        <x:f>SUMIFS('统计计数'!$E$6:$E$95,'统计计数'!$B$6:$B$95,"CG_H0")/$D18</x:f>
        <x:v>0.0023636363636363638</x:v>
      </x:c>
      <x:c r="F18" s="12" t="n">
        <x:f>SUMIFS('统计计数'!$F$6:$F$95,'统计计数'!$B$6:$B$95,"CG_H0")/$D18</x:f>
        <x:v>0.18554545454545454</x:v>
      </x:c>
      <x:c r="G18" s="12" t="n">
        <x:f>SUMIFS('统计计数'!$G$6:$G$95,'统计计数'!$B$6:$B$95,"CG_H0")/$D18</x:f>
        <x:v>0.4519090909090909</x:v>
      </x:c>
      <x:c r="H18" s="12" t="n">
        <x:f>SUMIFS('统计计数'!$H$6:$H$95,'统计计数'!$B$6:$B$95,"CG_H0")/$D18</x:f>
        <x:v>0.2429090909090909</x:v>
      </x:c>
      <x:c r="I18" s="12" t="n">
        <x:f>SUMIFS('统计计数'!$I$6:$I$95,'统计计数'!$B$6:$B$95,"CG_H0")/$D18</x:f>
        <x:v>0.08890909090909091</x:v>
      </x:c>
      <x:c r="J18" s="12" t="n">
        <x:f>SUMIFS('统计计数'!$J$6:$J$95,'统计计数'!$B$6:$B$95,"CG_H0")/$D18</x:f>
        <x:v>0.026</x:v>
      </x:c>
      <x:c r="K18" s="12" t="n">
        <x:f>SUMIFS('统计计数'!$K$6:$K$95,'统计计数'!$B$6:$B$95,"CG_H0")/$D18</x:f>
        <x:v>0.00027272727272727274</x:v>
      </x:c>
      <x:c r="L18" s="12" t="n">
        <x:f>SUMIFS('统计计数'!$L$6:$L$95,'统计计数'!$B$6:$B$95,"CG_H0")/$D18</x:f>
        <x:v>0</x:v>
      </x:c>
      <x:c r="M18" s="12" t="n">
        <x:f>SUMIFS('统计计数'!$M$6:$M$95,'统计计数'!$B$6:$B$95,"CG_H0")/$D18</x:f>
        <x:v>0.0020909090909090908</x:v>
      </x:c>
      <x:c r="N18" s="12" t="n">
        <x:f>SUMIFS('统计计数'!$N$6:$N$95,'统计计数'!$B$6:$B$95,"CG_H0")/$D18</x:f>
        <x:v>0</x:v>
      </x:c>
    </x:row>
    <x:row r="19" ht="24" customHeight="1">
      <x:c r="A19" s="10" t="str">
        <x:v>ALL</x:v>
      </x:c>
      <x:c r="B19" s="10" t="str">
        <x:v>CG_H0</x:v>
      </x:c>
      <x:c r="C19" s="9" t="str">
        <x:v>源三角形</x:v>
      </x:c>
      <x:c r="D19" s="11" t="n">
        <x:f>SUMIFS('统计计数'!$D$6:$D$95,'统计计数'!$B$6:$B$95,"CG_H0")</x:f>
        <x:v>40794715</x:v>
      </x:c>
      <x:c r="E19" s="12" t="n">
        <x:f>SUMIFS('统计计数'!$O$6:$O$95,'统计计数'!$B$6:$B$95,"CG_H0")/$D19</x:f>
        <x:v>0.000298764190410449</x:v>
      </x:c>
      <x:c r="F19" s="12" t="n">
        <x:f>SUMIFS('统计计数'!$P$6:$P$95,'统计计数'!$B$6:$B$95,"CG_H0")/$D19</x:f>
        <x:v>0.10567457083595265</x:v>
      </x:c>
      <x:c r="G19" s="12" t="n">
        <x:f>SUMIFS('统计计数'!$Q$6:$Q$95,'统计计数'!$B$6:$B$95,"CG_H0")/$D19</x:f>
        <x:v>0.3149376579784906</x:v>
      </x:c>
      <x:c r="H19" s="12" t="n">
        <x:f>SUMIFS('统计计数'!$R$6:$R$95,'统计计数'!$B$6:$B$95,"CG_H0")/$D19</x:f>
        <x:v>0.3290801026554543</x:v>
      </x:c>
      <x:c r="I19" s="12" t="n">
        <x:f>SUMIFS('统计计数'!$S$6:$S$95,'统计计数'!$B$6:$B$95,"CG_H0")/$D19</x:f>
        <x:v>0.2120531054083844</x:v>
      </x:c>
      <x:c r="J19" s="12" t="n">
        <x:f>SUMIFS('统计计数'!$T$6:$T$95,'统计计数'!$B$6:$B$95,"CG_H0")/$D19</x:f>
        <x:v>0.028407846457561964</x:v>
      </x:c>
      <x:c r="K19" s="12" t="n">
        <x:f>SUMIFS('统计计数'!$U$6:$U$95,'统计计数'!$B$6:$B$95,"CG_H0")/$D19</x:f>
        <x:v>0.009310764887069318</x:v>
      </x:c>
      <x:c r="L19" s="12" t="n">
        <x:f>SUMIFS('统计计数'!$V$6:$V$95,'统计计数'!$B$6:$B$95,"CG_H0")/$D19</x:f>
        <x:v>0</x:v>
      </x:c>
      <x:c r="M19" s="12" t="n">
        <x:f>SUMIFS('统计计数'!$W$6:$W$95,'统计计数'!$B$6:$B$95,"CG_H0")/$D19</x:f>
        <x:v>0.00023718758667636236</x:v>
      </x:c>
      <x:c r="N19" s="12" t="n">
        <x:f>SUMIFS('统计计数'!$X$6:$X$95,'统计计数'!$B$6:$B$95,"CG_H0")/$D19</x:f>
        <x:v>0</x:v>
      </x:c>
    </x:row>
    <x:row r="20" ht="24" customHeight="1">
      <x:c r="A20" s="10" t="str">
        <x:v>ALL</x:v>
      </x:c>
      <x:c r="B20" s="10" t="str">
        <x:v>CG_H1</x:v>
      </x:c>
      <x:c r="C20" s="9" t="str">
        <x:v>节点</x:v>
      </x:c>
      <x:c r="D20" s="11" t="n">
        <x:f>SUMIFS('统计计数'!$C$6:$C$95,'统计计数'!$B$6:$B$95,"CG_H1")</x:f>
        <x:v>11000</x:v>
      </x:c>
      <x:c r="E20" s="12" t="n">
        <x:f>SUMIFS('统计计数'!$E$6:$E$95,'统计计数'!$B$6:$B$95,"CG_H1")/$D20</x:f>
        <x:v>0.0023636363636363638</x:v>
      </x:c>
      <x:c r="F20" s="12" t="n">
        <x:f>SUMIFS('统计计数'!$F$6:$F$95,'统计计数'!$B$6:$B$95,"CG_H1")/$D20</x:f>
        <x:v>0.142</x:v>
      </x:c>
      <x:c r="G20" s="12" t="n">
        <x:f>SUMIFS('统计计数'!$G$6:$G$95,'统计计数'!$B$6:$B$95,"CG_H1")/$D20</x:f>
        <x:v>0.4536363636363636</x:v>
      </x:c>
      <x:c r="H20" s="12" t="n">
        <x:f>SUMIFS('统计计数'!$H$6:$H$95,'统计计数'!$B$6:$B$95,"CG_H1")/$D20</x:f>
        <x:v>0.2600909090909091</x:v>
      </x:c>
      <x:c r="I20" s="12" t="n">
        <x:f>SUMIFS('统计计数'!$I$6:$I$95,'统计计数'!$B$6:$B$95,"CG_H1")/$D20</x:f>
        <x:v>0.09945454545454545</x:v>
      </x:c>
      <x:c r="J20" s="12" t="n">
        <x:f>SUMIFS('统计计数'!$J$6:$J$95,'统计计数'!$B$6:$B$95,"CG_H1")/$D20</x:f>
        <x:v>0.027454545454545454</x:v>
      </x:c>
      <x:c r="K20" s="12" t="n">
        <x:f>SUMIFS('统计计数'!$K$6:$K$95,'统计计数'!$B$6:$B$95,"CG_H1")/$D20</x:f>
        <x:v>0.012909090909090908</x:v>
      </x:c>
      <x:c r="L20" s="12" t="n">
        <x:f>SUMIFS('统计计数'!$L$6:$L$95,'统计计数'!$B$6:$B$95,"CG_H1")/$D20</x:f>
        <x:v>0</x:v>
      </x:c>
      <x:c r="M20" s="12" t="n">
        <x:f>SUMIFS('统计计数'!$M$6:$M$95,'统计计数'!$B$6:$B$95,"CG_H1")/$D20</x:f>
        <x:v>0.0020909090909090908</x:v>
      </x:c>
      <x:c r="N20" s="12" t="n">
        <x:f>SUMIFS('统计计数'!$N$6:$N$95,'统计计数'!$B$6:$B$95,"CG_H1")/$D20</x:f>
        <x:v>0</x:v>
      </x:c>
    </x:row>
    <x:row r="21" ht="24" customHeight="1">
      <x:c r="A21" s="10" t="str">
        <x:v>ALL</x:v>
      </x:c>
      <x:c r="B21" s="10" t="str">
        <x:v>CG_H1</x:v>
      </x:c>
      <x:c r="C21" s="9" t="str">
        <x:v>源三角形</x:v>
      </x:c>
      <x:c r="D21" s="11" t="n">
        <x:f>SUMIFS('统计计数'!$D$6:$D$95,'统计计数'!$B$6:$B$95,"CG_H1")</x:f>
        <x:v>40794715</x:v>
      </x:c>
      <x:c r="E21" s="12" t="n">
        <x:f>SUMIFS('统计计数'!$O$6:$O$95,'统计计数'!$B$6:$B$95,"CG_H1")/$D21</x:f>
        <x:v>0.000298764190410449</x:v>
      </x:c>
      <x:c r="F21" s="12" t="n">
        <x:f>SUMIFS('统计计数'!$P$6:$P$95,'统计计数'!$B$6:$B$95,"CG_H1")/$D21</x:f>
        <x:v>0.0835366541965056</x:v>
      </x:c>
      <x:c r="G21" s="12" t="n">
        <x:f>SUMIFS('统计计数'!$Q$6:$Q$95,'统计计数'!$B$6:$B$95,"CG_H1")/$D21</x:f>
        <x:v>0.31924252933253733</x:v>
      </x:c>
      <x:c r="H21" s="12" t="n">
        <x:f>SUMIFS('统计计数'!$R$6:$R$95,'统计计数'!$B$6:$B$95,"CG_H1")/$D21</x:f>
        <x:v>0.32748082686691155</x:v>
      </x:c>
      <x:c r="I21" s="12" t="n">
        <x:f>SUMIFS('统计计数'!$S$6:$S$95,'统计计数'!$B$6:$B$95,"CG_H1")/$D21</x:f>
        <x:v>0.22983575200856288</x:v>
      </x:c>
      <x:c r="J21" s="12" t="n">
        <x:f>SUMIFS('统计计数'!$T$6:$T$95,'统计计数'!$B$6:$B$95,"CG_H1")/$D21</x:f>
        <x:v>0.02882731255752124</x:v>
      </x:c>
      <x:c r="K21" s="12" t="n">
        <x:f>SUMIFS('统计计数'!$U$6:$U$95,'统计计数'!$B$6:$B$95,"CG_H1")/$D21</x:f>
        <x:v>0.010540973260874602</x:v>
      </x:c>
      <x:c r="L21" s="12" t="n">
        <x:f>SUMIFS('统计计数'!$V$6:$V$95,'统计计数'!$B$6:$B$95,"CG_H1")/$D21</x:f>
        <x:v>0</x:v>
      </x:c>
      <x:c r="M21" s="12" t="n">
        <x:f>SUMIFS('统计计数'!$W$6:$W$95,'统计计数'!$B$6:$B$95,"CG_H1")/$D21</x:f>
        <x:v>0.00023718758667636236</x:v>
      </x:c>
      <x:c r="N21" s="12" t="n">
        <x:f>SUMIFS('统计计数'!$X$6:$X$95,'统计计数'!$B$6:$B$95,"CG_H1")/$D21</x:f>
        <x:v>0</x:v>
      </x:c>
    </x:row>
    <x:row r="22" ht="24" customHeight="1">
      <x:c r="A22" s="10" t="str">
        <x:v>ALL</x:v>
      </x:c>
      <x:c r="B22" s="10" t="str">
        <x:v>NC_H0</x:v>
      </x:c>
      <x:c r="C22" s="9" t="str">
        <x:v>节点</x:v>
      </x:c>
      <x:c r="D22" s="11" t="n">
        <x:f>SUMIFS('统计计数'!$C$6:$C$95,'统计计数'!$B$6:$B$95,"NC_H0")</x:f>
        <x:v>11000</x:v>
      </x:c>
      <x:c r="E22" s="12" t="n">
        <x:f>SUMIFS('统计计数'!$E$6:$E$95,'统计计数'!$B$6:$B$95,"NC_H0")/$D22</x:f>
        <x:v>0</x:v>
      </x:c>
      <x:c r="F22" s="12" t="n">
        <x:f>SUMIFS('统计计数'!$F$6:$F$95,'统计计数'!$B$6:$B$95,"NC_H0")/$D22</x:f>
        <x:v>0.28963636363636364</x:v>
      </x:c>
      <x:c r="G22" s="12" t="n">
        <x:f>SUMIFS('统计计数'!$G$6:$G$95,'统计计数'!$B$6:$B$95,"NC_H0")/$D22</x:f>
        <x:v>0.03109090909090909</x:v>
      </x:c>
      <x:c r="H22" s="12" t="n">
        <x:f>SUMIFS('统计计数'!$H$6:$H$95,'统计计数'!$B$6:$B$95,"NC_H0")/$D22</x:f>
        <x:v>0</x:v>
      </x:c>
      <x:c r="I22" s="12" t="n">
        <x:f>SUMIFS('统计计数'!$I$6:$I$95,'统计计数'!$B$6:$B$95,"NC_H0")/$D22</x:f>
        <x:v>0.609</x:v>
      </x:c>
      <x:c r="J22" s="12" t="n">
        <x:f>SUMIFS('统计计数'!$J$6:$J$95,'统计计数'!$B$6:$B$95,"NC_H0")/$D22</x:f>
        <x:v>0.0005454545454545455</x:v>
      </x:c>
      <x:c r="K22" s="12" t="n">
        <x:f>SUMIFS('统计计数'!$K$6:$K$95,'统计计数'!$B$6:$B$95,"NC_H0")/$D22</x:f>
        <x:v>0.02290909090909091</x:v>
      </x:c>
      <x:c r="L22" s="12" t="n">
        <x:f>SUMIFS('统计计数'!$L$6:$L$95,'统计计数'!$B$6:$B$95,"NC_H0")/$D22</x:f>
        <x:v>0.012818181818181819</x:v>
      </x:c>
      <x:c r="M22" s="12" t="n">
        <x:f>SUMIFS('统计计数'!$M$6:$M$95,'统计计数'!$B$6:$B$95,"NC_H0")/$D22</x:f>
        <x:v>0.034</x:v>
      </x:c>
      <x:c r="N22" s="12" t="n">
        <x:f>SUMIFS('统计计数'!$N$6:$N$95,'统计计数'!$B$6:$B$95,"NC_H0")/$D22</x:f>
        <x:v>0</x:v>
      </x:c>
    </x:row>
    <x:row r="23" ht="24" customHeight="1">
      <x:c r="A23" s="10" t="str">
        <x:v>ALL</x:v>
      </x:c>
      <x:c r="B23" s="10" t="str">
        <x:v>NC_H0</x:v>
      </x:c>
      <x:c r="C23" s="9" t="str">
        <x:v>源三角形</x:v>
      </x:c>
      <x:c r="D23" s="11" t="n">
        <x:f>SUMIFS('统计计数'!$D$6:$D$95,'统计计数'!$B$6:$B$95,"NC_H0")</x:f>
        <x:v>40794715</x:v>
      </x:c>
      <x:c r="E23" s="12" t="n">
        <x:f>SUMIFS('统计计数'!$O$6:$O$95,'统计计数'!$B$6:$B$95,"NC_H0")/$D23</x:f>
        <x:v>0</x:v>
      </x:c>
      <x:c r="F23" s="12" t="n">
        <x:f>SUMIFS('统计计数'!$P$6:$P$95,'统计计数'!$B$6:$B$95,"NC_H0")/$D23</x:f>
        <x:v>0.13970598887625518</x:v>
      </x:c>
      <x:c r="G23" s="12" t="n">
        <x:f>SUMIFS('统计计数'!$Q$6:$Q$95,'统计计数'!$B$6:$B$95,"NC_H0")/$D23</x:f>
        <x:v>0.01486332236908629</x:v>
      </x:c>
      <x:c r="H23" s="12" t="n">
        <x:f>SUMIFS('统计计数'!$R$6:$R$95,'统计计数'!$B$6:$B$95,"NC_H0")/$D23</x:f>
        <x:v>0</x:v>
      </x:c>
      <x:c r="I23" s="12" t="n">
        <x:f>SUMIFS('统计计数'!$S$6:$S$95,'统计计数'!$B$6:$B$95,"NC_H0")/$D23</x:f>
        <x:v>0.6889694412621831</x:v>
      </x:c>
      <x:c r="J23" s="12" t="n">
        <x:f>SUMIFS('统计计数'!$T$6:$T$95,'统计计数'!$B$6:$B$95,"NC_H0")/$D23</x:f>
        <x:v>0.0016344764266645814</x:v>
      </x:c>
      <x:c r="K23" s="12" t="n">
        <x:f>SUMIFS('统计计数'!$U$6:$U$95,'统计计数'!$B$6:$B$95,"NC_H0")/$D23</x:f>
        <x:v>0.047941749317282886</x:v>
      </x:c>
      <x:c r="L23" s="12" t="n">
        <x:f>SUMIFS('统计计数'!$V$6:$V$95,'统计计数'!$B$6:$B$95,"NC_H0")/$D23</x:f>
        <x:v>0.04994156718584748</x:v>
      </x:c>
      <x:c r="M23" s="12" t="n">
        <x:f>SUMIFS('统计计数'!$W$6:$W$95,'统计计数'!$B$6:$B$95,"NC_H0")/$D23</x:f>
        <x:v>0.05694345456268048</x:v>
      </x:c>
      <x:c r="N23" s="12" t="n">
        <x:f>SUMIFS('统计计数'!$X$6:$X$95,'统计计数'!$B$6:$B$95,"NC_H0")/$D23</x:f>
        <x:v>0</x:v>
      </x:c>
    </x:row>
    <x:row r="24" ht="24" customHeight="1">
      <x:c r="A24" s="10" t="str">
        <x:v>ALL</x:v>
      </x:c>
      <x:c r="B24" s="10" t="str">
        <x:v>NC_H1</x:v>
      </x:c>
      <x:c r="C24" s="9" t="str">
        <x:v>节点</x:v>
      </x:c>
      <x:c r="D24" s="11" t="n">
        <x:f>SUMIFS('统计计数'!$C$6:$C$95,'统计计数'!$B$6:$B$95,"NC_H1")</x:f>
        <x:v>11000</x:v>
      </x:c>
      <x:c r="E24" s="12" t="n">
        <x:f>SUMIFS('统计计数'!$E$6:$E$95,'统计计数'!$B$6:$B$95,"NC_H1")/$D24</x:f>
        <x:v>0</x:v>
      </x:c>
      <x:c r="F24" s="12" t="n">
        <x:f>SUMIFS('统计计数'!$F$6:$F$95,'统计计数'!$B$6:$B$95,"NC_H1")/$D24</x:f>
        <x:v>0.2801818181818182</x:v>
      </x:c>
      <x:c r="G24" s="12" t="n">
        <x:f>SUMIFS('统计计数'!$G$6:$G$95,'统计计数'!$B$6:$B$95,"NC_H1")/$D24</x:f>
        <x:v>0.021363636363636362</x:v>
      </x:c>
      <x:c r="H24" s="12" t="n">
        <x:f>SUMIFS('统计计数'!$H$6:$H$95,'统计计数'!$B$6:$B$95,"NC_H1")/$D24</x:f>
        <x:v>0</x:v>
      </x:c>
      <x:c r="I24" s="12" t="n">
        <x:f>SUMIFS('统计计数'!$I$6:$I$95,'统计计数'!$B$6:$B$95,"NC_H1")/$D24</x:f>
        <x:v>0.609</x:v>
      </x:c>
      <x:c r="J24" s="12" t="n">
        <x:f>SUMIFS('统计计数'!$J$6:$J$95,'统计计数'!$B$6:$B$95,"NC_H1")/$D24</x:f>
        <x:v>0.01</x:v>
      </x:c>
      <x:c r="K24" s="12" t="n">
        <x:f>SUMIFS('统计计数'!$K$6:$K$95,'统计计数'!$B$6:$B$95,"NC_H1")/$D24</x:f>
        <x:v>0.03263636363636364</x:v>
      </x:c>
      <x:c r="L24" s="12" t="n">
        <x:f>SUMIFS('统计计数'!$L$6:$L$95,'统计计数'!$B$6:$B$95,"NC_H1")/$D24</x:f>
        <x:v>0.012818181818181819</x:v>
      </x:c>
      <x:c r="M24" s="12" t="n">
        <x:f>SUMIFS('统计计数'!$M$6:$M$95,'统计计数'!$B$6:$B$95,"NC_H1")/$D24</x:f>
        <x:v>0.034</x:v>
      </x:c>
      <x:c r="N24" s="12" t="n">
        <x:f>SUMIFS('统计计数'!$N$6:$N$95,'统计计数'!$B$6:$B$95,"NC_H1")/$D24</x:f>
        <x:v>0</x:v>
      </x:c>
    </x:row>
    <x:row r="25" ht="24" customHeight="1">
      <x:c r="A25" s="10" t="str">
        <x:v>ALL</x:v>
      </x:c>
      <x:c r="B25" s="10" t="str">
        <x:v>NC_H1</x:v>
      </x:c>
      <x:c r="C25" s="9" t="str">
        <x:v>源三角形</x:v>
      </x:c>
      <x:c r="D25" s="11" t="n">
        <x:f>SUMIFS('统计计数'!$D$6:$D$95,'统计计数'!$B$6:$B$95,"NC_H1")</x:f>
        <x:v>40794715</x:v>
      </x:c>
      <x:c r="E25" s="12" t="n">
        <x:f>SUMIFS('统计计数'!$O$6:$O$95,'统计计数'!$B$6:$B$95,"NC_H1")/$D25</x:f>
        <x:v>0</x:v>
      </x:c>
      <x:c r="F25" s="12" t="n">
        <x:f>SUMIFS('统计计数'!$P$6:$P$95,'统计计数'!$B$6:$B$95,"NC_H1")/$D25</x:f>
        <x:v>0.13854922138811362</x:v>
      </x:c>
      <x:c r="G25" s="12" t="n">
        <x:f>SUMIFS('统计计数'!$Q$6:$Q$95,'统计计数'!$B$6:$B$95,"NC_H1")/$D25</x:f>
        <x:v>0.011972212577045825</x:v>
      </x:c>
      <x:c r="H25" s="12" t="n">
        <x:f>SUMIFS('统计计数'!$R$6:$R$95,'统计计数'!$B$6:$B$95,"NC_H1")/$D25</x:f>
        <x:v>0</x:v>
      </x:c>
      <x:c r="I25" s="12" t="n">
        <x:f>SUMIFS('统计计数'!$S$6:$S$95,'统计计数'!$B$6:$B$95,"NC_H1")/$D25</x:f>
        <x:v>0.6889694412621831</x:v>
      </x:c>
      <x:c r="J25" s="12" t="n">
        <x:f>SUMIFS('统计计数'!$T$6:$T$95,'统计计数'!$B$6:$B$95,"NC_H1")/$D25</x:f>
        <x:v>0.004481168700406413</x:v>
      </x:c>
      <x:c r="K25" s="12" t="n">
        <x:f>SUMIFS('统计计数'!$U$6:$U$95,'统计计数'!$B$6:$B$95,"NC_H1")/$D25</x:f>
        <x:v>0.04914293432372306</x:v>
      </x:c>
      <x:c r="L25" s="12" t="n">
        <x:f>SUMIFS('统计计数'!$V$6:$V$95,'统计计数'!$B$6:$B$95,"NC_H1")/$D25</x:f>
        <x:v>0.04994156718584748</x:v>
      </x:c>
      <x:c r="M25" s="12" t="n">
        <x:f>SUMIFS('统计计数'!$W$6:$W$95,'统计计数'!$B$6:$B$95,"NC_H1")/$D25</x:f>
        <x:v>0.05694345456268048</x:v>
      </x:c>
      <x:c r="N25" s="12" t="n">
        <x:f>SUMIFS('统计计数'!$X$6:$X$95,'统计计数'!$B$6:$B$95,"NC_H1")/$D25</x:f>
        <x:v>0</x:v>
      </x:c>
    </x:row>
    <x:row r="26" ht="24" customHeight="1">
      <x:c r="A26" s="10" t="str">
        <x:v>ALL</x:v>
      </x:c>
      <x:c r="B26" s="10" t="str">
        <x:v>NCG_H0</x:v>
      </x:c>
      <x:c r="C26" s="9" t="str">
        <x:v>节点</x:v>
      </x:c>
      <x:c r="D26" s="11" t="n">
        <x:f>SUMIFS('统计计数'!$C$6:$C$95,'统计计数'!$B$6:$B$95,"NCG_H0")</x:f>
        <x:v>11000</x:v>
      </x:c>
      <x:c r="E26" s="12" t="n">
        <x:f>SUMIFS('统计计数'!$E$6:$E$95,'统计计数'!$B$6:$B$95,"NCG_H0")/$D26</x:f>
        <x:v>0.0001818181818181818</x:v>
      </x:c>
      <x:c r="F26" s="12" t="n">
        <x:f>SUMIFS('统计计数'!$F$6:$F$95,'统计计数'!$B$6:$B$95,"NCG_H0")/$D26</x:f>
        <x:v>0.14236363636363636</x:v>
      </x:c>
      <x:c r="G26" s="12" t="n">
        <x:f>SUMIFS('统计计数'!$G$6:$G$95,'统计计数'!$B$6:$B$95,"NCG_H0")/$D26</x:f>
        <x:v>0.4090909090909091</x:v>
      </x:c>
      <x:c r="H26" s="12" t="n">
        <x:f>SUMIFS('统计计数'!$H$6:$H$95,'统计计数'!$B$6:$B$95,"NCG_H0")/$D26</x:f>
        <x:v>0.25745454545454544</x:v>
      </x:c>
      <x:c r="I26" s="12" t="n">
        <x:f>SUMIFS('统计计数'!$I$6:$I$95,'统计计数'!$B$6:$B$95,"NCG_H0")/$D26</x:f>
        <x:v>0.09172727272727273</x:v>
      </x:c>
      <x:c r="J26" s="12" t="n">
        <x:f>SUMIFS('统计计数'!$J$6:$J$95,'统计计数'!$B$6:$B$95,"NCG_H0")/$D26</x:f>
        <x:v>0.029363636363636363</x:v>
      </x:c>
      <x:c r="K26" s="12" t="n">
        <x:f>SUMIFS('统计计数'!$K$6:$K$95,'统计计数'!$B$6:$B$95,"NCG_H0")/$D26</x:f>
        <x:v>0.023</x:v>
      </x:c>
      <x:c r="L26" s="12" t="n">
        <x:f>SUMIFS('统计计数'!$L$6:$L$95,'统计计数'!$B$6:$B$95,"NCG_H0")/$D26</x:f>
        <x:v>0.012818181818181819</x:v>
      </x:c>
      <x:c r="M26" s="12" t="n">
        <x:f>SUMIFS('统计计数'!$M$6:$M$95,'统计计数'!$B$6:$B$95,"NCG_H0")/$D26</x:f>
        <x:v>0.03327272727272727</x:v>
      </x:c>
      <x:c r="N26" s="12" t="n">
        <x:f>SUMIFS('统计计数'!$N$6:$N$95,'统计计数'!$B$6:$B$95,"NCG_H0")/$D26</x:f>
        <x:v>0.0007272727272727272</x:v>
      </x:c>
    </x:row>
    <x:row r="27" ht="24" customHeight="1">
      <x:c r="A27" s="10" t="str">
        <x:v>ALL</x:v>
      </x:c>
      <x:c r="B27" s="10" t="str">
        <x:v>NCG_H0</x:v>
      </x:c>
      <x:c r="C27" s="9" t="str">
        <x:v>源三角形</x:v>
      </x:c>
      <x:c r="D27" s="11" t="n">
        <x:f>SUMIFS('统计计数'!$D$6:$D$95,'统计计数'!$B$6:$B$95,"NCG_H0")</x:f>
        <x:v>40794715</x:v>
      </x:c>
      <x:c r="E27" s="12" t="n">
        <x:f>SUMIFS('统计计数'!$O$6:$O$95,'统计计数'!$B$6:$B$95,"NCG_H0")/$D27</x:f>
        <x:v>0.000020983110189640987</x:v>
      </x:c>
      <x:c r="F27" s="12" t="n">
        <x:f>SUMIFS('统计计数'!$P$6:$P$95,'统计计数'!$B$6:$B$95,"NCG_H0")/$D27</x:f>
        <x:v>0.07878152844063256</x:v>
      </x:c>
      <x:c r="G27" s="12" t="n">
        <x:f>SUMIFS('统计计数'!$Q$6:$Q$95,'统计计数'!$B$6:$B$95,"NCG_H0")/$D27</x:f>
        <x:v>0.22777489682180646</x:v>
      </x:c>
      <x:c r="H27" s="12" t="n">
        <x:f>SUMIFS('统计计数'!$R$6:$R$95,'统计计数'!$B$6:$B$95,"NCG_H0")/$D27</x:f>
        <x:v>0.28499674528918756</x:v>
      </x:c>
      <x:c r="I27" s="12" t="n">
        <x:f>SUMIFS('统计计数'!$S$6:$S$95,'统计计数'!$B$6:$B$95,"NCG_H0")/$D27</x:f>
        <x:v>0.21234628063953873</x:v>
      </x:c>
      <x:c r="J27" s="12" t="n">
        <x:f>SUMIFS('统计计数'!$T$6:$T$95,'统计计数'!$B$6:$B$95,"NCG_H0")/$D27</x:f>
        <x:v>0.03231781371680131</x:v>
      </x:c>
      <x:c r="K27" s="12" t="n">
        <x:f>SUMIFS('统计计数'!$U$6:$U$95,'统计计数'!$B$6:$B$95,"NCG_H0")/$D27</x:f>
        <x:v>0.05687673023331576</x:v>
      </x:c>
      <x:c r="L27" s="12" t="n">
        <x:f>SUMIFS('统计计数'!$V$6:$V$95,'统计计数'!$B$6:$B$95,"NCG_H0")/$D27</x:f>
        <x:v>0.04994156718584748</x:v>
      </x:c>
      <x:c r="M27" s="12" t="n">
        <x:f>SUMIFS('统计计数'!$W$6:$W$95,'统计计数'!$B$6:$B$95,"NCG_H0")/$D27</x:f>
        <x:v>0.05690217470571862</x:v>
      </x:c>
      <x:c r="N27" s="12" t="n">
        <x:f>SUMIFS('统计计数'!$X$6:$X$95,'统计计数'!$B$6:$B$95,"NCG_H0")/$D27</x:f>
        <x:v>0.00004127985696186381</x:v>
      </x:c>
    </x:row>
    <x:row r="28" ht="24" customHeight="1">
      <x:c r="A28" s="10" t="str">
        <x:v>ALL</x:v>
      </x:c>
      <x:c r="B28" s="10" t="str">
        <x:v>NCG_H1</x:v>
      </x:c>
      <x:c r="C28" s="9" t="str">
        <x:v>节点</x:v>
      </x:c>
      <x:c r="D28" s="11" t="n">
        <x:f>SUMIFS('统计计数'!$C$6:$C$95,'统计计数'!$B$6:$B$95,"NCG_H1")</x:f>
        <x:v>11000</x:v>
      </x:c>
      <x:c r="E28" s="12" t="n">
        <x:f>SUMIFS('统计计数'!$E$6:$E$95,'统计计数'!$B$6:$B$95,"NCG_H1")/$D28</x:f>
        <x:v>0.0001818181818181818</x:v>
      </x:c>
      <x:c r="F28" s="12" t="n">
        <x:f>SUMIFS('统计计数'!$F$6:$F$95,'统计计数'!$B$6:$B$95,"NCG_H1")/$D28</x:f>
        <x:v>0.1180909090909091</x:v>
      </x:c>
      <x:c r="G28" s="12" t="n">
        <x:f>SUMIFS('统计计数'!$G$6:$G$95,'统计计数'!$B$6:$B$95,"NCG_H1")/$D28</x:f>
        <x:v>0.3846363636363636</x:v>
      </x:c>
      <x:c r="H28" s="12" t="n">
        <x:f>SUMIFS('统计计数'!$H$6:$H$95,'统计计数'!$B$6:$B$95,"NCG_H1")/$D28</x:f>
        <x:v>0.2752727272727273</x:v>
      </x:c>
      <x:c r="I28" s="12" t="n">
        <x:f>SUMIFS('统计计数'!$I$6:$I$95,'统计计数'!$B$6:$B$95,"NCG_H1")/$D28</x:f>
        <x:v>0.1020909090909091</x:v>
      </x:c>
      <x:c r="J28" s="12" t="n">
        <x:f>SUMIFS('统计计数'!$J$6:$J$95,'统计计数'!$B$6:$B$95,"NCG_H1")/$D28</x:f>
        <x:v>0.04018181818181818</x:v>
      </x:c>
      <x:c r="K28" s="12" t="n">
        <x:f>SUMIFS('统计计数'!$K$6:$K$95,'统计计数'!$B$6:$B$95,"NCG_H1")/$D28</x:f>
        <x:v>0.03272727272727273</x:v>
      </x:c>
      <x:c r="L28" s="12" t="n">
        <x:f>SUMIFS('统计计数'!$L$6:$L$95,'统计计数'!$B$6:$B$95,"NCG_H1")/$D28</x:f>
        <x:v>0.012818181818181819</x:v>
      </x:c>
      <x:c r="M28" s="12" t="n">
        <x:f>SUMIFS('统计计数'!$M$6:$M$95,'统计计数'!$B$6:$B$95,"NCG_H1")/$D28</x:f>
        <x:v>0.03327272727272727</x:v>
      </x:c>
      <x:c r="N28" s="12" t="n">
        <x:f>SUMIFS('统计计数'!$N$6:$N$95,'统计计数'!$B$6:$B$95,"NCG_H1")/$D28</x:f>
        <x:v>0.0007272727272727272</x:v>
      </x:c>
    </x:row>
    <x:row r="29" ht="24" customHeight="1">
      <x:c r="A29" s="10" t="str">
        <x:v>ALL</x:v>
      </x:c>
      <x:c r="B29" s="10" t="str">
        <x:v>NCG_H1</x:v>
      </x:c>
      <x:c r="C29" s="9" t="str">
        <x:v>源三角形</x:v>
      </x:c>
      <x:c r="D29" s="11" t="n">
        <x:f>SUMIFS('统计计数'!$D$6:$D$95,'统计计数'!$B$6:$B$95,"NCG_H1")</x:f>
        <x:v>40794715</x:v>
      </x:c>
      <x:c r="E29" s="12" t="n">
        <x:f>SUMIFS('统计计数'!$O$6:$O$95,'统计计数'!$B$6:$B$95,"NCG_H1")/$D29</x:f>
        <x:v>0.000020983110189640987</x:v>
      </x:c>
      <x:c r="F29" s="12" t="n">
        <x:f>SUMIFS('统计计数'!$P$6:$P$95,'统计计数'!$B$6:$B$95,"NCG_H1")/$D29</x:f>
        <x:v>0.06873508002200775</x:v>
      </x:c>
      <x:c r="G29" s="12" t="n">
        <x:f>SUMIFS('统计计数'!$Q$6:$Q$95,'统计计数'!$B$6:$B$95,"NCG_H1")/$D29</x:f>
        <x:v>0.2185759601458179</x:v>
      </x:c>
      <x:c r="H29" s="12" t="n">
        <x:f>SUMIFS('统计计数'!$R$6:$R$95,'统计计数'!$B$6:$B$95,"NCG_H1")/$D29</x:f>
        <x:v>0.29546795461127745</x:v>
      </x:c>
      <x:c r="I29" s="12" t="n">
        <x:f>SUMIFS('统计计数'!$S$6:$S$95,'统计计数'!$B$6:$B$95,"NCG_H1")/$D29</x:f>
        <x:v>0.216659584458428</x:v>
      </x:c>
      <x:c r="J29" s="12" t="n">
        <x:f>SUMIFS('统计计数'!$T$6:$T$95,'统计计数'!$B$6:$B$95,"NCG_H1")/$D29</x:f>
        <x:v>0.03557750066399532</x:v>
      </x:c>
      <x:c r="K29" s="12" t="n">
        <x:f>SUMIFS('统计计数'!$U$6:$U$95,'统计计数'!$B$6:$B$95,"NCG_H1")/$D29</x:f>
        <x:v>0.05807791523975593</x:v>
      </x:c>
      <x:c r="L29" s="12" t="n">
        <x:f>SUMIFS('统计计数'!$V$6:$V$95,'统计计数'!$B$6:$B$95,"NCG_H1")/$D29</x:f>
        <x:v>0.04994156718584748</x:v>
      </x:c>
      <x:c r="M29" s="12" t="n">
        <x:f>SUMIFS('统计计数'!$W$6:$W$95,'统计计数'!$B$6:$B$95,"NCG_H1")/$D29</x:f>
        <x:v>0.05690217470571862</x:v>
      </x:c>
      <x:c r="N29" s="12" t="n">
        <x:f>SUMIFS('统计计数'!$X$6:$X$95,'统计计数'!$B$6:$B$95,"NCG_H1")/$D29</x:f>
        <x:v>0.00004127985696186381</x:v>
      </x:c>
    </x:row>
    <x:row r="30" ht="24" customHeight="1">
      <x:c r="A30" s="10" t="str">
        <x:v>ALL</x:v>
      </x:c>
      <x:c r="B30" s="10" t="str">
        <x:v>G_H0</x:v>
      </x:c>
      <x:c r="C30" s="9" t="str">
        <x:v>节点</x:v>
      </x:c>
      <x:c r="D30" s="11" t="n">
        <x:f>SUMIFS('统计计数'!$C$6:$C$95,'统计计数'!$B$6:$B$95,"G_H0")</x:f>
        <x:v>11000</x:v>
      </x:c>
      <x:c r="E30" s="12" t="n">
        <x:f>SUMIFS('统计计数'!$E$6:$E$95,'统计计数'!$B$6:$B$95,"G_H0")/$D30</x:f>
        <x:v>0</x:v>
      </x:c>
      <x:c r="F30" s="12" t="n">
        <x:f>SUMIFS('统计计数'!$F$6:$F$95,'统计计数'!$B$6:$B$95,"G_H0")/$D30</x:f>
        <x:v>0.11618181818181818</x:v>
      </x:c>
      <x:c r="G30" s="12" t="n">
        <x:f>SUMIFS('统计计数'!$G$6:$G$95,'统计计数'!$B$6:$B$95,"G_H0")/$D30</x:f>
        <x:v>0.5103636363636364</x:v>
      </x:c>
      <x:c r="H30" s="12" t="n">
        <x:f>SUMIFS('统计计数'!$H$6:$H$95,'统计计数'!$B$6:$B$95,"G_H0")/$D30</x:f>
        <x:v>0.25845454545454544</x:v>
      </x:c>
      <x:c r="I30" s="12" t="n">
        <x:f>SUMIFS('统计计数'!$I$6:$I$95,'统计计数'!$B$6:$B$95,"G_H0")/$D30</x:f>
        <x:v>0.08890909090909091</x:v>
      </x:c>
      <x:c r="J30" s="12" t="n">
        <x:f>SUMIFS('统计计数'!$J$6:$J$95,'统计计数'!$B$6:$B$95,"G_H0")/$D30</x:f>
        <x:v>0.026</x:v>
      </x:c>
      <x:c r="K30" s="12" t="n">
        <x:f>SUMIFS('统计计数'!$K$6:$K$95,'统计计数'!$B$6:$B$95,"G_H0")/$D30</x:f>
        <x:v>0.0000909090909090909</x:v>
      </x:c>
      <x:c r="L30" s="12" t="n">
        <x:f>SUMIFS('统计计数'!$L$6:$L$95,'统计计数'!$B$6:$B$95,"G_H0")/$D30</x:f>
        <x:v>0</x:v>
      </x:c>
      <x:c r="M30" s="12" t="n">
        <x:f>SUMIFS('统计计数'!$M$6:$M$95,'统计计数'!$B$6:$B$95,"G_H0")/$D30</x:f>
        <x:v>0</x:v>
      </x:c>
      <x:c r="N30" s="12" t="n">
        <x:f>SUMIFS('统计计数'!$N$6:$N$95,'统计计数'!$B$6:$B$95,"G_H0")/$D30</x:f>
        <x:v>0</x:v>
      </x:c>
    </x:row>
    <x:row r="31" ht="24" customHeight="1">
      <x:c r="A31" s="10" t="str">
        <x:v>ALL</x:v>
      </x:c>
      <x:c r="B31" s="10" t="str">
        <x:v>G_H0</x:v>
      </x:c>
      <x:c r="C31" s="9" t="str">
        <x:v>源三角形</x:v>
      </x:c>
      <x:c r="D31" s="11" t="n">
        <x:f>SUMIFS('统计计数'!$D$6:$D$95,'统计计数'!$B$6:$B$95,"G_H0")</x:f>
        <x:v>40794715</x:v>
      </x:c>
      <x:c r="E31" s="12" t="n">
        <x:f>SUMIFS('统计计数'!$O$6:$O$95,'统计计数'!$B$6:$B$95,"G_H0")/$D31</x:f>
        <x:v>0</x:v>
      </x:c>
      <x:c r="F31" s="12" t="n">
        <x:f>SUMIFS('统计计数'!$P$6:$P$95,'统计计数'!$B$6:$B$95,"G_H0")/$D31</x:f>
        <x:v>0.06991155594542087</x:v>
      </x:c>
      <x:c r="G31" s="12" t="n">
        <x:f>SUMIFS('统计计数'!$Q$6:$Q$95,'统计计数'!$B$6:$B$95,"G_H0")/$D31</x:f>
        <x:v>0.3474930514896354</x:v>
      </x:c>
      <x:c r="H31" s="12" t="n">
        <x:f>SUMIFS('统计计数'!$R$6:$R$95,'统计计数'!$B$6:$B$95,"G_H0")/$D31</x:f>
        <x:v>0.33319945978296456</x:v>
      </x:c>
      <x:c r="I31" s="12" t="n">
        <x:f>SUMIFS('统计计数'!$S$6:$S$95,'统计计数'!$B$6:$B$95,"G_H0")/$D31</x:f>
        <x:v>0.2120531054083844</x:v>
      </x:c>
      <x:c r="J31" s="12" t="n">
        <x:f>SUMIFS('统计计数'!$T$6:$T$95,'统计计数'!$B$6:$B$95,"G_H0")/$D31</x:f>
        <x:v>0.028407846457561964</x:v>
      </x:c>
      <x:c r="K31" s="12" t="n">
        <x:f>SUMIFS('统计计数'!$U$6:$U$95,'统计计数'!$B$6:$B$95,"G_H0")/$D31</x:f>
        <x:v>0.008934980916032873</x:v>
      </x:c>
      <x:c r="L31" s="12" t="n">
        <x:f>SUMIFS('统计计数'!$V$6:$V$95,'统计计数'!$B$6:$B$95,"G_H0")/$D31</x:f>
        <x:v>0</x:v>
      </x:c>
      <x:c r="M31" s="12" t="n">
        <x:f>SUMIFS('统计计数'!$W$6:$W$95,'统计计数'!$B$6:$B$95,"G_H0")/$D31</x:f>
        <x:v>0</x:v>
      </x:c>
      <x:c r="N31" s="12" t="n">
        <x:f>SUMIFS('统计计数'!$X$6:$X$95,'统计计数'!$B$6:$B$95,"G_H0")/$D31</x:f>
        <x:v>0</x:v>
      </x:c>
    </x:row>
    <x:row r="32" ht="24" customHeight="1">
      <x:c r="A32" s="10" t="str">
        <x:v>ALL</x:v>
      </x:c>
      <x:c r="B32" s="10" t="str">
        <x:v>G_H1</x:v>
      </x:c>
      <x:c r="C32" s="9" t="str">
        <x:v>节点</x:v>
      </x:c>
      <x:c r="D32" s="11" t="n">
        <x:f>SUMIFS('统计计数'!$C$6:$C$95,'统计计数'!$B$6:$B$95,"G_H1")</x:f>
        <x:v>11000</x:v>
      </x:c>
      <x:c r="E32" s="12" t="n">
        <x:f>SUMIFS('统计计数'!$E$6:$E$95,'统计计数'!$B$6:$B$95,"G_H1")/$D32</x:f>
        <x:v>0</x:v>
      </x:c>
      <x:c r="F32" s="12" t="n">
        <x:f>SUMIFS('统计计数'!$F$6:$F$95,'统计计数'!$B$6:$B$95,"G_H1")/$D32</x:f>
        <x:v>0.08554545454545455</x:v>
      </x:c>
      <x:c r="G32" s="12" t="n">
        <x:f>SUMIFS('统计计数'!$G$6:$G$95,'统计计数'!$B$6:$B$95,"G_H1")/$D32</x:f>
        <x:v>0.49972727272727274</x:v>
      </x:c>
      <x:c r="H32" s="12" t="n">
        <x:f>SUMIFS('统计计数'!$H$6:$H$95,'统计计数'!$B$6:$B$95,"G_H1")/$D32</x:f>
        <x:v>0.28763636363636363</x:v>
      </x:c>
      <x:c r="I32" s="12" t="n">
        <x:f>SUMIFS('统计计数'!$I$6:$I$95,'统计计数'!$B$6:$B$95,"G_H1")/$D32</x:f>
        <x:v>0.10081818181818182</x:v>
      </x:c>
      <x:c r="J32" s="12" t="n">
        <x:f>SUMIFS('统计计数'!$J$6:$J$95,'统计计数'!$B$6:$B$95,"G_H1")/$D32</x:f>
        <x:v>0.02618181818181818</x:v>
      </x:c>
      <x:c r="K32" s="12" t="n">
        <x:f>SUMIFS('统计计数'!$K$6:$K$95,'统计计数'!$B$6:$B$95,"G_H1")/$D32</x:f>
        <x:v>0.0000909090909090909</x:v>
      </x:c>
      <x:c r="L32" s="12" t="n">
        <x:f>SUMIFS('统计计数'!$L$6:$L$95,'统计计数'!$B$6:$B$95,"G_H1")/$D32</x:f>
        <x:v>0</x:v>
      </x:c>
      <x:c r="M32" s="12" t="n">
        <x:f>SUMIFS('统计计数'!$M$6:$M$95,'统计计数'!$B$6:$B$95,"G_H1")/$D32</x:f>
        <x:v>0</x:v>
      </x:c>
      <x:c r="N32" s="12" t="n">
        <x:f>SUMIFS('统计计数'!$N$6:$N$95,'统计计数'!$B$6:$B$95,"G_H1")/$D32</x:f>
        <x:v>0</x:v>
      </x:c>
    </x:row>
    <x:row r="33" ht="24" customHeight="1">
      <x:c r="A33" s="10" t="str">
        <x:v>ALL</x:v>
      </x:c>
      <x:c r="B33" s="10" t="str">
        <x:v>G_H1</x:v>
      </x:c>
      <x:c r="C33" s="9" t="str">
        <x:v>源三角形</x:v>
      </x:c>
      <x:c r="D33" s="11" t="n">
        <x:f>SUMIFS('统计计数'!$D$6:$D$95,'统计计数'!$B$6:$B$95,"G_H1")</x:f>
        <x:v>40794715</x:v>
      </x:c>
      <x:c r="E33" s="12" t="n">
        <x:f>SUMIFS('统计计数'!$O$6:$O$95,'统计计数'!$B$6:$B$95,"G_H1")/$D33</x:f>
        <x:v>0</x:v>
      </x:c>
      <x:c r="F33" s="12" t="n">
        <x:f>SUMIFS('统计计数'!$P$6:$P$95,'统计计数'!$B$6:$B$95,"G_H1")/$D33</x:f>
        <x:v>0.05042702222579567</x:v>
      </x:c>
      <x:c r="G33" s="12" t="n">
        <x:f>SUMIFS('统计计数'!$Q$6:$Q$95,'统计计数'!$B$6:$B$95,"G_H1")/$D33</x:f>
        <x:v>0.34716776425573753</x:v>
      </x:c>
      <x:c r="H33" s="12" t="n">
        <x:f>SUMIFS('统计计数'!$R$6:$R$95,'统计计数'!$B$6:$B$95,"G_H1")/$D33</x:f>
        <x:v>0.33471764663633513</x:v>
      </x:c>
      <x:c r="I33" s="12" t="n">
        <x:f>SUMIFS('统计计数'!$S$6:$S$95,'统计计数'!$B$6:$B$95,"G_H1")/$D33</x:f>
        <x:v>0.2301972694257087</x:v>
      </x:c>
      <x:c r="J33" s="12" t="n">
        <x:f>SUMIFS('统计计数'!$T$6:$T$95,'统计计数'!$B$6:$B$95,"G_H1")/$D33</x:f>
        <x:v>0.028555316540390098</x:v>
      </x:c>
      <x:c r="K33" s="12" t="n">
        <x:f>SUMIFS('统计计数'!$U$6:$U$95,'统计计数'!$B$6:$B$95,"G_H1")/$D33</x:f>
        <x:v>0.008934980916032873</x:v>
      </x:c>
      <x:c r="L33" s="12" t="n">
        <x:f>SUMIFS('统计计数'!$V$6:$V$95,'统计计数'!$B$6:$B$95,"G_H1")/$D33</x:f>
        <x:v>0</x:v>
      </x:c>
      <x:c r="M33" s="12" t="n">
        <x:f>SUMIFS('统计计数'!$W$6:$W$95,'统计计数'!$B$6:$B$95,"G_H1")/$D33</x:f>
        <x:v>0</x:v>
      </x:c>
      <x:c r="N33" s="12" t="n">
        <x:f>SUMIFS('统计计数'!$X$6:$X$95,'统计计数'!$B$6:$B$95,"G_H1")/$D33</x:f>
        <x:v>0</x:v>
      </x:c>
    </x:row>
    <x:row r="34" ht="24" customHeight="1">
      <x:c r="A34" s="10" t="str">
        <x:v>ALL</x:v>
      </x:c>
      <x:c r="B34" s="10" t="str">
        <x:v>NCG_H1_M1</x:v>
      </x:c>
      <x:c r="C34" s="9" t="str">
        <x:v>节点</x:v>
      </x:c>
      <x:c r="D34" s="11" t="n">
        <x:f>SUMIFS('统计计数'!$C$6:$C$95,'统计计数'!$B$6:$B$95,"NCG_H1_M1")</x:f>
        <x:v>11000</x:v>
      </x:c>
      <x:c r="E34" s="12" t="n">
        <x:f>SUMIFS('统计计数'!$E$6:$E$95,'统计计数'!$B$6:$B$95,"NCG_H1_M1")/$D34</x:f>
        <x:v>0.0001818181818181818</x:v>
      </x:c>
      <x:c r="F34" s="12" t="n">
        <x:f>SUMIFS('统计计数'!$F$6:$F$95,'统计计数'!$B$6:$B$95,"NCG_H1_M1")/$D34</x:f>
        <x:v>0.116</x:v>
      </x:c>
      <x:c r="G34" s="12" t="n">
        <x:f>SUMIFS('统计计数'!$G$6:$G$95,'统计计数'!$B$6:$B$95,"NCG_H1_M1")/$D34</x:f>
        <x:v>0.3501818181818182</x:v>
      </x:c>
      <x:c r="H34" s="12" t="n">
        <x:f>SUMIFS('统计计数'!$H$6:$H$95,'统计计数'!$B$6:$B$95,"NCG_H1_M1")/$D34</x:f>
        <x:v>0.256</x:v>
      </x:c>
      <x:c r="I34" s="12" t="n">
        <x:f>SUMIFS('统计计数'!$I$6:$I$95,'统计计数'!$B$6:$B$95,"NCG_H1_M1")/$D34</x:f>
        <x:v>0.08881818181818182</x:v>
      </x:c>
      <x:c r="J34" s="12" t="n">
        <x:f>SUMIFS('统计计数'!$J$6:$J$95,'统计计数'!$B$6:$B$95,"NCG_H1_M1")/$D34</x:f>
        <x:v>0.043272727272727275</x:v>
      </x:c>
      <x:c r="K34" s="12" t="n">
        <x:f>SUMIFS('统计计数'!$K$6:$K$95,'统计计数'!$B$6:$B$95,"NCG_H1_M1")/$D34</x:f>
        <x:v>0.040363636363636365</x:v>
      </x:c>
      <x:c r="L34" s="12" t="n">
        <x:f>SUMIFS('统计计数'!$L$6:$L$95,'统计计数'!$B$6:$B$95,"NCG_H1_M1")/$D34</x:f>
        <x:v>0.03381818181818182</x:v>
      </x:c>
      <x:c r="M34" s="12" t="n">
        <x:f>SUMIFS('统计计数'!$M$6:$M$95,'统计计数'!$B$6:$B$95,"NCG_H1_M1")/$D34</x:f>
        <x:v>0.06681818181818182</x:v>
      </x:c>
      <x:c r="N34" s="12" t="n">
        <x:f>SUMIFS('统计计数'!$N$6:$N$95,'统计计数'!$B$6:$B$95,"NCG_H1_M1")/$D34</x:f>
        <x:v>0.004545454545454545</x:v>
      </x:c>
    </x:row>
    <x:row r="35" ht="24" customHeight="1">
      <x:c r="A35" s="10" t="str">
        <x:v>ALL</x:v>
      </x:c>
      <x:c r="B35" s="10" t="str">
        <x:v>NCG_H1_M1</x:v>
      </x:c>
      <x:c r="C35" s="9" t="str">
        <x:v>源三角形</x:v>
      </x:c>
      <x:c r="D35" s="11" t="n">
        <x:f>SUMIFS('统计计数'!$D$6:$D$95,'统计计数'!$B$6:$B$95,"NCG_H1_M1")</x:f>
        <x:v>40794715</x:v>
      </x:c>
      <x:c r="E35" s="12" t="n">
        <x:f>SUMIFS('统计计数'!$O$6:$O$95,'统计计数'!$B$6:$B$95,"NCG_H1_M1")/$D35</x:f>
        <x:v>0.000020983110189640987</x:v>
      </x:c>
      <x:c r="F35" s="12" t="n">
        <x:f>SUMIFS('统计计数'!$P$6:$P$95,'统计计数'!$B$6:$B$95,"NCG_H1_M1")/$D35</x:f>
        <x:v>0.06569591183563851</x:v>
      </x:c>
      <x:c r="G35" s="12" t="n">
        <x:f>SUMIFS('统计计数'!$Q$6:$Q$95,'统计计数'!$B$6:$B$95,"NCG_H1_M1")/$D35</x:f>
        <x:v>0.17733605934003951</x:v>
      </x:c>
      <x:c r="H35" s="12" t="n">
        <x:f>SUMIFS('统计计数'!$R$6:$R$95,'统计计数'!$B$6:$B$95,"NCG_H1_M1")/$D35</x:f>
        <x:v>0.24101673464320073</x:v>
      </x:c>
      <x:c r="I35" s="12" t="n">
        <x:f>SUMIFS('统计计数'!$S$6:$S$95,'统计计数'!$B$6:$B$95,"NCG_H1_M1")/$D35</x:f>
        <x:v>0.16160132507360328</x:v>
      </x:c>
      <x:c r="J35" s="12" t="n">
        <x:f>SUMIFS('统计计数'!$T$6:$T$95,'统计计数'!$B$6:$B$95,"NCG_H1_M1")/$D35</x:f>
        <x:v>0.03563074285480362</x:v>
      </x:c>
      <x:c r="K35" s="12" t="n">
        <x:f>SUMIFS('统计计数'!$U$6:$U$95,'统计计数'!$B$6:$B$95,"NCG_H1_M1")/$D35</x:f>
        <x:v>0.06285417118369377</x:v>
      </x:c>
      <x:c r="L35" s="12" t="n">
        <x:f>SUMIFS('统计计数'!$V$6:$V$95,'统计计数'!$B$6:$B$95,"NCG_H1_M1")/$D35</x:f>
        <x:v>0.07593400272559815</x:v>
      </x:c>
      <x:c r="M35" s="12" t="n">
        <x:f>SUMIFS('统计计数'!$W$6:$W$95,'统计计数'!$B$6:$B$95,"NCG_H1_M1")/$D35</x:f>
        <x:v>0.14720764687288537</x:v>
      </x:c>
      <x:c r="N35" s="12" t="n">
        <x:f>SUMIFS('统计计数'!$X$6:$X$95,'统计计数'!$B$6:$B$95,"NCG_H1_M1")/$D35</x:f>
        <x:v>0.03270242236034741</x:v>
      </x:c>
    </x:row>
    <x:row r="36" ht="24" customHeight="1">
      <x:c r="A36" s="10" t="str">
        <x:v>a</x:v>
      </x:c>
      <x:c r="B36" s="10" t="str">
        <x:v>N_H0</x:v>
      </x:c>
      <x:c r="C36" s="9" t="str">
        <x:v>节点</x:v>
      </x:c>
      <x:c r="D36" s="11" t="n">
        <x:f>SUMIFS('统计计数'!$C$6:$C$95,'统计计数'!$B$6:$B$95,"N_H0",'统计计数'!$A$6:$A$95,"a")</x:f>
        <x:v>1778</x:v>
      </x:c>
      <x:c r="E36" s="12" t="n">
        <x:f>SUMIFS('统计计数'!$E$6:$E$95,'统计计数'!$B$6:$B$95,"N_H0",'统计计数'!$A$6:$A$95,"a")/$D36</x:f>
        <x:v>0</x:v>
      </x:c>
      <x:c r="F36" s="12" t="n">
        <x:f>SUMIFS('统计计数'!$F$6:$F$95,'统计计数'!$B$6:$B$95,"N_H0",'统计计数'!$A$6:$A$95,"a")/$D36</x:f>
        <x:v>0.13835770528683913</x:v>
      </x:c>
      <x:c r="G36" s="12" t="n">
        <x:f>SUMIFS('统计计数'!$G$6:$G$95,'统计计数'!$B$6:$B$95,"N_H0",'统计计数'!$A$6:$A$95,"a")/$D36</x:f>
        <x:v>0.047244094488188976</x:v>
      </x:c>
      <x:c r="H36" s="12" t="n">
        <x:f>SUMIFS('统计计数'!$H$6:$H$95,'统计计数'!$B$6:$B$95,"N_H0",'统计计数'!$A$6:$A$95,"a")/$D36</x:f>
        <x:v>0</x:v>
      </x:c>
      <x:c r="I36" s="12" t="n">
        <x:f>SUMIFS('统计计数'!$I$6:$I$95,'统计计数'!$B$6:$B$95,"N_H0",'统计计数'!$A$6:$A$95,"a")/$D36</x:f>
        <x:v>0.7564679415073116</x:v>
      </x:c>
      <x:c r="J36" s="12" t="n">
        <x:f>SUMIFS('统计计数'!$J$6:$J$95,'统计计数'!$B$6:$B$95,"N_H0",'统计计数'!$A$6:$A$95,"a")/$D36</x:f>
        <x:v>0.003937007874015748</x:v>
      </x:c>
      <x:c r="K36" s="12" t="n">
        <x:f>SUMIFS('统计计数'!$K$6:$K$95,'统计计数'!$B$6:$B$95,"N_H0",'统计计数'!$A$6:$A$95,"a")/$D36</x:f>
        <x:v>0.010686164229471317</x:v>
      </x:c>
      <x:c r="L36" s="12" t="n">
        <x:f>SUMIFS('统计计数'!$L$6:$L$95,'统计计数'!$B$6:$B$95,"N_H0",'统计计数'!$A$6:$A$95,"a")/$D36</x:f>
        <x:v>0.012935883014623173</x:v>
      </x:c>
      <x:c r="M36" s="12" t="n">
        <x:f>SUMIFS('统计计数'!$M$6:$M$95,'统计计数'!$B$6:$B$95,"N_H0",'统计计数'!$A$6:$A$95,"a")/$D36</x:f>
        <x:v>0.030371203599550055</x:v>
      </x:c>
      <x:c r="N36" s="12" t="n">
        <x:f>SUMIFS('统计计数'!$N$6:$N$95,'统计计数'!$B$6:$B$95,"N_H0",'统计计数'!$A$6:$A$95,"a")/$D36</x:f>
        <x:v>0</x:v>
      </x:c>
    </x:row>
    <x:row r="37" ht="24" customHeight="1">
      <x:c r="A37" s="10" t="str">
        <x:v>a</x:v>
      </x:c>
      <x:c r="B37" s="10" t="str">
        <x:v>N_H0</x:v>
      </x:c>
      <x:c r="C37" s="9" t="str">
        <x:v>源三角形</x:v>
      </x:c>
      <x:c r="D37" s="11" t="n">
        <x:f>SUMIFS('统计计数'!$D$6:$D$95,'统计计数'!$B$6:$B$95,"N_H0",'统计计数'!$A$6:$A$95,"a")</x:f>
        <x:v>5469879</x:v>
      </x:c>
      <x:c r="E37" s="12" t="n">
        <x:f>SUMIFS('统计计数'!$O$6:$O$95,'统计计数'!$B$6:$B$95,"N_H0",'统计计数'!$A$6:$A$95,"a")/$D37</x:f>
        <x:v>0</x:v>
      </x:c>
      <x:c r="F37" s="12" t="n">
        <x:f>SUMIFS('统计计数'!$P$6:$P$95,'统计计数'!$B$6:$B$95,"N_H0",'统计计数'!$A$6:$A$95,"a")/$D37</x:f>
        <x:v>0.03163324088156246</x:v>
      </x:c>
      <x:c r="G37" s="12" t="n">
        <x:f>SUMIFS('统计计数'!$Q$6:$Q$95,'统计计数'!$B$6:$B$95,"N_H0",'统计计数'!$A$6:$A$95,"a")/$D37</x:f>
        <x:v>0.020425680348687785</x:v>
      </x:c>
      <x:c r="H37" s="12" t="n">
        <x:f>SUMIFS('统计计数'!$R$6:$R$95,'统计计数'!$B$6:$B$95,"N_H0",'统计计数'!$A$6:$A$95,"a")/$D37</x:f>
        <x:v>0</x:v>
      </x:c>
      <x:c r="I37" s="12" t="n">
        <x:f>SUMIFS('统计计数'!$S$6:$S$95,'统计计数'!$B$6:$B$95,"N_H0",'统计计数'!$A$6:$A$95,"a")/$D37</x:f>
        <x:v>0.8669915733053692</x:v>
      </x:c>
      <x:c r="J37" s="12" t="n">
        <x:f>SUMIFS('统计计数'!$T$6:$T$95,'统计计数'!$B$6:$B$95,"N_H0",'统计计数'!$A$6:$A$95,"a")/$D37</x:f>
        <x:v>0.002427841639641389</x:v>
      </x:c>
      <x:c r="K37" s="12" t="n">
        <x:f>SUMIFS('统计计数'!$U$6:$U$95,'统计计数'!$B$6:$B$95,"N_H0",'统计计数'!$A$6:$A$95,"a")/$D37</x:f>
        <x:v>0.030693549162604878</x:v>
      </x:c>
      <x:c r="L37" s="12" t="n">
        <x:f>SUMIFS('统计计数'!$V$6:$V$95,'统计计数'!$B$6:$B$95,"N_H0",'统计计数'!$A$6:$A$95,"a")/$D37</x:f>
        <x:v>0.01436777669122114</x:v>
      </x:c>
      <x:c r="M37" s="12" t="n">
        <x:f>SUMIFS('统计计数'!$W$6:$W$95,'统计计数'!$B$6:$B$95,"N_H0",'统计计数'!$A$6:$A$95,"a")/$D37</x:f>
        <x:v>0.033460337970913065</x:v>
      </x:c>
      <x:c r="N37" s="12" t="n">
        <x:f>SUMIFS('统计计数'!$X$6:$X$95,'统计计数'!$B$6:$B$95,"N_H0",'统计计数'!$A$6:$A$95,"a")/$D37</x:f>
        <x:v>0</x:v>
      </x:c>
    </x:row>
    <x:row r="38" ht="24" customHeight="1">
      <x:c r="A38" s="10" t="str">
        <x:v>a</x:v>
      </x:c>
      <x:c r="B38" s="10" t="str">
        <x:v>N_H1</x:v>
      </x:c>
      <x:c r="C38" s="9" t="str">
        <x:v>节点</x:v>
      </x:c>
      <x:c r="D38" s="11" t="n">
        <x:f>SUMIFS('统计计数'!$C$6:$C$95,'统计计数'!$B$6:$B$95,"N_H1",'统计计数'!$A$6:$A$95,"a")</x:f>
        <x:v>1778</x:v>
      </x:c>
      <x:c r="E38" s="12" t="n">
        <x:f>SUMIFS('统计计数'!$E$6:$E$95,'统计计数'!$B$6:$B$95,"N_H1",'统计计数'!$A$6:$A$95,"a")/$D38</x:f>
        <x:v>0</x:v>
      </x:c>
      <x:c r="F38" s="12" t="n">
        <x:f>SUMIFS('统计计数'!$F$6:$F$95,'统计计数'!$B$6:$B$95,"N_H1",'统计计数'!$A$6:$A$95,"a")/$D38</x:f>
        <x:v>0.13835770528683913</x:v>
      </x:c>
      <x:c r="G38" s="12" t="n">
        <x:f>SUMIFS('统计计数'!$G$6:$G$95,'统计计数'!$B$6:$B$95,"N_H1",'统计计数'!$A$6:$A$95,"a")/$D38</x:f>
        <x:v>0.047244094488188976</x:v>
      </x:c>
      <x:c r="H38" s="12" t="n">
        <x:f>SUMIFS('统计计数'!$H$6:$H$95,'统计计数'!$B$6:$B$95,"N_H1",'统计计数'!$A$6:$A$95,"a")/$D38</x:f>
        <x:v>0</x:v>
      </x:c>
      <x:c r="I38" s="12" t="n">
        <x:f>SUMIFS('统计计数'!$I$6:$I$95,'统计计数'!$B$6:$B$95,"N_H1",'统计计数'!$A$6:$A$95,"a")/$D38</x:f>
        <x:v>0.7564679415073116</x:v>
      </x:c>
      <x:c r="J38" s="12" t="n">
        <x:f>SUMIFS('统计计数'!$J$6:$J$95,'统计计数'!$B$6:$B$95,"N_H1",'统计计数'!$A$6:$A$95,"a")/$D38</x:f>
        <x:v>0.003937007874015748</x:v>
      </x:c>
      <x:c r="K38" s="12" t="n">
        <x:f>SUMIFS('统计计数'!$K$6:$K$95,'统计计数'!$B$6:$B$95,"N_H1",'统计计数'!$A$6:$A$95,"a")/$D38</x:f>
        <x:v>0.010686164229471317</x:v>
      </x:c>
      <x:c r="L38" s="12" t="n">
        <x:f>SUMIFS('统计计数'!$L$6:$L$95,'统计计数'!$B$6:$B$95,"N_H1",'统计计数'!$A$6:$A$95,"a")/$D38</x:f>
        <x:v>0.012935883014623173</x:v>
      </x:c>
      <x:c r="M38" s="12" t="n">
        <x:f>SUMIFS('统计计数'!$M$6:$M$95,'统计计数'!$B$6:$B$95,"N_H1",'统计计数'!$A$6:$A$95,"a")/$D38</x:f>
        <x:v>0.030371203599550055</x:v>
      </x:c>
      <x:c r="N38" s="12" t="n">
        <x:f>SUMIFS('统计计数'!$N$6:$N$95,'统计计数'!$B$6:$B$95,"N_H1",'统计计数'!$A$6:$A$95,"a")/$D38</x:f>
        <x:v>0</x:v>
      </x:c>
    </x:row>
    <x:row r="39" ht="24" customHeight="1">
      <x:c r="A39" s="10" t="str">
        <x:v>a</x:v>
      </x:c>
      <x:c r="B39" s="10" t="str">
        <x:v>N_H1</x:v>
      </x:c>
      <x:c r="C39" s="9" t="str">
        <x:v>源三角形</x:v>
      </x:c>
      <x:c r="D39" s="11" t="n">
        <x:f>SUMIFS('统计计数'!$D$6:$D$95,'统计计数'!$B$6:$B$95,"N_H1",'统计计数'!$A$6:$A$95,"a")</x:f>
        <x:v>5469879</x:v>
      </x:c>
      <x:c r="E39" s="12" t="n">
        <x:f>SUMIFS('统计计数'!$O$6:$O$95,'统计计数'!$B$6:$B$95,"N_H1",'统计计数'!$A$6:$A$95,"a")/$D39</x:f>
        <x:v>0</x:v>
      </x:c>
      <x:c r="F39" s="12" t="n">
        <x:f>SUMIFS('统计计数'!$P$6:$P$95,'统计计数'!$B$6:$B$95,"N_H1",'统计计数'!$A$6:$A$95,"a")/$D39</x:f>
        <x:v>0.03163324088156246</x:v>
      </x:c>
      <x:c r="G39" s="12" t="n">
        <x:f>SUMIFS('统计计数'!$Q$6:$Q$95,'统计计数'!$B$6:$B$95,"N_H1",'统计计数'!$A$6:$A$95,"a")/$D39</x:f>
        <x:v>0.020425680348687785</x:v>
      </x:c>
      <x:c r="H39" s="12" t="n">
        <x:f>SUMIFS('统计计数'!$R$6:$R$95,'统计计数'!$B$6:$B$95,"N_H1",'统计计数'!$A$6:$A$95,"a")/$D39</x:f>
        <x:v>0</x:v>
      </x:c>
      <x:c r="I39" s="12" t="n">
        <x:f>SUMIFS('统计计数'!$S$6:$S$95,'统计计数'!$B$6:$B$95,"N_H1",'统计计数'!$A$6:$A$95,"a")/$D39</x:f>
        <x:v>0.8669915733053692</x:v>
      </x:c>
      <x:c r="J39" s="12" t="n">
        <x:f>SUMIFS('统计计数'!$T$6:$T$95,'统计计数'!$B$6:$B$95,"N_H1",'统计计数'!$A$6:$A$95,"a")/$D39</x:f>
        <x:v>0.002427841639641389</x:v>
      </x:c>
      <x:c r="K39" s="12" t="n">
        <x:f>SUMIFS('统计计数'!$U$6:$U$95,'统计计数'!$B$6:$B$95,"N_H1",'统计计数'!$A$6:$A$95,"a")/$D39</x:f>
        <x:v>0.030693549162604878</x:v>
      </x:c>
      <x:c r="L39" s="12" t="n">
        <x:f>SUMIFS('统计计数'!$V$6:$V$95,'统计计数'!$B$6:$B$95,"N_H1",'统计计数'!$A$6:$A$95,"a")/$D39</x:f>
        <x:v>0.01436777669122114</x:v>
      </x:c>
      <x:c r="M39" s="12" t="n">
        <x:f>SUMIFS('统计计数'!$W$6:$W$95,'统计计数'!$B$6:$B$95,"N_H1",'统计计数'!$A$6:$A$95,"a")/$D39</x:f>
        <x:v>0.033460337970913065</x:v>
      </x:c>
      <x:c r="N39" s="12" t="n">
        <x:f>SUMIFS('统计计数'!$X$6:$X$95,'统计计数'!$B$6:$B$95,"N_H1",'统计计数'!$A$6:$A$95,"a")/$D39</x:f>
        <x:v>0</x:v>
      </x:c>
    </x:row>
    <x:row r="40" ht="24" customHeight="1">
      <x:c r="A40" s="10" t="str">
        <x:v>a</x:v>
      </x:c>
      <x:c r="B40" s="10" t="str">
        <x:v>C_H0</x:v>
      </x:c>
      <x:c r="C40" s="9" t="str">
        <x:v>节点</x:v>
      </x:c>
      <x:c r="D40" s="11" t="n">
        <x:f>SUMIFS('统计计数'!$C$6:$C$95,'统计计数'!$B$6:$B$95,"C_H0",'统计计数'!$A$6:$A$95,"a")</x:f>
        <x:v>1778</x:v>
      </x:c>
      <x:c r="E40" s="12" t="n">
        <x:f>SUMIFS('统计计数'!$E$6:$E$95,'统计计数'!$B$6:$B$95,"C_H0",'统计计数'!$A$6:$A$95,"a")/$D40</x:f>
        <x:v>0</x:v>
      </x:c>
      <x:c r="F40" s="12" t="n">
        <x:f>SUMIFS('统计计数'!$F$6:$F$95,'统计计数'!$B$6:$B$95,"C_H0",'统计计数'!$A$6:$A$95,"a")/$D40</x:f>
        <x:v>0.38357705286839144</x:v>
      </x:c>
      <x:c r="G40" s="12" t="n">
        <x:f>SUMIFS('统计计数'!$G$6:$G$95,'统计计数'!$B$6:$B$95,"C_H0",'统计计数'!$A$6:$A$95,"a")/$D40</x:f>
        <x:v>0</x:v>
      </x:c>
      <x:c r="H40" s="12" t="n">
        <x:f>SUMIFS('统计计数'!$H$6:$H$95,'统计计数'!$B$6:$B$95,"C_H0",'统计计数'!$A$6:$A$95,"a")/$D40</x:f>
        <x:v>0</x:v>
      </x:c>
      <x:c r="I40" s="12" t="n">
        <x:f>SUMIFS('统计计数'!$I$6:$I$95,'统计计数'!$B$6:$B$95,"C_H0",'统计计数'!$A$6:$A$95,"a")/$D40</x:f>
        <x:v>0.6040494938132733</x:v>
      </x:c>
      <x:c r="J40" s="12" t="n">
        <x:f>SUMIFS('统计计数'!$J$6:$J$95,'统计计数'!$B$6:$B$95,"C_H0",'统计计数'!$A$6:$A$95,"a")/$D40</x:f>
        <x:v>0</x:v>
      </x:c>
      <x:c r="K40" s="12" t="n">
        <x:f>SUMIFS('统计计数'!$K$6:$K$95,'统计计数'!$B$6:$B$95,"C_H0",'统计计数'!$A$6:$A$95,"a")/$D40</x:f>
        <x:v>0</x:v>
      </x:c>
      <x:c r="L40" s="12" t="n">
        <x:f>SUMIFS('统计计数'!$L$6:$L$95,'统计计数'!$B$6:$B$95,"C_H0",'统计计数'!$A$6:$A$95,"a")/$D40</x:f>
        <x:v>0</x:v>
      </x:c>
      <x:c r="M40" s="12" t="n">
        <x:f>SUMIFS('统计计数'!$M$6:$M$95,'统计计数'!$B$6:$B$95,"C_H0",'统计计数'!$A$6:$A$95,"a")/$D40</x:f>
        <x:v>0.012373453318335208</x:v>
      </x:c>
      <x:c r="N40" s="12" t="n">
        <x:f>SUMIFS('统计计数'!$N$6:$N$95,'统计计数'!$B$6:$B$95,"C_H0",'统计计数'!$A$6:$A$95,"a")/$D40</x:f>
        <x:v>0</x:v>
      </x:c>
    </x:row>
    <x:row r="41" ht="24" customHeight="1">
      <x:c r="A41" s="10" t="str">
        <x:v>a</x:v>
      </x:c>
      <x:c r="B41" s="10" t="str">
        <x:v>C_H0</x:v>
      </x:c>
      <x:c r="C41" s="9" t="str">
        <x:v>源三角形</x:v>
      </x:c>
      <x:c r="D41" s="11" t="n">
        <x:f>SUMIFS('统计计数'!$D$6:$D$95,'统计计数'!$B$6:$B$95,"C_H0",'统计计数'!$A$6:$A$95,"a")</x:f>
        <x:v>5469879</x:v>
      </x:c>
      <x:c r="E41" s="12" t="n">
        <x:f>SUMIFS('统计计数'!$O$6:$O$95,'统计计数'!$B$6:$B$95,"C_H0",'统计计数'!$A$6:$A$95,"a")/$D41</x:f>
        <x:v>0</x:v>
      </x:c>
      <x:c r="F41" s="12" t="n">
        <x:f>SUMIFS('统计计数'!$P$6:$P$95,'统计计数'!$B$6:$B$95,"C_H0",'统计计数'!$A$6:$A$95,"a")/$D41</x:f>
        <x:v>0.1696026548302074</x:v>
      </x:c>
      <x:c r="G41" s="12" t="n">
        <x:f>SUMIFS('统计计数'!$Q$6:$Q$95,'统计计数'!$B$6:$B$95,"C_H0",'统计计数'!$A$6:$A$95,"a")/$D41</x:f>
        <x:v>0</x:v>
      </x:c>
      <x:c r="H41" s="12" t="n">
        <x:f>SUMIFS('统计计数'!$R$6:$R$95,'统计计数'!$B$6:$B$95,"C_H0",'统计计数'!$A$6:$A$95,"a")/$D41</x:f>
        <x:v>0</x:v>
      </x:c>
      <x:c r="I41" s="12" t="n">
        <x:f>SUMIFS('统计计数'!$S$6:$S$95,'统计计数'!$B$6:$B$95,"C_H0",'统计计数'!$A$6:$A$95,"a")/$D41</x:f>
        <x:v>0.8287804903911037</x:v>
      </x:c>
      <x:c r="J41" s="12" t="n">
        <x:f>SUMIFS('统计计数'!$T$6:$T$95,'统计计数'!$B$6:$B$95,"C_H0",'统计计数'!$A$6:$A$95,"a")/$D41</x:f>
        <x:v>0</x:v>
      </x:c>
      <x:c r="K41" s="12" t="n">
        <x:f>SUMIFS('统计计数'!$U$6:$U$95,'统计计数'!$B$6:$B$95,"C_H0",'统计计数'!$A$6:$A$95,"a")/$D41</x:f>
        <x:v>0</x:v>
      </x:c>
      <x:c r="L41" s="12" t="n">
        <x:f>SUMIFS('统计计数'!$V$6:$V$95,'统计计数'!$B$6:$B$95,"C_H0",'统计计数'!$A$6:$A$95,"a")/$D41</x:f>
        <x:v>0</x:v>
      </x:c>
      <x:c r="M41" s="12" t="n">
        <x:f>SUMIFS('统计计数'!$W$6:$W$95,'统计计数'!$B$6:$B$95,"C_H0",'统计计数'!$A$6:$A$95,"a")/$D41</x:f>
        <x:v>0.0016168547786888888</x:v>
      </x:c>
      <x:c r="N41" s="12" t="n">
        <x:f>SUMIFS('统计计数'!$X$6:$X$95,'统计计数'!$B$6:$B$95,"C_H0",'统计计数'!$A$6:$A$95,"a")/$D41</x:f>
        <x:v>0</x:v>
      </x:c>
    </x:row>
    <x:row r="42" ht="24" customHeight="1">
      <x:c r="A42" s="10" t="str">
        <x:v>a</x:v>
      </x:c>
      <x:c r="B42" s="10" t="str">
        <x:v>C_H1</x:v>
      </x:c>
      <x:c r="C42" s="9" t="str">
        <x:v>节点</x:v>
      </x:c>
      <x:c r="D42" s="11" t="n">
        <x:f>SUMIFS('统计计数'!$C$6:$C$95,'统计计数'!$B$6:$B$95,"C_H1",'统计计数'!$A$6:$A$95,"a")</x:f>
        <x:v>1778</x:v>
      </x:c>
      <x:c r="E42" s="12" t="n">
        <x:f>SUMIFS('统计计数'!$E$6:$E$95,'统计计数'!$B$6:$B$95,"C_H1",'统计计数'!$A$6:$A$95,"a")/$D42</x:f>
        <x:v>0</x:v>
      </x:c>
      <x:c r="F42" s="12" t="n">
        <x:f>SUMIFS('统计计数'!$F$6:$F$95,'统计计数'!$B$6:$B$95,"C_H1",'统计计数'!$A$6:$A$95,"a")/$D42</x:f>
        <x:v>0.38357705286839144</x:v>
      </x:c>
      <x:c r="G42" s="12" t="n">
        <x:f>SUMIFS('统计计数'!$G$6:$G$95,'统计计数'!$B$6:$B$95,"C_H1",'统计计数'!$A$6:$A$95,"a")/$D42</x:f>
        <x:v>0</x:v>
      </x:c>
      <x:c r="H42" s="12" t="n">
        <x:f>SUMIFS('统计计数'!$H$6:$H$95,'统计计数'!$B$6:$B$95,"C_H1",'统计计数'!$A$6:$A$95,"a")/$D42</x:f>
        <x:v>0</x:v>
      </x:c>
      <x:c r="I42" s="12" t="n">
        <x:f>SUMIFS('统计计数'!$I$6:$I$95,'统计计数'!$B$6:$B$95,"C_H1",'统计计数'!$A$6:$A$95,"a")/$D42</x:f>
        <x:v>0.6040494938132733</x:v>
      </x:c>
      <x:c r="J42" s="12" t="n">
        <x:f>SUMIFS('统计计数'!$J$6:$J$95,'统计计数'!$B$6:$B$95,"C_H1",'统计计数'!$A$6:$A$95,"a")/$D42</x:f>
        <x:v>0</x:v>
      </x:c>
      <x:c r="K42" s="12" t="n">
        <x:f>SUMIFS('统计计数'!$K$6:$K$95,'统计计数'!$B$6:$B$95,"C_H1",'统计计数'!$A$6:$A$95,"a")/$D42</x:f>
        <x:v>0</x:v>
      </x:c>
      <x:c r="L42" s="12" t="n">
        <x:f>SUMIFS('统计计数'!$L$6:$L$95,'统计计数'!$B$6:$B$95,"C_H1",'统计计数'!$A$6:$A$95,"a")/$D42</x:f>
        <x:v>0</x:v>
      </x:c>
      <x:c r="M42" s="12" t="n">
        <x:f>SUMIFS('统计计数'!$M$6:$M$95,'统计计数'!$B$6:$B$95,"C_H1",'统计计数'!$A$6:$A$95,"a")/$D42</x:f>
        <x:v>0.012373453318335208</x:v>
      </x:c>
      <x:c r="N42" s="12" t="n">
        <x:f>SUMIFS('统计计数'!$N$6:$N$95,'统计计数'!$B$6:$B$95,"C_H1",'统计计数'!$A$6:$A$95,"a")/$D42</x:f>
        <x:v>0</x:v>
      </x:c>
    </x:row>
    <x:row r="43" ht="24" customHeight="1">
      <x:c r="A43" s="10" t="str">
        <x:v>a</x:v>
      </x:c>
      <x:c r="B43" s="10" t="str">
        <x:v>C_H1</x:v>
      </x:c>
      <x:c r="C43" s="9" t="str">
        <x:v>源三角形</x:v>
      </x:c>
      <x:c r="D43" s="11" t="n">
        <x:f>SUMIFS('统计计数'!$D$6:$D$95,'统计计数'!$B$6:$B$95,"C_H1",'统计计数'!$A$6:$A$95,"a")</x:f>
        <x:v>5469879</x:v>
      </x:c>
      <x:c r="E43" s="12" t="n">
        <x:f>SUMIFS('统计计数'!$O$6:$O$95,'统计计数'!$B$6:$B$95,"C_H1",'统计计数'!$A$6:$A$95,"a")/$D43</x:f>
        <x:v>0</x:v>
      </x:c>
      <x:c r="F43" s="12" t="n">
        <x:f>SUMIFS('统计计数'!$P$6:$P$95,'统计计数'!$B$6:$B$95,"C_H1",'统计计数'!$A$6:$A$95,"a")/$D43</x:f>
        <x:v>0.1696026548302074</x:v>
      </x:c>
      <x:c r="G43" s="12" t="n">
        <x:f>SUMIFS('统计计数'!$Q$6:$Q$95,'统计计数'!$B$6:$B$95,"C_H1",'统计计数'!$A$6:$A$95,"a")/$D43</x:f>
        <x:v>0</x:v>
      </x:c>
      <x:c r="H43" s="12" t="n">
        <x:f>SUMIFS('统计计数'!$R$6:$R$95,'统计计数'!$B$6:$B$95,"C_H1",'统计计数'!$A$6:$A$95,"a")/$D43</x:f>
        <x:v>0</x:v>
      </x:c>
      <x:c r="I43" s="12" t="n">
        <x:f>SUMIFS('统计计数'!$S$6:$S$95,'统计计数'!$B$6:$B$95,"C_H1",'统计计数'!$A$6:$A$95,"a")/$D43</x:f>
        <x:v>0.8287804903911037</x:v>
      </x:c>
      <x:c r="J43" s="12" t="n">
        <x:f>SUMIFS('统计计数'!$T$6:$T$95,'统计计数'!$B$6:$B$95,"C_H1",'统计计数'!$A$6:$A$95,"a")/$D43</x:f>
        <x:v>0</x:v>
      </x:c>
      <x:c r="K43" s="12" t="n">
        <x:f>SUMIFS('统计计数'!$U$6:$U$95,'统计计数'!$B$6:$B$95,"C_H1",'统计计数'!$A$6:$A$95,"a")/$D43</x:f>
        <x:v>0</x:v>
      </x:c>
      <x:c r="L43" s="12" t="n">
        <x:f>SUMIFS('统计计数'!$V$6:$V$95,'统计计数'!$B$6:$B$95,"C_H1",'统计计数'!$A$6:$A$95,"a")/$D43</x:f>
        <x:v>0</x:v>
      </x:c>
      <x:c r="M43" s="12" t="n">
        <x:f>SUMIFS('统计计数'!$W$6:$W$95,'统计计数'!$B$6:$B$95,"C_H1",'统计计数'!$A$6:$A$95,"a")/$D43</x:f>
        <x:v>0.0016168547786888888</x:v>
      </x:c>
      <x:c r="N43" s="12" t="n">
        <x:f>SUMIFS('统计计数'!$X$6:$X$95,'统计计数'!$B$6:$B$95,"C_H1",'统计计数'!$A$6:$A$95,"a")/$D43</x:f>
        <x:v>0</x:v>
      </x:c>
    </x:row>
    <x:row r="44" ht="24" customHeight="1">
      <x:c r="A44" s="10" t="str">
        <x:v>a</x:v>
      </x:c>
      <x:c r="B44" s="10" t="str">
        <x:v>NG_H0</x:v>
      </x:c>
      <x:c r="C44" s="9" t="str">
        <x:v>节点</x:v>
      </x:c>
      <x:c r="D44" s="11" t="n">
        <x:f>SUMIFS('统计计数'!$C$6:$C$95,'统计计数'!$B$6:$B$95,"NG_H0",'统计计数'!$A$6:$A$95,"a")</x:f>
        <x:v>1778</x:v>
      </x:c>
      <x:c r="E44" s="12" t="n">
        <x:f>SUMIFS('统计计数'!$E$6:$E$95,'统计计数'!$B$6:$B$95,"NG_H0",'统计计数'!$A$6:$A$95,"a")/$D44</x:f>
        <x:v>0</x:v>
      </x:c>
      <x:c r="F44" s="12" t="n">
        <x:f>SUMIFS('统计计数'!$F$6:$F$95,'统计计数'!$B$6:$B$95,"NG_H0",'统计计数'!$A$6:$A$95,"a")/$D44</x:f>
        <x:v>0.09673790776152981</x:v>
      </x:c>
      <x:c r="G44" s="12" t="n">
        <x:f>SUMIFS('统计计数'!$G$6:$G$95,'统计计数'!$B$6:$B$95,"NG_H0",'统计计数'!$A$6:$A$95,"a")/$D44</x:f>
        <x:v>0.3998875140607424</x:v>
      </x:c>
      <x:c r="H44" s="12" t="n">
        <x:f>SUMIFS('统计计数'!$H$6:$H$95,'统计计数'!$B$6:$B$95,"NG_H0",'统计计数'!$A$6:$A$95,"a")/$D44</x:f>
        <x:v>0.2080989876265467</x:v>
      </x:c>
      <x:c r="I44" s="12" t="n">
        <x:f>SUMIFS('统计计数'!$I$6:$I$95,'统计计数'!$B$6:$B$95,"NG_H0",'统计计数'!$A$6:$A$95,"a")/$D44</x:f>
        <x:v>0.15354330708661418</x:v>
      </x:c>
      <x:c r="J44" s="12" t="n">
        <x:f>SUMIFS('统计计数'!$J$6:$J$95,'统计计数'!$B$6:$B$95,"NG_H0",'统计计数'!$A$6:$A$95,"a")/$D44</x:f>
        <x:v>0.08773903262092239</x:v>
      </x:c>
      <x:c r="K44" s="12" t="n">
        <x:f>SUMIFS('统计计数'!$K$6:$K$95,'统计计数'!$B$6:$B$95,"NG_H0",'统计计数'!$A$6:$A$95,"a")/$D44</x:f>
        <x:v>0.010686164229471317</x:v>
      </x:c>
      <x:c r="L44" s="12" t="n">
        <x:f>SUMIFS('统计计数'!$L$6:$L$95,'统计计数'!$B$6:$B$95,"NG_H0",'统计计数'!$A$6:$A$95,"a")/$D44</x:f>
        <x:v>0.012935883014623173</x:v>
      </x:c>
      <x:c r="M44" s="12" t="n">
        <x:f>SUMIFS('统计计数'!$M$6:$M$95,'统计计数'!$B$6:$B$95,"NG_H0",'统计计数'!$A$6:$A$95,"a")/$D44</x:f>
        <x:v>0.026434195725534307</x:v>
      </x:c>
      <x:c r="N44" s="12" t="n">
        <x:f>SUMIFS('统计计数'!$N$6:$N$95,'统计计数'!$B$6:$B$95,"NG_H0",'统计计数'!$A$6:$A$95,"a")/$D44</x:f>
        <x:v>0.003937007874015748</x:v>
      </x:c>
    </x:row>
    <x:row r="45" ht="24" customHeight="1">
      <x:c r="A45" s="10" t="str">
        <x:v>a</x:v>
      </x:c>
      <x:c r="B45" s="10" t="str">
        <x:v>NG_H0</x:v>
      </x:c>
      <x:c r="C45" s="9" t="str">
        <x:v>源三角形</x:v>
      </x:c>
      <x:c r="D45" s="11" t="n">
        <x:f>SUMIFS('统计计数'!$D$6:$D$95,'统计计数'!$B$6:$B$95,"NG_H0",'统计计数'!$A$6:$A$95,"a")</x:f>
        <x:v>5469879</x:v>
      </x:c>
      <x:c r="E45" s="12" t="n">
        <x:f>SUMIFS('统计计数'!$O$6:$O$95,'统计计数'!$B$6:$B$95,"NG_H0",'统计计数'!$A$6:$A$95,"a")/$D45</x:f>
        <x:v>0</x:v>
      </x:c>
      <x:c r="F45" s="12" t="n">
        <x:f>SUMIFS('统计计数'!$P$6:$P$95,'统计计数'!$B$6:$B$95,"NG_H0",'统计计数'!$A$6:$A$95,"a")/$D45</x:f>
        <x:v>0.013901221580952704</x:v>
      </x:c>
      <x:c r="G45" s="12" t="n">
        <x:f>SUMIFS('统计计数'!$Q$6:$Q$95,'统计计数'!$B$6:$B$95,"NG_H0",'统计计数'!$A$6:$A$95,"a")/$D45</x:f>
        <x:v>0.1784068715231178</x:v>
      </x:c>
      <x:c r="H45" s="12" t="n">
        <x:f>SUMIFS('统计计数'!$R$6:$R$95,'统计计数'!$B$6:$B$95,"NG_H0",'统计计数'!$A$6:$A$95,"a")/$D45</x:f>
        <x:v>0.18782243629155235</x:v>
      </x:c>
      <x:c r="I45" s="12" t="n">
        <x:f>SUMIFS('统计计数'!$S$6:$S$95,'统计计数'!$B$6:$B$95,"NG_H0",'统计计数'!$A$6:$A$95,"a")/$D45</x:f>
        <x:v>0.4846781802668761</x:v>
      </x:c>
      <x:c r="J45" s="12" t="n">
        <x:f>SUMIFS('统计计数'!$T$6:$T$95,'统计计数'!$B$6:$B$95,"NG_H0",'统计计数'!$A$6:$A$95,"a")/$D45</x:f>
        <x:v>0.05666962651276198</x:v>
      </x:c>
      <x:c r="K45" s="12" t="n">
        <x:f>SUMIFS('统计计数'!$U$6:$U$95,'统计计数'!$B$6:$B$95,"NG_H0",'统计计数'!$A$6:$A$95,"a")/$D45</x:f>
        <x:v>0.030693549162604878</x:v>
      </x:c>
      <x:c r="L45" s="12" t="n">
        <x:f>SUMIFS('统计计数'!$V$6:$V$95,'统计计数'!$B$6:$B$95,"NG_H0",'统计计数'!$A$6:$A$95,"a")/$D45</x:f>
        <x:v>0.01436777669122114</x:v>
      </x:c>
      <x:c r="M45" s="12" t="n">
        <x:f>SUMIFS('统计计数'!$W$6:$W$95,'统计计数'!$B$6:$B$95,"NG_H0",'统计计数'!$A$6:$A$95,"a")/$D45</x:f>
        <x:v>0.033270937071916945</x:v>
      </x:c>
      <x:c r="N45" s="12" t="n">
        <x:f>SUMIFS('统计计数'!$X$6:$X$95,'统计计数'!$B$6:$B$95,"NG_H0",'统计计数'!$A$6:$A$95,"a")/$D45</x:f>
        <x:v>0.00018940089899612038</x:v>
      </x:c>
    </x:row>
    <x:row r="46" ht="24" customHeight="1">
      <x:c r="A46" s="10" t="str">
        <x:v>a</x:v>
      </x:c>
      <x:c r="B46" s="10" t="str">
        <x:v>NG_H1</x:v>
      </x:c>
      <x:c r="C46" s="9" t="str">
        <x:v>节点</x:v>
      </x:c>
      <x:c r="D46" s="11" t="n">
        <x:f>SUMIFS('统计计数'!$C$6:$C$95,'统计计数'!$B$6:$B$95,"NG_H1",'统计计数'!$A$6:$A$95,"a")</x:f>
        <x:v>1778</x:v>
      </x:c>
      <x:c r="E46" s="12" t="n">
        <x:f>SUMIFS('统计计数'!$E$6:$E$95,'统计计数'!$B$6:$B$95,"NG_H1",'统计计数'!$A$6:$A$95,"a")/$D46</x:f>
        <x:v>0</x:v>
      </x:c>
      <x:c r="F46" s="12" t="n">
        <x:f>SUMIFS('统计计数'!$F$6:$F$95,'统计计数'!$B$6:$B$95,"NG_H1",'统计计数'!$A$6:$A$95,"a")/$D46</x:f>
        <x:v>0.09673790776152981</x:v>
      </x:c>
      <x:c r="G46" s="12" t="n">
        <x:f>SUMIFS('统计计数'!$G$6:$G$95,'统计计数'!$B$6:$B$95,"NG_H1",'统计计数'!$A$6:$A$95,"a")/$D46</x:f>
        <x:v>0.3998875140607424</x:v>
      </x:c>
      <x:c r="H46" s="12" t="n">
        <x:f>SUMIFS('统计计数'!$H$6:$H$95,'统计计数'!$B$6:$B$95,"NG_H1",'统计计数'!$A$6:$A$95,"a")/$D46</x:f>
        <x:v>0.2080989876265467</x:v>
      </x:c>
      <x:c r="I46" s="12" t="n">
        <x:f>SUMIFS('统计计数'!$I$6:$I$95,'统计计数'!$B$6:$B$95,"NG_H1",'统计计数'!$A$6:$A$95,"a")/$D46</x:f>
        <x:v>0.15354330708661418</x:v>
      </x:c>
      <x:c r="J46" s="12" t="n">
        <x:f>SUMIFS('统计计数'!$J$6:$J$95,'统计计数'!$B$6:$B$95,"NG_H1",'统计计数'!$A$6:$A$95,"a")/$D46</x:f>
        <x:v>0.08773903262092239</x:v>
      </x:c>
      <x:c r="K46" s="12" t="n">
        <x:f>SUMIFS('统计计数'!$K$6:$K$95,'统计计数'!$B$6:$B$95,"NG_H1",'统计计数'!$A$6:$A$95,"a")/$D46</x:f>
        <x:v>0.010686164229471317</x:v>
      </x:c>
      <x:c r="L46" s="12" t="n">
        <x:f>SUMIFS('统计计数'!$L$6:$L$95,'统计计数'!$B$6:$B$95,"NG_H1",'统计计数'!$A$6:$A$95,"a")/$D46</x:f>
        <x:v>0.012935883014623173</x:v>
      </x:c>
      <x:c r="M46" s="12" t="n">
        <x:f>SUMIFS('统计计数'!$M$6:$M$95,'统计计数'!$B$6:$B$95,"NG_H1",'统计计数'!$A$6:$A$95,"a")/$D46</x:f>
        <x:v>0.026434195725534307</x:v>
      </x:c>
      <x:c r="N46" s="12" t="n">
        <x:f>SUMIFS('统计计数'!$N$6:$N$95,'统计计数'!$B$6:$B$95,"NG_H1",'统计计数'!$A$6:$A$95,"a")/$D46</x:f>
        <x:v>0.003937007874015748</x:v>
      </x:c>
    </x:row>
    <x:row r="47" ht="24" customHeight="1">
      <x:c r="A47" s="10" t="str">
        <x:v>a</x:v>
      </x:c>
      <x:c r="B47" s="10" t="str">
        <x:v>NG_H1</x:v>
      </x:c>
      <x:c r="C47" s="9" t="str">
        <x:v>源三角形</x:v>
      </x:c>
      <x:c r="D47" s="11" t="n">
        <x:f>SUMIFS('统计计数'!$D$6:$D$95,'统计计数'!$B$6:$B$95,"NG_H1",'统计计数'!$A$6:$A$95,"a")</x:f>
        <x:v>5469879</x:v>
      </x:c>
      <x:c r="E47" s="12" t="n">
        <x:f>SUMIFS('统计计数'!$O$6:$O$95,'统计计数'!$B$6:$B$95,"NG_H1",'统计计数'!$A$6:$A$95,"a")/$D47</x:f>
        <x:v>0</x:v>
      </x:c>
      <x:c r="F47" s="12" t="n">
        <x:f>SUMIFS('统计计数'!$P$6:$P$95,'统计计数'!$B$6:$B$95,"NG_H1",'统计计数'!$A$6:$A$95,"a")/$D47</x:f>
        <x:v>0.013901221580952704</x:v>
      </x:c>
      <x:c r="G47" s="12" t="n">
        <x:f>SUMIFS('统计计数'!$Q$6:$Q$95,'统计计数'!$B$6:$B$95,"NG_H1",'统计计数'!$A$6:$A$95,"a")/$D47</x:f>
        <x:v>0.1784068715231178</x:v>
      </x:c>
      <x:c r="H47" s="12" t="n">
        <x:f>SUMIFS('统计计数'!$R$6:$R$95,'统计计数'!$B$6:$B$95,"NG_H1",'统计计数'!$A$6:$A$95,"a")/$D47</x:f>
        <x:v>0.18782243629155235</x:v>
      </x:c>
      <x:c r="I47" s="12" t="n">
        <x:f>SUMIFS('统计计数'!$S$6:$S$95,'统计计数'!$B$6:$B$95,"NG_H1",'统计计数'!$A$6:$A$95,"a")/$D47</x:f>
        <x:v>0.4846781802668761</x:v>
      </x:c>
      <x:c r="J47" s="12" t="n">
        <x:f>SUMIFS('统计计数'!$T$6:$T$95,'统计计数'!$B$6:$B$95,"NG_H1",'统计计数'!$A$6:$A$95,"a")/$D47</x:f>
        <x:v>0.05666962651276198</x:v>
      </x:c>
      <x:c r="K47" s="12" t="n">
        <x:f>SUMIFS('统计计数'!$U$6:$U$95,'统计计数'!$B$6:$B$95,"NG_H1",'统计计数'!$A$6:$A$95,"a")/$D47</x:f>
        <x:v>0.030693549162604878</x:v>
      </x:c>
      <x:c r="L47" s="12" t="n">
        <x:f>SUMIFS('统计计数'!$V$6:$V$95,'统计计数'!$B$6:$B$95,"NG_H1",'统计计数'!$A$6:$A$95,"a")/$D47</x:f>
        <x:v>0.01436777669122114</x:v>
      </x:c>
      <x:c r="M47" s="12" t="n">
        <x:f>SUMIFS('统计计数'!$W$6:$W$95,'统计计数'!$B$6:$B$95,"NG_H1",'统计计数'!$A$6:$A$95,"a")/$D47</x:f>
        <x:v>0.033270937071916945</x:v>
      </x:c>
      <x:c r="N47" s="12" t="n">
        <x:f>SUMIFS('统计计数'!$X$6:$X$95,'统计计数'!$B$6:$B$95,"NG_H1",'统计计数'!$A$6:$A$95,"a")/$D47</x:f>
        <x:v>0.00018940089899612038</x:v>
      </x:c>
    </x:row>
    <x:row r="48" ht="24" customHeight="1">
      <x:c r="A48" s="10" t="str">
        <x:v>a</x:v>
      </x:c>
      <x:c r="B48" s="10" t="str">
        <x:v>CG_H0</x:v>
      </x:c>
      <x:c r="C48" s="9" t="str">
        <x:v>节点</x:v>
      </x:c>
      <x:c r="D48" s="11" t="n">
        <x:f>SUMIFS('统计计数'!$C$6:$C$95,'统计计数'!$B$6:$B$95,"CG_H0",'统计计数'!$A$6:$A$95,"a")</x:f>
        <x:v>1778</x:v>
      </x:c>
      <x:c r="E48" s="12" t="n">
        <x:f>SUMIFS('统计计数'!$E$6:$E$95,'统计计数'!$B$6:$B$95,"CG_H0",'统计计数'!$A$6:$A$95,"a")/$D48</x:f>
        <x:v>0</x:v>
      </x:c>
      <x:c r="F48" s="12" t="n">
        <x:f>SUMIFS('统计计数'!$F$6:$F$95,'统计计数'!$B$6:$B$95,"CG_H0",'统计计数'!$A$6:$A$95,"a")/$D48</x:f>
        <x:v>0.09955005624296963</x:v>
      </x:c>
      <x:c r="G48" s="12" t="n">
        <x:f>SUMIFS('统计计数'!$G$6:$G$95,'统计计数'!$B$6:$B$95,"CG_H0",'统计计数'!$A$6:$A$95,"a")/$D48</x:f>
        <x:v>0.43532058492688414</x:v>
      </x:c>
      <x:c r="H48" s="12" t="n">
        <x:f>SUMIFS('统计计数'!$H$6:$H$95,'统计计数'!$B$6:$B$95,"CG_H0",'统计计数'!$A$6:$A$95,"a")/$D48</x:f>
        <x:v>0.21541057367829022</x:v>
      </x:c>
      <x:c r="I48" s="12" t="n">
        <x:f>SUMIFS('统计计数'!$I$6:$I$95,'统计计数'!$B$6:$B$95,"CG_H0",'统计计数'!$A$6:$A$95,"a")/$D48</x:f>
        <x:v>0.15354330708661418</x:v>
      </x:c>
      <x:c r="J48" s="12" t="n">
        <x:f>SUMIFS('统计计数'!$J$6:$J$95,'统计计数'!$B$6:$B$95,"CG_H0",'统计计数'!$A$6:$A$95,"a")/$D48</x:f>
        <x:v>0.08380202474690664</x:v>
      </x:c>
      <x:c r="K48" s="12" t="n">
        <x:f>SUMIFS('统计计数'!$K$6:$K$95,'统计计数'!$B$6:$B$95,"CG_H0",'统计计数'!$A$6:$A$95,"a")/$D48</x:f>
        <x:v>0</x:v>
      </x:c>
      <x:c r="L48" s="12" t="n">
        <x:f>SUMIFS('统计计数'!$L$6:$L$95,'统计计数'!$B$6:$B$95,"CG_H0",'统计计数'!$A$6:$A$95,"a")/$D48</x:f>
        <x:v>0</x:v>
      </x:c>
      <x:c r="M48" s="12" t="n">
        <x:f>SUMIFS('统计计数'!$M$6:$M$95,'统计计数'!$B$6:$B$95,"CG_H0",'统计计数'!$A$6:$A$95,"a")/$D48</x:f>
        <x:v>0.012373453318335208</x:v>
      </x:c>
      <x:c r="N48" s="12" t="n">
        <x:f>SUMIFS('统计计数'!$N$6:$N$95,'统计计数'!$B$6:$B$95,"CG_H0",'统计计数'!$A$6:$A$95,"a")/$D48</x:f>
        <x:v>0</x:v>
      </x:c>
    </x:row>
    <x:row r="49" ht="24" customHeight="1">
      <x:c r="A49" s="10" t="str">
        <x:v>a</x:v>
      </x:c>
      <x:c r="B49" s="10" t="str">
        <x:v>CG_H0</x:v>
      </x:c>
      <x:c r="C49" s="9" t="str">
        <x:v>源三角形</x:v>
      </x:c>
      <x:c r="D49" s="11" t="n">
        <x:f>SUMIFS('统计计数'!$D$6:$D$95,'统计计数'!$B$6:$B$95,"CG_H0",'统计计数'!$A$6:$A$95,"a")</x:f>
        <x:v>5469879</x:v>
      </x:c>
      <x:c r="E49" s="12" t="n">
        <x:f>SUMIFS('统计计数'!$O$6:$O$95,'统计计数'!$B$6:$B$95,"CG_H0",'统计计数'!$A$6:$A$95,"a")/$D49</x:f>
        <x:v>0</x:v>
      </x:c>
      <x:c r="F49" s="12" t="n">
        <x:f>SUMIFS('统计计数'!$P$6:$P$95,'统计计数'!$B$6:$B$95,"CG_H0",'统计计数'!$A$6:$A$95,"a")/$D49</x:f>
        <x:v>0.01694553023933436</x:v>
      </x:c>
      <x:c r="G49" s="12" t="n">
        <x:f>SUMIFS('统计计数'!$Q$6:$Q$95,'统计计数'!$B$6:$B$95,"CG_H0",'统计计数'!$A$6:$A$95,"a")/$D49</x:f>
        <x:v>0.24465294387682068</x:v>
      </x:c>
      <x:c r="H49" s="12" t="n">
        <x:f>SUMIFS('统计计数'!$R$6:$R$95,'统计计数'!$B$6:$B$95,"CG_H0",'统计计数'!$A$6:$A$95,"a")/$D49</x:f>
        <x:v>0.19786470596515937</x:v>
      </x:c>
      <x:c r="I49" s="12" t="n">
        <x:f>SUMIFS('统计计数'!$S$6:$S$95,'统计计数'!$B$6:$B$95,"CG_H0",'统计计数'!$A$6:$A$95,"a")/$D49</x:f>
        <x:v>0.4846781802668761</x:v>
      </x:c>
      <x:c r="J49" s="12" t="n">
        <x:f>SUMIFS('统计计数'!$T$6:$T$95,'统计计数'!$B$6:$B$95,"CG_H0",'统计计数'!$A$6:$A$95,"a")/$D49</x:f>
        <x:v>0.05424178487312059</x:v>
      </x:c>
      <x:c r="K49" s="12" t="n">
        <x:f>SUMIFS('统计计数'!$U$6:$U$95,'统计计数'!$B$6:$B$95,"CG_H0",'统计计数'!$A$6:$A$95,"a")/$D49</x:f>
        <x:v>0</x:v>
      </x:c>
      <x:c r="L49" s="12" t="n">
        <x:f>SUMIFS('统计计数'!$V$6:$V$95,'统计计数'!$B$6:$B$95,"CG_H0",'统计计数'!$A$6:$A$95,"a")/$D49</x:f>
        <x:v>0</x:v>
      </x:c>
      <x:c r="M49" s="12" t="n">
        <x:f>SUMIFS('统计计数'!$W$6:$W$95,'统计计数'!$B$6:$B$95,"CG_H0",'统计计数'!$A$6:$A$95,"a")/$D49</x:f>
        <x:v>0.0016168547786888888</x:v>
      </x:c>
      <x:c r="N49" s="12" t="n">
        <x:f>SUMIFS('统计计数'!$X$6:$X$95,'统计计数'!$B$6:$B$95,"CG_H0",'统计计数'!$A$6:$A$95,"a")/$D49</x:f>
        <x:v>0</x:v>
      </x:c>
    </x:row>
    <x:row r="50" ht="24" customHeight="1">
      <x:c r="A50" s="10" t="str">
        <x:v>a</x:v>
      </x:c>
      <x:c r="B50" s="10" t="str">
        <x:v>CG_H1</x:v>
      </x:c>
      <x:c r="C50" s="9" t="str">
        <x:v>节点</x:v>
      </x:c>
      <x:c r="D50" s="11" t="n">
        <x:f>SUMIFS('统计计数'!$C$6:$C$95,'统计计数'!$B$6:$B$95,"CG_H1",'统计计数'!$A$6:$A$95,"a")</x:f>
        <x:v>1778</x:v>
      </x:c>
      <x:c r="E50" s="12" t="n">
        <x:f>SUMIFS('统计计数'!$E$6:$E$95,'统计计数'!$B$6:$B$95,"CG_H1",'统计计数'!$A$6:$A$95,"a")/$D50</x:f>
        <x:v>0</x:v>
      </x:c>
      <x:c r="F50" s="12" t="n">
        <x:f>SUMIFS('统计计数'!$F$6:$F$95,'统计计数'!$B$6:$B$95,"CG_H1",'统计计数'!$A$6:$A$95,"a")/$D50</x:f>
        <x:v>0.09955005624296963</x:v>
      </x:c>
      <x:c r="G50" s="12" t="n">
        <x:f>SUMIFS('统计计数'!$G$6:$G$95,'统计计数'!$B$6:$B$95,"CG_H1",'统计计数'!$A$6:$A$95,"a")/$D50</x:f>
        <x:v>0.43532058492688414</x:v>
      </x:c>
      <x:c r="H50" s="12" t="n">
        <x:f>SUMIFS('统计计数'!$H$6:$H$95,'统计计数'!$B$6:$B$95,"CG_H1",'统计计数'!$A$6:$A$95,"a")/$D50</x:f>
        <x:v>0.21541057367829022</x:v>
      </x:c>
      <x:c r="I50" s="12" t="n">
        <x:f>SUMIFS('统计计数'!$I$6:$I$95,'统计计数'!$B$6:$B$95,"CG_H1",'统计计数'!$A$6:$A$95,"a")/$D50</x:f>
        <x:v>0.15354330708661418</x:v>
      </x:c>
      <x:c r="J50" s="12" t="n">
        <x:f>SUMIFS('统计计数'!$J$6:$J$95,'统计计数'!$B$6:$B$95,"CG_H1",'统计计数'!$A$6:$A$95,"a")/$D50</x:f>
        <x:v>0.08380202474690664</x:v>
      </x:c>
      <x:c r="K50" s="12" t="n">
        <x:f>SUMIFS('统计计数'!$K$6:$K$95,'统计计数'!$B$6:$B$95,"CG_H1",'统计计数'!$A$6:$A$95,"a")/$D50</x:f>
        <x:v>0</x:v>
      </x:c>
      <x:c r="L50" s="12" t="n">
        <x:f>SUMIFS('统计计数'!$L$6:$L$95,'统计计数'!$B$6:$B$95,"CG_H1",'统计计数'!$A$6:$A$95,"a")/$D50</x:f>
        <x:v>0</x:v>
      </x:c>
      <x:c r="M50" s="12" t="n">
        <x:f>SUMIFS('统计计数'!$M$6:$M$95,'统计计数'!$B$6:$B$95,"CG_H1",'统计计数'!$A$6:$A$95,"a")/$D50</x:f>
        <x:v>0.012373453318335208</x:v>
      </x:c>
      <x:c r="N50" s="12" t="n">
        <x:f>SUMIFS('统计计数'!$N$6:$N$95,'统计计数'!$B$6:$B$95,"CG_H1",'统计计数'!$A$6:$A$95,"a")/$D50</x:f>
        <x:v>0</x:v>
      </x:c>
    </x:row>
    <x:row r="51" ht="24" customHeight="1">
      <x:c r="A51" s="10" t="str">
        <x:v>a</x:v>
      </x:c>
      <x:c r="B51" s="10" t="str">
        <x:v>CG_H1</x:v>
      </x:c>
      <x:c r="C51" s="9" t="str">
        <x:v>源三角形</x:v>
      </x:c>
      <x:c r="D51" s="11" t="n">
        <x:f>SUMIFS('统计计数'!$D$6:$D$95,'统计计数'!$B$6:$B$95,"CG_H1",'统计计数'!$A$6:$A$95,"a")</x:f>
        <x:v>5469879</x:v>
      </x:c>
      <x:c r="E51" s="12" t="n">
        <x:f>SUMIFS('统计计数'!$O$6:$O$95,'统计计数'!$B$6:$B$95,"CG_H1",'统计计数'!$A$6:$A$95,"a")/$D51</x:f>
        <x:v>0</x:v>
      </x:c>
      <x:c r="F51" s="12" t="n">
        <x:f>SUMIFS('统计计数'!$P$6:$P$95,'统计计数'!$B$6:$B$95,"CG_H1",'统计计数'!$A$6:$A$95,"a")/$D51</x:f>
        <x:v>0.01694553023933436</x:v>
      </x:c>
      <x:c r="G51" s="12" t="n">
        <x:f>SUMIFS('统计计数'!$Q$6:$Q$95,'统计计数'!$B$6:$B$95,"CG_H1",'统计计数'!$A$6:$A$95,"a")/$D51</x:f>
        <x:v>0.24465294387682068</x:v>
      </x:c>
      <x:c r="H51" s="12" t="n">
        <x:f>SUMIFS('统计计数'!$R$6:$R$95,'统计计数'!$B$6:$B$95,"CG_H1",'统计计数'!$A$6:$A$95,"a")/$D51</x:f>
        <x:v>0.19786470596515937</x:v>
      </x:c>
      <x:c r="I51" s="12" t="n">
        <x:f>SUMIFS('统计计数'!$S$6:$S$95,'统计计数'!$B$6:$B$95,"CG_H1",'统计计数'!$A$6:$A$95,"a")/$D51</x:f>
        <x:v>0.4846781802668761</x:v>
      </x:c>
      <x:c r="J51" s="12" t="n">
        <x:f>SUMIFS('统计计数'!$T$6:$T$95,'统计计数'!$B$6:$B$95,"CG_H1",'统计计数'!$A$6:$A$95,"a")/$D51</x:f>
        <x:v>0.05424178487312059</x:v>
      </x:c>
      <x:c r="K51" s="12" t="n">
        <x:f>SUMIFS('统计计数'!$U$6:$U$95,'统计计数'!$B$6:$B$95,"CG_H1",'统计计数'!$A$6:$A$95,"a")/$D51</x:f>
        <x:v>0</x:v>
      </x:c>
      <x:c r="L51" s="12" t="n">
        <x:f>SUMIFS('统计计数'!$V$6:$V$95,'统计计数'!$B$6:$B$95,"CG_H1",'统计计数'!$A$6:$A$95,"a")/$D51</x:f>
        <x:v>0</x:v>
      </x:c>
      <x:c r="M51" s="12" t="n">
        <x:f>SUMIFS('统计计数'!$W$6:$W$95,'统计计数'!$B$6:$B$95,"CG_H1",'统计计数'!$A$6:$A$95,"a")/$D51</x:f>
        <x:v>0.0016168547786888888</x:v>
      </x:c>
      <x:c r="N51" s="12" t="n">
        <x:f>SUMIFS('统计计数'!$X$6:$X$95,'统计计数'!$B$6:$B$95,"CG_H1",'统计计数'!$A$6:$A$95,"a")/$D51</x:f>
        <x:v>0</x:v>
      </x:c>
    </x:row>
    <x:row r="52" ht="24" customHeight="1">
      <x:c r="A52" s="10" t="str">
        <x:v>a</x:v>
      </x:c>
      <x:c r="B52" s="10" t="str">
        <x:v>NC_H0</x:v>
      </x:c>
      <x:c r="C52" s="9" t="str">
        <x:v>节点</x:v>
      </x:c>
      <x:c r="D52" s="11" t="n">
        <x:f>SUMIFS('统计计数'!$C$6:$C$95,'统计计数'!$B$6:$B$95,"NC_H0",'统计计数'!$A$6:$A$95,"a")</x:f>
        <x:v>1778</x:v>
      </x:c>
      <x:c r="E52" s="12" t="n">
        <x:f>SUMIFS('统计计数'!$E$6:$E$95,'统计计数'!$B$6:$B$95,"NC_H0",'统计计数'!$A$6:$A$95,"a")/$D52</x:f>
        <x:v>0</x:v>
      </x:c>
      <x:c r="F52" s="12" t="n">
        <x:f>SUMIFS('统计计数'!$F$6:$F$95,'统计计数'!$B$6:$B$95,"NC_H0",'统计计数'!$A$6:$A$95,"a")/$D52</x:f>
        <x:v>0.3233970753655793</x:v>
      </x:c>
      <x:c r="G52" s="12" t="n">
        <x:f>SUMIFS('统计计数'!$G$6:$G$95,'统计计数'!$B$6:$B$95,"NC_H0",'统计计数'!$A$6:$A$95,"a")/$D52</x:f>
        <x:v>0.03712035995500562</x:v>
      </x:c>
      <x:c r="H52" s="12" t="n">
        <x:f>SUMIFS('统计计数'!$H$6:$H$95,'统计计数'!$B$6:$B$95,"NC_H0",'统计计数'!$A$6:$A$95,"a")/$D52</x:f>
        <x:v>0</x:v>
      </x:c>
      <x:c r="I52" s="12" t="n">
        <x:f>SUMIFS('统计计数'!$I$6:$I$95,'统计计数'!$B$6:$B$95,"NC_H0",'统计计数'!$A$6:$A$95,"a")/$D52</x:f>
        <x:v>0.5916760404949382</x:v>
      </x:c>
      <x:c r="J52" s="12" t="n">
        <x:f>SUMIFS('统计计数'!$J$6:$J$95,'统计计数'!$B$6:$B$95,"NC_H0",'统计计数'!$A$6:$A$95,"a")/$D52</x:f>
        <x:v>0</x:v>
      </x:c>
      <x:c r="K52" s="12" t="n">
        <x:f>SUMIFS('统计计数'!$K$6:$K$95,'统计计数'!$B$6:$B$95,"NC_H0",'统计计数'!$A$6:$A$95,"a")/$D52</x:f>
        <x:v>0.010686164229471317</x:v>
      </x:c>
      <x:c r="L52" s="12" t="n">
        <x:f>SUMIFS('统计计数'!$L$6:$L$95,'统计计数'!$B$6:$B$95,"NC_H0",'统计计数'!$A$6:$A$95,"a")/$D52</x:f>
        <x:v>0.010686164229471317</x:v>
      </x:c>
      <x:c r="M52" s="12" t="n">
        <x:f>SUMIFS('统计计数'!$M$6:$M$95,'统计计数'!$B$6:$B$95,"NC_H0",'统计计数'!$A$6:$A$95,"a")/$D52</x:f>
        <x:v>0.026434195725534307</x:v>
      </x:c>
      <x:c r="N52" s="12" t="n">
        <x:f>SUMIFS('统计计数'!$N$6:$N$95,'统计计数'!$B$6:$B$95,"NC_H0",'统计计数'!$A$6:$A$95,"a")/$D52</x:f>
        <x:v>0</x:v>
      </x:c>
    </x:row>
    <x:row r="53" ht="24" customHeight="1">
      <x:c r="A53" s="10" t="str">
        <x:v>a</x:v>
      </x:c>
      <x:c r="B53" s="10" t="str">
        <x:v>NC_H0</x:v>
      </x:c>
      <x:c r="C53" s="9" t="str">
        <x:v>源三角形</x:v>
      </x:c>
      <x:c r="D53" s="11" t="n">
        <x:f>SUMIFS('统计计数'!$D$6:$D$95,'统计计数'!$B$6:$B$95,"NC_H0",'统计计数'!$A$6:$A$95,"a")</x:f>
        <x:v>5469879</x:v>
      </x:c>
      <x:c r="E53" s="12" t="n">
        <x:f>SUMIFS('统计计数'!$O$6:$O$95,'统计计数'!$B$6:$B$95,"NC_H0",'统计计数'!$A$6:$A$95,"a")/$D53</x:f>
        <x:v>0</x:v>
      </x:c>
      <x:c r="F53" s="12" t="n">
        <x:f>SUMIFS('统计计数'!$P$6:$P$95,'统计计数'!$B$6:$B$95,"NC_H0",'统计计数'!$A$6:$A$95,"a")/$D53</x:f>
        <x:v>0.15159055620791612</x:v>
      </x:c>
      <x:c r="G53" s="12" t="n">
        <x:f>SUMIFS('统计计数'!$Q$6:$Q$95,'统计计数'!$B$6:$B$95,"NC_H0",'统计计数'!$A$6:$A$95,"a")/$D53</x:f>
        <x:v>0.016132715184376107</x:v>
      </x:c>
      <x:c r="H53" s="12" t="n">
        <x:f>SUMIFS('统计计数'!$R$6:$R$95,'统计计数'!$B$6:$B$95,"NC_H0",'统计计数'!$A$6:$A$95,"a")/$D53</x:f>
        <x:v>0</x:v>
      </x:c>
      <x:c r="I53" s="12" t="n">
        <x:f>SUMIFS('统计计数'!$S$6:$S$95,'统计计数'!$B$6:$B$95,"NC_H0",'统计计数'!$A$6:$A$95,"a")/$D53</x:f>
        <x:v>0.7771256000361251</x:v>
      </x:c>
      <x:c r="J53" s="12" t="n">
        <x:f>SUMIFS('统计计数'!$T$6:$T$95,'统计计数'!$B$6:$B$95,"NC_H0",'统计计数'!$A$6:$A$95,"a")/$D53</x:f>
        <x:v>0</x:v>
      </x:c>
      <x:c r="K53" s="12" t="n">
        <x:f>SUMIFS('统计计数'!$U$6:$U$95,'统计计数'!$B$6:$B$95,"NC_H0",'统计计数'!$A$6:$A$95,"a")/$D53</x:f>
        <x:v>0.030693549162604878</x:v>
      </x:c>
      <x:c r="L53" s="12" t="n">
        <x:f>SUMIFS('统计计数'!$V$6:$V$95,'统计计数'!$B$6:$B$95,"NC_H0",'统计计数'!$A$6:$A$95,"a")/$D53</x:f>
        <x:v>0.013261353678938785</x:v>
      </x:c>
      <x:c r="M53" s="12" t="n">
        <x:f>SUMIFS('统计计数'!$W$6:$W$95,'统计计数'!$B$6:$B$95,"NC_H0",'统计计数'!$A$6:$A$95,"a")/$D53</x:f>
        <x:v>0.011196225730039</x:v>
      </x:c>
      <x:c r="N53" s="12" t="n">
        <x:f>SUMIFS('统计计数'!$X$6:$X$95,'统计计数'!$B$6:$B$95,"NC_H0",'统计计数'!$A$6:$A$95,"a")/$D53</x:f>
        <x:v>0</x:v>
      </x:c>
    </x:row>
    <x:row r="54" ht="24" customHeight="1">
      <x:c r="A54" s="10" t="str">
        <x:v>a</x:v>
      </x:c>
      <x:c r="B54" s="10" t="str">
        <x:v>NC_H1</x:v>
      </x:c>
      <x:c r="C54" s="9" t="str">
        <x:v>节点</x:v>
      </x:c>
      <x:c r="D54" s="11" t="n">
        <x:f>SUMIFS('统计计数'!$C$6:$C$95,'统计计数'!$B$6:$B$95,"NC_H1",'统计计数'!$A$6:$A$95,"a")</x:f>
        <x:v>1778</x:v>
      </x:c>
      <x:c r="E54" s="12" t="n">
        <x:f>SUMIFS('统计计数'!$E$6:$E$95,'统计计数'!$B$6:$B$95,"NC_H1",'统计计数'!$A$6:$A$95,"a")/$D54</x:f>
        <x:v>0</x:v>
      </x:c>
      <x:c r="F54" s="12" t="n">
        <x:f>SUMIFS('统计计数'!$F$6:$F$95,'统计计数'!$B$6:$B$95,"NC_H1",'统计计数'!$A$6:$A$95,"a")/$D54</x:f>
        <x:v>0.3233970753655793</x:v>
      </x:c>
      <x:c r="G54" s="12" t="n">
        <x:f>SUMIFS('统计计数'!$G$6:$G$95,'统计计数'!$B$6:$B$95,"NC_H1",'统计计数'!$A$6:$A$95,"a")/$D54</x:f>
        <x:v>0.03712035995500562</x:v>
      </x:c>
      <x:c r="H54" s="12" t="n">
        <x:f>SUMIFS('统计计数'!$H$6:$H$95,'统计计数'!$B$6:$B$95,"NC_H1",'统计计数'!$A$6:$A$95,"a")/$D54</x:f>
        <x:v>0</x:v>
      </x:c>
      <x:c r="I54" s="12" t="n">
        <x:f>SUMIFS('统计计数'!$I$6:$I$95,'统计计数'!$B$6:$B$95,"NC_H1",'统计计数'!$A$6:$A$95,"a")/$D54</x:f>
        <x:v>0.5916760404949382</x:v>
      </x:c>
      <x:c r="J54" s="12" t="n">
        <x:f>SUMIFS('统计计数'!$J$6:$J$95,'统计计数'!$B$6:$B$95,"NC_H1",'统计计数'!$A$6:$A$95,"a")/$D54</x:f>
        <x:v>0</x:v>
      </x:c>
      <x:c r="K54" s="12" t="n">
        <x:f>SUMIFS('统计计数'!$K$6:$K$95,'统计计数'!$B$6:$B$95,"NC_H1",'统计计数'!$A$6:$A$95,"a")/$D54</x:f>
        <x:v>0.010686164229471317</x:v>
      </x:c>
      <x:c r="L54" s="12" t="n">
        <x:f>SUMIFS('统计计数'!$L$6:$L$95,'统计计数'!$B$6:$B$95,"NC_H1",'统计计数'!$A$6:$A$95,"a")/$D54</x:f>
        <x:v>0.010686164229471317</x:v>
      </x:c>
      <x:c r="M54" s="12" t="n">
        <x:f>SUMIFS('统计计数'!$M$6:$M$95,'统计计数'!$B$6:$B$95,"NC_H1",'统计计数'!$A$6:$A$95,"a")/$D54</x:f>
        <x:v>0.026434195725534307</x:v>
      </x:c>
      <x:c r="N54" s="12" t="n">
        <x:f>SUMIFS('统计计数'!$N$6:$N$95,'统计计数'!$B$6:$B$95,"NC_H1",'统计计数'!$A$6:$A$95,"a")/$D54</x:f>
        <x:v>0</x:v>
      </x:c>
    </x:row>
    <x:row r="55" ht="24" customHeight="1">
      <x:c r="A55" s="10" t="str">
        <x:v>a</x:v>
      </x:c>
      <x:c r="B55" s="10" t="str">
        <x:v>NC_H1</x:v>
      </x:c>
      <x:c r="C55" s="9" t="str">
        <x:v>源三角形</x:v>
      </x:c>
      <x:c r="D55" s="11" t="n">
        <x:f>SUMIFS('统计计数'!$D$6:$D$95,'统计计数'!$B$6:$B$95,"NC_H1",'统计计数'!$A$6:$A$95,"a")</x:f>
        <x:v>5469879</x:v>
      </x:c>
      <x:c r="E55" s="12" t="n">
        <x:f>SUMIFS('统计计数'!$O$6:$O$95,'统计计数'!$B$6:$B$95,"NC_H1",'统计计数'!$A$6:$A$95,"a")/$D55</x:f>
        <x:v>0</x:v>
      </x:c>
      <x:c r="F55" s="12" t="n">
        <x:f>SUMIFS('统计计数'!$P$6:$P$95,'统计计数'!$B$6:$B$95,"NC_H1",'统计计数'!$A$6:$A$95,"a")/$D55</x:f>
        <x:v>0.15159055620791612</x:v>
      </x:c>
      <x:c r="G55" s="12" t="n">
        <x:f>SUMIFS('统计计数'!$Q$6:$Q$95,'统计计数'!$B$6:$B$95,"NC_H1",'统计计数'!$A$6:$A$95,"a")/$D55</x:f>
        <x:v>0.016132715184376107</x:v>
      </x:c>
      <x:c r="H55" s="12" t="n">
        <x:f>SUMIFS('统计计数'!$R$6:$R$95,'统计计数'!$B$6:$B$95,"NC_H1",'统计计数'!$A$6:$A$95,"a")/$D55</x:f>
        <x:v>0</x:v>
      </x:c>
      <x:c r="I55" s="12" t="n">
        <x:f>SUMIFS('统计计数'!$S$6:$S$95,'统计计数'!$B$6:$B$95,"NC_H1",'统计计数'!$A$6:$A$95,"a")/$D55</x:f>
        <x:v>0.7771256000361251</x:v>
      </x:c>
      <x:c r="J55" s="12" t="n">
        <x:f>SUMIFS('统计计数'!$T$6:$T$95,'统计计数'!$B$6:$B$95,"NC_H1",'统计计数'!$A$6:$A$95,"a")/$D55</x:f>
        <x:v>0</x:v>
      </x:c>
      <x:c r="K55" s="12" t="n">
        <x:f>SUMIFS('统计计数'!$U$6:$U$95,'统计计数'!$B$6:$B$95,"NC_H1",'统计计数'!$A$6:$A$95,"a")/$D55</x:f>
        <x:v>0.030693549162604878</x:v>
      </x:c>
      <x:c r="L55" s="12" t="n">
        <x:f>SUMIFS('统计计数'!$V$6:$V$95,'统计计数'!$B$6:$B$95,"NC_H1",'统计计数'!$A$6:$A$95,"a")/$D55</x:f>
        <x:v>0.013261353678938785</x:v>
      </x:c>
      <x:c r="M55" s="12" t="n">
        <x:f>SUMIFS('统计计数'!$W$6:$W$95,'统计计数'!$B$6:$B$95,"NC_H1",'统计计数'!$A$6:$A$95,"a")/$D55</x:f>
        <x:v>0.011196225730039</x:v>
      </x:c>
      <x:c r="N55" s="12" t="n">
        <x:f>SUMIFS('统计计数'!$X$6:$X$95,'统计计数'!$B$6:$B$95,"NC_H1",'统计计数'!$A$6:$A$95,"a")/$D55</x:f>
        <x:v>0</x:v>
      </x:c>
    </x:row>
    <x:row r="56" ht="24" customHeight="1">
      <x:c r="A56" s="10" t="str">
        <x:v>a</x:v>
      </x:c>
      <x:c r="B56" s="10" t="str">
        <x:v>NCG_H0</x:v>
      </x:c>
      <x:c r="C56" s="9" t="str">
        <x:v>节点</x:v>
      </x:c>
      <x:c r="D56" s="11" t="n">
        <x:f>SUMIFS('统计计数'!$C$6:$C$95,'统计计数'!$B$6:$B$95,"NCG_H0",'统计计数'!$A$6:$A$95,"a")</x:f>
        <x:v>1778</x:v>
      </x:c>
      <x:c r="E56" s="12" t="n">
        <x:f>SUMIFS('统计计数'!$E$6:$E$95,'统计计数'!$B$6:$B$95,"NCG_H0",'统计计数'!$A$6:$A$95,"a")/$D56</x:f>
        <x:v>0</x:v>
      </x:c>
      <x:c r="F56" s="12" t="n">
        <x:f>SUMIFS('统计计数'!$F$6:$F$95,'统计计数'!$B$6:$B$95,"NCG_H0",'统计计数'!$A$6:$A$95,"a")/$D56</x:f>
        <x:v>0.08717660292463442</x:v>
      </x:c>
      <x:c r="G56" s="12" t="n">
        <x:f>SUMIFS('统计计数'!$G$6:$G$95,'统计计数'!$B$6:$B$95,"NCG_H0",'统计计数'!$A$6:$A$95,"a")/$D56</x:f>
        <x:v>0.3661417322834646</x:v>
      </x:c>
      <x:c r="H56" s="12" t="n">
        <x:f>SUMIFS('统计计数'!$H$6:$H$95,'统计计数'!$B$6:$B$95,"NCG_H0",'统计计数'!$A$6:$A$95,"a")/$D56</x:f>
        <x:v>0.25871766029246346</x:v>
      </x:c>
      <x:c r="I56" s="12" t="n">
        <x:f>SUMIFS('统计计数'!$I$6:$I$95,'统计计数'!$B$6:$B$95,"NCG_H0",'统计计数'!$A$6:$A$95,"a")/$D56</x:f>
        <x:v>0.14791901012373454</x:v>
      </x:c>
      <x:c r="J56" s="12" t="n">
        <x:f>SUMIFS('统计计数'!$J$6:$J$95,'统计计数'!$B$6:$B$95,"NCG_H0",'统计计数'!$A$6:$A$95,"a")/$D56</x:f>
        <x:v>0.0922384701912261</x:v>
      </x:c>
      <x:c r="K56" s="12" t="n">
        <x:f>SUMIFS('统计计数'!$K$6:$K$95,'统计计数'!$B$6:$B$95,"NCG_H0",'统计计数'!$A$6:$A$95,"a")/$D56</x:f>
        <x:v>0.010686164229471317</x:v>
      </x:c>
      <x:c r="L56" s="12" t="n">
        <x:f>SUMIFS('统计计数'!$L$6:$L$95,'统计计数'!$B$6:$B$95,"NCG_H0",'统计计数'!$A$6:$A$95,"a")/$D56</x:f>
        <x:v>0.010686164229471317</x:v>
      </x:c>
      <x:c r="M56" s="12" t="n">
        <x:f>SUMIFS('统计计数'!$M$6:$M$95,'统计计数'!$B$6:$B$95,"NCG_H0",'统计计数'!$A$6:$A$95,"a")/$D56</x:f>
        <x:v>0.02249718785151856</x:v>
      </x:c>
      <x:c r="N56" s="12" t="n">
        <x:f>SUMIFS('统计计数'!$N$6:$N$95,'统计计数'!$B$6:$B$95,"NCG_H0",'统计计数'!$A$6:$A$95,"a")/$D56</x:f>
        <x:v>0.003937007874015748</x:v>
      </x:c>
    </x:row>
    <x:row r="57" ht="24" customHeight="1">
      <x:c r="A57" s="10" t="str">
        <x:v>a</x:v>
      </x:c>
      <x:c r="B57" s="10" t="str">
        <x:v>NCG_H0</x:v>
      </x:c>
      <x:c r="C57" s="9" t="str">
        <x:v>源三角形</x:v>
      </x:c>
      <x:c r="D57" s="11" t="n">
        <x:f>SUMIFS('统计计数'!$D$6:$D$95,'统计计数'!$B$6:$B$95,"NCG_H0",'统计计数'!$A$6:$A$95,"a")</x:f>
        <x:v>5469879</x:v>
      </x:c>
      <x:c r="E57" s="12" t="n">
        <x:f>SUMIFS('统计计数'!$O$6:$O$95,'统计计数'!$B$6:$B$95,"NCG_H0",'统计计数'!$A$6:$A$95,"a")/$D57</x:f>
        <x:v>0</x:v>
      </x:c>
      <x:c r="F57" s="12" t="n">
        <x:f>SUMIFS('统计计数'!$P$6:$P$95,'统计计数'!$B$6:$B$95,"NCG_H0",'统计计数'!$A$6:$A$95,"a")/$D57</x:f>
        <x:v>0.014476737053964081</x:v>
      </x:c>
      <x:c r="G57" s="12" t="n">
        <x:f>SUMIFS('统计计数'!$Q$6:$Q$95,'统计计数'!$B$6:$B$95,"NCG_H0",'统计计数'!$A$6:$A$95,"a")/$D57</x:f>
        <x:v>0.17305903841748602</x:v>
      </x:c>
      <x:c r="H57" s="12" t="n">
        <x:f>SUMIFS('统计计数'!$R$6:$R$95,'统计计数'!$B$6:$B$95,"NCG_H0",'统计计数'!$A$6:$A$95,"a")/$D57</x:f>
        <x:v>0.21806917483915092</x:v>
      </x:c>
      <x:c r="I57" s="12" t="n">
        <x:f>SUMIFS('统计计数'!$S$6:$S$95,'统计计数'!$B$6:$B$95,"NCG_H0",'统计计数'!$A$6:$A$95,"a")/$D57</x:f>
        <x:v>0.4829699157878995</x:v>
      </x:c>
      <x:c r="J57" s="12" t="n">
        <x:f>SUMIFS('统计计数'!$T$6:$T$95,'统计计数'!$B$6:$B$95,"NCG_H0",'统计计数'!$A$6:$A$95,"a")/$D57</x:f>
        <x:v>0.056274005329916804</x:v>
      </x:c>
      <x:c r="K57" s="12" t="n">
        <x:f>SUMIFS('统计计数'!$U$6:$U$95,'统计计数'!$B$6:$B$95,"NCG_H0",'统计计数'!$A$6:$A$95,"a")/$D57</x:f>
        <x:v>0.030693549162604878</x:v>
      </x:c>
      <x:c r="L57" s="12" t="n">
        <x:f>SUMIFS('统计计数'!$V$6:$V$95,'统计计数'!$B$6:$B$95,"NCG_H0",'统计计数'!$A$6:$A$95,"a")/$D57</x:f>
        <x:v>0.013261353678938785</x:v>
      </x:c>
      <x:c r="M57" s="12" t="n">
        <x:f>SUMIFS('统计计数'!$W$6:$W$95,'统计计数'!$B$6:$B$95,"NCG_H0",'统计计数'!$A$6:$A$95,"a")/$D57</x:f>
        <x:v>0.01100682483104288</x:v>
      </x:c>
      <x:c r="N57" s="12" t="n">
        <x:f>SUMIFS('统计计数'!$X$6:$X$95,'统计计数'!$B$6:$B$95,"NCG_H0",'统计计数'!$A$6:$A$95,"a")/$D57</x:f>
        <x:v>0.00018940089899612038</x:v>
      </x:c>
    </x:row>
    <x:row r="58" ht="24" customHeight="1">
      <x:c r="A58" s="10" t="str">
        <x:v>a</x:v>
      </x:c>
      <x:c r="B58" s="10" t="str">
        <x:v>NCG_H1</x:v>
      </x:c>
      <x:c r="C58" s="9" t="str">
        <x:v>节点</x:v>
      </x:c>
      <x:c r="D58" s="11" t="n">
        <x:f>SUMIFS('统计计数'!$C$6:$C$95,'统计计数'!$B$6:$B$95,"NCG_H1",'统计计数'!$A$6:$A$95,"a")</x:f>
        <x:v>1778</x:v>
      </x:c>
      <x:c r="E58" s="12" t="n">
        <x:f>SUMIFS('统计计数'!$E$6:$E$95,'统计计数'!$B$6:$B$95,"NCG_H1",'统计计数'!$A$6:$A$95,"a")/$D58</x:f>
        <x:v>0</x:v>
      </x:c>
      <x:c r="F58" s="12" t="n">
        <x:f>SUMIFS('统计计数'!$F$6:$F$95,'统计计数'!$B$6:$B$95,"NCG_H1",'统计计数'!$A$6:$A$95,"a")/$D58</x:f>
        <x:v>0.08717660292463442</x:v>
      </x:c>
      <x:c r="G58" s="12" t="n">
        <x:f>SUMIFS('统计计数'!$G$6:$G$95,'统计计数'!$B$6:$B$95,"NCG_H1",'统计计数'!$A$6:$A$95,"a")/$D58</x:f>
        <x:v>0.3661417322834646</x:v>
      </x:c>
      <x:c r="H58" s="12" t="n">
        <x:f>SUMIFS('统计计数'!$H$6:$H$95,'统计计数'!$B$6:$B$95,"NCG_H1",'统计计数'!$A$6:$A$95,"a")/$D58</x:f>
        <x:v>0.25871766029246346</x:v>
      </x:c>
      <x:c r="I58" s="12" t="n">
        <x:f>SUMIFS('统计计数'!$I$6:$I$95,'统计计数'!$B$6:$B$95,"NCG_H1",'统计计数'!$A$6:$A$95,"a")/$D58</x:f>
        <x:v>0.14791901012373454</x:v>
      </x:c>
      <x:c r="J58" s="12" t="n">
        <x:f>SUMIFS('统计计数'!$J$6:$J$95,'统计计数'!$B$6:$B$95,"NCG_H1",'统计计数'!$A$6:$A$95,"a")/$D58</x:f>
        <x:v>0.0922384701912261</x:v>
      </x:c>
      <x:c r="K58" s="12" t="n">
        <x:f>SUMIFS('统计计数'!$K$6:$K$95,'统计计数'!$B$6:$B$95,"NCG_H1",'统计计数'!$A$6:$A$95,"a")/$D58</x:f>
        <x:v>0.010686164229471317</x:v>
      </x:c>
      <x:c r="L58" s="12" t="n">
        <x:f>SUMIFS('统计计数'!$L$6:$L$95,'统计计数'!$B$6:$B$95,"NCG_H1",'统计计数'!$A$6:$A$95,"a")/$D58</x:f>
        <x:v>0.010686164229471317</x:v>
      </x:c>
      <x:c r="M58" s="12" t="n">
        <x:f>SUMIFS('统计计数'!$M$6:$M$95,'统计计数'!$B$6:$B$95,"NCG_H1",'统计计数'!$A$6:$A$95,"a")/$D58</x:f>
        <x:v>0.02249718785151856</x:v>
      </x:c>
      <x:c r="N58" s="12" t="n">
        <x:f>SUMIFS('统计计数'!$N$6:$N$95,'统计计数'!$B$6:$B$95,"NCG_H1",'统计计数'!$A$6:$A$95,"a")/$D58</x:f>
        <x:v>0.003937007874015748</x:v>
      </x:c>
    </x:row>
    <x:row r="59" ht="24" customHeight="1">
      <x:c r="A59" s="10" t="str">
        <x:v>a</x:v>
      </x:c>
      <x:c r="B59" s="10" t="str">
        <x:v>NCG_H1</x:v>
      </x:c>
      <x:c r="C59" s="9" t="str">
        <x:v>源三角形</x:v>
      </x:c>
      <x:c r="D59" s="11" t="n">
        <x:f>SUMIFS('统计计数'!$D$6:$D$95,'统计计数'!$B$6:$B$95,"NCG_H1",'统计计数'!$A$6:$A$95,"a")</x:f>
        <x:v>5469879</x:v>
      </x:c>
      <x:c r="E59" s="12" t="n">
        <x:f>SUMIFS('统计计数'!$O$6:$O$95,'统计计数'!$B$6:$B$95,"NCG_H1",'统计计数'!$A$6:$A$95,"a")/$D59</x:f>
        <x:v>0</x:v>
      </x:c>
      <x:c r="F59" s="12" t="n">
        <x:f>SUMIFS('统计计数'!$P$6:$P$95,'统计计数'!$B$6:$B$95,"NCG_H1",'统计计数'!$A$6:$A$95,"a")/$D59</x:f>
        <x:v>0.014476737053964081</x:v>
      </x:c>
      <x:c r="G59" s="12" t="n">
        <x:f>SUMIFS('统计计数'!$Q$6:$Q$95,'统计计数'!$B$6:$B$95,"NCG_H1",'统计计数'!$A$6:$A$95,"a")/$D59</x:f>
        <x:v>0.17305903841748602</x:v>
      </x:c>
      <x:c r="H59" s="12" t="n">
        <x:f>SUMIFS('统计计数'!$R$6:$R$95,'统计计数'!$B$6:$B$95,"NCG_H1",'统计计数'!$A$6:$A$95,"a")/$D59</x:f>
        <x:v>0.21806917483915092</x:v>
      </x:c>
      <x:c r="I59" s="12" t="n">
        <x:f>SUMIFS('统计计数'!$S$6:$S$95,'统计计数'!$B$6:$B$95,"NCG_H1",'统计计数'!$A$6:$A$95,"a")/$D59</x:f>
        <x:v>0.4829699157878995</x:v>
      </x:c>
      <x:c r="J59" s="12" t="n">
        <x:f>SUMIFS('统计计数'!$T$6:$T$95,'统计计数'!$B$6:$B$95,"NCG_H1",'统计计数'!$A$6:$A$95,"a")/$D59</x:f>
        <x:v>0.056274005329916804</x:v>
      </x:c>
      <x:c r="K59" s="12" t="n">
        <x:f>SUMIFS('统计计数'!$U$6:$U$95,'统计计数'!$B$6:$B$95,"NCG_H1",'统计计数'!$A$6:$A$95,"a")/$D59</x:f>
        <x:v>0.030693549162604878</x:v>
      </x:c>
      <x:c r="L59" s="12" t="n">
        <x:f>SUMIFS('统计计数'!$V$6:$V$95,'统计计数'!$B$6:$B$95,"NCG_H1",'统计计数'!$A$6:$A$95,"a")/$D59</x:f>
        <x:v>0.013261353678938785</x:v>
      </x:c>
      <x:c r="M59" s="12" t="n">
        <x:f>SUMIFS('统计计数'!$W$6:$W$95,'统计计数'!$B$6:$B$95,"NCG_H1",'统计计数'!$A$6:$A$95,"a")/$D59</x:f>
        <x:v>0.01100682483104288</x:v>
      </x:c>
      <x:c r="N59" s="12" t="n">
        <x:f>SUMIFS('统计计数'!$X$6:$X$95,'统计计数'!$B$6:$B$95,"NCG_H1",'统计计数'!$A$6:$A$95,"a")/$D59</x:f>
        <x:v>0.00018940089899612038</x:v>
      </x:c>
    </x:row>
    <x:row r="60" ht="24" customHeight="1">
      <x:c r="A60" s="10" t="str">
        <x:v>a</x:v>
      </x:c>
      <x:c r="B60" s="10" t="str">
        <x:v>G_H0</x:v>
      </x:c>
      <x:c r="C60" s="9" t="str">
        <x:v>节点</x:v>
      </x:c>
      <x:c r="D60" s="11" t="n">
        <x:f>SUMIFS('统计计数'!$C$6:$C$95,'统计计数'!$B$6:$B$95,"G_H0",'统计计数'!$A$6:$A$95,"a")</x:f>
        <x:v>1778</x:v>
      </x:c>
      <x:c r="E60" s="12" t="n">
        <x:f>SUMIFS('统计计数'!$E$6:$E$95,'统计计数'!$B$6:$B$95,"G_H0",'统计计数'!$A$6:$A$95,"a")/$D60</x:f>
        <x:v>0</x:v>
      </x:c>
      <x:c r="F60" s="12" t="n">
        <x:f>SUMIFS('统计计数'!$F$6:$F$95,'统计计数'!$B$6:$B$95,"G_H0",'统计计数'!$A$6:$A$95,"a")/$D60</x:f>
        <x:v>0.051181102362204724</x:v>
      </x:c>
      <x:c r="G60" s="12" t="n">
        <x:f>SUMIFS('统计计数'!$G$6:$G$95,'统计计数'!$B$6:$B$95,"G_H0",'统计计数'!$A$6:$A$95,"a")/$D60</x:f>
        <x:v>0.4938132733408324</x:v>
      </x:c>
      <x:c r="H60" s="12" t="n">
        <x:f>SUMIFS('统计计数'!$H$6:$H$95,'统计计数'!$B$6:$B$95,"G_H0",'统计计数'!$A$6:$A$95,"a")/$D60</x:f>
        <x:v>0.21766029246344207</x:v>
      </x:c>
      <x:c r="I60" s="12" t="n">
        <x:f>SUMIFS('统计计数'!$I$6:$I$95,'统计计数'!$B$6:$B$95,"G_H0",'统计计数'!$A$6:$A$95,"a")/$D60</x:f>
        <x:v>0.15354330708661418</x:v>
      </x:c>
      <x:c r="J60" s="12" t="n">
        <x:f>SUMIFS('统计计数'!$J$6:$J$95,'统计计数'!$B$6:$B$95,"G_H0",'统计计数'!$A$6:$A$95,"a")/$D60</x:f>
        <x:v>0.08380202474690664</x:v>
      </x:c>
      <x:c r="K60" s="12" t="n">
        <x:f>SUMIFS('统计计数'!$K$6:$K$95,'统计计数'!$B$6:$B$95,"G_H0",'统计计数'!$A$6:$A$95,"a")/$D60</x:f>
        <x:v>0</x:v>
      </x:c>
      <x:c r="L60" s="12" t="n">
        <x:f>SUMIFS('统计计数'!$L$6:$L$95,'统计计数'!$B$6:$B$95,"G_H0",'统计计数'!$A$6:$A$95,"a")/$D60</x:f>
        <x:v>0</x:v>
      </x:c>
      <x:c r="M60" s="12" t="n">
        <x:f>SUMIFS('统计计数'!$M$6:$M$95,'统计计数'!$B$6:$B$95,"G_H0",'统计计数'!$A$6:$A$95,"a")/$D60</x:f>
        <x:v>0</x:v>
      </x:c>
      <x:c r="N60" s="12" t="n">
        <x:f>SUMIFS('统计计数'!$N$6:$N$95,'统计计数'!$B$6:$B$95,"G_H0",'统计计数'!$A$6:$A$95,"a")/$D60</x:f>
        <x:v>0</x:v>
      </x:c>
    </x:row>
    <x:row r="61" ht="24" customHeight="1">
      <x:c r="A61" s="10" t="str">
        <x:v>a</x:v>
      </x:c>
      <x:c r="B61" s="10" t="str">
        <x:v>G_H0</x:v>
      </x:c>
      <x:c r="C61" s="9" t="str">
        <x:v>源三角形</x:v>
      </x:c>
      <x:c r="D61" s="11" t="n">
        <x:f>SUMIFS('统计计数'!$D$6:$D$95,'统计计数'!$B$6:$B$95,"G_H0",'统计计数'!$A$6:$A$95,"a")</x:f>
        <x:v>5469879</x:v>
      </x:c>
      <x:c r="E61" s="12" t="n">
        <x:f>SUMIFS('统计计数'!$O$6:$O$95,'统计计数'!$B$6:$B$95,"G_H0",'统计计数'!$A$6:$A$95,"a")/$D61</x:f>
        <x:v>0</x:v>
      </x:c>
      <x:c r="F61" s="12" t="n">
        <x:f>SUMIFS('统计计数'!$P$6:$P$95,'统计计数'!$B$6:$B$95,"G_H0",'统计计数'!$A$6:$A$95,"a")/$D61</x:f>
        <x:v>0.007050613002591099</x:v>
      </x:c>
      <x:c r="G61" s="12" t="n">
        <x:f>SUMIFS('统计计数'!$Q$6:$Q$95,'统计计数'!$B$6:$B$95,"G_H0",'统计计数'!$A$6:$A$95,"a")/$D61</x:f>
        <x:v>0.2555241167126366</x:v>
      </x:c>
      <x:c r="H61" s="12" t="n">
        <x:f>SUMIFS('统计计数'!$R$6:$R$95,'统计计数'!$B$6:$B$95,"G_H0",'统计计数'!$A$6:$A$95,"a")/$D61</x:f>
        <x:v>0.1985053051447756</x:v>
      </x:c>
      <x:c r="I61" s="12" t="n">
        <x:f>SUMIFS('统计计数'!$S$6:$S$95,'统计计数'!$B$6:$B$95,"G_H0",'统计计数'!$A$6:$A$95,"a")/$D61</x:f>
        <x:v>0.4846781802668761</x:v>
      </x:c>
      <x:c r="J61" s="12" t="n">
        <x:f>SUMIFS('统计计数'!$T$6:$T$95,'统计计数'!$B$6:$B$95,"G_H0",'统计计数'!$A$6:$A$95,"a")/$D61</x:f>
        <x:v>0.05424178487312059</x:v>
      </x:c>
      <x:c r="K61" s="12" t="n">
        <x:f>SUMIFS('统计计数'!$U$6:$U$95,'统计计数'!$B$6:$B$95,"G_H0",'统计计数'!$A$6:$A$95,"a")/$D61</x:f>
        <x:v>0</x:v>
      </x:c>
      <x:c r="L61" s="12" t="n">
        <x:f>SUMIFS('统计计数'!$V$6:$V$95,'统计计数'!$B$6:$B$95,"G_H0",'统计计数'!$A$6:$A$95,"a")/$D61</x:f>
        <x:v>0</x:v>
      </x:c>
      <x:c r="M61" s="12" t="n">
        <x:f>SUMIFS('统计计数'!$W$6:$W$95,'统计计数'!$B$6:$B$95,"G_H0",'统计计数'!$A$6:$A$95,"a")/$D61</x:f>
        <x:v>0</x:v>
      </x:c>
      <x:c r="N61" s="12" t="n">
        <x:f>SUMIFS('统计计数'!$X$6:$X$95,'统计计数'!$B$6:$B$95,"G_H0",'统计计数'!$A$6:$A$95,"a")/$D61</x:f>
        <x:v>0</x:v>
      </x:c>
    </x:row>
    <x:row r="62" ht="24" customHeight="1">
      <x:c r="A62" s="10" t="str">
        <x:v>a</x:v>
      </x:c>
      <x:c r="B62" s="10" t="str">
        <x:v>G_H1</x:v>
      </x:c>
      <x:c r="C62" s="9" t="str">
        <x:v>节点</x:v>
      </x:c>
      <x:c r="D62" s="11" t="n">
        <x:f>SUMIFS('统计计数'!$C$6:$C$95,'统计计数'!$B$6:$B$95,"G_H1",'统计计数'!$A$6:$A$95,"a")</x:f>
        <x:v>1778</x:v>
      </x:c>
      <x:c r="E62" s="12" t="n">
        <x:f>SUMIFS('统计计数'!$E$6:$E$95,'统计计数'!$B$6:$B$95,"G_H1",'统计计数'!$A$6:$A$95,"a")/$D62</x:f>
        <x:v>0</x:v>
      </x:c>
      <x:c r="F62" s="12" t="n">
        <x:f>SUMIFS('统计计数'!$F$6:$F$95,'统计计数'!$B$6:$B$95,"G_H1",'统计计数'!$A$6:$A$95,"a")/$D62</x:f>
        <x:v>0.051181102362204724</x:v>
      </x:c>
      <x:c r="G62" s="12" t="n">
        <x:f>SUMIFS('统计计数'!$G$6:$G$95,'统计计数'!$B$6:$B$95,"G_H1",'统计计数'!$A$6:$A$95,"a")/$D62</x:f>
        <x:v>0.4938132733408324</x:v>
      </x:c>
      <x:c r="H62" s="12" t="n">
        <x:f>SUMIFS('统计计数'!$H$6:$H$95,'统计计数'!$B$6:$B$95,"G_H1",'统计计数'!$A$6:$A$95,"a")/$D62</x:f>
        <x:v>0.21766029246344207</x:v>
      </x:c>
      <x:c r="I62" s="12" t="n">
        <x:f>SUMIFS('统计计数'!$I$6:$I$95,'统计计数'!$B$6:$B$95,"G_H1",'统计计数'!$A$6:$A$95,"a")/$D62</x:f>
        <x:v>0.15354330708661418</x:v>
      </x:c>
      <x:c r="J62" s="12" t="n">
        <x:f>SUMIFS('统计计数'!$J$6:$J$95,'统计计数'!$B$6:$B$95,"G_H1",'统计计数'!$A$6:$A$95,"a")/$D62</x:f>
        <x:v>0.08380202474690664</x:v>
      </x:c>
      <x:c r="K62" s="12" t="n">
        <x:f>SUMIFS('统计计数'!$K$6:$K$95,'统计计数'!$B$6:$B$95,"G_H1",'统计计数'!$A$6:$A$95,"a")/$D62</x:f>
        <x:v>0</x:v>
      </x:c>
      <x:c r="L62" s="12" t="n">
        <x:f>SUMIFS('统计计数'!$L$6:$L$95,'统计计数'!$B$6:$B$95,"G_H1",'统计计数'!$A$6:$A$95,"a")/$D62</x:f>
        <x:v>0</x:v>
      </x:c>
      <x:c r="M62" s="12" t="n">
        <x:f>SUMIFS('统计计数'!$M$6:$M$95,'统计计数'!$B$6:$B$95,"G_H1",'统计计数'!$A$6:$A$95,"a")/$D62</x:f>
        <x:v>0</x:v>
      </x:c>
      <x:c r="N62" s="12" t="n">
        <x:f>SUMIFS('统计计数'!$N$6:$N$95,'统计计数'!$B$6:$B$95,"G_H1",'统计计数'!$A$6:$A$95,"a")/$D62</x:f>
        <x:v>0</x:v>
      </x:c>
    </x:row>
    <x:row r="63" ht="24" customHeight="1">
      <x:c r="A63" s="10" t="str">
        <x:v>a</x:v>
      </x:c>
      <x:c r="B63" s="10" t="str">
        <x:v>G_H1</x:v>
      </x:c>
      <x:c r="C63" s="9" t="str">
        <x:v>源三角形</x:v>
      </x:c>
      <x:c r="D63" s="11" t="n">
        <x:f>SUMIFS('统计计数'!$D$6:$D$95,'统计计数'!$B$6:$B$95,"G_H1",'统计计数'!$A$6:$A$95,"a")</x:f>
        <x:v>5469879</x:v>
      </x:c>
      <x:c r="E63" s="12" t="n">
        <x:f>SUMIFS('统计计数'!$O$6:$O$95,'统计计数'!$B$6:$B$95,"G_H1",'统计计数'!$A$6:$A$95,"a")/$D63</x:f>
        <x:v>0</x:v>
      </x:c>
      <x:c r="F63" s="12" t="n">
        <x:f>SUMIFS('统计计数'!$P$6:$P$95,'统计计数'!$B$6:$B$95,"G_H1",'统计计数'!$A$6:$A$95,"a")/$D63</x:f>
        <x:v>0.007050613002591099</x:v>
      </x:c>
      <x:c r="G63" s="12" t="n">
        <x:f>SUMIFS('统计计数'!$Q$6:$Q$95,'统计计数'!$B$6:$B$95,"G_H1",'统计计数'!$A$6:$A$95,"a")/$D63</x:f>
        <x:v>0.2555241167126366</x:v>
      </x:c>
      <x:c r="H63" s="12" t="n">
        <x:f>SUMIFS('统计计数'!$R$6:$R$95,'统计计数'!$B$6:$B$95,"G_H1",'统计计数'!$A$6:$A$95,"a")/$D63</x:f>
        <x:v>0.1985053051447756</x:v>
      </x:c>
      <x:c r="I63" s="12" t="n">
        <x:f>SUMIFS('统计计数'!$S$6:$S$95,'统计计数'!$B$6:$B$95,"G_H1",'统计计数'!$A$6:$A$95,"a")/$D63</x:f>
        <x:v>0.4846781802668761</x:v>
      </x:c>
      <x:c r="J63" s="12" t="n">
        <x:f>SUMIFS('统计计数'!$T$6:$T$95,'统计计数'!$B$6:$B$95,"G_H1",'统计计数'!$A$6:$A$95,"a")/$D63</x:f>
        <x:v>0.05424178487312059</x:v>
      </x:c>
      <x:c r="K63" s="12" t="n">
        <x:f>SUMIFS('统计计数'!$U$6:$U$95,'统计计数'!$B$6:$B$95,"G_H1",'统计计数'!$A$6:$A$95,"a")/$D63</x:f>
        <x:v>0</x:v>
      </x:c>
      <x:c r="L63" s="12" t="n">
        <x:f>SUMIFS('统计计数'!$V$6:$V$95,'统计计数'!$B$6:$B$95,"G_H1",'统计计数'!$A$6:$A$95,"a")/$D63</x:f>
        <x:v>0</x:v>
      </x:c>
      <x:c r="M63" s="12" t="n">
        <x:f>SUMIFS('统计计数'!$W$6:$W$95,'统计计数'!$B$6:$B$95,"G_H1",'统计计数'!$A$6:$A$95,"a")/$D63</x:f>
        <x:v>0</x:v>
      </x:c>
      <x:c r="N63" s="12" t="n">
        <x:f>SUMIFS('统计计数'!$X$6:$X$95,'统计计数'!$B$6:$B$95,"G_H1",'统计计数'!$A$6:$A$95,"a")/$D63</x:f>
        <x:v>0</x:v>
      </x:c>
    </x:row>
    <x:row r="64" ht="24" customHeight="1">
      <x:c r="A64" s="10" t="str">
        <x:v>a</x:v>
      </x:c>
      <x:c r="B64" s="10" t="str">
        <x:v>NCG_H1_M1</x:v>
      </x:c>
      <x:c r="C64" s="9" t="str">
        <x:v>节点</x:v>
      </x:c>
      <x:c r="D64" s="11" t="n">
        <x:f>SUMIFS('统计计数'!$C$6:$C$95,'统计计数'!$B$6:$B$95,"NCG_H1_M1",'统计计数'!$A$6:$A$95,"a")</x:f>
        <x:v>1778</x:v>
      </x:c>
      <x:c r="E64" s="12" t="n">
        <x:f>SUMIFS('统计计数'!$E$6:$E$95,'统计计数'!$B$6:$B$95,"NCG_H1_M1",'统计计数'!$A$6:$A$95,"a")/$D64</x:f>
        <x:v>0</x:v>
      </x:c>
      <x:c r="F64" s="12" t="n">
        <x:f>SUMIFS('统计计数'!$F$6:$F$95,'统计计数'!$B$6:$B$95,"NCG_H1_M1",'统计计数'!$A$6:$A$95,"a")/$D64</x:f>
        <x:v>0.08717660292463442</x:v>
      </x:c>
      <x:c r="G64" s="12" t="n">
        <x:f>SUMIFS('统计计数'!$G$6:$G$95,'统计计数'!$B$6:$B$95,"NCG_H1_M1",'统计计数'!$A$6:$A$95,"a")/$D64</x:f>
        <x:v>0.3661417322834646</x:v>
      </x:c>
      <x:c r="H64" s="12" t="n">
        <x:f>SUMIFS('统计计数'!$H$6:$H$95,'统计计数'!$B$6:$B$95,"NCG_H1_M1",'统计计数'!$A$6:$A$95,"a")/$D64</x:f>
        <x:v>0.25871766029246346</x:v>
      </x:c>
      <x:c r="I64" s="12" t="n">
        <x:f>SUMIFS('统计计数'!$I$6:$I$95,'统计计数'!$B$6:$B$95,"NCG_H1_M1",'统计计数'!$A$6:$A$95,"a")/$D64</x:f>
        <x:v>0.14791901012373454</x:v>
      </x:c>
      <x:c r="J64" s="12" t="n">
        <x:f>SUMIFS('统计计数'!$J$6:$J$95,'统计计数'!$B$6:$B$95,"NCG_H1_M1",'统计计数'!$A$6:$A$95,"a")/$D64</x:f>
        <x:v>0.0922384701912261</x:v>
      </x:c>
      <x:c r="K64" s="12" t="n">
        <x:f>SUMIFS('统计计数'!$K$6:$K$95,'统计计数'!$B$6:$B$95,"NCG_H1_M1",'统计计数'!$A$6:$A$95,"a")/$D64</x:f>
        <x:v>0.010686164229471317</x:v>
      </x:c>
      <x:c r="L64" s="12" t="n">
        <x:f>SUMIFS('统计计数'!$L$6:$L$95,'统计计数'!$B$6:$B$95,"NCG_H1_M1",'统计计数'!$A$6:$A$95,"a")/$D64</x:f>
        <x:v>0.010686164229471317</x:v>
      </x:c>
      <x:c r="M64" s="12" t="n">
        <x:f>SUMIFS('统计计数'!$M$6:$M$95,'统计计数'!$B$6:$B$95,"NCG_H1_M1",'统计计数'!$A$6:$A$95,"a")/$D64</x:f>
        <x:v>0.02249718785151856</x:v>
      </x:c>
      <x:c r="N64" s="12" t="n">
        <x:f>SUMIFS('统计计数'!$N$6:$N$95,'统计计数'!$B$6:$B$95,"NCG_H1_M1",'统计计数'!$A$6:$A$95,"a")/$D64</x:f>
        <x:v>0.003937007874015748</x:v>
      </x:c>
    </x:row>
    <x:row r="65" ht="24" customHeight="1">
      <x:c r="A65" s="10" t="str">
        <x:v>a</x:v>
      </x:c>
      <x:c r="B65" s="10" t="str">
        <x:v>NCG_H1_M1</x:v>
      </x:c>
      <x:c r="C65" s="9" t="str">
        <x:v>源三角形</x:v>
      </x:c>
      <x:c r="D65" s="11" t="n">
        <x:f>SUMIFS('统计计数'!$D$6:$D$95,'统计计数'!$B$6:$B$95,"NCG_H1_M1",'统计计数'!$A$6:$A$95,"a")</x:f>
        <x:v>5469879</x:v>
      </x:c>
      <x:c r="E65" s="12" t="n">
        <x:f>SUMIFS('统计计数'!$O$6:$O$95,'统计计数'!$B$6:$B$95,"NCG_H1_M1",'统计计数'!$A$6:$A$95,"a")/$D65</x:f>
        <x:v>0</x:v>
      </x:c>
      <x:c r="F65" s="12" t="n">
        <x:f>SUMIFS('统计计数'!$P$6:$P$95,'统计计数'!$B$6:$B$95,"NCG_H1_M1",'统计计数'!$A$6:$A$95,"a")/$D65</x:f>
        <x:v>0.014476737053964081</x:v>
      </x:c>
      <x:c r="G65" s="12" t="n">
        <x:f>SUMIFS('统计计数'!$Q$6:$Q$95,'统计计数'!$B$6:$B$95,"NCG_H1_M1",'统计计数'!$A$6:$A$95,"a")/$D65</x:f>
        <x:v>0.17305903841748602</x:v>
      </x:c>
      <x:c r="H65" s="12" t="n">
        <x:f>SUMIFS('统计计数'!$R$6:$R$95,'统计计数'!$B$6:$B$95,"NCG_H1_M1",'统计计数'!$A$6:$A$95,"a")/$D65</x:f>
        <x:v>0.21806917483915092</x:v>
      </x:c>
      <x:c r="I65" s="12" t="n">
        <x:f>SUMIFS('统计计数'!$S$6:$S$95,'统计计数'!$B$6:$B$95,"NCG_H1_M1",'统计计数'!$A$6:$A$95,"a")/$D65</x:f>
        <x:v>0.4829699157878995</x:v>
      </x:c>
      <x:c r="J65" s="12" t="n">
        <x:f>SUMIFS('统计计数'!$T$6:$T$95,'统计计数'!$B$6:$B$95,"NCG_H1_M1",'统计计数'!$A$6:$A$95,"a")/$D65</x:f>
        <x:v>0.056274005329916804</x:v>
      </x:c>
      <x:c r="K65" s="12" t="n">
        <x:f>SUMIFS('统计计数'!$U$6:$U$95,'统计计数'!$B$6:$B$95,"NCG_H1_M1",'统计计数'!$A$6:$A$95,"a")/$D65</x:f>
        <x:v>0.030693549162604878</x:v>
      </x:c>
      <x:c r="L65" s="12" t="n">
        <x:f>SUMIFS('统计计数'!$V$6:$V$95,'统计计数'!$B$6:$B$95,"NCG_H1_M1",'统计计数'!$A$6:$A$95,"a")/$D65</x:f>
        <x:v>0.013261353678938785</x:v>
      </x:c>
      <x:c r="M65" s="12" t="n">
        <x:f>SUMIFS('统计计数'!$W$6:$W$95,'统计计数'!$B$6:$B$95,"NCG_H1_M1",'统计计数'!$A$6:$A$95,"a")/$D65</x:f>
        <x:v>0.01100682483104288</x:v>
      </x:c>
      <x:c r="N65" s="12" t="n">
        <x:f>SUMIFS('统计计数'!$X$6:$X$95,'统计计数'!$B$6:$B$95,"NCG_H1_M1",'统计计数'!$A$6:$A$95,"a")/$D65</x:f>
        <x:v>0.00018940089899612038</x:v>
      </x:c>
    </x:row>
    <x:row r="66" ht="24" customHeight="1">
      <x:c r="A66" s="10" t="str">
        <x:v>b</x:v>
      </x:c>
      <x:c r="B66" s="10" t="str">
        <x:v>N_H0</x:v>
      </x:c>
      <x:c r="C66" s="9" t="str">
        <x:v>节点</x:v>
      </x:c>
      <x:c r="D66" s="11" t="n">
        <x:f>SUMIFS('统计计数'!$C$6:$C$95,'统计计数'!$B$6:$B$95,"N_H0",'统计计数'!$A$6:$A$95,"b")</x:f>
        <x:v>1481</x:v>
      </x:c>
      <x:c r="E66" s="12" t="n">
        <x:f>SUMIFS('统计计数'!$E$6:$E$95,'统计计数'!$B$6:$B$95,"N_H0",'统计计数'!$A$6:$A$95,"b")/$D66</x:f>
        <x:v>0</x:v>
      </x:c>
      <x:c r="F66" s="12" t="n">
        <x:f>SUMIFS('统计计数'!$F$6:$F$95,'统计计数'!$B$6:$B$95,"N_H0",'统计计数'!$A$6:$A$95,"b")/$D66</x:f>
        <x:v>0.08305199189736664</x:v>
      </x:c>
      <x:c r="G66" s="12" t="n">
        <x:f>SUMIFS('统计计数'!$G$6:$G$95,'统计计数'!$B$6:$B$95,"N_H0",'统计计数'!$A$6:$A$95,"b")/$D66</x:f>
        <x:v>0.01688048615800135</x:v>
      </x:c>
      <x:c r="H66" s="12" t="n">
        <x:f>SUMIFS('统计计数'!$H$6:$H$95,'统计计数'!$B$6:$B$95,"N_H0",'统计计数'!$A$6:$A$95,"b")/$D66</x:f>
        <x:v>0</x:v>
      </x:c>
      <x:c r="I66" s="12" t="n">
        <x:f>SUMIFS('统计计数'!$I$6:$I$95,'统计计数'!$B$6:$B$95,"N_H0",'统计计数'!$A$6:$A$95,"b")/$D66</x:f>
        <x:v>0.7927076299797434</x:v>
      </x:c>
      <x:c r="J66" s="12" t="n">
        <x:f>SUMIFS('统计计数'!$J$6:$J$95,'统计计数'!$B$6:$B$95,"N_H0",'统计计数'!$A$6:$A$95,"b")/$D66</x:f>
        <x:v>0.004051316677920324</x:v>
      </x:c>
      <x:c r="K66" s="12" t="n">
        <x:f>SUMIFS('统计计数'!$K$6:$K$95,'统计计数'!$B$6:$B$95,"N_H0",'统计计数'!$A$6:$A$95,"b")/$D66</x:f>
        <x:v>0.004051316677920324</x:v>
      </x:c>
      <x:c r="L66" s="12" t="n">
        <x:f>SUMIFS('统计计数'!$L$6:$L$95,'统计计数'!$B$6:$B$95,"N_H0",'统计计数'!$A$6:$A$95,"b")/$D66</x:f>
        <x:v>0.027683997299122215</x:v>
      </x:c>
      <x:c r="M66" s="12" t="n">
        <x:f>SUMIFS('统计计数'!$M$6:$M$95,'统计计数'!$B$6:$B$95,"N_H0",'统计计数'!$A$6:$A$95,"b")/$D66</x:f>
        <x:v>0.07157326130992572</x:v>
      </x:c>
      <x:c r="N66" s="12" t="n">
        <x:f>SUMIFS('统计计数'!$N$6:$N$95,'统计计数'!$B$6:$B$95,"N_H0",'统计计数'!$A$6:$A$95,"b")/$D66</x:f>
        <x:v>0</x:v>
      </x:c>
    </x:row>
    <x:row r="67" ht="24" customHeight="1">
      <x:c r="A67" s="10" t="str">
        <x:v>b</x:v>
      </x:c>
      <x:c r="B67" s="10" t="str">
        <x:v>N_H0</x:v>
      </x:c>
      <x:c r="C67" s="9" t="str">
        <x:v>源三角形</x:v>
      </x:c>
      <x:c r="D67" s="11" t="n">
        <x:f>SUMIFS('统计计数'!$D$6:$D$95,'统计计数'!$B$6:$B$95,"N_H0",'统计计数'!$A$6:$A$95,"b")</x:f>
        <x:v>3433060</x:v>
      </x:c>
      <x:c r="E67" s="12" t="n">
        <x:f>SUMIFS('统计计数'!$O$6:$O$95,'统计计数'!$B$6:$B$95,"N_H0",'统计计数'!$A$6:$A$95,"b")/$D67</x:f>
        <x:v>0</x:v>
      </x:c>
      <x:c r="F67" s="12" t="n">
        <x:f>SUMIFS('统计计数'!$P$6:$P$95,'统计计数'!$B$6:$B$95,"N_H0",'统计计数'!$A$6:$A$95,"b")/$D67</x:f>
        <x:v>0.023387881365312578</x:v>
      </x:c>
      <x:c r="G67" s="12" t="n">
        <x:f>SUMIFS('统计计数'!$Q$6:$Q$95,'统计计数'!$B$6:$B$95,"N_H0",'统计计数'!$A$6:$A$95,"b")/$D67</x:f>
        <x:v>0.008436788171485497</x:v>
      </x:c>
      <x:c r="H67" s="12" t="n">
        <x:f>SUMIFS('统计计数'!$R$6:$R$95,'统计计数'!$B$6:$B$95,"N_H0",'统计计数'!$A$6:$A$95,"b")/$D67</x:f>
        <x:v>0</x:v>
      </x:c>
      <x:c r="I67" s="12" t="n">
        <x:f>SUMIFS('统计计数'!$S$6:$S$95,'统计计数'!$B$6:$B$95,"N_H0",'统计计数'!$A$6:$A$95,"b")/$D67</x:f>
        <x:v>0.6914694179536623</x:v>
      </x:c>
      <x:c r="J67" s="12" t="n">
        <x:f>SUMIFS('统计计数'!$T$6:$T$95,'统计计数'!$B$6:$B$95,"N_H0",'统计计数'!$A$6:$A$95,"b")/$D67</x:f>
        <x:v>0.019422322942214815</x:v>
      </x:c>
      <x:c r="K67" s="12" t="n">
        <x:f>SUMIFS('统计计数'!$U$6:$U$95,'统计计数'!$B$6:$B$95,"N_H0",'统计计数'!$A$6:$A$95,"b")/$D67</x:f>
        <x:v>0.00976271897374354</x:v>
      </x:c>
      <x:c r="L67" s="12" t="n">
        <x:f>SUMIFS('统计计数'!$V$6:$V$95,'统计计数'!$B$6:$B$95,"N_H0",'统计计数'!$A$6:$A$95,"b")/$D67</x:f>
        <x:v>0.07250441297268326</x:v>
      </x:c>
      <x:c r="M67" s="12" t="n">
        <x:f>SUMIFS('统计计数'!$W$6:$W$95,'统计计数'!$B$6:$B$95,"N_H0",'统计计数'!$A$6:$A$95,"b")/$D67</x:f>
        <x:v>0.17501645762089799</x:v>
      </x:c>
      <x:c r="N67" s="12" t="n">
        <x:f>SUMIFS('统计计数'!$X$6:$X$95,'统计计数'!$B$6:$B$95,"N_H0",'统计计数'!$A$6:$A$95,"b")/$D67</x:f>
        <x:v>0</x:v>
      </x:c>
    </x:row>
    <x:row r="68" ht="24" customHeight="1">
      <x:c r="A68" s="10" t="str">
        <x:v>b</x:v>
      </x:c>
      <x:c r="B68" s="10" t="str">
        <x:v>N_H1</x:v>
      </x:c>
      <x:c r="C68" s="9" t="str">
        <x:v>节点</x:v>
      </x:c>
      <x:c r="D68" s="11" t="n">
        <x:f>SUMIFS('统计计数'!$C$6:$C$95,'统计计数'!$B$6:$B$95,"N_H1",'统计计数'!$A$6:$A$95,"b")</x:f>
        <x:v>1481</x:v>
      </x:c>
      <x:c r="E68" s="12" t="n">
        <x:f>SUMIFS('统计计数'!$E$6:$E$95,'统计计数'!$B$6:$B$95,"N_H1",'统计计数'!$A$6:$A$95,"b")/$D68</x:f>
        <x:v>0</x:v>
      </x:c>
      <x:c r="F68" s="12" t="n">
        <x:f>SUMIFS('统计计数'!$F$6:$F$95,'统计计数'!$B$6:$B$95,"N_H1",'统计计数'!$A$6:$A$95,"b")/$D68</x:f>
        <x:v>0.07629979743416611</x:v>
      </x:c>
      <x:c r="G68" s="12" t="n">
        <x:f>SUMIFS('统计计数'!$G$6:$G$95,'统计计数'!$B$6:$B$95,"N_H1",'统计计数'!$A$6:$A$95,"b")/$D68</x:f>
        <x:v>0.007427413909520594</x:v>
      </x:c>
      <x:c r="H68" s="12" t="n">
        <x:f>SUMIFS('统计计数'!$H$6:$H$95,'统计计数'!$B$6:$B$95,"N_H1",'统计计数'!$A$6:$A$95,"b")/$D68</x:f>
        <x:v>0</x:v>
      </x:c>
      <x:c r="I68" s="12" t="n">
        <x:f>SUMIFS('统计计数'!$I$6:$I$95,'统计计数'!$B$6:$B$95,"N_H1",'统计计数'!$A$6:$A$95,"b")/$D68</x:f>
        <x:v>0.7927076299797434</x:v>
      </x:c>
      <x:c r="J68" s="12" t="n">
        <x:f>SUMIFS('统计计数'!$J$6:$J$95,'统计计数'!$B$6:$B$95,"N_H1",'统计计数'!$A$6:$A$95,"b")/$D68</x:f>
        <x:v>0.01350438892640108</x:v>
      </x:c>
      <x:c r="K68" s="12" t="n">
        <x:f>SUMIFS('统计计数'!$K$6:$K$95,'统计计数'!$B$6:$B$95,"N_H1",'统计计数'!$A$6:$A$95,"b")/$D68</x:f>
        <x:v>0.010803511141120865</x:v>
      </x:c>
      <x:c r="L68" s="12" t="n">
        <x:f>SUMIFS('统计计数'!$L$6:$L$95,'统计计数'!$B$6:$B$95,"N_H1",'统计计数'!$A$6:$A$95,"b")/$D68</x:f>
        <x:v>0.027683997299122215</x:v>
      </x:c>
      <x:c r="M68" s="12" t="n">
        <x:f>SUMIFS('统计计数'!$M$6:$M$95,'统计计数'!$B$6:$B$95,"N_H1",'统计计数'!$A$6:$A$95,"b")/$D68</x:f>
        <x:v>0.07157326130992572</x:v>
      </x:c>
      <x:c r="N68" s="12" t="n">
        <x:f>SUMIFS('统计计数'!$N$6:$N$95,'统计计数'!$B$6:$B$95,"N_H1",'统计计数'!$A$6:$A$95,"b")/$D68</x:f>
        <x:v>0</x:v>
      </x:c>
    </x:row>
    <x:row r="69" ht="24" customHeight="1">
      <x:c r="A69" s="10" t="str">
        <x:v>b</x:v>
      </x:c>
      <x:c r="B69" s="10" t="str">
        <x:v>N_H1</x:v>
      </x:c>
      <x:c r="C69" s="9" t="str">
        <x:v>源三角形</x:v>
      </x:c>
      <x:c r="D69" s="11" t="n">
        <x:f>SUMIFS('统计计数'!$D$6:$D$95,'统计计数'!$B$6:$B$95,"N_H1",'统计计数'!$A$6:$A$95,"b")</x:f>
        <x:v>3433060</x:v>
      </x:c>
      <x:c r="E69" s="12" t="n">
        <x:f>SUMIFS('统计计数'!$O$6:$O$95,'统计计数'!$B$6:$B$95,"N_H1",'统计计数'!$A$6:$A$95,"b")/$D69</x:f>
        <x:v>0</x:v>
      </x:c>
      <x:c r="F69" s="12" t="n">
        <x:f>SUMIFS('统计计数'!$P$6:$P$95,'统计计数'!$B$6:$B$95,"N_H1",'统计计数'!$A$6:$A$95,"b")/$D69</x:f>
        <x:v>0.0220176751935591</x:v>
      </x:c>
      <x:c r="G69" s="12" t="n">
        <x:f>SUMIFS('统计计数'!$Q$6:$Q$95,'统计计数'!$B$6:$B$95,"N_H1",'统计计数'!$A$6:$A$95,"b")/$D69</x:f>
        <x:v>0.004294710841057249</x:v>
      </x:c>
      <x:c r="H69" s="12" t="n">
        <x:f>SUMIFS('统计计数'!$R$6:$R$95,'统计计数'!$B$6:$B$95,"N_H1",'统计计数'!$A$6:$A$95,"b")/$D69</x:f>
        <x:v>0</x:v>
      </x:c>
      <x:c r="I69" s="12" t="n">
        <x:f>SUMIFS('统计计数'!$S$6:$S$95,'统计计数'!$B$6:$B$95,"N_H1",'统计计数'!$A$6:$A$95,"b")/$D69</x:f>
        <x:v>0.6914694179536623</x:v>
      </x:c>
      <x:c r="J69" s="12" t="n">
        <x:f>SUMIFS('统计计数'!$T$6:$T$95,'统计计数'!$B$6:$B$95,"N_H1",'统计计数'!$A$6:$A$95,"b")/$D69</x:f>
        <x:v>0.023564400272643064</x:v>
      </x:c>
      <x:c r="K69" s="12" t="n">
        <x:f>SUMIFS('统计计数'!$U$6:$U$95,'统计计数'!$B$6:$B$95,"N_H1",'统计计数'!$A$6:$A$95,"b")/$D69</x:f>
        <x:v>0.01113292514549702</x:v>
      </x:c>
      <x:c r="L69" s="12" t="n">
        <x:f>SUMIFS('统计计数'!$V$6:$V$95,'统计计数'!$B$6:$B$95,"N_H1",'统计计数'!$A$6:$A$95,"b")/$D69</x:f>
        <x:v>0.07250441297268326</x:v>
      </x:c>
      <x:c r="M69" s="12" t="n">
        <x:f>SUMIFS('统计计数'!$W$6:$W$95,'统计计数'!$B$6:$B$95,"N_H1",'统计计数'!$A$6:$A$95,"b")/$D69</x:f>
        <x:v>0.17501645762089799</x:v>
      </x:c>
      <x:c r="N69" s="12" t="n">
        <x:f>SUMIFS('统计计数'!$X$6:$X$95,'统计计数'!$B$6:$B$95,"N_H1",'统计计数'!$A$6:$A$95,"b")/$D69</x:f>
        <x:v>0</x:v>
      </x:c>
    </x:row>
    <x:row r="70" ht="24" customHeight="1">
      <x:c r="A70" s="10" t="str">
        <x:v>b</x:v>
      </x:c>
      <x:c r="B70" s="10" t="str">
        <x:v>C_H0</x:v>
      </x:c>
      <x:c r="C70" s="9" t="str">
        <x:v>节点</x:v>
      </x:c>
      <x:c r="D70" s="11" t="n">
        <x:f>SUMIFS('统计计数'!$C$6:$C$95,'统计计数'!$B$6:$B$95,"C_H0",'统计计数'!$A$6:$A$95,"b")</x:f>
        <x:v>1481</x:v>
      </x:c>
      <x:c r="E70" s="12" t="n">
        <x:f>SUMIFS('统计计数'!$E$6:$E$95,'统计计数'!$B$6:$B$95,"C_H0",'统计计数'!$A$6:$A$95,"b")/$D70</x:f>
        <x:v>0</x:v>
      </x:c>
      <x:c r="F70" s="12" t="n">
        <x:f>SUMIFS('统计计数'!$F$6:$F$95,'统计计数'!$B$6:$B$95,"C_H0",'统计计数'!$A$6:$A$95,"b")/$D70</x:f>
        <x:v>0.23835246455097908</x:v>
      </x:c>
      <x:c r="G70" s="12" t="n">
        <x:f>SUMIFS('统计计数'!$G$6:$G$95,'统计计数'!$B$6:$B$95,"C_H0",'统计计数'!$A$6:$A$95,"b")/$D70</x:f>
        <x:v>0</x:v>
      </x:c>
      <x:c r="H70" s="12" t="n">
        <x:f>SUMIFS('统计计数'!$H$6:$H$95,'统计计数'!$B$6:$B$95,"C_H0",'统计计数'!$A$6:$A$95,"b")/$D70</x:f>
        <x:v>0</x:v>
      </x:c>
      <x:c r="I70" s="12" t="n">
        <x:f>SUMIFS('统计计数'!$I$6:$I$95,'统计计数'!$B$6:$B$95,"C_H0",'统计计数'!$A$6:$A$95,"b")/$D70</x:f>
        <x:v>0.761647535449021</x:v>
      </x:c>
      <x:c r="J70" s="12" t="n">
        <x:f>SUMIFS('统计计数'!$J$6:$J$95,'统计计数'!$B$6:$B$95,"C_H0",'统计计数'!$A$6:$A$95,"b")/$D70</x:f>
        <x:v>0</x:v>
      </x:c>
      <x:c r="K70" s="12" t="n">
        <x:f>SUMIFS('统计计数'!$K$6:$K$95,'统计计数'!$B$6:$B$95,"C_H0",'统计计数'!$A$6:$A$95,"b")/$D70</x:f>
        <x:v>0</x:v>
      </x:c>
      <x:c r="L70" s="12" t="n">
        <x:f>SUMIFS('统计计数'!$L$6:$L$95,'统计计数'!$B$6:$B$95,"C_H0",'统计计数'!$A$6:$A$95,"b")/$D70</x:f>
        <x:v>0</x:v>
      </x:c>
      <x:c r="M70" s="12" t="n">
        <x:f>SUMIFS('统计计数'!$M$6:$M$95,'统计计数'!$B$6:$B$95,"C_H0",'统计计数'!$A$6:$A$95,"b")/$D70</x:f>
        <x:v>0</x:v>
      </x:c>
      <x:c r="N70" s="12" t="n">
        <x:f>SUMIFS('统计计数'!$N$6:$N$95,'统计计数'!$B$6:$B$95,"C_H0",'统计计数'!$A$6:$A$95,"b")/$D70</x:f>
        <x:v>0</x:v>
      </x:c>
    </x:row>
    <x:row r="71" ht="24" customHeight="1">
      <x:c r="A71" s="10" t="str">
        <x:v>b</x:v>
      </x:c>
      <x:c r="B71" s="10" t="str">
        <x:v>C_H0</x:v>
      </x:c>
      <x:c r="C71" s="9" t="str">
        <x:v>源三角形</x:v>
      </x:c>
      <x:c r="D71" s="11" t="n">
        <x:f>SUMIFS('统计计数'!$D$6:$D$95,'统计计数'!$B$6:$B$95,"C_H0",'统计计数'!$A$6:$A$95,"b")</x:f>
        <x:v>3433060</x:v>
      </x:c>
      <x:c r="E71" s="12" t="n">
        <x:f>SUMIFS('统计计数'!$O$6:$O$95,'统计计数'!$B$6:$B$95,"C_H0",'统计计数'!$A$6:$A$95,"b")/$D71</x:f>
        <x:v>0</x:v>
      </x:c>
      <x:c r="F71" s="12" t="n">
        <x:f>SUMIFS('统计计数'!$P$6:$P$95,'统计计数'!$B$6:$B$95,"C_H0",'统计计数'!$A$6:$A$95,"b")/$D71</x:f>
        <x:v>0.21595602756724322</x:v>
      </x:c>
      <x:c r="G71" s="12" t="n">
        <x:f>SUMIFS('统计计数'!$Q$6:$Q$95,'统计计数'!$B$6:$B$95,"C_H0",'统计计数'!$A$6:$A$95,"b")/$D71</x:f>
        <x:v>0</x:v>
      </x:c>
      <x:c r="H71" s="12" t="n">
        <x:f>SUMIFS('统计计数'!$R$6:$R$95,'统计计数'!$B$6:$B$95,"C_H0",'统计计数'!$A$6:$A$95,"b")/$D71</x:f>
        <x:v>0</x:v>
      </x:c>
      <x:c r="I71" s="12" t="n">
        <x:f>SUMIFS('统计计数'!$S$6:$S$95,'统计计数'!$B$6:$B$95,"C_H0",'统计计数'!$A$6:$A$95,"b")/$D71</x:f>
        <x:v>0.7840439724327568</x:v>
      </x:c>
      <x:c r="J71" s="12" t="n">
        <x:f>SUMIFS('统计计数'!$T$6:$T$95,'统计计数'!$B$6:$B$95,"C_H0",'统计计数'!$A$6:$A$95,"b")/$D71</x:f>
        <x:v>0</x:v>
      </x:c>
      <x:c r="K71" s="12" t="n">
        <x:f>SUMIFS('统计计数'!$U$6:$U$95,'统计计数'!$B$6:$B$95,"C_H0",'统计计数'!$A$6:$A$95,"b")/$D71</x:f>
        <x:v>0</x:v>
      </x:c>
      <x:c r="L71" s="12" t="n">
        <x:f>SUMIFS('统计计数'!$V$6:$V$95,'统计计数'!$B$6:$B$95,"C_H0",'统计计数'!$A$6:$A$95,"b")/$D71</x:f>
        <x:v>0</x:v>
      </x:c>
      <x:c r="M71" s="12" t="n">
        <x:f>SUMIFS('统计计数'!$W$6:$W$95,'统计计数'!$B$6:$B$95,"C_H0",'统计计数'!$A$6:$A$95,"b")/$D71</x:f>
        <x:v>0</x:v>
      </x:c>
      <x:c r="N71" s="12" t="n">
        <x:f>SUMIFS('统计计数'!$X$6:$X$95,'统计计数'!$B$6:$B$95,"C_H0",'统计计数'!$A$6:$A$95,"b")/$D71</x:f>
        <x:v>0</x:v>
      </x:c>
    </x:row>
    <x:row r="72" ht="24" customHeight="1">
      <x:c r="A72" s="10" t="str">
        <x:v>b</x:v>
      </x:c>
      <x:c r="B72" s="10" t="str">
        <x:v>C_H1</x:v>
      </x:c>
      <x:c r="C72" s="9" t="str">
        <x:v>节点</x:v>
      </x:c>
      <x:c r="D72" s="11" t="n">
        <x:f>SUMIFS('统计计数'!$C$6:$C$95,'统计计数'!$B$6:$B$95,"C_H1",'统计计数'!$A$6:$A$95,"b")</x:f>
        <x:v>1481</x:v>
      </x:c>
      <x:c r="E72" s="12" t="n">
        <x:f>SUMIFS('统计计数'!$E$6:$E$95,'统计计数'!$B$6:$B$95,"C_H1",'统计计数'!$A$6:$A$95,"b")/$D72</x:f>
        <x:v>0</x:v>
      </x:c>
      <x:c r="F72" s="12" t="n">
        <x:f>SUMIFS('统计计数'!$F$6:$F$95,'统计计数'!$B$6:$B$95,"C_H1",'统计计数'!$A$6:$A$95,"b")/$D72</x:f>
        <x:v>0.21809588116137746</x:v>
      </x:c>
      <x:c r="G72" s="12" t="n">
        <x:f>SUMIFS('统计计数'!$G$6:$G$95,'统计计数'!$B$6:$B$95,"C_H1",'统计计数'!$A$6:$A$95,"b")/$D72</x:f>
        <x:v>0</x:v>
      </x:c>
      <x:c r="H72" s="12" t="n">
        <x:f>SUMIFS('统计计数'!$H$6:$H$95,'统计计数'!$B$6:$B$95,"C_H1",'统计计数'!$A$6:$A$95,"b")/$D72</x:f>
        <x:v>0</x:v>
      </x:c>
      <x:c r="I72" s="12" t="n">
        <x:f>SUMIFS('统计计数'!$I$6:$I$95,'统计计数'!$B$6:$B$95,"C_H1",'统计计数'!$A$6:$A$95,"b")/$D72</x:f>
        <x:v>0.761647535449021</x:v>
      </x:c>
      <x:c r="J72" s="12" t="n">
        <x:f>SUMIFS('统计计数'!$J$6:$J$95,'统计计数'!$B$6:$B$95,"C_H1",'统计计数'!$A$6:$A$95,"b")/$D72</x:f>
        <x:v>0</x:v>
      </x:c>
      <x:c r="K72" s="12" t="n">
        <x:f>SUMIFS('统计计数'!$K$6:$K$95,'统计计数'!$B$6:$B$95,"C_H1",'统计计数'!$A$6:$A$95,"b")/$D72</x:f>
        <x:v>0.02025658338960162</x:v>
      </x:c>
      <x:c r="L72" s="12" t="n">
        <x:f>SUMIFS('统计计数'!$L$6:$L$95,'统计计数'!$B$6:$B$95,"C_H1",'统计计数'!$A$6:$A$95,"b")/$D72</x:f>
        <x:v>0</x:v>
      </x:c>
      <x:c r="M72" s="12" t="n">
        <x:f>SUMIFS('统计计数'!$M$6:$M$95,'统计计数'!$B$6:$B$95,"C_H1",'统计计数'!$A$6:$A$95,"b")/$D72</x:f>
        <x:v>0</x:v>
      </x:c>
      <x:c r="N72" s="12" t="n">
        <x:f>SUMIFS('统计计数'!$N$6:$N$95,'统计计数'!$B$6:$B$95,"C_H1",'统计计数'!$A$6:$A$95,"b")/$D72</x:f>
        <x:v>0</x:v>
      </x:c>
    </x:row>
    <x:row r="73" ht="24" customHeight="1">
      <x:c r="A73" s="10" t="str">
        <x:v>b</x:v>
      </x:c>
      <x:c r="B73" s="10" t="str">
        <x:v>C_H1</x:v>
      </x:c>
      <x:c r="C73" s="9" t="str">
        <x:v>源三角形</x:v>
      </x:c>
      <x:c r="D73" s="11" t="n">
        <x:f>SUMIFS('统计计数'!$D$6:$D$95,'统计计数'!$B$6:$B$95,"C_H1",'统计计数'!$A$6:$A$95,"b")</x:f>
        <x:v>3433060</x:v>
      </x:c>
      <x:c r="E73" s="12" t="n">
        <x:f>SUMIFS('统计计数'!$O$6:$O$95,'统计计数'!$B$6:$B$95,"C_H1",'统计计数'!$A$6:$A$95,"b")/$D73</x:f>
        <x:v>0</x:v>
      </x:c>
      <x:c r="F73" s="12" t="n">
        <x:f>SUMIFS('统计计数'!$P$6:$P$95,'统计计数'!$B$6:$B$95,"C_H1",'统计计数'!$A$6:$A$95,"b")/$D73</x:f>
        <x:v>0.21104495697715742</x:v>
      </x:c>
      <x:c r="G73" s="12" t="n">
        <x:f>SUMIFS('统计计数'!$Q$6:$Q$95,'统计计数'!$B$6:$B$95,"C_H1",'统计计数'!$A$6:$A$95,"b")/$D73</x:f>
        <x:v>0</x:v>
      </x:c>
      <x:c r="H73" s="12" t="n">
        <x:f>SUMIFS('统计计数'!$R$6:$R$95,'统计计数'!$B$6:$B$95,"C_H1",'统计计数'!$A$6:$A$95,"b")/$D73</x:f>
        <x:v>0</x:v>
      </x:c>
      <x:c r="I73" s="12" t="n">
        <x:f>SUMIFS('统计计数'!$S$6:$S$95,'统计计数'!$B$6:$B$95,"C_H1",'统计计数'!$A$6:$A$95,"b")/$D73</x:f>
        <x:v>0.7840439724327568</x:v>
      </x:c>
      <x:c r="J73" s="12" t="n">
        <x:f>SUMIFS('统计计数'!$T$6:$T$95,'统计计数'!$B$6:$B$95,"C_H1",'统计计数'!$A$6:$A$95,"b")/$D73</x:f>
        <x:v>0</x:v>
      </x:c>
      <x:c r="K73" s="12" t="n">
        <x:f>SUMIFS('统计计数'!$U$6:$U$95,'统计计数'!$B$6:$B$95,"C_H1",'统计计数'!$A$6:$A$95,"b")/$D73</x:f>
        <x:v>0.004911070590085813</x:v>
      </x:c>
      <x:c r="L73" s="12" t="n">
        <x:f>SUMIFS('统计计数'!$V$6:$V$95,'统计计数'!$B$6:$B$95,"C_H1",'统计计数'!$A$6:$A$95,"b")/$D73</x:f>
        <x:v>0</x:v>
      </x:c>
      <x:c r="M73" s="12" t="n">
        <x:f>SUMIFS('统计计数'!$W$6:$W$95,'统计计数'!$B$6:$B$95,"C_H1",'统计计数'!$A$6:$A$95,"b")/$D73</x:f>
        <x:v>0</x:v>
      </x:c>
      <x:c r="N73" s="12" t="n">
        <x:f>SUMIFS('统计计数'!$X$6:$X$95,'统计计数'!$B$6:$B$95,"C_H1",'统计计数'!$A$6:$A$95,"b")/$D73</x:f>
        <x:v>0</x:v>
      </x:c>
    </x:row>
    <x:row r="74" ht="24" customHeight="1">
      <x:c r="A74" s="10" t="str">
        <x:v>b</x:v>
      </x:c>
      <x:c r="B74" s="10" t="str">
        <x:v>NG_H0</x:v>
      </x:c>
      <x:c r="C74" s="9" t="str">
        <x:v>节点</x:v>
      </x:c>
      <x:c r="D74" s="11" t="n">
        <x:f>SUMIFS('统计计数'!$C$6:$C$95,'统计计数'!$B$6:$B$95,"NG_H0",'统计计数'!$A$6:$A$95,"b")</x:f>
        <x:v>1481</x:v>
      </x:c>
      <x:c r="E74" s="12" t="n">
        <x:f>SUMIFS('统计计数'!$E$6:$E$95,'统计计数'!$B$6:$B$95,"NG_H0",'统计计数'!$A$6:$A$95,"b")/$D74</x:f>
        <x:v>0</x:v>
      </x:c>
      <x:c r="F74" s="12" t="n">
        <x:f>SUMIFS('统计计数'!$F$6:$F$95,'统计计数'!$B$6:$B$95,"NG_H0",'统计计数'!$A$6:$A$95,"b")/$D74</x:f>
        <x:v>0.12829169480081026</x:v>
      </x:c>
      <x:c r="G74" s="12" t="n">
        <x:f>SUMIFS('统计计数'!$G$6:$G$95,'统计计数'!$B$6:$B$95,"NG_H0",'统计计数'!$A$6:$A$95,"b")/$D74</x:f>
        <x:v>0.437542201215395</x:v>
      </x:c>
      <x:c r="H74" s="12" t="n">
        <x:f>SUMIFS('统计计数'!$H$6:$H$95,'统计计数'!$B$6:$B$95,"NG_H0",'统计计数'!$A$6:$A$95,"b")/$D74</x:f>
        <x:v>0.26333558406482105</x:v>
      </x:c>
      <x:c r="I74" s="12" t="n">
        <x:f>SUMIFS('统计计数'!$I$6:$I$95,'统计计数'!$B$6:$B$95,"NG_H0",'统计计数'!$A$6:$A$95,"b")/$D74</x:f>
        <x:v>0.05941931127616475</x:v>
      </x:c>
      <x:c r="J74" s="12" t="n">
        <x:f>SUMIFS('统计计数'!$J$6:$J$95,'统计计数'!$B$6:$B$95,"NG_H0",'统计计数'!$A$6:$A$95,"b")/$D74</x:f>
        <x:v>0.008102633355840648</x:v>
      </x:c>
      <x:c r="K74" s="12" t="n">
        <x:f>SUMIFS('统计计数'!$K$6:$K$95,'统计计数'!$B$6:$B$95,"NG_H0",'统计计数'!$A$6:$A$95,"b")/$D74</x:f>
        <x:v>0.004051316677920324</x:v>
      </x:c>
      <x:c r="L74" s="12" t="n">
        <x:f>SUMIFS('统计计数'!$L$6:$L$95,'统计计数'!$B$6:$B$95,"NG_H0",'统计计数'!$A$6:$A$95,"b")/$D74</x:f>
        <x:v>0.027683997299122215</x:v>
      </x:c>
      <x:c r="M74" s="12" t="n">
        <x:f>SUMIFS('统计计数'!$M$6:$M$95,'统计计数'!$B$6:$B$95,"NG_H0",'统计计数'!$A$6:$A$95,"b")/$D74</x:f>
        <x:v>0.07157326130992572</x:v>
      </x:c>
      <x:c r="N74" s="12" t="n">
        <x:f>SUMIFS('统计计数'!$N$6:$N$95,'统计计数'!$B$6:$B$95,"NG_H0",'统计计数'!$A$6:$A$95,"b")/$D74</x:f>
        <x:v>0</x:v>
      </x:c>
    </x:row>
    <x:row r="75" ht="24" customHeight="1">
      <x:c r="A75" s="10" t="str">
        <x:v>b</x:v>
      </x:c>
      <x:c r="B75" s="10" t="str">
        <x:v>NG_H0</x:v>
      </x:c>
      <x:c r="C75" s="9" t="str">
        <x:v>源三角形</x:v>
      </x:c>
      <x:c r="D75" s="11" t="n">
        <x:f>SUMIFS('统计计数'!$D$6:$D$95,'统计计数'!$B$6:$B$95,"NG_H0",'统计计数'!$A$6:$A$95,"b")</x:f>
        <x:v>3433060</x:v>
      </x:c>
      <x:c r="E75" s="12" t="n">
        <x:f>SUMIFS('统计计数'!$O$6:$O$95,'统计计数'!$B$6:$B$95,"NG_H0",'统计计数'!$A$6:$A$95,"b")/$D75</x:f>
        <x:v>0</x:v>
      </x:c>
      <x:c r="F75" s="12" t="n">
        <x:f>SUMIFS('统计计数'!$P$6:$P$95,'统计计数'!$B$6:$B$95,"NG_H0",'统计计数'!$A$6:$A$95,"b")/$D75</x:f>
        <x:v>0.08499938830081619</x:v>
      </x:c>
      <x:c r="G75" s="12" t="n">
        <x:f>SUMIFS('统计计数'!$Q$6:$Q$95,'统计计数'!$B$6:$B$95,"NG_H0",'统计计数'!$A$6:$A$95,"b")/$D75</x:f>
        <x:v>0.24366774830617582</x:v>
      </x:c>
      <x:c r="H75" s="12" t="n">
        <x:f>SUMIFS('统计计数'!$R$6:$R$95,'统计计数'!$B$6:$B$95,"NG_H0",'统计计数'!$A$6:$A$95,"b")/$D75</x:f>
        <x:v>0.2243747560485398</x:v>
      </x:c>
      <x:c r="I75" s="12" t="n">
        <x:f>SUMIFS('统计计数'!$S$6:$S$95,'统计计数'!$B$6:$B$95,"NG_H0",'统计计数'!$A$6:$A$95,"b")/$D75</x:f>
        <x:v>0.137152860713183</x:v>
      </x:c>
      <x:c r="J75" s="12" t="n">
        <x:f>SUMIFS('统计计数'!$T$6:$T$95,'统计计数'!$B$6:$B$95,"NG_H0",'统计计数'!$A$6:$A$95,"b")/$D75</x:f>
        <x:v>0.052521657063960434</x:v>
      </x:c>
      <x:c r="K75" s="12" t="n">
        <x:f>SUMIFS('统计计数'!$U$6:$U$95,'统计计数'!$B$6:$B$95,"NG_H0",'统计计数'!$A$6:$A$95,"b")/$D75</x:f>
        <x:v>0.00976271897374354</x:v>
      </x:c>
      <x:c r="L75" s="12" t="n">
        <x:f>SUMIFS('统计计数'!$V$6:$V$95,'统计计数'!$B$6:$B$95,"NG_H0",'统计计数'!$A$6:$A$95,"b")/$D75</x:f>
        <x:v>0.07250441297268326</x:v>
      </x:c>
      <x:c r="M75" s="12" t="n">
        <x:f>SUMIFS('统计计数'!$W$6:$W$95,'统计计数'!$B$6:$B$95,"NG_H0",'统计计数'!$A$6:$A$95,"b")/$D75</x:f>
        <x:v>0.17501645762089799</x:v>
      </x:c>
      <x:c r="N75" s="12" t="n">
        <x:f>SUMIFS('统计计数'!$X$6:$X$95,'统计计数'!$B$6:$B$95,"NG_H0",'统计计数'!$A$6:$A$95,"b")/$D75</x:f>
        <x:v>0</x:v>
      </x:c>
    </x:row>
    <x:row r="76" ht="24" customHeight="1">
      <x:c r="A76" s="10" t="str">
        <x:v>b</x:v>
      </x:c>
      <x:c r="B76" s="10" t="str">
        <x:v>NG_H1</x:v>
      </x:c>
      <x:c r="C76" s="9" t="str">
        <x:v>节点</x:v>
      </x:c>
      <x:c r="D76" s="11" t="n">
        <x:f>SUMIFS('统计计数'!$C$6:$C$95,'统计计数'!$B$6:$B$95,"NG_H1",'统计计数'!$A$6:$A$95,"b")</x:f>
        <x:v>1481</x:v>
      </x:c>
      <x:c r="E76" s="12" t="n">
        <x:f>SUMIFS('统计计数'!$E$6:$E$95,'统计计数'!$B$6:$B$95,"NG_H1",'统计计数'!$A$6:$A$95,"b")/$D76</x:f>
        <x:v>0</x:v>
      </x:c>
      <x:c r="F76" s="12" t="n">
        <x:f>SUMIFS('统计计数'!$F$6:$F$95,'统计计数'!$B$6:$B$95,"NG_H1",'统计计数'!$A$6:$A$95,"b")/$D76</x:f>
        <x:v>0.10398379473328832</x:v>
      </x:c>
      <x:c r="G76" s="12" t="n">
        <x:f>SUMIFS('统计计数'!$G$6:$G$95,'统计计数'!$B$6:$B$95,"NG_H1",'统计计数'!$A$6:$A$95,"b")/$D76</x:f>
        <x:v>0.38622552329507087</x:v>
      </x:c>
      <x:c r="H76" s="12" t="n">
        <x:f>SUMIFS('统计计数'!$H$6:$H$95,'统计计数'!$B$6:$B$95,"NG_H1",'统计计数'!$A$6:$A$95,"b")/$D76</x:f>
        <x:v>0.31802835921674544</x:v>
      </x:c>
      <x:c r="I76" s="12" t="n">
        <x:f>SUMIFS('统计计数'!$I$6:$I$95,'统计计数'!$B$6:$B$95,"NG_H1",'统计计数'!$A$6:$A$95,"b")/$D76</x:f>
        <x:v>0.06279540850776502</x:v>
      </x:c>
      <x:c r="J76" s="12" t="n">
        <x:f>SUMIFS('统计计数'!$J$6:$J$95,'统计计数'!$B$6:$B$95,"NG_H1",'统计计数'!$A$6:$A$95,"b")/$D76</x:f>
        <x:v>0.018906144496961513</x:v>
      </x:c>
      <x:c r="K76" s="12" t="n">
        <x:f>SUMIFS('统计计数'!$K$6:$K$95,'统计计数'!$B$6:$B$95,"NG_H1",'统计计数'!$A$6:$A$95,"b")/$D76</x:f>
        <x:v>0.010803511141120865</x:v>
      </x:c>
      <x:c r="L76" s="12" t="n">
        <x:f>SUMIFS('统计计数'!$L$6:$L$95,'统计计数'!$B$6:$B$95,"NG_H1",'统计计数'!$A$6:$A$95,"b")/$D76</x:f>
        <x:v>0.027683997299122215</x:v>
      </x:c>
      <x:c r="M76" s="12" t="n">
        <x:f>SUMIFS('统计计数'!$M$6:$M$95,'统计计数'!$B$6:$B$95,"NG_H1",'统计计数'!$A$6:$A$95,"b")/$D76</x:f>
        <x:v>0.07157326130992572</x:v>
      </x:c>
      <x:c r="N76" s="12" t="n">
        <x:f>SUMIFS('统计计数'!$N$6:$N$95,'统计计数'!$B$6:$B$95,"NG_H1",'统计计数'!$A$6:$A$95,"b")/$D76</x:f>
        <x:v>0</x:v>
      </x:c>
    </x:row>
    <x:row r="77" ht="24" customHeight="1">
      <x:c r="A77" s="10" t="str">
        <x:v>b</x:v>
      </x:c>
      <x:c r="B77" s="10" t="str">
        <x:v>NG_H1</x:v>
      </x:c>
      <x:c r="C77" s="9" t="str">
        <x:v>源三角形</x:v>
      </x:c>
      <x:c r="D77" s="11" t="n">
        <x:f>SUMIFS('统计计数'!$D$6:$D$95,'统计计数'!$B$6:$B$95,"NG_H1",'统计计数'!$A$6:$A$95,"b")</x:f>
        <x:v>3433060</x:v>
      </x:c>
      <x:c r="E77" s="12" t="n">
        <x:f>SUMIFS('统计计数'!$O$6:$O$95,'统计计数'!$B$6:$B$95,"NG_H1",'统计计数'!$A$6:$A$95,"b")/$D77</x:f>
        <x:v>0</x:v>
      </x:c>
      <x:c r="F77" s="12" t="n">
        <x:f>SUMIFS('统计计数'!$P$6:$P$95,'统计计数'!$B$6:$B$95,"NG_H1",'统计计数'!$A$6:$A$95,"b")/$D77</x:f>
        <x:v>0.08093887086156373</x:v>
      </x:c>
      <x:c r="G77" s="12" t="n">
        <x:f>SUMIFS('统计计数'!$Q$6:$Q$95,'统计计数'!$B$6:$B$95,"NG_H1",'统计计数'!$A$6:$A$95,"b")/$D77</x:f>
        <x:v>0.18212148928361288</x:v>
      </x:c>
      <x:c r="H77" s="12" t="n">
        <x:f>SUMIFS('统计计数'!$R$6:$R$95,'统计计数'!$B$6:$B$95,"NG_H1",'统计计数'!$A$6:$A$95,"b")/$D77</x:f>
        <x:v>0.27898900689181083</x:v>
      </x:c>
      <x:c r="I77" s="12" t="n">
        <x:f>SUMIFS('统计计数'!$S$6:$S$95,'统计计数'!$B$6:$B$95,"NG_H1",'统计计数'!$A$6:$A$95,"b")/$D77</x:f>
        <x:v>0.14088073031056841</x:v>
      </x:c>
      <x:c r="J77" s="12" t="n">
        <x:f>SUMIFS('统计计数'!$T$6:$T$95,'统计计数'!$B$6:$B$95,"NG_H1",'统计计数'!$A$6:$A$95,"b")/$D77</x:f>
        <x:v>0.05841610691336592</x:v>
      </x:c>
      <x:c r="K77" s="12" t="n">
        <x:f>SUMIFS('统计计数'!$U$6:$U$95,'统计计数'!$B$6:$B$95,"NG_H1",'统计计数'!$A$6:$A$95,"b")/$D77</x:f>
        <x:v>0.01113292514549702</x:v>
      </x:c>
      <x:c r="L77" s="12" t="n">
        <x:f>SUMIFS('统计计数'!$V$6:$V$95,'统计计数'!$B$6:$B$95,"NG_H1",'统计计数'!$A$6:$A$95,"b")/$D77</x:f>
        <x:v>0.07250441297268326</x:v>
      </x:c>
      <x:c r="M77" s="12" t="n">
        <x:f>SUMIFS('统计计数'!$W$6:$W$95,'统计计数'!$B$6:$B$95,"NG_H1",'统计计数'!$A$6:$A$95,"b")/$D77</x:f>
        <x:v>0.17501645762089799</x:v>
      </x:c>
      <x:c r="N77" s="12" t="n">
        <x:f>SUMIFS('统计计数'!$X$6:$X$95,'统计计数'!$B$6:$B$95,"NG_H1",'统计计数'!$A$6:$A$95,"b")/$D77</x:f>
        <x:v>0</x:v>
      </x:c>
    </x:row>
    <x:row r="78" ht="24" customHeight="1">
      <x:c r="A78" s="10" t="str">
        <x:v>b</x:v>
      </x:c>
      <x:c r="B78" s="10" t="str">
        <x:v>CG_H0</x:v>
      </x:c>
      <x:c r="C78" s="9" t="str">
        <x:v>节点</x:v>
      </x:c>
      <x:c r="D78" s="11" t="n">
        <x:f>SUMIFS('统计计数'!$C$6:$C$95,'统计计数'!$B$6:$B$95,"CG_H0",'统计计数'!$A$6:$A$95,"b")</x:f>
        <x:v>1481</x:v>
      </x:c>
      <x:c r="E78" s="12" t="n">
        <x:f>SUMIFS('统计计数'!$E$6:$E$95,'统计计数'!$B$6:$B$95,"CG_H0",'统计计数'!$A$6:$A$95,"b")/$D78</x:f>
        <x:v>0</x:v>
      </x:c>
      <x:c r="F78" s="12" t="n">
        <x:f>SUMIFS('统计计数'!$F$6:$F$95,'统计计数'!$B$6:$B$95,"CG_H0",'统计计数'!$A$6:$A$95,"b")/$D78</x:f>
        <x:v>0.17150573936529373</x:v>
      </x:c>
      <x:c r="G78" s="12" t="n">
        <x:f>SUMIFS('统计计数'!$G$6:$G$95,'统计计数'!$B$6:$B$95,"CG_H0",'统计计数'!$A$6:$A$95,"b")/$D78</x:f>
        <x:v>0.4713031735313977</x:v>
      </x:c>
      <x:c r="H78" s="12" t="n">
        <x:f>SUMIFS('统计计数'!$H$6:$H$95,'统计计数'!$B$6:$B$95,"CG_H0",'统计计数'!$A$6:$A$95,"b")/$D78</x:f>
        <x:v>0.2889939230249831</x:v>
      </x:c>
      <x:c r="I78" s="12" t="n">
        <x:f>SUMIFS('统计计数'!$I$6:$I$95,'统计计数'!$B$6:$B$95,"CG_H0",'统计计数'!$A$6:$A$95,"b")/$D78</x:f>
        <x:v>0.06414584740040513</x:v>
      </x:c>
      <x:c r="J78" s="12" t="n">
        <x:f>SUMIFS('统计计数'!$J$6:$J$95,'统计计数'!$B$6:$B$95,"CG_H0",'统计计数'!$A$6:$A$95,"b")/$D78</x:f>
        <x:v>0.004051316677920324</x:v>
      </x:c>
      <x:c r="K78" s="12" t="n">
        <x:f>SUMIFS('统计计数'!$K$6:$K$95,'统计计数'!$B$6:$B$95,"CG_H0",'统计计数'!$A$6:$A$95,"b")/$D78</x:f>
        <x:v>0</x:v>
      </x:c>
      <x:c r="L78" s="12" t="n">
        <x:f>SUMIFS('统计计数'!$L$6:$L$95,'统计计数'!$B$6:$B$95,"CG_H0",'统计计数'!$A$6:$A$95,"b")/$D78</x:f>
        <x:v>0</x:v>
      </x:c>
      <x:c r="M78" s="12" t="n">
        <x:f>SUMIFS('统计计数'!$M$6:$M$95,'统计计数'!$B$6:$B$95,"CG_H0",'统计计数'!$A$6:$A$95,"b")/$D78</x:f>
        <x:v>0</x:v>
      </x:c>
      <x:c r="N78" s="12" t="n">
        <x:f>SUMIFS('统计计数'!$N$6:$N$95,'统计计数'!$B$6:$B$95,"CG_H0",'统计计数'!$A$6:$A$95,"b")/$D78</x:f>
        <x:v>0</x:v>
      </x:c>
    </x:row>
    <x:row r="79" ht="24" customHeight="1">
      <x:c r="A79" s="10" t="str">
        <x:v>b</x:v>
      </x:c>
      <x:c r="B79" s="10" t="str">
        <x:v>CG_H0</x:v>
      </x:c>
      <x:c r="C79" s="9" t="str">
        <x:v>源三角形</x:v>
      </x:c>
      <x:c r="D79" s="11" t="n">
        <x:f>SUMIFS('统计计数'!$D$6:$D$95,'统计计数'!$B$6:$B$95,"CG_H0",'统计计数'!$A$6:$A$95,"b")</x:f>
        <x:v>3433060</x:v>
      </x:c>
      <x:c r="E79" s="12" t="n">
        <x:f>SUMIFS('统计计数'!$O$6:$O$95,'统计计数'!$B$6:$B$95,"CG_H0",'统计计数'!$A$6:$A$95,"b")/$D79</x:f>
        <x:v>0</x:v>
      </x:c>
      <x:c r="F79" s="12" t="n">
        <x:f>SUMIFS('统计计数'!$P$6:$P$95,'统计计数'!$B$6:$B$95,"CG_H0",'统计计数'!$A$6:$A$95,"b")/$D79</x:f>
        <x:v>0.13253074516612</x:v>
      </x:c>
      <x:c r="G79" s="12" t="n">
        <x:f>SUMIFS('统计计数'!$Q$6:$Q$95,'统计计数'!$B$6:$B$95,"CG_H0",'统计计数'!$A$6:$A$95,"b")/$D79</x:f>
        <x:v>0.38291262022801814</x:v>
      </x:c>
      <x:c r="H79" s="12" t="n">
        <x:f>SUMIFS('统计计数'!$R$6:$R$95,'统计计数'!$B$6:$B$95,"CG_H0",'统计计数'!$A$6:$A$95,"b")/$D79</x:f>
        <x:v>0.29957006285937327</x:v>
      </x:c>
      <x:c r="I79" s="12" t="n">
        <x:f>SUMIFS('统计计数'!$S$6:$S$95,'统计计数'!$B$6:$B$95,"CG_H0",'统计计数'!$A$6:$A$95,"b")/$D79</x:f>
        <x:v>0.15188723762474293</x:v>
      </x:c>
      <x:c r="J79" s="12" t="n">
        <x:f>SUMIFS('统计计数'!$T$6:$T$95,'统计计数'!$B$6:$B$95,"CG_H0",'统计计数'!$A$6:$A$95,"b")/$D79</x:f>
        <x:v>0.033099334121745615</x:v>
      </x:c>
      <x:c r="K79" s="12" t="n">
        <x:f>SUMIFS('统计计数'!$U$6:$U$95,'统计计数'!$B$6:$B$95,"CG_H0",'统计计数'!$A$6:$A$95,"b")/$D79</x:f>
        <x:v>0</x:v>
      </x:c>
      <x:c r="L79" s="12" t="n">
        <x:f>SUMIFS('统计计数'!$V$6:$V$95,'统计计数'!$B$6:$B$95,"CG_H0",'统计计数'!$A$6:$A$95,"b")/$D79</x:f>
        <x:v>0</x:v>
      </x:c>
      <x:c r="M79" s="12" t="n">
        <x:f>SUMIFS('统计计数'!$W$6:$W$95,'统计计数'!$B$6:$B$95,"CG_H0",'统计计数'!$A$6:$A$95,"b")/$D79</x:f>
        <x:v>0</x:v>
      </x:c>
      <x:c r="N79" s="12" t="n">
        <x:f>SUMIFS('统计计数'!$X$6:$X$95,'统计计数'!$B$6:$B$95,"CG_H0",'统计计数'!$A$6:$A$95,"b")/$D79</x:f>
        <x:v>0</x:v>
      </x:c>
    </x:row>
    <x:row r="80" ht="24" customHeight="1">
      <x:c r="A80" s="10" t="str">
        <x:v>b</x:v>
      </x:c>
      <x:c r="B80" s="10" t="str">
        <x:v>CG_H1</x:v>
      </x:c>
      <x:c r="C80" s="9" t="str">
        <x:v>节点</x:v>
      </x:c>
      <x:c r="D80" s="11" t="n">
        <x:f>SUMIFS('统计计数'!$C$6:$C$95,'统计计数'!$B$6:$B$95,"CG_H1",'统计计数'!$A$6:$A$95,"b")</x:f>
        <x:v>1481</x:v>
      </x:c>
      <x:c r="E80" s="12" t="n">
        <x:f>SUMIFS('统计计数'!$E$6:$E$95,'统计计数'!$B$6:$B$95,"CG_H1",'统计计数'!$A$6:$A$95,"b")/$D80</x:f>
        <x:v>0</x:v>
      </x:c>
      <x:c r="F80" s="12" t="n">
        <x:f>SUMIFS('统计计数'!$F$6:$F$95,'统计计数'!$B$6:$B$95,"CG_H1",'统计计数'!$A$6:$A$95,"b")/$D80</x:f>
        <x:v>0.12694125590817015</x:v>
      </x:c>
      <x:c r="G80" s="12" t="n">
        <x:f>SUMIFS('统计计数'!$G$6:$G$95,'统计计数'!$B$6:$B$95,"CG_H1",'统计计数'!$A$6:$A$95,"b")/$D80</x:f>
        <x:v>0.4442943956785955</x:v>
      </x:c>
      <x:c r="H80" s="12" t="n">
        <x:f>SUMIFS('统计计数'!$H$6:$H$95,'统计计数'!$B$6:$B$95,"CG_H1",'统计计数'!$A$6:$A$95,"b")/$D80</x:f>
        <x:v>0.33085752869682644</x:v>
      </x:c>
      <x:c r="I80" s="12" t="n">
        <x:f>SUMIFS('统计计数'!$I$6:$I$95,'统计计数'!$B$6:$B$95,"CG_H1",'统计计数'!$A$6:$A$95,"b")/$D80</x:f>
        <x:v>0.07157326130992572</x:v>
      </x:c>
      <x:c r="J80" s="12" t="n">
        <x:f>SUMIFS('统计计数'!$J$6:$J$95,'统计计数'!$B$6:$B$95,"CG_H1",'统计计数'!$A$6:$A$95,"b")/$D80</x:f>
        <x:v>0.006076975016880486</x:v>
      </x:c>
      <x:c r="K80" s="12" t="n">
        <x:f>SUMIFS('统计计数'!$K$6:$K$95,'统计计数'!$B$6:$B$95,"CG_H1",'统计计数'!$A$6:$A$95,"b")/$D80</x:f>
        <x:v>0.02025658338960162</x:v>
      </x:c>
      <x:c r="L80" s="12" t="n">
        <x:f>SUMIFS('统计计数'!$L$6:$L$95,'统计计数'!$B$6:$B$95,"CG_H1",'统计计数'!$A$6:$A$95,"b")/$D80</x:f>
        <x:v>0</x:v>
      </x:c>
      <x:c r="M80" s="12" t="n">
        <x:f>SUMIFS('统计计数'!$M$6:$M$95,'统计计数'!$B$6:$B$95,"CG_H1",'统计计数'!$A$6:$A$95,"b")/$D80</x:f>
        <x:v>0</x:v>
      </x:c>
      <x:c r="N80" s="12" t="n">
        <x:f>SUMIFS('统计计数'!$N$6:$N$95,'统计计数'!$B$6:$B$95,"CG_H1",'统计计数'!$A$6:$A$95,"b")/$D80</x:f>
        <x:v>0</x:v>
      </x:c>
    </x:row>
    <x:row r="81" ht="24" customHeight="1">
      <x:c r="A81" s="10" t="str">
        <x:v>b</x:v>
      </x:c>
      <x:c r="B81" s="10" t="str">
        <x:v>CG_H1</x:v>
      </x:c>
      <x:c r="C81" s="9" t="str">
        <x:v>源三角形</x:v>
      </x:c>
      <x:c r="D81" s="11" t="n">
        <x:f>SUMIFS('统计计数'!$D$6:$D$95,'统计计数'!$B$6:$B$95,"CG_H1",'统计计数'!$A$6:$A$95,"b")</x:f>
        <x:v>3433060</x:v>
      </x:c>
      <x:c r="E81" s="12" t="n">
        <x:f>SUMIFS('统计计数'!$O$6:$O$95,'统计计数'!$B$6:$B$95,"CG_H1",'统计计数'!$A$6:$A$95,"b")/$D81</x:f>
        <x:v>0</x:v>
      </x:c>
      <x:c r="F81" s="12" t="n">
        <x:f>SUMIFS('统计计数'!$P$6:$P$95,'统计计数'!$B$6:$B$95,"CG_H1",'统计计数'!$A$6:$A$95,"b")/$D81</x:f>
        <x:v>0.12351488176728632</x:v>
      </x:c>
      <x:c r="G81" s="12" t="n">
        <x:f>SUMIFS('统计计数'!$Q$6:$Q$95,'统计计数'!$B$6:$B$95,"CG_H1",'统计计数'!$A$6:$A$95,"b")/$D81</x:f>
        <x:v>0.3282500160206929</x:v>
      </x:c>
      <x:c r="H81" s="12" t="n">
        <x:f>SUMIFS('统计计数'!$R$6:$R$95,'统计计数'!$B$6:$B$95,"CG_H1",'统计计数'!$A$6:$A$95,"b")/$D81</x:f>
        <x:v>0.32955613942080825</x:v>
      </x:c>
      <x:c r="I81" s="12" t="n">
        <x:f>SUMIFS('统计计数'!$S$6:$S$95,'统计计数'!$B$6:$B$95,"CG_H1",'统计计数'!$A$6:$A$95,"b")/$D81</x:f>
        <x:v>0.17817515569200654</x:v>
      </x:c>
      <x:c r="J81" s="12" t="n">
        <x:f>SUMIFS('统计计数'!$T$6:$T$95,'统计计数'!$B$6:$B$95,"CG_H1",'统计计数'!$A$6:$A$95,"b")/$D81</x:f>
        <x:v>0.03559273650912014</x:v>
      </x:c>
      <x:c r="K81" s="12" t="n">
        <x:f>SUMIFS('统计计数'!$U$6:$U$95,'统计计数'!$B$6:$B$95,"CG_H1",'统计计数'!$A$6:$A$95,"b")/$D81</x:f>
        <x:v>0.004911070590085813</x:v>
      </x:c>
      <x:c r="L81" s="12" t="n">
        <x:f>SUMIFS('统计计数'!$V$6:$V$95,'统计计数'!$B$6:$B$95,"CG_H1",'统计计数'!$A$6:$A$95,"b")/$D81</x:f>
        <x:v>0</x:v>
      </x:c>
      <x:c r="M81" s="12" t="n">
        <x:f>SUMIFS('统计计数'!$W$6:$W$95,'统计计数'!$B$6:$B$95,"CG_H1",'统计计数'!$A$6:$A$95,"b")/$D81</x:f>
        <x:v>0</x:v>
      </x:c>
      <x:c r="N81" s="12" t="n">
        <x:f>SUMIFS('统计计数'!$X$6:$X$95,'统计计数'!$B$6:$B$95,"CG_H1",'统计计数'!$A$6:$A$95,"b")/$D81</x:f>
        <x:v>0</x:v>
      </x:c>
    </x:row>
    <x:row r="82" ht="24" customHeight="1">
      <x:c r="A82" s="10" t="str">
        <x:v>b</x:v>
      </x:c>
      <x:c r="B82" s="10" t="str">
        <x:v>NC_H0</x:v>
      </x:c>
      <x:c r="C82" s="9" t="str">
        <x:v>节点</x:v>
      </x:c>
      <x:c r="D82" s="11" t="n">
        <x:f>SUMIFS('统计计数'!$C$6:$C$95,'统计计数'!$B$6:$B$95,"NC_H0",'统计计数'!$A$6:$A$95,"b")</x:f>
        <x:v>1481</x:v>
      </x:c>
      <x:c r="E82" s="12" t="n">
        <x:f>SUMIFS('统计计数'!$E$6:$E$95,'统计计数'!$B$6:$B$95,"NC_H0",'统计计数'!$A$6:$A$95,"b")/$D82</x:f>
        <x:v>0</x:v>
      </x:c>
      <x:c r="F82" s="12" t="n">
        <x:f>SUMIFS('统计计数'!$F$6:$F$95,'统计计数'!$B$6:$B$95,"NC_H0",'统计计数'!$A$6:$A$95,"b")/$D82</x:f>
        <x:v>0.21269412559081702</x:v>
      </x:c>
      <x:c r="G82" s="12" t="n">
        <x:f>SUMIFS('统计计数'!$G$6:$G$95,'统计计数'!$B$6:$B$95,"NC_H0",'统计计数'!$A$6:$A$95,"b")/$D82</x:f>
        <x:v>0.01350438892640108</x:v>
      </x:c>
      <x:c r="H82" s="12" t="n">
        <x:f>SUMIFS('统计计数'!$H$6:$H$95,'统计计数'!$B$6:$B$95,"NC_H0",'统计计数'!$A$6:$A$95,"b")/$D82</x:f>
        <x:v>0</x:v>
      </x:c>
      <x:c r="I82" s="12" t="n">
        <x:f>SUMIFS('统计计数'!$I$6:$I$95,'统计计数'!$B$6:$B$95,"NC_H0",'统计计数'!$A$6:$A$95,"b")/$D82</x:f>
        <x:v>0.7157326130992573</x:v>
      </x:c>
      <x:c r="J82" s="12" t="n">
        <x:f>SUMIFS('统计计数'!$J$6:$J$95,'统计计数'!$B$6:$B$95,"NC_H0",'统计计数'!$A$6:$A$95,"b")/$D82</x:f>
        <x:v>0.004051316677920324</x:v>
      </x:c>
      <x:c r="K82" s="12" t="n">
        <x:f>SUMIFS('统计计数'!$K$6:$K$95,'统计计数'!$B$6:$B$95,"NC_H0",'统计计数'!$A$6:$A$95,"b")/$D82</x:f>
        <x:v>0.004051316677920324</x:v>
      </x:c>
      <x:c r="L82" s="12" t="n">
        <x:f>SUMIFS('统计计数'!$L$6:$L$95,'统计计数'!$B$6:$B$95,"NC_H0",'统计计数'!$A$6:$A$95,"b")/$D82</x:f>
        <x:v>0.02363268062120189</x:v>
      </x:c>
      <x:c r="M82" s="12" t="n">
        <x:f>SUMIFS('统计计数'!$M$6:$M$95,'统计计数'!$B$6:$B$95,"NC_H0",'统计计数'!$A$6:$A$95,"b")/$D82</x:f>
        <x:v>0.02633355840648211</x:v>
      </x:c>
      <x:c r="N82" s="12" t="n">
        <x:f>SUMIFS('统计计数'!$N$6:$N$95,'统计计数'!$B$6:$B$95,"NC_H0",'统计计数'!$A$6:$A$95,"b")/$D82</x:f>
        <x:v>0</x:v>
      </x:c>
    </x:row>
    <x:row r="83" ht="24" customHeight="1">
      <x:c r="A83" s="10" t="str">
        <x:v>b</x:v>
      </x:c>
      <x:c r="B83" s="10" t="str">
        <x:v>NC_H0</x:v>
      </x:c>
      <x:c r="C83" s="9" t="str">
        <x:v>源三角形</x:v>
      </x:c>
      <x:c r="D83" s="11" t="n">
        <x:f>SUMIFS('统计计数'!$D$6:$D$95,'统计计数'!$B$6:$B$95,"NC_H0",'统计计数'!$A$6:$A$95,"b")</x:f>
        <x:v>3433060</x:v>
      </x:c>
      <x:c r="E83" s="12" t="n">
        <x:f>SUMIFS('统计计数'!$O$6:$O$95,'统计计数'!$B$6:$B$95,"NC_H0",'统计计数'!$A$6:$A$95,"b")/$D83</x:f>
        <x:v>0</x:v>
      </x:c>
      <x:c r="F83" s="12" t="n">
        <x:f>SUMIFS('统计计数'!$P$6:$P$95,'统计计数'!$B$6:$B$95,"NC_H0",'统计计数'!$A$6:$A$95,"b")/$D83</x:f>
        <x:v>0.17073747618742463</x:v>
      </x:c>
      <x:c r="G83" s="12" t="n">
        <x:f>SUMIFS('统计计数'!$Q$6:$Q$95,'统计计数'!$B$6:$B$95,"NC_H0",'统计计数'!$A$6:$A$95,"b")/$D83</x:f>
        <x:v>0.0071207610702988</x:v>
      </x:c>
      <x:c r="H83" s="12" t="n">
        <x:f>SUMIFS('统计计数'!$R$6:$R$95,'统计计数'!$B$6:$B$95,"NC_H0",'统计计数'!$A$6:$A$95,"b")/$D83</x:f>
        <x:v>0</x:v>
      </x:c>
      <x:c r="I83" s="12" t="n">
        <x:f>SUMIFS('统计计数'!$S$6:$S$95,'统计计数'!$B$6:$B$95,"NC_H0",'统计计数'!$A$6:$A$95,"b")/$D83</x:f>
        <x:v>0.6247610003903223</x:v>
      </x:c>
      <x:c r="J83" s="12" t="n">
        <x:f>SUMIFS('统计计数'!$T$6:$T$95,'统计计数'!$B$6:$B$95,"NC_H0",'统计计数'!$A$6:$A$95,"b")/$D83</x:f>
        <x:v>0.019422322942214815</x:v>
      </x:c>
      <x:c r="K83" s="12" t="n">
        <x:f>SUMIFS('统计计数'!$U$6:$U$95,'统计计数'!$B$6:$B$95,"NC_H0",'统计计数'!$A$6:$A$95,"b")/$D83</x:f>
        <x:v>0.00976271897374354</x:v>
      </x:c>
      <x:c r="L83" s="12" t="n">
        <x:f>SUMIFS('统计计数'!$V$6:$V$95,'统计计数'!$B$6:$B$95,"NC_H0",'统计计数'!$A$6:$A$95,"b")/$D83</x:f>
        <x:v>0.05855592386966729</x:v>
      </x:c>
      <x:c r="M83" s="12" t="n">
        <x:f>SUMIFS('统计计数'!$W$6:$W$95,'统计计数'!$B$6:$B$95,"NC_H0",'统计计数'!$A$6:$A$95,"b")/$D83</x:f>
        <x:v>0.10963979656632858</x:v>
      </x:c>
      <x:c r="N83" s="12" t="n">
        <x:f>SUMIFS('统计计数'!$X$6:$X$95,'统计计数'!$B$6:$B$95,"NC_H0",'统计计数'!$A$6:$A$95,"b")/$D83</x:f>
        <x:v>0</x:v>
      </x:c>
    </x:row>
    <x:row r="84" ht="24" customHeight="1">
      <x:c r="A84" s="10" t="str">
        <x:v>b</x:v>
      </x:c>
      <x:c r="B84" s="10" t="str">
        <x:v>NC_H1</x:v>
      </x:c>
      <x:c r="C84" s="9" t="str">
        <x:v>节点</x:v>
      </x:c>
      <x:c r="D84" s="11" t="n">
        <x:f>SUMIFS('统计计数'!$C$6:$C$95,'统计计数'!$B$6:$B$95,"NC_H1",'统计计数'!$A$6:$A$95,"b")</x:f>
        <x:v>1481</x:v>
      </x:c>
      <x:c r="E84" s="12" t="n">
        <x:f>SUMIFS('统计计数'!$E$6:$E$95,'统计计数'!$B$6:$B$95,"NC_H1",'统计计数'!$A$6:$A$95,"b")/$D84</x:f>
        <x:v>0</x:v>
      </x:c>
      <x:c r="F84" s="12" t="n">
        <x:f>SUMIFS('统计计数'!$F$6:$F$95,'统计计数'!$B$6:$B$95,"NC_H1",'统计计数'!$A$6:$A$95,"b")/$D84</x:f>
        <x:v>0.19513841998649561</x:v>
      </x:c>
      <x:c r="G84" s="12" t="n">
        <x:f>SUMIFS('统计计数'!$G$6:$G$95,'统计计数'!$B$6:$B$95,"NC_H1",'统计计数'!$A$6:$A$95,"b")/$D84</x:f>
        <x:v>0.007427413909520594</x:v>
      </x:c>
      <x:c r="H84" s="12" t="n">
        <x:f>SUMIFS('统计计数'!$H$6:$H$95,'统计计数'!$B$6:$B$95,"NC_H1",'统计计数'!$A$6:$A$95,"b")/$D84</x:f>
        <x:v>0</x:v>
      </x:c>
      <x:c r="I84" s="12" t="n">
        <x:f>SUMIFS('统计计数'!$I$6:$I$95,'统计计数'!$B$6:$B$95,"NC_H1",'统计计数'!$A$6:$A$95,"b")/$D84</x:f>
        <x:v>0.7157326130992573</x:v>
      </x:c>
      <x:c r="J84" s="12" t="n">
        <x:f>SUMIFS('统计计数'!$J$6:$J$95,'统计计数'!$B$6:$B$95,"NC_H1",'统计计数'!$A$6:$A$95,"b")/$D84</x:f>
        <x:v>0.01012829169480081</x:v>
      </x:c>
      <x:c r="K84" s="12" t="n">
        <x:f>SUMIFS('统计计数'!$K$6:$K$95,'统计计数'!$B$6:$B$95,"NC_H1",'统计计数'!$A$6:$A$95,"b")/$D84</x:f>
        <x:v>0.02160702228224173</x:v>
      </x:c>
      <x:c r="L84" s="12" t="n">
        <x:f>SUMIFS('统计计数'!$L$6:$L$95,'统计计数'!$B$6:$B$95,"NC_H1",'统计计数'!$A$6:$A$95,"b")/$D84</x:f>
        <x:v>0.02363268062120189</x:v>
      </x:c>
      <x:c r="M84" s="12" t="n">
        <x:f>SUMIFS('统计计数'!$M$6:$M$95,'统计计数'!$B$6:$B$95,"NC_H1",'统计计数'!$A$6:$A$95,"b")/$D84</x:f>
        <x:v>0.02633355840648211</x:v>
      </x:c>
      <x:c r="N84" s="12" t="n">
        <x:f>SUMIFS('统计计数'!$N$6:$N$95,'统计计数'!$B$6:$B$95,"NC_H1",'统计计数'!$A$6:$A$95,"b")/$D84</x:f>
        <x:v>0</x:v>
      </x:c>
    </x:row>
    <x:row r="85" ht="24" customHeight="1">
      <x:c r="A85" s="10" t="str">
        <x:v>b</x:v>
      </x:c>
      <x:c r="B85" s="10" t="str">
        <x:v>NC_H1</x:v>
      </x:c>
      <x:c r="C85" s="9" t="str">
        <x:v>源三角形</x:v>
      </x:c>
      <x:c r="D85" s="11" t="n">
        <x:f>SUMIFS('统计计数'!$D$6:$D$95,'统计计数'!$B$6:$B$95,"NC_H1",'统计计数'!$A$6:$A$95,"b")</x:f>
        <x:v>3433060</x:v>
      </x:c>
      <x:c r="E85" s="12" t="n">
        <x:f>SUMIFS('统计计数'!$O$6:$O$95,'统计计数'!$B$6:$B$95,"NC_H1",'统计计数'!$A$6:$A$95,"b")/$D85</x:f>
        <x:v>0</x:v>
      </x:c>
      <x:c r="F85" s="12" t="n">
        <x:f>SUMIFS('统计计数'!$P$6:$P$95,'统计计数'!$B$6:$B$95,"NC_H1",'统计计数'!$A$6:$A$95,"b")/$D85</x:f>
        <x:v>0.1663845082812418</x:v>
      </x:c>
      <x:c r="G85" s="12" t="n">
        <x:f>SUMIFS('统计计数'!$Q$6:$Q$95,'统计计数'!$B$6:$B$95,"NC_H1",'统计计数'!$A$6:$A$95,"b")/$D85</x:f>
        <x:v>0.004294710841057249</x:v>
      </x:c>
      <x:c r="H85" s="12" t="n">
        <x:f>SUMIFS('统计计数'!$R$6:$R$95,'统计计数'!$B$6:$B$95,"NC_H1",'统计计数'!$A$6:$A$95,"b")/$D85</x:f>
        <x:v>0</x:v>
      </x:c>
      <x:c r="I85" s="12" t="n">
        <x:f>SUMIFS('统计计数'!$S$6:$S$95,'统计计数'!$B$6:$B$95,"NC_H1",'统计计数'!$A$6:$A$95,"b")/$D85</x:f>
        <x:v>0.6247610003903223</x:v>
      </x:c>
      <x:c r="J85" s="12" t="n">
        <x:f>SUMIFS('统计计数'!$T$6:$T$95,'统计计数'!$B$6:$B$95,"NC_H1",'统计计数'!$A$6:$A$95,"b")/$D85</x:f>
        <x:v>0.02224837317145637</x:v>
      </x:c>
      <x:c r="K85" s="12" t="n">
        <x:f>SUMIFS('统计计数'!$U$6:$U$95,'统计计数'!$B$6:$B$95,"NC_H1",'统计计数'!$A$6:$A$95,"b")/$D85</x:f>
        <x:v>0.014115686879926363</x:v>
      </x:c>
      <x:c r="L85" s="12" t="n">
        <x:f>SUMIFS('统计计数'!$V$6:$V$95,'统计计数'!$B$6:$B$95,"NC_H1",'统计计数'!$A$6:$A$95,"b")/$D85</x:f>
        <x:v>0.05855592386966729</x:v>
      </x:c>
      <x:c r="M85" s="12" t="n">
        <x:f>SUMIFS('统计计数'!$W$6:$W$95,'统计计数'!$B$6:$B$95,"NC_H1",'统计计数'!$A$6:$A$95,"b")/$D85</x:f>
        <x:v>0.10963979656632858</x:v>
      </x:c>
      <x:c r="N85" s="12" t="n">
        <x:f>SUMIFS('统计计数'!$X$6:$X$95,'统计计数'!$B$6:$B$95,"NC_H1",'统计计数'!$A$6:$A$95,"b")/$D85</x:f>
        <x:v>0</x:v>
      </x:c>
    </x:row>
    <x:row r="86" ht="24" customHeight="1">
      <x:c r="A86" s="10" t="str">
        <x:v>b</x:v>
      </x:c>
      <x:c r="B86" s="10" t="str">
        <x:v>NCG_H0</x:v>
      </x:c>
      <x:c r="C86" s="9" t="str">
        <x:v>节点</x:v>
      </x:c>
      <x:c r="D86" s="11" t="n">
        <x:f>SUMIFS('统计计数'!$C$6:$C$95,'统计计数'!$B$6:$B$95,"NCG_H0",'统计计数'!$A$6:$A$95,"b")</x:f>
        <x:v>1481</x:v>
      </x:c>
      <x:c r="E86" s="12" t="n">
        <x:f>SUMIFS('统计计数'!$E$6:$E$95,'统计计数'!$B$6:$B$95,"NCG_H0",'统计计数'!$A$6:$A$95,"b")/$D86</x:f>
        <x:v>0</x:v>
      </x:c>
      <x:c r="F86" s="12" t="n">
        <x:f>SUMIFS('统计计数'!$F$6:$F$95,'统计计数'!$B$6:$B$95,"NCG_H0",'统计计数'!$A$6:$A$95,"b")/$D86</x:f>
        <x:v>0.137744767049291</x:v>
      </x:c>
      <x:c r="G86" s="12" t="n">
        <x:f>SUMIFS('统计计数'!$G$6:$G$95,'统计计数'!$B$6:$B$95,"NCG_H0",'统计计数'!$A$6:$A$95,"b")/$D86</x:f>
        <x:v>0.46927751519243754</x:v>
      </x:c>
      <x:c r="H86" s="12" t="n">
        <x:f>SUMIFS('统计计数'!$H$6:$H$95,'统计计数'!$B$6:$B$95,"NCG_H0",'统计计数'!$A$6:$A$95,"b")/$D86</x:f>
        <x:v>0.25928426738690075</x:v>
      </x:c>
      <x:c r="I86" s="12" t="n">
        <x:f>SUMIFS('统计计数'!$I$6:$I$95,'统计计数'!$B$6:$B$95,"NCG_H0",'统计计数'!$A$6:$A$95,"b")/$D86</x:f>
        <x:v>0.0688723835246455</x:v>
      </x:c>
      <x:c r="J86" s="12" t="n">
        <x:f>SUMIFS('统计计数'!$J$6:$J$95,'统计计数'!$B$6:$B$95,"NCG_H0",'统计计数'!$A$6:$A$95,"b")/$D86</x:f>
        <x:v>0.010803511141120865</x:v>
      </x:c>
      <x:c r="K86" s="12" t="n">
        <x:f>SUMIFS('统计计数'!$K$6:$K$95,'统计计数'!$B$6:$B$95,"NCG_H0",'统计计数'!$A$6:$A$95,"b")/$D86</x:f>
        <x:v>0.004051316677920324</x:v>
      </x:c>
      <x:c r="L86" s="12" t="n">
        <x:f>SUMIFS('统计计数'!$L$6:$L$95,'统计计数'!$B$6:$B$95,"NCG_H0",'统计计数'!$A$6:$A$95,"b")/$D86</x:f>
        <x:v>0.02363268062120189</x:v>
      </x:c>
      <x:c r="M86" s="12" t="n">
        <x:f>SUMIFS('统计计数'!$M$6:$M$95,'统计计数'!$B$6:$B$95,"NCG_H0",'统计计数'!$A$6:$A$95,"b")/$D86</x:f>
        <x:v>0.02633355840648211</x:v>
      </x:c>
      <x:c r="N86" s="12" t="n">
        <x:f>SUMIFS('统计计数'!$N$6:$N$95,'统计计数'!$B$6:$B$95,"NCG_H0",'统计计数'!$A$6:$A$95,"b")/$D86</x:f>
        <x:v>0</x:v>
      </x:c>
    </x:row>
    <x:row r="87" ht="24" customHeight="1">
      <x:c r="A87" s="10" t="str">
        <x:v>b</x:v>
      </x:c>
      <x:c r="B87" s="10" t="str">
        <x:v>NCG_H0</x:v>
      </x:c>
      <x:c r="C87" s="9" t="str">
        <x:v>源三角形</x:v>
      </x:c>
      <x:c r="D87" s="11" t="n">
        <x:f>SUMIFS('统计计数'!$D$6:$D$95,'统计计数'!$B$6:$B$95,"NCG_H0",'统计计数'!$A$6:$A$95,"b")</x:f>
        <x:v>3433060</x:v>
      </x:c>
      <x:c r="E87" s="12" t="n">
        <x:f>SUMIFS('统计计数'!$O$6:$O$95,'统计计数'!$B$6:$B$95,"NCG_H0",'统计计数'!$A$6:$A$95,"b")/$D87</x:f>
        <x:v>0</x:v>
      </x:c>
      <x:c r="F87" s="12" t="n">
        <x:f>SUMIFS('统计计数'!$P$6:$P$95,'统计计数'!$B$6:$B$95,"NCG_H0",'统计计数'!$A$6:$A$95,"b")/$D87</x:f>
        <x:v>0.08456129517107187</x:v>
      </x:c>
      <x:c r="G87" s="12" t="n">
        <x:f>SUMIFS('统计计数'!$Q$6:$Q$95,'统计计数'!$B$6:$B$95,"NCG_H0",'统计计数'!$A$6:$A$95,"b")/$D87</x:f>
        <x:v>0.28984521097796134</x:v>
      </x:c>
      <x:c r="H87" s="12" t="n">
        <x:f>SUMIFS('统计计数'!$R$6:$R$95,'统计计数'!$B$6:$B$95,"NCG_H0",'统计计数'!$A$6:$A$95,"b")/$D87</x:f>
        <x:v>0.23857083767833945</x:v>
      </x:c>
      <x:c r="I87" s="12" t="n">
        <x:f>SUMIFS('统计计数'!$S$6:$S$95,'统计计数'!$B$6:$B$95,"NCG_H0",'统计计数'!$A$6:$A$95,"b")/$D87</x:f>
        <x:v>0.1504651826650277</x:v>
      </x:c>
      <x:c r="J87" s="12" t="n">
        <x:f>SUMIFS('统计计数'!$T$6:$T$95,'统计计数'!$B$6:$B$95,"NCG_H0",'统计计数'!$A$6:$A$95,"b")/$D87</x:f>
        <x:v>0.05859903409786022</x:v>
      </x:c>
      <x:c r="K87" s="12" t="n">
        <x:f>SUMIFS('统计计数'!$U$6:$U$95,'统计计数'!$B$6:$B$95,"NCG_H0",'统计计数'!$A$6:$A$95,"b")/$D87</x:f>
        <x:v>0.00976271897374354</x:v>
      </x:c>
      <x:c r="L87" s="12" t="n">
        <x:f>SUMIFS('统计计数'!$V$6:$V$95,'统计计数'!$B$6:$B$95,"NCG_H0",'统计计数'!$A$6:$A$95,"b")/$D87</x:f>
        <x:v>0.05855592386966729</x:v>
      </x:c>
      <x:c r="M87" s="12" t="n">
        <x:f>SUMIFS('统计计数'!$W$6:$W$95,'统计计数'!$B$6:$B$95,"NCG_H0",'统计计数'!$A$6:$A$95,"b")/$D87</x:f>
        <x:v>0.10963979656632858</x:v>
      </x:c>
      <x:c r="N87" s="12" t="n">
        <x:f>SUMIFS('统计计数'!$X$6:$X$95,'统计计数'!$B$6:$B$95,"NCG_H0",'统计计数'!$A$6:$A$95,"b")/$D87</x:f>
        <x:v>0</x:v>
      </x:c>
    </x:row>
    <x:row r="88" ht="24" customHeight="1">
      <x:c r="A88" s="10" t="str">
        <x:v>b</x:v>
      </x:c>
      <x:c r="B88" s="10" t="str">
        <x:v>NCG_H1</x:v>
      </x:c>
      <x:c r="C88" s="9" t="str">
        <x:v>节点</x:v>
      </x:c>
      <x:c r="D88" s="11" t="n">
        <x:f>SUMIFS('统计计数'!$C$6:$C$95,'统计计数'!$B$6:$B$95,"NCG_H1",'统计计数'!$A$6:$A$95,"b")</x:f>
        <x:v>1481</x:v>
      </x:c>
      <x:c r="E88" s="12" t="n">
        <x:f>SUMIFS('统计计数'!$E$6:$E$95,'统计计数'!$B$6:$B$95,"NCG_H1",'统计计数'!$A$6:$A$95,"b")/$D88</x:f>
        <x:v>0</x:v>
      </x:c>
      <x:c r="F88" s="12" t="n">
        <x:f>SUMIFS('统计计数'!$F$6:$F$95,'统计计数'!$B$6:$B$95,"NCG_H1",'统计计数'!$A$6:$A$95,"b")/$D88</x:f>
        <x:v>0.09723160027008777</x:v>
      </x:c>
      <x:c r="G88" s="12" t="n">
        <x:f>SUMIFS('统计计数'!$G$6:$G$95,'统计计数'!$B$6:$B$95,"NCG_H1",'统计计数'!$A$6:$A$95,"b")/$D88</x:f>
        <x:v>0.43416610398379474</x:v>
      </x:c>
      <x:c r="H88" s="12" t="n">
        <x:f>SUMIFS('统计计数'!$H$6:$H$95,'统计计数'!$B$6:$B$95,"NCG_H1",'统计计数'!$A$6:$A$95,"b")/$D88</x:f>
        <x:v>0.30790006752194465</x:v>
      </x:c>
      <x:c r="I88" s="12" t="n">
        <x:f>SUMIFS('统计计数'!$I$6:$I$95,'统计计数'!$B$6:$B$95,"NCG_H1",'统计计数'!$A$6:$A$95,"b")/$D88</x:f>
        <x:v>0.07022282241728561</x:v>
      </x:c>
      <x:c r="J88" s="12" t="n">
        <x:f>SUMIFS('统计计数'!$J$6:$J$95,'统计计数'!$B$6:$B$95,"NCG_H1",'统计计数'!$A$6:$A$95,"b")/$D88</x:f>
        <x:v>0.018906144496961513</x:v>
      </x:c>
      <x:c r="K88" s="12" t="n">
        <x:f>SUMIFS('统计计数'!$K$6:$K$95,'统计计数'!$B$6:$B$95,"NCG_H1",'统计计数'!$A$6:$A$95,"b")/$D88</x:f>
        <x:v>0.02160702228224173</x:v>
      </x:c>
      <x:c r="L88" s="12" t="n">
        <x:f>SUMIFS('统计计数'!$L$6:$L$95,'统计计数'!$B$6:$B$95,"NCG_H1",'统计计数'!$A$6:$A$95,"b")/$D88</x:f>
        <x:v>0.02363268062120189</x:v>
      </x:c>
      <x:c r="M88" s="12" t="n">
        <x:f>SUMIFS('统计计数'!$M$6:$M$95,'统计计数'!$B$6:$B$95,"NCG_H1",'统计计数'!$A$6:$A$95,"b")/$D88</x:f>
        <x:v>0.02633355840648211</x:v>
      </x:c>
      <x:c r="N88" s="12" t="n">
        <x:f>SUMIFS('统计计数'!$N$6:$N$95,'统计计数'!$B$6:$B$95,"NCG_H1",'统计计数'!$A$6:$A$95,"b")/$D88</x:f>
        <x:v>0</x:v>
      </x:c>
    </x:row>
    <x:row r="89" ht="24" customHeight="1">
      <x:c r="A89" s="10" t="str">
        <x:v>b</x:v>
      </x:c>
      <x:c r="B89" s="10" t="str">
        <x:v>NCG_H1</x:v>
      </x:c>
      <x:c r="C89" s="9" t="str">
        <x:v>源三角形</x:v>
      </x:c>
      <x:c r="D89" s="11" t="n">
        <x:f>SUMIFS('统计计数'!$D$6:$D$95,'统计计数'!$B$6:$B$95,"NCG_H1",'统计计数'!$A$6:$A$95,"b")</x:f>
        <x:v>3433060</x:v>
      </x:c>
      <x:c r="E89" s="12" t="n">
        <x:f>SUMIFS('统计计数'!$O$6:$O$95,'统计计数'!$B$6:$B$95,"NCG_H1",'统计计数'!$A$6:$A$95,"b")/$D89</x:f>
        <x:v>0</x:v>
      </x:c>
      <x:c r="F89" s="12" t="n">
        <x:f>SUMIFS('统计计数'!$P$6:$P$95,'统计计数'!$B$6:$B$95,"NCG_H1",'统计计数'!$A$6:$A$95,"b")/$D89</x:f>
        <x:v>0.07649851735769256</x:v>
      </x:c>
      <x:c r="G89" s="12" t="n">
        <x:f>SUMIFS('统计计数'!$Q$6:$Q$95,'统计计数'!$B$6:$B$95,"NCG_H1",'统计计数'!$A$6:$A$95,"b")/$D89</x:f>
        <x:v>0.23285348930691568</x:v>
      </x:c>
      <x:c r="H89" s="12" t="n">
        <x:f>SUMIFS('统计计数'!$R$6:$R$95,'统计计数'!$B$6:$B$95,"NCG_H1",'统计计数'!$A$6:$A$95,"b")/$D89</x:f>
        <x:v>0.29216500731126166</x:v>
      </x:c>
      <x:c r="I89" s="12" t="n">
        <x:f>SUMIFS('统计计数'!$S$6:$S$95,'统计计数'!$B$6:$B$95,"NCG_H1",'统计计数'!$A$6:$A$95,"b")/$D89</x:f>
        <x:v>0.15225309199373155</x:v>
      </x:c>
      <x:c r="J89" s="12" t="n">
        <x:f>SUMIFS('统计计数'!$T$6:$T$95,'统计计数'!$B$6:$B$95,"NCG_H1",'统计计数'!$A$6:$A$95,"b")/$D89</x:f>
        <x:v>0.0639184867144763</x:v>
      </x:c>
      <x:c r="K89" s="12" t="n">
        <x:f>SUMIFS('统计计数'!$U$6:$U$95,'统计计数'!$B$6:$B$95,"NCG_H1",'统计计数'!$A$6:$A$95,"b")/$D89</x:f>
        <x:v>0.014115686879926363</x:v>
      </x:c>
      <x:c r="L89" s="12" t="n">
        <x:f>SUMIFS('统计计数'!$V$6:$V$95,'统计计数'!$B$6:$B$95,"NCG_H1",'统计计数'!$A$6:$A$95,"b")/$D89</x:f>
        <x:v>0.05855592386966729</x:v>
      </x:c>
      <x:c r="M89" s="12" t="n">
        <x:f>SUMIFS('统计计数'!$W$6:$W$95,'统计计数'!$B$6:$B$95,"NCG_H1",'统计计数'!$A$6:$A$95,"b")/$D89</x:f>
        <x:v>0.10963979656632858</x:v>
      </x:c>
      <x:c r="N89" s="12" t="n">
        <x:f>SUMIFS('统计计数'!$X$6:$X$95,'统计计数'!$B$6:$B$95,"NCG_H1",'统计计数'!$A$6:$A$95,"b")/$D89</x:f>
        <x:v>0</x:v>
      </x:c>
    </x:row>
    <x:row r="90" ht="24" customHeight="1">
      <x:c r="A90" s="10" t="str">
        <x:v>b</x:v>
      </x:c>
      <x:c r="B90" s="10" t="str">
        <x:v>G_H0</x:v>
      </x:c>
      <x:c r="C90" s="9" t="str">
        <x:v>节点</x:v>
      </x:c>
      <x:c r="D90" s="11" t="n">
        <x:f>SUMIFS('统计计数'!$C$6:$C$95,'统计计数'!$B$6:$B$95,"G_H0",'统计计数'!$A$6:$A$95,"b")</x:f>
        <x:v>1481</x:v>
      </x:c>
      <x:c r="E90" s="12" t="n">
        <x:f>SUMIFS('统计计数'!$E$6:$E$95,'统计计数'!$B$6:$B$95,"G_H0",'统计计数'!$A$6:$A$95,"b")/$D90</x:f>
        <x:v>0</x:v>
      </x:c>
      <x:c r="F90" s="12" t="n">
        <x:f>SUMIFS('统计计数'!$F$6:$F$95,'统计计数'!$B$6:$B$95,"G_H0",'统计计数'!$A$6:$A$95,"b")/$D90</x:f>
        <x:v>0.15057393652937204</x:v>
      </x:c>
      <x:c r="G90" s="12" t="n">
        <x:f>SUMIFS('统计计数'!$G$6:$G$95,'统计计数'!$B$6:$B$95,"G_H0",'统计计数'!$A$6:$A$95,"b")/$D90</x:f>
        <x:v>0.4922349763673194</x:v>
      </x:c>
      <x:c r="H90" s="12" t="n">
        <x:f>SUMIFS('统计计数'!$H$6:$H$95,'统计计数'!$B$6:$B$95,"G_H0",'统计计数'!$A$6:$A$95,"b")/$D90</x:f>
        <x:v>0.2889939230249831</x:v>
      </x:c>
      <x:c r="I90" s="12" t="n">
        <x:f>SUMIFS('统计计数'!$I$6:$I$95,'统计计数'!$B$6:$B$95,"G_H0",'统计计数'!$A$6:$A$95,"b")/$D90</x:f>
        <x:v>0.06414584740040513</x:v>
      </x:c>
      <x:c r="J90" s="12" t="n">
        <x:f>SUMIFS('统计计数'!$J$6:$J$95,'统计计数'!$B$6:$B$95,"G_H0",'统计计数'!$A$6:$A$95,"b")/$D90</x:f>
        <x:v>0.004051316677920324</x:v>
      </x:c>
      <x:c r="K90" s="12" t="n">
        <x:f>SUMIFS('统计计数'!$K$6:$K$95,'统计计数'!$B$6:$B$95,"G_H0",'统计计数'!$A$6:$A$95,"b")/$D90</x:f>
        <x:v>0</x:v>
      </x:c>
      <x:c r="L90" s="12" t="n">
        <x:f>SUMIFS('统计计数'!$L$6:$L$95,'统计计数'!$B$6:$B$95,"G_H0",'统计计数'!$A$6:$A$95,"b")/$D90</x:f>
        <x:v>0</x:v>
      </x:c>
      <x:c r="M90" s="12" t="n">
        <x:f>SUMIFS('统计计数'!$M$6:$M$95,'统计计数'!$B$6:$B$95,"G_H0",'统计计数'!$A$6:$A$95,"b")/$D90</x:f>
        <x:v>0</x:v>
      </x:c>
      <x:c r="N90" s="12" t="n">
        <x:f>SUMIFS('统计计数'!$N$6:$N$95,'统计计数'!$B$6:$B$95,"G_H0",'统计计数'!$A$6:$A$95,"b")/$D90</x:f>
        <x:v>0</x:v>
      </x:c>
    </x:row>
    <x:row r="91" ht="24" customHeight="1">
      <x:c r="A91" s="10" t="str">
        <x:v>b</x:v>
      </x:c>
      <x:c r="B91" s="10" t="str">
        <x:v>G_H0</x:v>
      </x:c>
      <x:c r="C91" s="9" t="str">
        <x:v>源三角形</x:v>
      </x:c>
      <x:c r="D91" s="11" t="n">
        <x:f>SUMIFS('统计计数'!$D$6:$D$95,'统计计数'!$B$6:$B$95,"G_H0",'统计计数'!$A$6:$A$95,"b")</x:f>
        <x:v>3433060</x:v>
      </x:c>
      <x:c r="E91" s="12" t="n">
        <x:f>SUMIFS('统计计数'!$O$6:$O$95,'统计计数'!$B$6:$B$95,"G_H0",'统计计数'!$A$6:$A$95,"b")/$D91</x:f>
        <x:v>0</x:v>
      </x:c>
      <x:c r="F91" s="12" t="n">
        <x:f>SUMIFS('统计计数'!$P$6:$P$95,'统计计数'!$B$6:$B$95,"G_H0",'统计计数'!$A$6:$A$95,"b")/$D91</x:f>
        <x:v>0.12753228897834584</x:v>
      </x:c>
      <x:c r="G91" s="12" t="n">
        <x:f>SUMIFS('统计计数'!$Q$6:$Q$95,'统计计数'!$B$6:$B$95,"G_H0",'统计计数'!$A$6:$A$95,"b")/$D91</x:f>
        <x:v>0.3879110764157923</x:v>
      </x:c>
      <x:c r="H91" s="12" t="n">
        <x:f>SUMIFS('统计计数'!$R$6:$R$95,'统计计数'!$B$6:$B$95,"G_H0",'统计计数'!$A$6:$A$95,"b")/$D91</x:f>
        <x:v>0.29957006285937327</x:v>
      </x:c>
      <x:c r="I91" s="12" t="n">
        <x:f>SUMIFS('统计计数'!$S$6:$S$95,'统计计数'!$B$6:$B$95,"G_H0",'统计计数'!$A$6:$A$95,"b")/$D91</x:f>
        <x:v>0.15188723762474293</x:v>
      </x:c>
      <x:c r="J91" s="12" t="n">
        <x:f>SUMIFS('统计计数'!$T$6:$T$95,'统计计数'!$B$6:$B$95,"G_H0",'统计计数'!$A$6:$A$95,"b")/$D91</x:f>
        <x:v>0.033099334121745615</x:v>
      </x:c>
      <x:c r="K91" s="12" t="n">
        <x:f>SUMIFS('统计计数'!$U$6:$U$95,'统计计数'!$B$6:$B$95,"G_H0",'统计计数'!$A$6:$A$95,"b")/$D91</x:f>
        <x:v>0</x:v>
      </x:c>
      <x:c r="L91" s="12" t="n">
        <x:f>SUMIFS('统计计数'!$V$6:$V$95,'统计计数'!$B$6:$B$95,"G_H0",'统计计数'!$A$6:$A$95,"b")/$D91</x:f>
        <x:v>0</x:v>
      </x:c>
      <x:c r="M91" s="12" t="n">
        <x:f>SUMIFS('统计计数'!$W$6:$W$95,'统计计数'!$B$6:$B$95,"G_H0",'统计计数'!$A$6:$A$95,"b")/$D91</x:f>
        <x:v>0</x:v>
      </x:c>
      <x:c r="N91" s="12" t="n">
        <x:f>SUMIFS('统计计数'!$X$6:$X$95,'统计计数'!$B$6:$B$95,"G_H0",'统计计数'!$A$6:$A$95,"b")/$D91</x:f>
        <x:v>0</x:v>
      </x:c>
    </x:row>
    <x:row r="92" ht="24" customHeight="1">
      <x:c r="A92" s="10" t="str">
        <x:v>b</x:v>
      </x:c>
      <x:c r="B92" s="10" t="str">
        <x:v>G_H1</x:v>
      </x:c>
      <x:c r="C92" s="9" t="str">
        <x:v>节点</x:v>
      </x:c>
      <x:c r="D92" s="11" t="n">
        <x:f>SUMIFS('统计计数'!$C$6:$C$95,'统计计数'!$B$6:$B$95,"G_H1",'统计计数'!$A$6:$A$95,"b")</x:f>
        <x:v>1481</x:v>
      </x:c>
      <x:c r="E92" s="12" t="n">
        <x:f>SUMIFS('统计计数'!$E$6:$E$95,'统计计数'!$B$6:$B$95,"G_H1",'统计计数'!$A$6:$A$95,"b")/$D92</x:f>
        <x:v>0</x:v>
      </x:c>
      <x:c r="F92" s="12" t="n">
        <x:f>SUMIFS('统计计数'!$F$6:$F$95,'统计计数'!$B$6:$B$95,"G_H1",'统计计数'!$A$6:$A$95,"b")/$D92</x:f>
        <x:v>0.11276164753544902</x:v>
      </x:c>
      <x:c r="G92" s="12" t="n">
        <x:f>SUMIFS('统计计数'!$G$6:$G$95,'统计计数'!$B$6:$B$95,"G_H1",'统计计数'!$A$6:$A$95,"b")/$D92</x:f>
        <x:v>0.4665766374071573</x:v>
      </x:c>
      <x:c r="H92" s="12" t="n">
        <x:f>SUMIFS('统计计数'!$H$6:$H$95,'统计计数'!$B$6:$B$95,"G_H1",'统计计数'!$A$6:$A$95,"b")/$D92</x:f>
        <x:v>0.34233625928426736</x:v>
      </x:c>
      <x:c r="I92" s="12" t="n">
        <x:f>SUMIFS('统计计数'!$I$6:$I$95,'统计计数'!$B$6:$B$95,"G_H1",'统计计数'!$A$6:$A$95,"b")/$D92</x:f>
        <x:v>0.07292370020256583</x:v>
      </x:c>
      <x:c r="J92" s="12" t="n">
        <x:f>SUMIFS('统计计数'!$J$6:$J$95,'统计计数'!$B$6:$B$95,"G_H1",'统计计数'!$A$6:$A$95,"b")/$D92</x:f>
        <x:v>0.0054017555705604325</x:v>
      </x:c>
      <x:c r="K92" s="12" t="n">
        <x:f>SUMIFS('统计计数'!$K$6:$K$95,'统计计数'!$B$6:$B$95,"G_H1",'统计计数'!$A$6:$A$95,"b")/$D92</x:f>
        <x:v>0</x:v>
      </x:c>
      <x:c r="L92" s="12" t="n">
        <x:f>SUMIFS('统计计数'!$L$6:$L$95,'统计计数'!$B$6:$B$95,"G_H1",'统计计数'!$A$6:$A$95,"b")/$D92</x:f>
        <x:v>0</x:v>
      </x:c>
      <x:c r="M92" s="12" t="n">
        <x:f>SUMIFS('统计计数'!$M$6:$M$95,'统计计数'!$B$6:$B$95,"G_H1",'统计计数'!$A$6:$A$95,"b")/$D92</x:f>
        <x:v>0</x:v>
      </x:c>
      <x:c r="N92" s="12" t="n">
        <x:f>SUMIFS('统计计数'!$N$6:$N$95,'统计计数'!$B$6:$B$95,"G_H1",'统计计数'!$A$6:$A$95,"b")/$D92</x:f>
        <x:v>0</x:v>
      </x:c>
    </x:row>
    <x:row r="93" ht="24" customHeight="1">
      <x:c r="A93" s="10" t="str">
        <x:v>b</x:v>
      </x:c>
      <x:c r="B93" s="10" t="str">
        <x:v>G_H1</x:v>
      </x:c>
      <x:c r="C93" s="9" t="str">
        <x:v>源三角形</x:v>
      </x:c>
      <x:c r="D93" s="11" t="n">
        <x:f>SUMIFS('统计计数'!$D$6:$D$95,'统计计数'!$B$6:$B$95,"G_H1",'统计计数'!$A$6:$A$95,"b")</x:f>
        <x:v>3433060</x:v>
      </x:c>
      <x:c r="E93" s="12" t="n">
        <x:f>SUMIFS('统计计数'!$O$6:$O$95,'统计计数'!$B$6:$B$95,"G_H1",'统计计数'!$A$6:$A$95,"b")/$D93</x:f>
        <x:v>0</x:v>
      </x:c>
      <x:c r="F93" s="12" t="n">
        <x:f>SUMIFS('统计计数'!$P$6:$P$95,'统计计数'!$B$6:$B$95,"G_H1",'统计计数'!$A$6:$A$95,"b")/$D93</x:f>
        <x:v>0.1191712349915236</x:v>
      </x:c>
      <x:c r="G93" s="12" t="n">
        <x:f>SUMIFS('统计计数'!$Q$6:$Q$95,'统计计数'!$B$6:$B$95,"G_H1",'统计计数'!$A$6:$A$95,"b")/$D93</x:f>
        <x:v>0.3339126027508986</x:v>
      </x:c>
      <x:c r="H93" s="12" t="n">
        <x:f>SUMIFS('统计计数'!$R$6:$R$95,'统计计数'!$B$6:$B$95,"G_H1",'统计计数'!$A$6:$A$95,"b")/$D93</x:f>
        <x:v>0.33208449604725815</x:v>
      </x:c>
      <x:c r="I93" s="12" t="n">
        <x:f>SUMIFS('统计计数'!$S$6:$S$95,'统计计数'!$B$6:$B$95,"G_H1",'统计计数'!$A$6:$A$95,"b")/$D93</x:f>
        <x:v>0.1799799595695968</x:v>
      </x:c>
      <x:c r="J93" s="12" t="n">
        <x:f>SUMIFS('统计计数'!$T$6:$T$95,'统计计数'!$B$6:$B$95,"G_H1",'统计计数'!$A$6:$A$95,"b")/$D93</x:f>
        <x:v>0.03485170664072285</x:v>
      </x:c>
      <x:c r="K93" s="12" t="n">
        <x:f>SUMIFS('统计计数'!$U$6:$U$95,'统计计数'!$B$6:$B$95,"G_H1",'统计计数'!$A$6:$A$95,"b")/$D93</x:f>
        <x:v>0</x:v>
      </x:c>
      <x:c r="L93" s="12" t="n">
        <x:f>SUMIFS('统计计数'!$V$6:$V$95,'统计计数'!$B$6:$B$95,"G_H1",'统计计数'!$A$6:$A$95,"b")/$D93</x:f>
        <x:v>0</x:v>
      </x:c>
      <x:c r="M93" s="12" t="n">
        <x:f>SUMIFS('统计计数'!$W$6:$W$95,'统计计数'!$B$6:$B$95,"G_H1",'统计计数'!$A$6:$A$95,"b")/$D93</x:f>
        <x:v>0</x:v>
      </x:c>
      <x:c r="N93" s="12" t="n">
        <x:f>SUMIFS('统计计数'!$X$6:$X$95,'统计计数'!$B$6:$B$95,"G_H1",'统计计数'!$A$6:$A$95,"b")/$D93</x:f>
        <x:v>0</x:v>
      </x:c>
    </x:row>
    <x:row r="94" ht="24" customHeight="1">
      <x:c r="A94" s="10" t="str">
        <x:v>b</x:v>
      </x:c>
      <x:c r="B94" s="10" t="str">
        <x:v>NCG_H1_M1</x:v>
      </x:c>
      <x:c r="C94" s="9" t="str">
        <x:v>节点</x:v>
      </x:c>
      <x:c r="D94" s="11" t="n">
        <x:f>SUMIFS('统计计数'!$C$6:$C$95,'统计计数'!$B$6:$B$95,"NCG_H1_M1",'统计计数'!$A$6:$A$95,"b")</x:f>
        <x:v>1481</x:v>
      </x:c>
      <x:c r="E94" s="12" t="n">
        <x:f>SUMIFS('统计计数'!$E$6:$E$95,'统计计数'!$B$6:$B$95,"NCG_H1_M1",'统计计数'!$A$6:$A$95,"b")/$D94</x:f>
        <x:v>0</x:v>
      </x:c>
      <x:c r="F94" s="12" t="n">
        <x:f>SUMIFS('统计计数'!$F$6:$F$95,'统计计数'!$B$6:$B$95,"NCG_H1_M1",'统计计数'!$A$6:$A$95,"b")/$D94</x:f>
        <x:v>0.09723160027008777</x:v>
      </x:c>
      <x:c r="G94" s="12" t="n">
        <x:f>SUMIFS('统计计数'!$G$6:$G$95,'统计计数'!$B$6:$B$95,"NCG_H1_M1",'统计计数'!$A$6:$A$95,"b")/$D94</x:f>
        <x:v>0.3551654287643484</x:v>
      </x:c>
      <x:c r="H94" s="12" t="n">
        <x:f>SUMIFS('统计计数'!$H$6:$H$95,'统计计数'!$B$6:$B$95,"NCG_H1_M1",'统计计数'!$A$6:$A$95,"b")/$D94</x:f>
        <x:v>0.28089128966914245</x:v>
      </x:c>
      <x:c r="I94" s="12" t="n">
        <x:f>SUMIFS('统计计数'!$I$6:$I$95,'统计计数'!$B$6:$B$95,"NCG_H1_M1",'统计计数'!$A$6:$A$95,"b")/$D94</x:f>
        <x:v>0.05401755570560432</x:v>
      </x:c>
      <x:c r="J94" s="12" t="n">
        <x:f>SUMIFS('统计计数'!$J$6:$J$95,'统计计数'!$B$6:$B$95,"NCG_H1_M1",'统计计数'!$A$6:$A$95,"b")/$D94</x:f>
        <x:v>0.014179608372721135</x:v>
      </x:c>
      <x:c r="K94" s="12" t="n">
        <x:f>SUMIFS('统计计数'!$K$6:$K$95,'统计计数'!$B$6:$B$95,"NCG_H1_M1",'统计计数'!$A$6:$A$95,"b")/$D94</x:f>
        <x:v>0.05806887238352464</x:v>
      </x:c>
      <x:c r="L94" s="12" t="n">
        <x:f>SUMIFS('统计计数'!$L$6:$L$95,'统计计数'!$B$6:$B$95,"NCG_H1_M1",'统计计数'!$A$6:$A$95,"b")/$D94</x:f>
        <x:v>0.048615800135043886</x:v>
      </x:c>
      <x:c r="M94" s="12" t="n">
        <x:f>SUMIFS('统计计数'!$M$6:$M$95,'统计计数'!$B$6:$B$95,"NCG_H1_M1",'统计计数'!$A$6:$A$95,"b")/$D94</x:f>
        <x:v>0.08710330857528698</x:v>
      </x:c>
      <x:c r="N94" s="12" t="n">
        <x:f>SUMIFS('统计计数'!$N$6:$N$95,'统计计数'!$B$6:$B$95,"NCG_H1_M1",'统计计数'!$A$6:$A$95,"b")/$D94</x:f>
        <x:v>0.004726536124240378</x:v>
      </x:c>
    </x:row>
    <x:row r="95" ht="24" customHeight="1">
      <x:c r="A95" s="10" t="str">
        <x:v>b</x:v>
      </x:c>
      <x:c r="B95" s="10" t="str">
        <x:v>NCG_H1_M1</x:v>
      </x:c>
      <x:c r="C95" s="9" t="str">
        <x:v>源三角形</x:v>
      </x:c>
      <x:c r="D95" s="11" t="n">
        <x:f>SUMIFS('统计计数'!$D$6:$D$95,'统计计数'!$B$6:$B$95,"NCG_H1_M1",'统计计数'!$A$6:$A$95,"b")</x:f>
        <x:v>3433060</x:v>
      </x:c>
      <x:c r="E95" s="12" t="n">
        <x:f>SUMIFS('统计计数'!$O$6:$O$95,'统计计数'!$B$6:$B$95,"NCG_H1_M1",'统计计数'!$A$6:$A$95,"b")/$D95</x:f>
        <x:v>0</x:v>
      </x:c>
      <x:c r="F95" s="12" t="n">
        <x:f>SUMIFS('统计计数'!$P$6:$P$95,'统计计数'!$B$6:$B$95,"NCG_H1_M1",'统计计数'!$A$6:$A$95,"b")/$D95</x:f>
        <x:v>0.07649851735769256</x:v>
      </x:c>
      <x:c r="G95" s="12" t="n">
        <x:f>SUMIFS('统计计数'!$Q$6:$Q$95,'统计计数'!$B$6:$B$95,"NCG_H1_M1",'统计计数'!$A$6:$A$95,"b")/$D95</x:f>
        <x:v>0.12468293592305407</x:v>
      </x:c>
      <x:c r="H95" s="12" t="n">
        <x:f>SUMIFS('统计计数'!$R$6:$R$95,'统计计数'!$B$6:$B$95,"NCG_H1_M1",'统计计数'!$A$6:$A$95,"b")/$D95</x:f>
        <x:v>0.2211979982872423</x:v>
      </x:c>
      <x:c r="I95" s="12" t="n">
        <x:f>SUMIFS('统计计数'!$S$6:$S$95,'统计计数'!$B$6:$B$95,"NCG_H1_M1",'统计计数'!$A$6:$A$95,"b")/$D95</x:f>
        <x:v>0.11559541633411592</x:v>
      </x:c>
      <x:c r="J95" s="12" t="n">
        <x:f>SUMIFS('统计计数'!$T$6:$T$95,'统计计数'!$B$6:$B$95,"NCG_H1_M1",'统计计数'!$A$6:$A$95,"b")/$D95</x:f>
        <x:v>0.054777953196273876</x:v>
      </x:c>
      <x:c r="K95" s="12" t="n">
        <x:f>SUMIFS('统计计数'!$U$6:$U$95,'统计计数'!$B$6:$B$95,"NCG_H1_M1",'统计计数'!$A$6:$A$95,"b")/$D95</x:f>
        <x:v>0.052741286199483844</x:v>
      </x:c>
      <x:c r="L95" s="12" t="n">
        <x:f>SUMIFS('统计计数'!$V$6:$V$95,'统计计数'!$B$6:$B$95,"NCG_H1_M1",'统计计数'!$A$6:$A$95,"b")/$D95</x:f>
        <x:v>0.1420388807652648</x:v>
      </x:c>
      <x:c r="M95" s="12" t="n">
        <x:f>SUMIFS('统计计数'!$W$6:$W$95,'统计计数'!$B$6:$B$95,"NCG_H1_M1",'统计计数'!$A$6:$A$95,"b")/$D95</x:f>
        <x:v>0.20751632654250143</x:v>
      </x:c>
      <x:c r="N95" s="12" t="n">
        <x:f>SUMIFS('统计计数'!$X$6:$X$95,'统计计数'!$B$6:$B$95,"NCG_H1_M1",'统计计数'!$A$6:$A$95,"b")/$D95</x:f>
        <x:v>0.004950685394371202</x:v>
      </x:c>
    </x:row>
    <x:row r="96" ht="24" customHeight="1">
      <x:c r="A96" s="10" t="str">
        <x:v>c</x:v>
      </x:c>
      <x:c r="B96" s="10" t="str">
        <x:v>N_H0</x:v>
      </x:c>
      <x:c r="C96" s="9" t="str">
        <x:v>节点</x:v>
      </x:c>
      <x:c r="D96" s="11" t="n">
        <x:f>SUMIFS('统计计数'!$C$6:$C$95,'统计计数'!$B$6:$B$95,"N_H0",'统计计数'!$A$6:$A$95,"c")</x:f>
        <x:v>1747</x:v>
      </x:c>
      <x:c r="E96" s="12" t="n">
        <x:f>SUMIFS('统计计数'!$E$6:$E$95,'统计计数'!$B$6:$B$95,"N_H0",'统计计数'!$A$6:$A$95,"c")/$D96</x:f>
        <x:v>0</x:v>
      </x:c>
      <x:c r="F96" s="12" t="n">
        <x:f>SUMIFS('统计计数'!$F$6:$F$95,'统计计数'!$B$6:$B$95,"N_H0",'统计计数'!$A$6:$A$95,"c")/$D96</x:f>
        <x:v>0.10589582140812821</x:v>
      </x:c>
      <x:c r="G96" s="12" t="n">
        <x:f>SUMIFS('统计计数'!$G$6:$G$95,'统计计数'!$B$6:$B$95,"N_H0",'统计计数'!$A$6:$A$95,"c")/$D96</x:f>
        <x:v>0.03205495134516314</x:v>
      </x:c>
      <x:c r="H96" s="12" t="n">
        <x:f>SUMIFS('统计计数'!$H$6:$H$95,'统计计数'!$B$6:$B$95,"N_H0",'统计计数'!$A$6:$A$95,"c")/$D96</x:f>
        <x:v>0</x:v>
      </x:c>
      <x:c r="I96" s="12" t="n">
        <x:f>SUMIFS('统计计数'!$I$6:$I$95,'统计计数'!$B$6:$B$95,"N_H0",'统计计数'!$A$6:$A$95,"c")/$D96</x:f>
        <x:v>0.7687464224384659</x:v>
      </x:c>
      <x:c r="J96" s="12" t="n">
        <x:f>SUMIFS('统计计数'!$J$6:$J$95,'统计计数'!$B$6:$B$95,"N_H0",'统计计数'!$A$6:$A$95,"c")/$D96</x:f>
        <x:v>0</x:v>
      </x:c>
      <x:c r="K96" s="12" t="n">
        <x:f>SUMIFS('统计计数'!$K$6:$K$95,'统计计数'!$B$6:$B$95,"N_H0",'统计计数'!$A$6:$A$95,"c")/$D96</x:f>
        <x:v>0.031482541499713794</x:v>
      </x:c>
      <x:c r="L96" s="12" t="n">
        <x:f>SUMIFS('统计计数'!$L$6:$L$95,'统计计数'!$B$6:$B$95,"N_H0",'统计计数'!$A$6:$A$95,"c")/$D96</x:f>
        <x:v>0.018889524899828276</x:v>
      </x:c>
      <x:c r="M96" s="12" t="n">
        <x:f>SUMIFS('统计计数'!$M$6:$M$95,'统计计数'!$B$6:$B$95,"N_H0",'统计计数'!$A$6:$A$95,"c")/$D96</x:f>
        <x:v>0.04293073840870063</x:v>
      </x:c>
      <x:c r="N96" s="12" t="n">
        <x:f>SUMIFS('统计计数'!$N$6:$N$95,'统计计数'!$B$6:$B$95,"N_H0",'统计计数'!$A$6:$A$95,"c")/$D96</x:f>
        <x:v>0</x:v>
      </x:c>
    </x:row>
    <x:row r="97" ht="24" customHeight="1">
      <x:c r="A97" s="10" t="str">
        <x:v>c</x:v>
      </x:c>
      <x:c r="B97" s="10" t="str">
        <x:v>N_H0</x:v>
      </x:c>
      <x:c r="C97" s="9" t="str">
        <x:v>源三角形</x:v>
      </x:c>
      <x:c r="D97" s="11" t="n">
        <x:f>SUMIFS('统计计数'!$D$6:$D$95,'统计计数'!$B$6:$B$95,"N_H0",'统计计数'!$A$6:$A$95,"c")</x:f>
        <x:v>11760345</x:v>
      </x:c>
      <x:c r="E97" s="12" t="n">
        <x:f>SUMIFS('统计计数'!$O$6:$O$95,'统计计数'!$B$6:$B$95,"N_H0",'统计计数'!$A$6:$A$95,"c")/$D97</x:f>
        <x:v>0</x:v>
      </x:c>
      <x:c r="F97" s="12" t="n">
        <x:f>SUMIFS('统计计数'!$P$6:$P$95,'统计计数'!$B$6:$B$95,"N_H0",'统计计数'!$A$6:$A$95,"c")/$D97</x:f>
        <x:v>0.039370613702234075</x:v>
      </x:c>
      <x:c r="G97" s="12" t="n">
        <x:f>SUMIFS('统计计数'!$Q$6:$Q$95,'统计计数'!$B$6:$B$95,"N_H0",'统计计数'!$A$6:$A$95,"c")/$D97</x:f>
        <x:v>0.009804814399577564</x:v>
      </x:c>
      <x:c r="H97" s="12" t="n">
        <x:f>SUMIFS('统计计数'!$R$6:$R$95,'统计计数'!$B$6:$B$95,"N_H0",'统计计数'!$A$6:$A$95,"c")/$D97</x:f>
        <x:v>0</x:v>
      </x:c>
      <x:c r="I97" s="12" t="n">
        <x:f>SUMIFS('统计计数'!$S$6:$S$95,'统计计数'!$B$6:$B$95,"N_H0",'统计计数'!$A$6:$A$95,"c")/$D97</x:f>
        <x:v>0.7323396550016177</x:v>
      </x:c>
      <x:c r="J97" s="12" t="n">
        <x:f>SUMIFS('统计计数'!$T$6:$T$95,'统计计数'!$B$6:$B$95,"N_H0",'统计计数'!$A$6:$A$95,"c")/$D97</x:f>
        <x:v>0</x:v>
      </x:c>
      <x:c r="K97" s="12" t="n">
        <x:f>SUMIFS('统计计数'!$U$6:$U$95,'统计计数'!$B$6:$B$95,"N_H0",'统计计数'!$A$6:$A$95,"c")/$D97</x:f>
        <x:v>0.031450607954103385</x:v>
      </x:c>
      <x:c r="L97" s="12" t="n">
        <x:f>SUMIFS('统计计数'!$V$6:$V$95,'统计计数'!$B$6:$B$95,"N_H0",'统计计数'!$A$6:$A$95,"c")/$D97</x:f>
        <x:v>0.06750125102622415</x:v>
      </x:c>
      <x:c r="M97" s="12" t="n">
        <x:f>SUMIFS('统计计数'!$W$6:$W$95,'统计计数'!$B$6:$B$95,"N_H0",'统计计数'!$A$6:$A$95,"c")/$D97</x:f>
        <x:v>0.11953305791624311</x:v>
      </x:c>
      <x:c r="N97" s="12" t="n">
        <x:f>SUMIFS('统计计数'!$X$6:$X$95,'统计计数'!$B$6:$B$95,"N_H0",'统计计数'!$A$6:$A$95,"c")/$D97</x:f>
        <x:v>0</x:v>
      </x:c>
    </x:row>
    <x:row r="98" ht="24" customHeight="1">
      <x:c r="A98" s="10" t="str">
        <x:v>c</x:v>
      </x:c>
      <x:c r="B98" s="10" t="str">
        <x:v>N_H1</x:v>
      </x:c>
      <x:c r="C98" s="9" t="str">
        <x:v>节点</x:v>
      </x:c>
      <x:c r="D98" s="11" t="n">
        <x:f>SUMIFS('统计计数'!$C$6:$C$95,'统计计数'!$B$6:$B$95,"N_H1",'统计计数'!$A$6:$A$95,"c")</x:f>
        <x:v>1747</x:v>
      </x:c>
      <x:c r="E98" s="12" t="n">
        <x:f>SUMIFS('统计计数'!$E$6:$E$95,'统计计数'!$B$6:$B$95,"N_H1",'统计计数'!$A$6:$A$95,"c")/$D98</x:f>
        <x:v>0</x:v>
      </x:c>
      <x:c r="F98" s="12" t="n">
        <x:f>SUMIFS('统计计数'!$F$6:$F$95,'统计计数'!$B$6:$B$95,"N_H1",'统计计数'!$A$6:$A$95,"c")/$D98</x:f>
        <x:v>0.10589582140812821</x:v>
      </x:c>
      <x:c r="G98" s="12" t="n">
        <x:f>SUMIFS('统计计数'!$G$6:$G$95,'统计计数'!$B$6:$B$95,"N_H1",'统计计数'!$A$6:$A$95,"c")/$D98</x:f>
        <x:v>0.012593016599885518</x:v>
      </x:c>
      <x:c r="H98" s="12" t="n">
        <x:f>SUMIFS('统计计数'!$H$6:$H$95,'统计计数'!$B$6:$B$95,"N_H1",'统计计数'!$A$6:$A$95,"c")/$D98</x:f>
        <x:v>0</x:v>
      </x:c>
      <x:c r="I98" s="12" t="n">
        <x:f>SUMIFS('统计计数'!$I$6:$I$95,'统计计数'!$B$6:$B$95,"N_H1",'统计计数'!$A$6:$A$95,"c")/$D98</x:f>
        <x:v>0.7687464224384659</x:v>
      </x:c>
      <x:c r="J98" s="12" t="n">
        <x:f>SUMIFS('统计计数'!$J$6:$J$95,'统计计数'!$B$6:$B$95,"N_H1",'统计计数'!$A$6:$A$95,"c")/$D98</x:f>
        <x:v>0.019461934745277618</x:v>
      </x:c>
      <x:c r="K98" s="12" t="n">
        <x:f>SUMIFS('统计计数'!$K$6:$K$95,'统计计数'!$B$6:$B$95,"N_H1",'统计计数'!$A$6:$A$95,"c")/$D98</x:f>
        <x:v>0.031482541499713794</x:v>
      </x:c>
      <x:c r="L98" s="12" t="n">
        <x:f>SUMIFS('统计计数'!$L$6:$L$95,'统计计数'!$B$6:$B$95,"N_H1",'统计计数'!$A$6:$A$95,"c")/$D98</x:f>
        <x:v>0.018889524899828276</x:v>
      </x:c>
      <x:c r="M98" s="12" t="n">
        <x:f>SUMIFS('统计计数'!$M$6:$M$95,'统计计数'!$B$6:$B$95,"N_H1",'统计计数'!$A$6:$A$95,"c")/$D98</x:f>
        <x:v>0.04293073840870063</x:v>
      </x:c>
      <x:c r="N98" s="12" t="n">
        <x:f>SUMIFS('统计计数'!$N$6:$N$95,'统计计数'!$B$6:$B$95,"N_H1",'统计计数'!$A$6:$A$95,"c")/$D98</x:f>
        <x:v>0</x:v>
      </x:c>
    </x:row>
    <x:row r="99" ht="24" customHeight="1">
      <x:c r="A99" s="10" t="str">
        <x:v>c</x:v>
      </x:c>
      <x:c r="B99" s="10" t="str">
        <x:v>N_H1</x:v>
      </x:c>
      <x:c r="C99" s="9" t="str">
        <x:v>源三角形</x:v>
      </x:c>
      <x:c r="D99" s="11" t="n">
        <x:f>SUMIFS('统计计数'!$D$6:$D$95,'统计计数'!$B$6:$B$95,"N_H1",'统计计数'!$A$6:$A$95,"c")</x:f>
        <x:v>11760345</x:v>
      </x:c>
      <x:c r="E99" s="12" t="n">
        <x:f>SUMIFS('统计计数'!$O$6:$O$95,'统计计数'!$B$6:$B$95,"N_H1",'统计计数'!$A$6:$A$95,"c")/$D99</x:f>
        <x:v>0</x:v>
      </x:c>
      <x:c r="F99" s="12" t="n">
        <x:f>SUMIFS('统计计数'!$P$6:$P$95,'统计计数'!$B$6:$B$95,"N_H1",'统计计数'!$A$6:$A$95,"c")/$D99</x:f>
        <x:v>0.039370613702234075</x:v>
      </x:c>
      <x:c r="G99" s="12" t="n">
        <x:f>SUMIFS('统计计数'!$Q$6:$Q$95,'统计计数'!$B$6:$B$95,"N_H1",'统计计数'!$A$6:$A$95,"c")/$D99</x:f>
        <x:v>0.002007764228005216</x:v>
      </x:c>
      <x:c r="H99" s="12" t="n">
        <x:f>SUMIFS('统计计数'!$R$6:$R$95,'统计计数'!$B$6:$B$95,"N_H1",'统计计数'!$A$6:$A$95,"c")/$D99</x:f>
        <x:v>0</x:v>
      </x:c>
      <x:c r="I99" s="12" t="n">
        <x:f>SUMIFS('统计计数'!$S$6:$S$95,'统计计数'!$B$6:$B$95,"N_H1",'统计计数'!$A$6:$A$95,"c")/$D99</x:f>
        <x:v>0.7323396550016177</x:v>
      </x:c>
      <x:c r="J99" s="12" t="n">
        <x:f>SUMIFS('统计计数'!$T$6:$T$95,'统计计数'!$B$6:$B$95,"N_H1",'统计计数'!$A$6:$A$95,"c")/$D99</x:f>
        <x:v>0.007797050171572347</x:v>
      </x:c>
      <x:c r="K99" s="12" t="n">
        <x:f>SUMIFS('统计计数'!$U$6:$U$95,'统计计数'!$B$6:$B$95,"N_H1",'统计计数'!$A$6:$A$95,"c")/$D99</x:f>
        <x:v>0.031450607954103385</x:v>
      </x:c>
      <x:c r="L99" s="12" t="n">
        <x:f>SUMIFS('统计计数'!$V$6:$V$95,'统计计数'!$B$6:$B$95,"N_H1",'统计计数'!$A$6:$A$95,"c")/$D99</x:f>
        <x:v>0.06750125102622415</x:v>
      </x:c>
      <x:c r="M99" s="12" t="n">
        <x:f>SUMIFS('统计计数'!$W$6:$W$95,'统计计数'!$B$6:$B$95,"N_H1",'统计计数'!$A$6:$A$95,"c")/$D99</x:f>
        <x:v>0.11953305791624311</x:v>
      </x:c>
      <x:c r="N99" s="12" t="n">
        <x:f>SUMIFS('统计计数'!$X$6:$X$95,'统计计数'!$B$6:$B$95,"N_H1",'统计计数'!$A$6:$A$95,"c")/$D99</x:f>
        <x:v>0</x:v>
      </x:c>
    </x:row>
    <x:row r="100" ht="24" customHeight="1">
      <x:c r="A100" s="10" t="str">
        <x:v>c</x:v>
      </x:c>
      <x:c r="B100" s="10" t="str">
        <x:v>C_H0</x:v>
      </x:c>
      <x:c r="C100" s="9" t="str">
        <x:v>节点</x:v>
      </x:c>
      <x:c r="D100" s="11" t="n">
        <x:f>SUMIFS('统计计数'!$C$6:$C$95,'统计计数'!$B$6:$B$95,"C_H0",'统计计数'!$A$6:$A$95,"c")</x:f>
        <x:v>1747</x:v>
      </x:c>
      <x:c r="E100" s="12" t="n">
        <x:f>SUMIFS('统计计数'!$E$6:$E$95,'统计计数'!$B$6:$B$95,"C_H0",'统计计数'!$A$6:$A$95,"c")/$D100</x:f>
        <x:v>0</x:v>
      </x:c>
      <x:c r="F100" s="12" t="n">
        <x:f>SUMIFS('统计计数'!$F$6:$F$95,'统计计数'!$B$6:$B$95,"C_H0",'统计计数'!$A$6:$A$95,"c")/$D100</x:f>
        <x:v>0.28334287349742415</x:v>
      </x:c>
      <x:c r="G100" s="12" t="n">
        <x:f>SUMIFS('统计计数'!$G$6:$G$95,'统计计数'!$B$6:$B$95,"C_H0",'统计计数'!$A$6:$A$95,"c")/$D100</x:f>
        <x:v>0</x:v>
      </x:c>
      <x:c r="H100" s="12" t="n">
        <x:f>SUMIFS('统计计数'!$H$6:$H$95,'统计计数'!$B$6:$B$95,"C_H0",'统计计数'!$A$6:$A$95,"c")/$D100</x:f>
        <x:v>0</x:v>
      </x:c>
      <x:c r="I100" s="12" t="n">
        <x:f>SUMIFS('统计计数'!$I$6:$I$95,'统计计数'!$B$6:$B$95,"C_H0",'统计计数'!$A$6:$A$95,"c")/$D100</x:f>
        <x:v>0.7166571265025758</x:v>
      </x:c>
      <x:c r="J100" s="12" t="n">
        <x:f>SUMIFS('统计计数'!$J$6:$J$95,'统计计数'!$B$6:$B$95,"C_H0",'统计计数'!$A$6:$A$95,"c")/$D100</x:f>
        <x:v>0</x:v>
      </x:c>
      <x:c r="K100" s="12" t="n">
        <x:f>SUMIFS('统计计数'!$K$6:$K$95,'统计计数'!$B$6:$B$95,"C_H0",'统计计数'!$A$6:$A$95,"c")/$D100</x:f>
        <x:v>0</x:v>
      </x:c>
      <x:c r="L100" s="12" t="n">
        <x:f>SUMIFS('统计计数'!$L$6:$L$95,'统计计数'!$B$6:$B$95,"C_H0",'统计计数'!$A$6:$A$95,"c")/$D100</x:f>
        <x:v>0</x:v>
      </x:c>
      <x:c r="M100" s="12" t="n">
        <x:f>SUMIFS('统计计数'!$M$6:$M$95,'统计计数'!$B$6:$B$95,"C_H0",'统计计数'!$A$6:$A$95,"c")/$D100</x:f>
        <x:v>0</x:v>
      </x:c>
      <x:c r="N100" s="12" t="n">
        <x:f>SUMIFS('统计计数'!$N$6:$N$95,'统计计数'!$B$6:$B$95,"C_H0",'统计计数'!$A$6:$A$95,"c")/$D100</x:f>
        <x:v>0</x:v>
      </x:c>
    </x:row>
    <x:row r="101" ht="24" customHeight="1">
      <x:c r="A101" s="10" t="str">
        <x:v>c</x:v>
      </x:c>
      <x:c r="B101" s="10" t="str">
        <x:v>C_H0</x:v>
      </x:c>
      <x:c r="C101" s="9" t="str">
        <x:v>源三角形</x:v>
      </x:c>
      <x:c r="D101" s="11" t="n">
        <x:f>SUMIFS('统计计数'!$D$6:$D$95,'统计计数'!$B$6:$B$95,"C_H0",'统计计数'!$A$6:$A$95,"c")</x:f>
        <x:v>11760345</x:v>
      </x:c>
      <x:c r="E101" s="12" t="n">
        <x:f>SUMIFS('统计计数'!$O$6:$O$95,'统计计数'!$B$6:$B$95,"C_H0",'统计计数'!$A$6:$A$95,"c")/$D101</x:f>
        <x:v>0</x:v>
      </x:c>
      <x:c r="F101" s="12" t="n">
        <x:f>SUMIFS('统计计数'!$P$6:$P$95,'统计计数'!$B$6:$B$95,"C_H0",'统计计数'!$A$6:$A$95,"c")/$D101</x:f>
        <x:v>0.10664772164422047</x:v>
      </x:c>
      <x:c r="G101" s="12" t="n">
        <x:f>SUMIFS('统计计数'!$Q$6:$Q$95,'统计计数'!$B$6:$B$95,"C_H0",'统计计数'!$A$6:$A$95,"c")/$D101</x:f>
        <x:v>0</x:v>
      </x:c>
      <x:c r="H101" s="12" t="n">
        <x:f>SUMIFS('统计计数'!$R$6:$R$95,'统计计数'!$B$6:$B$95,"C_H0",'统计计数'!$A$6:$A$95,"c")/$D101</x:f>
        <x:v>0</x:v>
      </x:c>
      <x:c r="I101" s="12" t="n">
        <x:f>SUMIFS('统计计数'!$S$6:$S$95,'统计计数'!$B$6:$B$95,"C_H0",'统计计数'!$A$6:$A$95,"c")/$D101</x:f>
        <x:v>0.8933522783557796</x:v>
      </x:c>
      <x:c r="J101" s="12" t="n">
        <x:f>SUMIFS('统计计数'!$T$6:$T$95,'统计计数'!$B$6:$B$95,"C_H0",'统计计数'!$A$6:$A$95,"c")/$D101</x:f>
        <x:v>0</x:v>
      </x:c>
      <x:c r="K101" s="12" t="n">
        <x:f>SUMIFS('统计计数'!$U$6:$U$95,'统计计数'!$B$6:$B$95,"C_H0",'统计计数'!$A$6:$A$95,"c")/$D101</x:f>
        <x:v>0</x:v>
      </x:c>
      <x:c r="L101" s="12" t="n">
        <x:f>SUMIFS('统计计数'!$V$6:$V$95,'统计计数'!$B$6:$B$95,"C_H0",'统计计数'!$A$6:$A$95,"c")/$D101</x:f>
        <x:v>0</x:v>
      </x:c>
      <x:c r="M101" s="12" t="n">
        <x:f>SUMIFS('统计计数'!$W$6:$W$95,'统计计数'!$B$6:$B$95,"C_H0",'统计计数'!$A$6:$A$95,"c")/$D101</x:f>
        <x:v>0</x:v>
      </x:c>
      <x:c r="N101" s="12" t="n">
        <x:f>SUMIFS('统计计数'!$X$6:$X$95,'统计计数'!$B$6:$B$95,"C_H0",'统计计数'!$A$6:$A$95,"c")/$D101</x:f>
        <x:v>0</x:v>
      </x:c>
    </x:row>
    <x:row r="102" ht="24" customHeight="1">
      <x:c r="A102" s="10" t="str">
        <x:v>c</x:v>
      </x:c>
      <x:c r="B102" s="10" t="str">
        <x:v>C_H1</x:v>
      </x:c>
      <x:c r="C102" s="9" t="str">
        <x:v>节点</x:v>
      </x:c>
      <x:c r="D102" s="11" t="n">
        <x:f>SUMIFS('统计计数'!$C$6:$C$95,'统计计数'!$B$6:$B$95,"C_H1",'统计计数'!$A$6:$A$95,"c")</x:f>
        <x:v>1747</x:v>
      </x:c>
      <x:c r="E102" s="12" t="n">
        <x:f>SUMIFS('统计计数'!$E$6:$E$95,'统计计数'!$B$6:$B$95,"C_H1",'统计计数'!$A$6:$A$95,"c")/$D102</x:f>
        <x:v>0</x:v>
      </x:c>
      <x:c r="F102" s="12" t="n">
        <x:f>SUMIFS('统计计数'!$F$6:$F$95,'统计计数'!$B$6:$B$95,"C_H1",'统计计数'!$A$6:$A$95,"c")/$D102</x:f>
        <x:v>0.28105323411562677</x:v>
      </x:c>
      <x:c r="G102" s="12" t="n">
        <x:f>SUMIFS('统计计数'!$G$6:$G$95,'统计计数'!$B$6:$B$95,"C_H1",'统计计数'!$A$6:$A$95,"c")/$D102</x:f>
        <x:v>0</x:v>
      </x:c>
      <x:c r="H102" s="12" t="n">
        <x:f>SUMIFS('统计计数'!$H$6:$H$95,'统计计数'!$B$6:$B$95,"C_H1",'统计计数'!$A$6:$A$95,"c")/$D102</x:f>
        <x:v>0</x:v>
      </x:c>
      <x:c r="I102" s="12" t="n">
        <x:f>SUMIFS('统计计数'!$I$6:$I$95,'统计计数'!$B$6:$B$95,"C_H1",'统计计数'!$A$6:$A$95,"c")/$D102</x:f>
        <x:v>0.7166571265025758</x:v>
      </x:c>
      <x:c r="J102" s="12" t="n">
        <x:f>SUMIFS('统计计数'!$J$6:$J$95,'统计计数'!$B$6:$B$95,"C_H1",'统计计数'!$A$6:$A$95,"c")/$D102</x:f>
        <x:v>0</x:v>
      </x:c>
      <x:c r="K102" s="12" t="n">
        <x:f>SUMIFS('统计计数'!$K$6:$K$95,'统计计数'!$B$6:$B$95,"C_H1",'统计计数'!$A$6:$A$95,"c")/$D102</x:f>
        <x:v>0.0022896393817973667</x:v>
      </x:c>
      <x:c r="L102" s="12" t="n">
        <x:f>SUMIFS('统计计数'!$L$6:$L$95,'统计计数'!$B$6:$B$95,"C_H1",'统计计数'!$A$6:$A$95,"c")/$D102</x:f>
        <x:v>0</x:v>
      </x:c>
      <x:c r="M102" s="12" t="n">
        <x:f>SUMIFS('统计计数'!$M$6:$M$95,'统计计数'!$B$6:$B$95,"C_H1",'统计计数'!$A$6:$A$95,"c")/$D102</x:f>
        <x:v>0</x:v>
      </x:c>
      <x:c r="N102" s="12" t="n">
        <x:f>SUMIFS('统计计数'!$N$6:$N$95,'统计计数'!$B$6:$B$95,"C_H1",'统计计数'!$A$6:$A$95,"c")/$D102</x:f>
        <x:v>0</x:v>
      </x:c>
    </x:row>
    <x:row r="103" ht="24" customHeight="1">
      <x:c r="A103" s="10" t="str">
        <x:v>c</x:v>
      </x:c>
      <x:c r="B103" s="10" t="str">
        <x:v>C_H1</x:v>
      </x:c>
      <x:c r="C103" s="9" t="str">
        <x:v>源三角形</x:v>
      </x:c>
      <x:c r="D103" s="11" t="n">
        <x:f>SUMIFS('统计计数'!$D$6:$D$95,'统计计数'!$B$6:$B$95,"C_H1",'统计计数'!$A$6:$A$95,"c")</x:f>
        <x:v>11760345</x:v>
      </x:c>
      <x:c r="E103" s="12" t="n">
        <x:f>SUMIFS('统计计数'!$O$6:$O$95,'统计计数'!$B$6:$B$95,"C_H1",'统计计数'!$A$6:$A$95,"c")/$D103</x:f>
        <x:v>0</x:v>
      </x:c>
      <x:c r="F103" s="12" t="n">
        <x:f>SUMIFS('统计计数'!$P$6:$P$95,'统计计数'!$B$6:$B$95,"C_H1",'统计计数'!$A$6:$A$95,"c")/$D103</x:f>
        <x:v>0.10619297308029654</x:v>
      </x:c>
      <x:c r="G103" s="12" t="n">
        <x:f>SUMIFS('统计计数'!$Q$6:$Q$95,'统计计数'!$B$6:$B$95,"C_H1",'统计计数'!$A$6:$A$95,"c")/$D103</x:f>
        <x:v>0</x:v>
      </x:c>
      <x:c r="H103" s="12" t="n">
        <x:f>SUMIFS('统计计数'!$R$6:$R$95,'统计计数'!$B$6:$B$95,"C_H1",'统计计数'!$A$6:$A$95,"c")/$D103</x:f>
        <x:v>0</x:v>
      </x:c>
      <x:c r="I103" s="12" t="n">
        <x:f>SUMIFS('统计计数'!$S$6:$S$95,'统计计数'!$B$6:$B$95,"C_H1",'统计计数'!$A$6:$A$95,"c")/$D103</x:f>
        <x:v>0.8933522783557796</x:v>
      </x:c>
      <x:c r="J103" s="12" t="n">
        <x:f>SUMIFS('统计计数'!$T$6:$T$95,'统计计数'!$B$6:$B$95,"C_H1",'统计计数'!$A$6:$A$95,"c")/$D103</x:f>
        <x:v>0</x:v>
      </x:c>
      <x:c r="K103" s="12" t="n">
        <x:f>SUMIFS('统计计数'!$U$6:$U$95,'统计计数'!$B$6:$B$95,"C_H1",'统计计数'!$A$6:$A$95,"c")/$D103</x:f>
        <x:v>0.0004547485639239325</x:v>
      </x:c>
      <x:c r="L103" s="12" t="n">
        <x:f>SUMIFS('统计计数'!$V$6:$V$95,'统计计数'!$B$6:$B$95,"C_H1",'统计计数'!$A$6:$A$95,"c")/$D103</x:f>
        <x:v>0</x:v>
      </x:c>
      <x:c r="M103" s="12" t="n">
        <x:f>SUMIFS('统计计数'!$W$6:$W$95,'统计计数'!$B$6:$B$95,"C_H1",'统计计数'!$A$6:$A$95,"c")/$D103</x:f>
        <x:v>0</x:v>
      </x:c>
      <x:c r="N103" s="12" t="n">
        <x:f>SUMIFS('统计计数'!$X$6:$X$95,'统计计数'!$B$6:$B$95,"C_H1",'统计计数'!$A$6:$A$95,"c")/$D103</x:f>
        <x:v>0</x:v>
      </x:c>
    </x:row>
    <x:row r="104" ht="24" customHeight="1">
      <x:c r="A104" s="10" t="str">
        <x:v>c</x:v>
      </x:c>
      <x:c r="B104" s="10" t="str">
        <x:v>NG_H0</x:v>
      </x:c>
      <x:c r="C104" s="9" t="str">
        <x:v>节点</x:v>
      </x:c>
      <x:c r="D104" s="11" t="n">
        <x:f>SUMIFS('统计计数'!$C$6:$C$95,'统计计数'!$B$6:$B$95,"NG_H0",'统计计数'!$A$6:$A$95,"c")</x:f>
        <x:v>1747</x:v>
      </x:c>
      <x:c r="E104" s="12" t="n">
        <x:f>SUMIFS('统计计数'!$E$6:$E$95,'统计计数'!$B$6:$B$95,"NG_H0",'统计计数'!$A$6:$A$95,"c")/$D104</x:f>
        <x:v>0</x:v>
      </x:c>
      <x:c r="F104" s="12" t="n">
        <x:f>SUMIFS('统计计数'!$F$6:$F$95,'统计计数'!$B$6:$B$95,"NG_H0",'统计计数'!$A$6:$A$95,"c")/$D104</x:f>
        <x:v>0.16657126502575845</x:v>
      </x:c>
      <x:c r="G104" s="12" t="n">
        <x:f>SUMIFS('统计计数'!$G$6:$G$95,'统计计数'!$B$6:$B$95,"NG_H0",'统计计数'!$A$6:$A$95,"c")/$D104</x:f>
        <x:v>0.4419004006868918</x:v>
      </x:c>
      <x:c r="H104" s="12" t="n">
        <x:f>SUMIFS('统计计数'!$H$6:$H$95,'统计计数'!$B$6:$B$95,"NG_H0",'统计计数'!$A$6:$A$95,"c")/$D104</x:f>
        <x:v>0.19576416714367487</x:v>
      </x:c>
      <x:c r="I104" s="12" t="n">
        <x:f>SUMIFS('统计计数'!$I$6:$I$95,'统计计数'!$B$6:$B$95,"NG_H0",'统计计数'!$A$6:$A$95,"c")/$D104</x:f>
        <x:v>0.09902690326273612</x:v>
      </x:c>
      <x:c r="J104" s="12" t="n">
        <x:f>SUMIFS('统计计数'!$J$6:$J$95,'统计计数'!$B$6:$B$95,"NG_H0",'统计计数'!$A$6:$A$95,"c")/$D104</x:f>
        <x:v>0.0034344590726960505</x:v>
      </x:c>
      <x:c r="K104" s="12" t="n">
        <x:f>SUMIFS('统计计数'!$K$6:$K$95,'统计计数'!$B$6:$B$95,"NG_H0",'统计计数'!$A$6:$A$95,"c")/$D104</x:f>
        <x:v>0.031482541499713794</x:v>
      </x:c>
      <x:c r="L104" s="12" t="n">
        <x:f>SUMIFS('统计计数'!$L$6:$L$95,'统计计数'!$B$6:$B$95,"NG_H0",'统计计数'!$A$6:$A$95,"c")/$D104</x:f>
        <x:v>0.018889524899828276</x:v>
      </x:c>
      <x:c r="M104" s="12" t="n">
        <x:f>SUMIFS('统计计数'!$M$6:$M$95,'统计计数'!$B$6:$B$95,"NG_H0",'统计计数'!$A$6:$A$95,"c")/$D104</x:f>
        <x:v>0.04178591871780195</x:v>
      </x:c>
      <x:c r="N104" s="12" t="n">
        <x:f>SUMIFS('统计计数'!$N$6:$N$95,'统计计数'!$B$6:$B$95,"NG_H0",'统计计数'!$A$6:$A$95,"c")/$D104</x:f>
        <x:v>0.0011448196908986834</x:v>
      </x:c>
    </x:row>
    <x:row r="105" ht="24" customHeight="1">
      <x:c r="A105" s="10" t="str">
        <x:v>c</x:v>
      </x:c>
      <x:c r="B105" s="10" t="str">
        <x:v>NG_H0</x:v>
      </x:c>
      <x:c r="C105" s="9" t="str">
        <x:v>源三角形</x:v>
      </x:c>
      <x:c r="D105" s="11" t="n">
        <x:f>SUMIFS('统计计数'!$D$6:$D$95,'统计计数'!$B$6:$B$95,"NG_H0",'统计计数'!$A$6:$A$95,"c")</x:f>
        <x:v>11760345</x:v>
      </x:c>
      <x:c r="E105" s="12" t="n">
        <x:f>SUMIFS('统计计数'!$O$6:$O$95,'统计计数'!$B$6:$B$95,"NG_H0",'统计计数'!$A$6:$A$95,"c")/$D105</x:f>
        <x:v>0</x:v>
      </x:c>
      <x:c r="F105" s="12" t="n">
        <x:f>SUMIFS('统计计数'!$P$6:$P$95,'统计计数'!$B$6:$B$95,"NG_H0",'统计计数'!$A$6:$A$95,"c")/$D105</x:f>
        <x:v>0.02785054350021194</x:v>
      </x:c>
      <x:c r="G105" s="12" t="n">
        <x:f>SUMIFS('统计计数'!$Q$6:$Q$95,'统计计数'!$B$6:$B$95,"NG_H0",'统计计数'!$A$6:$A$95,"c")/$D105</x:f>
        <x:v>0.256476829548793</x:v>
      </x:c>
      <x:c r="H105" s="12" t="n">
        <x:f>SUMIFS('统计计数'!$R$6:$R$95,'统计计数'!$B$6:$B$95,"NG_H0",'统计计数'!$A$6:$A$95,"c")/$D105</x:f>
        <x:v>0.1773808506468135</x:v>
      </x:c>
      <x:c r="I105" s="12" t="n">
        <x:f>SUMIFS('统计计数'!$S$6:$S$95,'统计计数'!$B$6:$B$95,"NG_H0",'统计计数'!$A$6:$A$95,"c")/$D105</x:f>
        <x:v>0.31906062279635505</x:v>
      </x:c>
      <x:c r="J105" s="12" t="n">
        <x:f>SUMIFS('统计计数'!$T$6:$T$95,'统计计数'!$B$6:$B$95,"NG_H0",'统计计数'!$A$6:$A$95,"c")/$D105</x:f>
        <x:v>0.0007462366112558772</x:v>
      </x:c>
      <x:c r="K105" s="12" t="n">
        <x:f>SUMIFS('统计计数'!$U$6:$U$95,'统计计数'!$B$6:$B$95,"NG_H0",'统计计数'!$A$6:$A$95,"c")/$D105</x:f>
        <x:v>0.031450607954103385</x:v>
      </x:c>
      <x:c r="L105" s="12" t="n">
        <x:f>SUMIFS('统计计数'!$V$6:$V$95,'统计计数'!$B$6:$B$95,"NG_H0",'统计计数'!$A$6:$A$95,"c")/$D105</x:f>
        <x:v>0.06750125102622415</x:v>
      </x:c>
      <x:c r="M105" s="12" t="n">
        <x:f>SUMIFS('统计计数'!$W$6:$W$95,'统计计数'!$B$6:$B$95,"NG_H0",'统计计数'!$A$6:$A$95,"c")/$D105</x:f>
        <x:v>0.11814721421863049</x:v>
      </x:c>
      <x:c r="N105" s="12" t="n">
        <x:f>SUMIFS('统计计数'!$X$6:$X$95,'统计计数'!$B$6:$B$95,"NG_H0",'统计计数'!$A$6:$A$95,"c")/$D105</x:f>
        <x:v>0.0013858436976126125</x:v>
      </x:c>
    </x:row>
    <x:row r="106" ht="24" customHeight="1">
      <x:c r="A106" s="10" t="str">
        <x:v>c</x:v>
      </x:c>
      <x:c r="B106" s="10" t="str">
        <x:v>NG_H1</x:v>
      </x:c>
      <x:c r="C106" s="9" t="str">
        <x:v>节点</x:v>
      </x:c>
      <x:c r="D106" s="11" t="n">
        <x:f>SUMIFS('统计计数'!$C$6:$C$95,'统计计数'!$B$6:$B$95,"NG_H1",'统计计数'!$A$6:$A$95,"c")</x:f>
        <x:v>1747</x:v>
      </x:c>
      <x:c r="E106" s="12" t="n">
        <x:f>SUMIFS('统计计数'!$E$6:$E$95,'统计计数'!$B$6:$B$95,"NG_H1",'统计计数'!$A$6:$A$95,"c")/$D106</x:f>
        <x:v>0</x:v>
      </x:c>
      <x:c r="F106" s="12" t="n">
        <x:f>SUMIFS('统计计数'!$F$6:$F$95,'统计计数'!$B$6:$B$95,"NG_H1",'统计计数'!$A$6:$A$95,"c")/$D106</x:f>
        <x:v>0.15455065827132228</x:v>
      </x:c>
      <x:c r="G106" s="12" t="n">
        <x:f>SUMIFS('统计计数'!$G$6:$G$95,'统计计数'!$B$6:$B$95,"NG_H1",'统计计数'!$A$6:$A$95,"c")/$D106</x:f>
        <x:v>0.3955352032054951</x:v>
      </x:c>
      <x:c r="H106" s="12" t="n">
        <x:f>SUMIFS('统计计数'!$H$6:$H$95,'统计计数'!$B$6:$B$95,"NG_H1",'统计计数'!$A$6:$A$95,"c")/$D106</x:f>
        <x:v>0.22953634802518602</x:v>
      </x:c>
      <x:c r="I106" s="12" t="n">
        <x:f>SUMIFS('统计计数'!$I$6:$I$95,'统计计数'!$B$6:$B$95,"NG_H1",'统计计数'!$A$6:$A$95,"c")/$D106</x:f>
        <x:v>0.10417859187178019</x:v>
      </x:c>
      <x:c r="J106" s="12" t="n">
        <x:f>SUMIFS('统计计数'!$J$6:$J$95,'统计计数'!$B$6:$B$95,"NG_H1",'统计计数'!$A$6:$A$95,"c")/$D106</x:f>
        <x:v>0.02289639381797367</x:v>
      </x:c>
      <x:c r="K106" s="12" t="n">
        <x:f>SUMIFS('统计计数'!$K$6:$K$95,'统计计数'!$B$6:$B$95,"NG_H1",'统计计数'!$A$6:$A$95,"c")/$D106</x:f>
        <x:v>0.031482541499713794</x:v>
      </x:c>
      <x:c r="L106" s="12" t="n">
        <x:f>SUMIFS('统计计数'!$L$6:$L$95,'统计计数'!$B$6:$B$95,"NG_H1",'统计计数'!$A$6:$A$95,"c")/$D106</x:f>
        <x:v>0.018889524899828276</x:v>
      </x:c>
      <x:c r="M106" s="12" t="n">
        <x:f>SUMIFS('统计计数'!$M$6:$M$95,'统计计数'!$B$6:$B$95,"NG_H1",'统计计数'!$A$6:$A$95,"c")/$D106</x:f>
        <x:v>0.04178591871780195</x:v>
      </x:c>
      <x:c r="N106" s="12" t="n">
        <x:f>SUMIFS('统计计数'!$N$6:$N$95,'统计计数'!$B$6:$B$95,"NG_H1",'统计计数'!$A$6:$A$95,"c")/$D106</x:f>
        <x:v>0.0011448196908986834</x:v>
      </x:c>
    </x:row>
    <x:row r="107" ht="24" customHeight="1">
      <x:c r="A107" s="10" t="str">
        <x:v>c</x:v>
      </x:c>
      <x:c r="B107" s="10" t="str">
        <x:v>NG_H1</x:v>
      </x:c>
      <x:c r="C107" s="9" t="str">
        <x:v>源三角形</x:v>
      </x:c>
      <x:c r="D107" s="11" t="n">
        <x:f>SUMIFS('统计计数'!$D$6:$D$95,'统计计数'!$B$6:$B$95,"NG_H1",'统计计数'!$A$6:$A$95,"c")</x:f>
        <x:v>11760345</x:v>
      </x:c>
      <x:c r="E107" s="12" t="n">
        <x:f>SUMIFS('统计计数'!$O$6:$O$95,'统计计数'!$B$6:$B$95,"NG_H1",'统计计数'!$A$6:$A$95,"c")/$D107</x:f>
        <x:v>0</x:v>
      </x:c>
      <x:c r="F107" s="12" t="n">
        <x:f>SUMIFS('统计计数'!$P$6:$P$95,'统计计数'!$B$6:$B$95,"NG_H1",'统计计数'!$A$6:$A$95,"c")/$D107</x:f>
        <x:v>0.02650687543605226</x:v>
      </x:c>
      <x:c r="G107" s="12" t="n">
        <x:f>SUMIFS('统计计数'!$Q$6:$Q$95,'统计计数'!$B$6:$B$95,"NG_H1",'统计计数'!$A$6:$A$95,"c")/$D107</x:f>
        <x:v>0.24001642808948206</x:v>
      </x:c>
      <x:c r="H107" s="12" t="n">
        <x:f>SUMIFS('统计计数'!$R$6:$R$95,'统计计数'!$B$6:$B$95,"NG_H1",'统计计数'!$A$6:$A$95,"c")/$D107</x:f>
        <x:v>0.1863026977524894</x:v>
      </x:c>
      <x:c r="I107" s="12" t="n">
        <x:f>SUMIFS('统计计数'!$S$6:$S$95,'统计计数'!$B$6:$B$95,"NG_H1",'统计计数'!$A$6:$A$95,"c")/$D107</x:f>
        <x:v>0.3201457950425774</x:v>
      </x:c>
      <x:c r="J107" s="12" t="n">
        <x:f>SUMIFS('统计计数'!$T$6:$T$95,'统计计数'!$B$6:$B$95,"NG_H1",'统计计数'!$A$6:$A$95,"c")/$D107</x:f>
        <x:v>0.008543286782828225</x:v>
      </x:c>
      <x:c r="K107" s="12" t="n">
        <x:f>SUMIFS('统计计数'!$U$6:$U$95,'统计计数'!$B$6:$B$95,"NG_H1",'统计计数'!$A$6:$A$95,"c")/$D107</x:f>
        <x:v>0.031450607954103385</x:v>
      </x:c>
      <x:c r="L107" s="12" t="n">
        <x:f>SUMIFS('统计计数'!$V$6:$V$95,'统计计数'!$B$6:$B$95,"NG_H1",'统计计数'!$A$6:$A$95,"c")/$D107</x:f>
        <x:v>0.06750125102622415</x:v>
      </x:c>
      <x:c r="M107" s="12" t="n">
        <x:f>SUMIFS('统计计数'!$W$6:$W$95,'统计计数'!$B$6:$B$95,"NG_H1",'统计计数'!$A$6:$A$95,"c")/$D107</x:f>
        <x:v>0.11814721421863049</x:v>
      </x:c>
      <x:c r="N107" s="12" t="n">
        <x:f>SUMIFS('统计计数'!$X$6:$X$95,'统计计数'!$B$6:$B$95,"NG_H1",'统计计数'!$A$6:$A$95,"c")/$D107</x:f>
        <x:v>0.0013858436976126125</x:v>
      </x:c>
    </x:row>
    <x:row r="108" ht="24" customHeight="1">
      <x:c r="A108" s="10" t="str">
        <x:v>c</x:v>
      </x:c>
      <x:c r="B108" s="10" t="str">
        <x:v>CG_H0</x:v>
      </x:c>
      <x:c r="C108" s="9" t="str">
        <x:v>节点</x:v>
      </x:c>
      <x:c r="D108" s="11" t="n">
        <x:f>SUMIFS('统计计数'!$C$6:$C$95,'统计计数'!$B$6:$B$95,"CG_H0",'统计计数'!$A$6:$A$95,"c")</x:f>
        <x:v>1747</x:v>
      </x:c>
      <x:c r="E108" s="12" t="n">
        <x:f>SUMIFS('统计计数'!$E$6:$E$95,'统计计数'!$B$6:$B$95,"CG_H0",'统计计数'!$A$6:$A$95,"c")/$D108</x:f>
        <x:v>0.0034344590726960505</x:v>
      </x:c>
      <x:c r="F108" s="12" t="n">
        <x:f>SUMIFS('统计计数'!$F$6:$F$95,'统计计数'!$B$6:$B$95,"CG_H0",'统计计数'!$A$6:$A$95,"c")/$D108</x:f>
        <x:v>0.22552947910704063</x:v>
      </x:c>
      <x:c r="G108" s="12" t="n">
        <x:f>SUMIFS('统计计数'!$G$6:$G$95,'统计计数'!$B$6:$B$95,"CG_H0",'统计计数'!$A$6:$A$95,"c")/$D108</x:f>
        <x:v>0.47910704064109905</x:v>
      </x:c>
      <x:c r="H108" s="12" t="n">
        <x:f>SUMIFS('统计计数'!$H$6:$H$95,'统计计数'!$B$6:$B$95,"CG_H0",'统计计数'!$A$6:$A$95,"c")/$D108</x:f>
        <x:v>0.18717801946193474</x:v>
      </x:c>
      <x:c r="I108" s="12" t="n">
        <x:f>SUMIFS('统计计数'!$I$6:$I$95,'统计计数'!$B$6:$B$95,"CG_H0",'统计计数'!$A$6:$A$95,"c")/$D108</x:f>
        <x:v>0.10131654264453349</x:v>
      </x:c>
      <x:c r="J108" s="12" t="n">
        <x:f>SUMIFS('统计计数'!$J$6:$J$95,'统计计数'!$B$6:$B$95,"CG_H0",'统计计数'!$A$6:$A$95,"c")/$D108</x:f>
        <x:v>0.0034344590726960505</x:v>
      </x:c>
      <x:c r="K108" s="12" t="n">
        <x:f>SUMIFS('统计计数'!$K$6:$K$95,'统计计数'!$B$6:$B$95,"CG_H0",'统计计数'!$A$6:$A$95,"c")/$D108</x:f>
        <x:v>0</x:v>
      </x:c>
      <x:c r="L108" s="12" t="n">
        <x:f>SUMIFS('统计计数'!$L$6:$L$95,'统计计数'!$B$6:$B$95,"CG_H0",'统计计数'!$A$6:$A$95,"c")/$D108</x:f>
        <x:v>0</x:v>
      </x:c>
      <x:c r="M108" s="12" t="n">
        <x:f>SUMIFS('统计计数'!$M$6:$M$95,'统计计数'!$B$6:$B$95,"CG_H0",'统计计数'!$A$6:$A$95,"c")/$D108</x:f>
        <x:v>0</x:v>
      </x:c>
      <x:c r="N108" s="12" t="n">
        <x:f>SUMIFS('统计计数'!$N$6:$N$95,'统计计数'!$B$6:$B$95,"CG_H0",'统计计数'!$A$6:$A$95,"c")/$D108</x:f>
        <x:v>0</x:v>
      </x:c>
    </x:row>
    <x:row r="109" ht="24" customHeight="1">
      <x:c r="A109" s="10" t="str">
        <x:v>c</x:v>
      </x:c>
      <x:c r="B109" s="10" t="str">
        <x:v>CG_H0</x:v>
      </x:c>
      <x:c r="C109" s="9" t="str">
        <x:v>源三角形</x:v>
      </x:c>
      <x:c r="D109" s="11" t="n">
        <x:f>SUMIFS('统计计数'!$D$6:$D$95,'统计计数'!$B$6:$B$95,"CG_H0",'统计计数'!$A$6:$A$95,"c")</x:f>
        <x:v>11760345</x:v>
      </x:c>
      <x:c r="E109" s="12" t="n">
        <x:f>SUMIFS('统计计数'!$O$6:$O$95,'统计计数'!$B$6:$B$95,"CG_H0",'统计计数'!$A$6:$A$95,"c")/$D109</x:f>
        <x:v>0.0002183609409417836</x:v>
      </x:c>
      <x:c r="F109" s="12" t="n">
        <x:f>SUMIFS('统计计数'!$P$6:$P$95,'统计计数'!$B$6:$B$95,"CG_H0",'统计计数'!$A$6:$A$95,"c")/$D109</x:f>
        <x:v>0.05253944505879717</x:v>
      </x:c>
      <x:c r="G109" s="12" t="n">
        <x:f>SUMIFS('统计计数'!$Q$6:$Q$95,'统计计数'!$B$6:$B$95,"CG_H0",'统计计数'!$A$6:$A$95,"c")/$D109</x:f>
        <x:v>0.37849484857799665</x:v>
      </x:c>
      <x:c r="H109" s="12" t="n">
        <x:f>SUMIFS('统计计数'!$R$6:$R$95,'统计计数'!$B$6:$B$95,"CG_H0",'统计计数'!$A$6:$A$95,"c")/$D109</x:f>
        <x:v>0.19989243512839122</x:v>
      </x:c>
      <x:c r="I109" s="12" t="n">
        <x:f>SUMIFS('统计计数'!$S$6:$S$95,'统计计数'!$B$6:$B$95,"CG_H0",'统计计数'!$A$6:$A$95,"c")/$D109</x:f>
        <x:v>0.3681086736826173</x:v>
      </x:c>
      <x:c r="J109" s="12" t="n">
        <x:f>SUMIFS('统计计数'!$T$6:$T$95,'统计计数'!$B$6:$B$95,"CG_H0",'统计计数'!$A$6:$A$95,"c")/$D109</x:f>
        <x:v>0.0007462366112558772</x:v>
      </x:c>
      <x:c r="K109" s="12" t="n">
        <x:f>SUMIFS('统计计数'!$U$6:$U$95,'统计计数'!$B$6:$B$95,"CG_H0",'统计计数'!$A$6:$A$95,"c")/$D109</x:f>
        <x:v>0</x:v>
      </x:c>
      <x:c r="L109" s="12" t="n">
        <x:f>SUMIFS('统计计数'!$V$6:$V$95,'统计计数'!$B$6:$B$95,"CG_H0",'统计计数'!$A$6:$A$95,"c")/$D109</x:f>
        <x:v>0</x:v>
      </x:c>
      <x:c r="M109" s="12" t="n">
        <x:f>SUMIFS('统计计数'!$W$6:$W$95,'统计计数'!$B$6:$B$95,"CG_H0",'统计计数'!$A$6:$A$95,"c")/$D109</x:f>
        <x:v>0</x:v>
      </x:c>
      <x:c r="N109" s="12" t="n">
        <x:f>SUMIFS('统计计数'!$X$6:$X$95,'统计计数'!$B$6:$B$95,"CG_H0",'统计计数'!$A$6:$A$95,"c")/$D109</x:f>
        <x:v>0</x:v>
      </x:c>
    </x:row>
    <x:row r="110" ht="24" customHeight="1">
      <x:c r="A110" s="10" t="str">
        <x:v>c</x:v>
      </x:c>
      <x:c r="B110" s="10" t="str">
        <x:v>CG_H1</x:v>
      </x:c>
      <x:c r="C110" s="9" t="str">
        <x:v>节点</x:v>
      </x:c>
      <x:c r="D110" s="11" t="n">
        <x:f>SUMIFS('统计计数'!$C$6:$C$95,'统计计数'!$B$6:$B$95,"CG_H1",'统计计数'!$A$6:$A$95,"c")</x:f>
        <x:v>1747</x:v>
      </x:c>
      <x:c r="E110" s="12" t="n">
        <x:f>SUMIFS('统计计数'!$E$6:$E$95,'统计计数'!$B$6:$B$95,"CG_H1",'统计计数'!$A$6:$A$95,"c")/$D110</x:f>
        <x:v>0.0034344590726960505</x:v>
      </x:c>
      <x:c r="F110" s="12" t="n">
        <x:f>SUMIFS('统计计数'!$F$6:$F$95,'统计计数'!$B$6:$B$95,"CG_H1",'统计计数'!$A$6:$A$95,"c")/$D110</x:f>
        <x:v>0.19805380652547225</x:v>
      </x:c>
      <x:c r="G110" s="12" t="n">
        <x:f>SUMIFS('统计计数'!$G$6:$G$95,'统计计数'!$B$6:$B$95,"CG_H1",'统计计数'!$A$6:$A$95,"c")/$D110</x:f>
        <x:v>0.4733829421866056</x:v>
      </x:c>
      <x:c r="H110" s="12" t="n">
        <x:f>SUMIFS('统计计数'!$H$6:$H$95,'统计计数'!$B$6:$B$95,"CG_H1",'统计计数'!$A$6:$A$95,"c")/$D110</x:f>
        <x:v>0.21236405266170577</x:v>
      </x:c>
      <x:c r="I110" s="12" t="n">
        <x:f>SUMIFS('统计计数'!$I$6:$I$95,'统计计数'!$B$6:$B$95,"CG_H1",'统计计数'!$A$6:$A$95,"c")/$D110</x:f>
        <x:v>0.1070406410990269</x:v>
      </x:c>
      <x:c r="J110" s="12" t="n">
        <x:f>SUMIFS('统计计数'!$J$6:$J$95,'统计计数'!$B$6:$B$95,"CG_H1",'统计计数'!$A$6:$A$95,"c")/$D110</x:f>
        <x:v>0.0034344590726960505</x:v>
      </x:c>
      <x:c r="K110" s="12" t="n">
        <x:f>SUMIFS('统计计数'!$K$6:$K$95,'统计计数'!$B$6:$B$95,"CG_H1",'统计计数'!$A$6:$A$95,"c")/$D110</x:f>
        <x:v>0.0022896393817973667</x:v>
      </x:c>
      <x:c r="L110" s="12" t="n">
        <x:f>SUMIFS('统计计数'!$L$6:$L$95,'统计计数'!$B$6:$B$95,"CG_H1",'统计计数'!$A$6:$A$95,"c")/$D110</x:f>
        <x:v>0</x:v>
      </x:c>
      <x:c r="M110" s="12" t="n">
        <x:f>SUMIFS('统计计数'!$M$6:$M$95,'统计计数'!$B$6:$B$95,"CG_H1",'统计计数'!$A$6:$A$95,"c")/$D110</x:f>
        <x:v>0</x:v>
      </x:c>
      <x:c r="N110" s="12" t="n">
        <x:f>SUMIFS('统计计数'!$N$6:$N$95,'统计计数'!$B$6:$B$95,"CG_H1",'统计计数'!$A$6:$A$95,"c")/$D110</x:f>
        <x:v>0</x:v>
      </x:c>
    </x:row>
    <x:row r="111" ht="24" customHeight="1">
      <x:c r="A111" s="10" t="str">
        <x:v>c</x:v>
      </x:c>
      <x:c r="B111" s="10" t="str">
        <x:v>CG_H1</x:v>
      </x:c>
      <x:c r="C111" s="9" t="str">
        <x:v>源三角形</x:v>
      </x:c>
      <x:c r="D111" s="11" t="n">
        <x:f>SUMIFS('统计计数'!$D$6:$D$95,'统计计数'!$B$6:$B$95,"CG_H1",'统计计数'!$A$6:$A$95,"c")</x:f>
        <x:v>11760345</x:v>
      </x:c>
      <x:c r="E111" s="12" t="n">
        <x:f>SUMIFS('统计计数'!$O$6:$O$95,'统计计数'!$B$6:$B$95,"CG_H1",'统计计数'!$A$6:$A$95,"c")/$D111</x:f>
        <x:v>0.0002183609409417836</x:v>
      </x:c>
      <x:c r="F111" s="12" t="n">
        <x:f>SUMIFS('统计计数'!$P$6:$P$95,'统计计数'!$B$6:$B$95,"CG_H1",'统计计数'!$A$6:$A$95,"c")/$D111</x:f>
        <x:v>0.03206674634120003</x:v>
      </x:c>
      <x:c r="G111" s="12" t="n">
        <x:f>SUMIFS('统计计数'!$Q$6:$Q$95,'统计计数'!$B$6:$B$95,"CG_H1",'统计计数'!$A$6:$A$95,"c")/$D111</x:f>
        <x:v>0.3853977072951516</x:v>
      </x:c>
      <x:c r="H111" s="12" t="n">
        <x:f>SUMIFS('统计计数'!$R$6:$R$95,'统计计数'!$B$6:$B$95,"CG_H1",'统计计数'!$A$6:$A$95,"c")/$D111</x:f>
        <x:v>0.20835715278760955</x:v>
      </x:c>
      <x:c r="I111" s="12" t="n">
        <x:f>SUMIFS('统计计数'!$S$6:$S$95,'统计计数'!$B$6:$B$95,"CG_H1",'统计计数'!$A$6:$A$95,"c")/$D111</x:f>
        <x:v>0.3727590474599172</x:v>
      </x:c>
      <x:c r="J111" s="12" t="n">
        <x:f>SUMIFS('统计计数'!$T$6:$T$95,'统计计数'!$B$6:$B$95,"CG_H1",'统计计数'!$A$6:$A$95,"c")/$D111</x:f>
        <x:v>0.0007462366112558772</x:v>
      </x:c>
      <x:c r="K111" s="12" t="n">
        <x:f>SUMIFS('统计计数'!$U$6:$U$95,'统计计数'!$B$6:$B$95,"CG_H1",'统计计数'!$A$6:$A$95,"c")/$D111</x:f>
        <x:v>0.0004547485639239325</x:v>
      </x:c>
      <x:c r="L111" s="12" t="n">
        <x:f>SUMIFS('统计计数'!$V$6:$V$95,'统计计数'!$B$6:$B$95,"CG_H1",'统计计数'!$A$6:$A$95,"c")/$D111</x:f>
        <x:v>0</x:v>
      </x:c>
      <x:c r="M111" s="12" t="n">
        <x:f>SUMIFS('统计计数'!$W$6:$W$95,'统计计数'!$B$6:$B$95,"CG_H1",'统计计数'!$A$6:$A$95,"c")/$D111</x:f>
        <x:v>0</x:v>
      </x:c>
      <x:c r="N111" s="12" t="n">
        <x:f>SUMIFS('统计计数'!$X$6:$X$95,'统计计数'!$B$6:$B$95,"CG_H1",'统计计数'!$A$6:$A$95,"c")/$D111</x:f>
        <x:v>0</x:v>
      </x:c>
    </x:row>
    <x:row r="112" ht="24" customHeight="1">
      <x:c r="A112" s="10" t="str">
        <x:v>c</x:v>
      </x:c>
      <x:c r="B112" s="10" t="str">
        <x:v>NC_H0</x:v>
      </x:c>
      <x:c r="C112" s="9" t="str">
        <x:v>节点</x:v>
      </x:c>
      <x:c r="D112" s="11" t="n">
        <x:f>SUMIFS('统计计数'!$C$6:$C$95,'统计计数'!$B$6:$B$95,"NC_H0",'统计计数'!$A$6:$A$95,"c")</x:f>
        <x:v>1747</x:v>
      </x:c>
      <x:c r="E112" s="12" t="n">
        <x:f>SUMIFS('统计计数'!$E$6:$E$95,'统计计数'!$B$6:$B$95,"NC_H0",'统计计数'!$A$6:$A$95,"c")/$D112</x:f>
        <x:v>0</x:v>
      </x:c>
      <x:c r="F112" s="12" t="n">
        <x:f>SUMIFS('统计计数'!$F$6:$F$95,'统计计数'!$B$6:$B$95,"NC_H0",'统计计数'!$A$6:$A$95,"c")/$D112</x:f>
        <x:v>0.25186033199771035</x:v>
      </x:c>
      <x:c r="G112" s="12" t="n">
        <x:f>SUMIFS('统计计数'!$G$6:$G$95,'统计计数'!$B$6:$B$95,"NC_H0",'统计计数'!$A$6:$A$95,"c")/$D112</x:f>
        <x:v>0.030910131654264452</x:v>
      </x:c>
      <x:c r="H112" s="12" t="n">
        <x:f>SUMIFS('统计计数'!$H$6:$H$95,'统计计数'!$B$6:$B$95,"NC_H0",'统计计数'!$A$6:$A$95,"c")/$D112</x:f>
        <x:v>0</x:v>
      </x:c>
      <x:c r="I112" s="12" t="n">
        <x:f>SUMIFS('统计计数'!$I$6:$I$95,'统计计数'!$B$6:$B$95,"NC_H0",'统计计数'!$A$6:$A$95,"c")/$D112</x:f>
        <x:v>0.6473955352032055</x:v>
      </x:c>
      <x:c r="J112" s="12" t="n">
        <x:f>SUMIFS('统计计数'!$J$6:$J$95,'统计计数'!$B$6:$B$95,"NC_H0",'统计计数'!$A$6:$A$95,"c")/$D112</x:f>
        <x:v>0</x:v>
      </x:c>
      <x:c r="K112" s="12" t="n">
        <x:f>SUMIFS('统计计数'!$K$6:$K$95,'统计计数'!$B$6:$B$95,"NC_H0",'统计计数'!$A$6:$A$95,"c")/$D112</x:f>
        <x:v>0.028048082427017746</x:v>
      </x:c>
      <x:c r="L112" s="12" t="n">
        <x:f>SUMIFS('统计计数'!$L$6:$L$95,'统计计数'!$B$6:$B$95,"NC_H0",'统计计数'!$A$6:$A$95,"c")/$D112</x:f>
        <x:v>0.018889524899828276</x:v>
      </x:c>
      <x:c r="M112" s="12" t="n">
        <x:f>SUMIFS('统计计数'!$M$6:$M$95,'统计计数'!$B$6:$B$95,"NC_H0",'统计计数'!$A$6:$A$95,"c")/$D112</x:f>
        <x:v>0.02289639381797367</x:v>
      </x:c>
      <x:c r="N112" s="12" t="n">
        <x:f>SUMIFS('统计计数'!$N$6:$N$95,'统计计数'!$B$6:$B$95,"NC_H0",'统计计数'!$A$6:$A$95,"c")/$D112</x:f>
        <x:v>0</x:v>
      </x:c>
    </x:row>
    <x:row r="113" ht="24" customHeight="1">
      <x:c r="A113" s="10" t="str">
        <x:v>c</x:v>
      </x:c>
      <x:c r="B113" s="10" t="str">
        <x:v>NC_H0</x:v>
      </x:c>
      <x:c r="C113" s="9" t="str">
        <x:v>源三角形</x:v>
      </x:c>
      <x:c r="D113" s="11" t="n">
        <x:f>SUMIFS('统计计数'!$D$6:$D$95,'统计计数'!$B$6:$B$95,"NC_H0",'统计计数'!$A$6:$A$95,"c")</x:f>
        <x:v>11760345</x:v>
      </x:c>
      <x:c r="E113" s="12" t="n">
        <x:f>SUMIFS('统计计数'!$O$6:$O$95,'统计计数'!$B$6:$B$95,"NC_H0",'统计计数'!$A$6:$A$95,"c")/$D113</x:f>
        <x:v>0</x:v>
      </x:c>
      <x:c r="F113" s="12" t="n">
        <x:f>SUMIFS('统计计数'!$P$6:$P$95,'统计计数'!$B$6:$B$95,"NC_H0",'统计计数'!$A$6:$A$95,"c")/$D113</x:f>
        <x:v>0.08853634821087307</x:v>
      </x:c>
      <x:c r="G113" s="12" t="n">
        <x:f>SUMIFS('统计计数'!$Q$6:$Q$95,'统计计数'!$B$6:$B$95,"NC_H0",'统计计数'!$A$6:$A$95,"c")/$D113</x:f>
        <x:v>0.006164274942614354</x:v>
      </x:c>
      <x:c r="H113" s="12" t="n">
        <x:f>SUMIFS('统计计数'!$R$6:$R$95,'统计计数'!$B$6:$B$95,"NC_H0",'统计计数'!$A$6:$A$95,"c")/$D113</x:f>
        <x:v>0</x:v>
      </x:c>
      <x:c r="I113" s="12" t="n">
        <x:f>SUMIFS('统计计数'!$S$6:$S$95,'统计计数'!$B$6:$B$95,"NC_H0",'统计计数'!$A$6:$A$95,"c")/$D113</x:f>
        <x:v>0.7391532306237615</x:v>
      </x:c>
      <x:c r="J113" s="12" t="n">
        <x:f>SUMIFS('统计计数'!$T$6:$T$95,'统计计数'!$B$6:$B$95,"NC_H0",'统计计数'!$A$6:$A$95,"c")/$D113</x:f>
        <x:v>0</x:v>
      </x:c>
      <x:c r="K113" s="12" t="n">
        <x:f>SUMIFS('统计计数'!$U$6:$U$95,'统计计数'!$B$6:$B$95,"NC_H0",'统计计数'!$A$6:$A$95,"c")/$D113</x:f>
        <x:v>0.030829707801939485</x:v>
      </x:c>
      <x:c r="L113" s="12" t="n">
        <x:f>SUMIFS('统计计数'!$V$6:$V$95,'统计计数'!$B$6:$B$95,"NC_H0",'统计计数'!$A$6:$A$95,"c")/$D113</x:f>
        <x:v>0.06750125102622415</x:v>
      </x:c>
      <x:c r="M113" s="12" t="n">
        <x:f>SUMIFS('统计计数'!$W$6:$W$95,'统计计数'!$B$6:$B$95,"NC_H0",'统计计数'!$A$6:$A$95,"c")/$D113</x:f>
        <x:v>0.06781518739458749</x:v>
      </x:c>
      <x:c r="N113" s="12" t="n">
        <x:f>SUMIFS('统计计数'!$X$6:$X$95,'统计计数'!$B$6:$B$95,"NC_H0",'统计计数'!$A$6:$A$95,"c")/$D113</x:f>
        <x:v>0</x:v>
      </x:c>
    </x:row>
    <x:row r="114" ht="24" customHeight="1">
      <x:c r="A114" s="10" t="str">
        <x:v>c</x:v>
      </x:c>
      <x:c r="B114" s="10" t="str">
        <x:v>NC_H1</x:v>
      </x:c>
      <x:c r="C114" s="9" t="str">
        <x:v>节点</x:v>
      </x:c>
      <x:c r="D114" s="11" t="n">
        <x:f>SUMIFS('统计计数'!$C$6:$C$95,'统计计数'!$B$6:$B$95,"NC_H1",'统计计数'!$A$6:$A$95,"c")</x:f>
        <x:v>1747</x:v>
      </x:c>
      <x:c r="E114" s="12" t="n">
        <x:f>SUMIFS('统计计数'!$E$6:$E$95,'统计计数'!$B$6:$B$95,"NC_H1",'统计计数'!$A$6:$A$95,"c")/$D114</x:f>
        <x:v>0</x:v>
      </x:c>
      <x:c r="F114" s="12" t="n">
        <x:f>SUMIFS('统计计数'!$F$6:$F$95,'统计计数'!$B$6:$B$95,"NC_H1",'统计计数'!$A$6:$A$95,"c")/$D114</x:f>
        <x:v>0.2484258729250143</x:v>
      </x:c>
      <x:c r="G114" s="12" t="n">
        <x:f>SUMIFS('统计计数'!$G$6:$G$95,'统计计数'!$B$6:$B$95,"NC_H1",'统计计数'!$A$6:$A$95,"c")/$D114</x:f>
        <x:v>0.012020606754436176</x:v>
      </x:c>
      <x:c r="H114" s="12" t="n">
        <x:f>SUMIFS('统计计数'!$H$6:$H$95,'统计计数'!$B$6:$B$95,"NC_H1",'统计计数'!$A$6:$A$95,"c")/$D114</x:f>
        <x:v>0</x:v>
      </x:c>
      <x:c r="I114" s="12" t="n">
        <x:f>SUMIFS('统计计数'!$I$6:$I$95,'统计计数'!$B$6:$B$95,"NC_H1",'统计计数'!$A$6:$A$95,"c")/$D114</x:f>
        <x:v>0.6473955352032055</x:v>
      </x:c>
      <x:c r="J114" s="12" t="n">
        <x:f>SUMIFS('统计计数'!$J$6:$J$95,'统计计数'!$B$6:$B$95,"NC_H1",'统计计数'!$A$6:$A$95,"c")/$D114</x:f>
        <x:v>0.018889524899828276</x:v>
      </x:c>
      <x:c r="K114" s="12" t="n">
        <x:f>SUMIFS('统计计数'!$K$6:$K$95,'统计计数'!$B$6:$B$95,"NC_H1",'统计计数'!$A$6:$A$95,"c")/$D114</x:f>
        <x:v>0.031482541499713794</x:v>
      </x:c>
      <x:c r="L114" s="12" t="n">
        <x:f>SUMIFS('统计计数'!$L$6:$L$95,'统计计数'!$B$6:$B$95,"NC_H1",'统计计数'!$A$6:$A$95,"c")/$D114</x:f>
        <x:v>0.018889524899828276</x:v>
      </x:c>
      <x:c r="M114" s="12" t="n">
        <x:f>SUMIFS('统计计数'!$M$6:$M$95,'统计计数'!$B$6:$B$95,"NC_H1",'统计计数'!$A$6:$A$95,"c")/$D114</x:f>
        <x:v>0.02289639381797367</x:v>
      </x:c>
      <x:c r="N114" s="12" t="n">
        <x:f>SUMIFS('统计计数'!$N$6:$N$95,'统计计数'!$B$6:$B$95,"NC_H1",'统计计数'!$A$6:$A$95,"c")/$D114</x:f>
        <x:v>0</x:v>
      </x:c>
    </x:row>
    <x:row r="115" ht="24" customHeight="1">
      <x:c r="A115" s="10" t="str">
        <x:v>c</x:v>
      </x:c>
      <x:c r="B115" s="10" t="str">
        <x:v>NC_H1</x:v>
      </x:c>
      <x:c r="C115" s="9" t="str">
        <x:v>源三角形</x:v>
      </x:c>
      <x:c r="D115" s="11" t="n">
        <x:f>SUMIFS('统计计数'!$D$6:$D$95,'统计计数'!$B$6:$B$95,"NC_H1",'统计计数'!$A$6:$A$95,"c")</x:f>
        <x:v>11760345</x:v>
      </x:c>
      <x:c r="E115" s="12" t="n">
        <x:f>SUMIFS('统计计数'!$O$6:$O$95,'统计计数'!$B$6:$B$95,"NC_H1",'统计计数'!$A$6:$A$95,"c")/$D115</x:f>
        <x:v>0</x:v>
      </x:c>
      <x:c r="F115" s="12" t="n">
        <x:f>SUMIFS('统计计数'!$P$6:$P$95,'统计计数'!$B$6:$B$95,"NC_H1",'统计计数'!$A$6:$A$95,"c")/$D115</x:f>
        <x:v>0.08783398786345128</x:v>
      </x:c>
      <x:c r="G115" s="12" t="n">
        <x:f>SUMIFS('统计计数'!$Q$6:$Q$95,'统计计数'!$B$6:$B$95,"NC_H1",'统计计数'!$A$6:$A$95,"c")/$D115</x:f>
        <x:v>0.0019324263021195383</x:v>
      </x:c>
      <x:c r="H115" s="12" t="n">
        <x:f>SUMIFS('统计计数'!$R$6:$R$95,'统计计数'!$B$6:$B$95,"NC_H1",'统计计数'!$A$6:$A$95,"c")/$D115</x:f>
        <x:v>0</x:v>
      </x:c>
      <x:c r="I115" s="12" t="n">
        <x:f>SUMIFS('统计计数'!$S$6:$S$95,'统计计数'!$B$6:$B$95,"NC_H1",'统计计数'!$A$6:$A$95,"c")/$D115</x:f>
        <x:v>0.7391532306237615</x:v>
      </x:c>
      <x:c r="J115" s="12" t="n">
        <x:f>SUMIFS('统计计数'!$T$6:$T$95,'统计计数'!$B$6:$B$95,"NC_H1",'统计计数'!$A$6:$A$95,"c")/$D115</x:f>
        <x:v>0.004231848640494815</x:v>
      </x:c>
      <x:c r="K115" s="12" t="n">
        <x:f>SUMIFS('统计计数'!$U$6:$U$95,'统计计数'!$B$6:$B$95,"NC_H1",'统计计数'!$A$6:$A$95,"c")/$D115</x:f>
        <x:v>0.03153206814936126</x:v>
      </x:c>
      <x:c r="L115" s="12" t="n">
        <x:f>SUMIFS('统计计数'!$V$6:$V$95,'统计计数'!$B$6:$B$95,"NC_H1",'统计计数'!$A$6:$A$95,"c")/$D115</x:f>
        <x:v>0.06750125102622415</x:v>
      </x:c>
      <x:c r="M115" s="12" t="n">
        <x:f>SUMIFS('统计计数'!$W$6:$W$95,'统计计数'!$B$6:$B$95,"NC_H1",'统计计数'!$A$6:$A$95,"c")/$D115</x:f>
        <x:v>0.06781518739458749</x:v>
      </x:c>
      <x:c r="N115" s="12" t="n">
        <x:f>SUMIFS('统计计数'!$X$6:$X$95,'统计计数'!$B$6:$B$95,"NC_H1",'统计计数'!$A$6:$A$95,"c")/$D115</x:f>
        <x:v>0</x:v>
      </x:c>
    </x:row>
    <x:row r="116" ht="24" customHeight="1">
      <x:c r="A116" s="10" t="str">
        <x:v>c</x:v>
      </x:c>
      <x:c r="B116" s="10" t="str">
        <x:v>NCG_H0</x:v>
      </x:c>
      <x:c r="C116" s="9" t="str">
        <x:v>节点</x:v>
      </x:c>
      <x:c r="D116" s="11" t="n">
        <x:f>SUMIFS('统计计数'!$C$6:$C$95,'统计计数'!$B$6:$B$95,"NCG_H0",'统计计数'!$A$6:$A$95,"c")</x:f>
        <x:v>1747</x:v>
      </x:c>
      <x:c r="E116" s="12" t="n">
        <x:f>SUMIFS('统计计数'!$E$6:$E$95,'统计计数'!$B$6:$B$95,"NCG_H0",'统计计数'!$A$6:$A$95,"c")/$D116</x:f>
        <x:v>0.0011448196908986834</x:v>
      </x:c>
      <x:c r="F116" s="12" t="n">
        <x:f>SUMIFS('统计计数'!$F$6:$F$95,'统计计数'!$B$6:$B$95,"NCG_H0",'统计计数'!$A$6:$A$95,"c")/$D116</x:f>
        <x:v>0.17229536348025187</x:v>
      </x:c>
      <x:c r="G116" s="12" t="n">
        <x:f>SUMIFS('统计计数'!$G$6:$G$95,'统计计数'!$B$6:$B$95,"NCG_H0",'统计计数'!$A$6:$A$95,"c")/$D116</x:f>
        <x:v>0.4253005151688609</x:v>
      </x:c>
      <x:c r="H116" s="12" t="n">
        <x:f>SUMIFS('统计计数'!$H$6:$H$95,'统计计数'!$B$6:$B$95,"NCG_H0",'统计计数'!$A$6:$A$95,"c")/$D116</x:f>
        <x:v>0.2192329708070979</x:v>
      </x:c>
      <x:c r="I116" s="12" t="n">
        <x:f>SUMIFS('统计计数'!$I$6:$I$95,'统计计数'!$B$6:$B$95,"NCG_H0",'统计计数'!$A$6:$A$95,"c")/$D116</x:f>
        <x:v>0.10761305094447625</x:v>
      </x:c>
      <x:c r="J116" s="12" t="n">
        <x:f>SUMIFS('统计计数'!$J$6:$J$95,'统计计数'!$B$6:$B$95,"NCG_H0",'统计计数'!$A$6:$A$95,"c")/$D116</x:f>
        <x:v>0.0045792787635947334</x:v>
      </x:c>
      <x:c r="K116" s="12" t="n">
        <x:f>SUMIFS('统计计数'!$K$6:$K$95,'统计计数'!$B$6:$B$95,"NCG_H0",'统计计数'!$A$6:$A$95,"c")/$D116</x:f>
        <x:v>0.028048082427017746</x:v>
      </x:c>
      <x:c r="L116" s="12" t="n">
        <x:f>SUMIFS('统计计数'!$L$6:$L$95,'统计计数'!$B$6:$B$95,"NCG_H0",'统计计数'!$A$6:$A$95,"c")/$D116</x:f>
        <x:v>0.018889524899828276</x:v>
      </x:c>
      <x:c r="M116" s="12" t="n">
        <x:f>SUMIFS('统计计数'!$M$6:$M$95,'统计计数'!$B$6:$B$95,"NCG_H0",'统计计数'!$A$6:$A$95,"c")/$D116</x:f>
        <x:v>0.02289639381797367</x:v>
      </x:c>
      <x:c r="N116" s="12" t="n">
        <x:f>SUMIFS('统计计数'!$N$6:$N$95,'统计计数'!$B$6:$B$95,"NCG_H0",'统计计数'!$A$6:$A$95,"c")/$D116</x:f>
        <x:v>0</x:v>
      </x:c>
    </x:row>
    <x:row r="117" ht="24" customHeight="1">
      <x:c r="A117" s="10" t="str">
        <x:v>c</x:v>
      </x:c>
      <x:c r="B117" s="10" t="str">
        <x:v>NCG_H0</x:v>
      </x:c>
      <x:c r="C117" s="9" t="str">
        <x:v>源三角形</x:v>
      </x:c>
      <x:c r="D117" s="11" t="n">
        <x:f>SUMIFS('统计计数'!$D$6:$D$95,'统计计数'!$B$6:$B$95,"NCG_H0",'统计计数'!$A$6:$A$95,"c")</x:f>
        <x:v>11760345</x:v>
      </x:c>
      <x:c r="E117" s="12" t="n">
        <x:f>SUMIFS('统计计数'!$O$6:$O$95,'统计计数'!$B$6:$B$95,"NCG_H0",'统计计数'!$A$6:$A$95,"c")/$D117</x:f>
        <x:v>0.00007278698031392787</x:v>
      </x:c>
      <x:c r="F117" s="12" t="n">
        <x:f>SUMIFS('统计计数'!$P$6:$P$95,'统计计数'!$B$6:$B$95,"NCG_H0",'统计计数'!$A$6:$A$95,"c")/$D117</x:f>
        <x:v>0.04531363663225866</x:v>
      </x:c>
      <x:c r="G117" s="12" t="n">
        <x:f>SUMIFS('统计计数'!$Q$6:$Q$95,'统计计数'!$B$6:$B$95,"NCG_H0",'统计计数'!$A$6:$A$95,"c")/$D117</x:f>
        <x:v>0.2725435350748639</x:v>
      </x:c>
      <x:c r="H117" s="12" t="n">
        <x:f>SUMIFS('统计计数'!$R$6:$R$95,'统计计数'!$B$6:$B$95,"NCG_H0",'统计计数'!$A$6:$A$95,"c")/$D117</x:f>
        <x:v>0.18526038139187243</x:v>
      </x:c>
      <x:c r="I117" s="12" t="n">
        <x:f>SUMIFS('统计计数'!$S$6:$S$95,'统计计数'!$B$6:$B$95,"NCG_H0",'统计计数'!$A$6:$A$95,"c")/$D117</x:f>
        <x:v>0.32985435376258093</x:v>
      </x:c>
      <x:c r="J117" s="12" t="n">
        <x:f>SUMIFS('统计计数'!$T$6:$T$95,'统计计数'!$B$6:$B$95,"NCG_H0",'统计计数'!$A$6:$A$95,"c")/$D117</x:f>
        <x:v>0.0008091599353590392</x:v>
      </x:c>
      <x:c r="K117" s="12" t="n">
        <x:f>SUMIFS('统计计数'!$U$6:$U$95,'统计计数'!$B$6:$B$95,"NCG_H0",'统计计数'!$A$6:$A$95,"c")/$D117</x:f>
        <x:v>0.030829707801939485</x:v>
      </x:c>
      <x:c r="L117" s="12" t="n">
        <x:f>SUMIFS('统计计数'!$V$6:$V$95,'统计计数'!$B$6:$B$95,"NCG_H0",'统计计数'!$A$6:$A$95,"c")/$D117</x:f>
        <x:v>0.06750125102622415</x:v>
      </x:c>
      <x:c r="M117" s="12" t="n">
        <x:f>SUMIFS('统计计数'!$W$6:$W$95,'统计计数'!$B$6:$B$95,"NCG_H0",'统计计数'!$A$6:$A$95,"c")/$D117</x:f>
        <x:v>0.06781518739458749</x:v>
      </x:c>
      <x:c r="N117" s="12" t="n">
        <x:f>SUMIFS('统计计数'!$X$6:$X$95,'统计计数'!$B$6:$B$95,"NCG_H0",'统计计数'!$A$6:$A$95,"c")/$D117</x:f>
        <x:v>0</x:v>
      </x:c>
    </x:row>
    <x:row r="118" ht="24" customHeight="1">
      <x:c r="A118" s="10" t="str">
        <x:v>c</x:v>
      </x:c>
      <x:c r="B118" s="10" t="str">
        <x:v>NCG_H1</x:v>
      </x:c>
      <x:c r="C118" s="9" t="str">
        <x:v>节点</x:v>
      </x:c>
      <x:c r="D118" s="11" t="n">
        <x:f>SUMIFS('统计计数'!$C$6:$C$95,'统计计数'!$B$6:$B$95,"NCG_H1",'统计计数'!$A$6:$A$95,"c")</x:f>
        <x:v>1747</x:v>
      </x:c>
      <x:c r="E118" s="12" t="n">
        <x:f>SUMIFS('统计计数'!$E$6:$E$95,'统计计数'!$B$6:$B$95,"NCG_H1",'统计计数'!$A$6:$A$95,"c")/$D118</x:f>
        <x:v>0.0011448196908986834</x:v>
      </x:c>
      <x:c r="F118" s="12" t="n">
        <x:f>SUMIFS('统计计数'!$F$6:$F$95,'统计计数'!$B$6:$B$95,"NCG_H1",'统计计数'!$A$6:$A$95,"c")/$D118</x:f>
        <x:v>0.14653692043503147</x:v>
      </x:c>
      <x:c r="G118" s="12" t="n">
        <x:f>SUMIFS('统计计数'!$G$6:$G$95,'统计计数'!$B$6:$B$95,"NCG_H1",'统计计数'!$A$6:$A$95,"c")/$D118</x:f>
        <x:v>0.3966800228963938</x:v>
      </x:c>
      <x:c r="H118" s="12" t="n">
        <x:f>SUMIFS('统计计数'!$H$6:$H$95,'统计计数'!$B$6:$B$95,"NCG_H1",'统计计数'!$A$6:$A$95,"c")/$D118</x:f>
        <x:v>0.24785346307956496</x:v>
      </x:c>
      <x:c r="I118" s="12" t="n">
        <x:f>SUMIFS('统计计数'!$I$6:$I$95,'统计计数'!$B$6:$B$95,"NCG_H1",'统计计数'!$A$6:$A$95,"c")/$D118</x:f>
        <x:v>0.1110475100171723</x:v>
      </x:c>
      <x:c r="J118" s="12" t="n">
        <x:f>SUMIFS('统计计数'!$J$6:$J$95,'统计计数'!$B$6:$B$95,"NCG_H1",'统计计数'!$A$6:$A$95,"c")/$D118</x:f>
        <x:v>0.02346880366342301</x:v>
      </x:c>
      <x:c r="K118" s="12" t="n">
        <x:f>SUMIFS('统计计数'!$K$6:$K$95,'统计计数'!$B$6:$B$95,"NCG_H1",'统计计数'!$A$6:$A$95,"c")/$D118</x:f>
        <x:v>0.031482541499713794</x:v>
      </x:c>
      <x:c r="L118" s="12" t="n">
        <x:f>SUMIFS('统计计数'!$L$6:$L$95,'统计计数'!$B$6:$B$95,"NCG_H1",'统计计数'!$A$6:$A$95,"c")/$D118</x:f>
        <x:v>0.018889524899828276</x:v>
      </x:c>
      <x:c r="M118" s="12" t="n">
        <x:f>SUMIFS('统计计数'!$M$6:$M$95,'统计计数'!$B$6:$B$95,"NCG_H1",'统计计数'!$A$6:$A$95,"c")/$D118</x:f>
        <x:v>0.02289639381797367</x:v>
      </x:c>
      <x:c r="N118" s="12" t="n">
        <x:f>SUMIFS('统计计数'!$N$6:$N$95,'统计计数'!$B$6:$B$95,"NCG_H1",'统计计数'!$A$6:$A$95,"c")/$D118</x:f>
        <x:v>0</x:v>
      </x:c>
    </x:row>
    <x:row r="119" ht="24" customHeight="1">
      <x:c r="A119" s="10" t="str">
        <x:v>c</x:v>
      </x:c>
      <x:c r="B119" s="10" t="str">
        <x:v>NCG_H1</x:v>
      </x:c>
      <x:c r="C119" s="9" t="str">
        <x:v>源三角形</x:v>
      </x:c>
      <x:c r="D119" s="11" t="n">
        <x:f>SUMIFS('统计计数'!$D$6:$D$95,'统计计数'!$B$6:$B$95,"NCG_H1",'统计计数'!$A$6:$A$95,"c")</x:f>
        <x:v>11760345</x:v>
      </x:c>
      <x:c r="E119" s="12" t="n">
        <x:f>SUMIFS('统计计数'!$O$6:$O$95,'统计计数'!$B$6:$B$95,"NCG_H1",'统计计数'!$A$6:$A$95,"c")/$D119</x:f>
        <x:v>0.00007278698031392787</x:v>
      </x:c>
      <x:c r="F119" s="12" t="n">
        <x:f>SUMIFS('统计计数'!$P$6:$P$95,'统计计数'!$B$6:$B$95,"NCG_H1",'统计计数'!$A$6:$A$95,"c")/$D119</x:f>
        <x:v>0.02487120913544628</x:v>
      </x:c>
      <x:c r="G119" s="12" t="n">
        <x:f>SUMIFS('统计计数'!$Q$6:$Q$95,'统计计数'!$B$6:$B$95,"NCG_H1",'统计计数'!$A$6:$A$95,"c")/$D119</x:f>
        <x:v>0.2760697921702127</x:v>
      </x:c>
      <x:c r="H119" s="12" t="n">
        <x:f>SUMIFS('统计计数'!$R$6:$R$95,'统计计数'!$B$6:$B$95,"NCG_H1",'统计计数'!$A$6:$A$95,"c")/$D119</x:f>
        <x:v>0.19263550516587735</x:v>
      </x:c>
      <x:c r="I119" s="12" t="n">
        <x:f>SUMIFS('统计计数'!$S$6:$S$95,'统计计数'!$B$6:$B$95,"NCG_H1",'统计计数'!$A$6:$A$95,"c")/$D119</x:f>
        <x:v>0.334461191402123</x:v>
      </x:c>
      <x:c r="J119" s="12" t="n">
        <x:f>SUMIFS('统计计数'!$T$6:$T$95,'统计计数'!$B$6:$B$95,"NCG_H1",'统计计数'!$A$6:$A$95,"c")/$D119</x:f>
        <x:v>0.005041008575853855</x:v>
      </x:c>
      <x:c r="K119" s="12" t="n">
        <x:f>SUMIFS('统计计数'!$U$6:$U$95,'统计计数'!$B$6:$B$95,"NCG_H1",'统计计数'!$A$6:$A$95,"c")/$D119</x:f>
        <x:v>0.03153206814936126</x:v>
      </x:c>
      <x:c r="L119" s="12" t="n">
        <x:f>SUMIFS('统计计数'!$V$6:$V$95,'统计计数'!$B$6:$B$95,"NCG_H1",'统计计数'!$A$6:$A$95,"c")/$D119</x:f>
        <x:v>0.06750125102622415</x:v>
      </x:c>
      <x:c r="M119" s="12" t="n">
        <x:f>SUMIFS('统计计数'!$W$6:$W$95,'统计计数'!$B$6:$B$95,"NCG_H1",'统计计数'!$A$6:$A$95,"c")/$D119</x:f>
        <x:v>0.06781518739458749</x:v>
      </x:c>
      <x:c r="N119" s="12" t="n">
        <x:f>SUMIFS('统计计数'!$X$6:$X$95,'统计计数'!$B$6:$B$95,"NCG_H1",'统计计数'!$A$6:$A$95,"c")/$D119</x:f>
        <x:v>0</x:v>
      </x:c>
    </x:row>
    <x:row r="120" ht="24" customHeight="1">
      <x:c r="A120" s="10" t="str">
        <x:v>c</x:v>
      </x:c>
      <x:c r="B120" s="10" t="str">
        <x:v>G_H0</x:v>
      </x:c>
      <x:c r="C120" s="9" t="str">
        <x:v>节点</x:v>
      </x:c>
      <x:c r="D120" s="11" t="n">
        <x:f>SUMIFS('统计计数'!$C$6:$C$95,'统计计数'!$B$6:$B$95,"G_H0",'统计计数'!$A$6:$A$95,"c")</x:f>
        <x:v>1747</x:v>
      </x:c>
      <x:c r="E120" s="12" t="n">
        <x:f>SUMIFS('统计计数'!$E$6:$E$95,'统计计数'!$B$6:$B$95,"G_H0",'统计计数'!$A$6:$A$95,"c")/$D120</x:f>
        <x:v>0</x:v>
      </x:c>
      <x:c r="F120" s="12" t="n">
        <x:f>SUMIFS('统计计数'!$F$6:$F$95,'统计计数'!$B$6:$B$95,"G_H0",'统计计数'!$A$6:$A$95,"c")/$D120</x:f>
        <x:v>0.1327990841442473</x:v>
      </x:c>
      <x:c r="G120" s="12" t="n">
        <x:f>SUMIFS('统计计数'!$G$6:$G$95,'统计计数'!$B$6:$B$95,"G_H0",'统计计数'!$A$6:$A$95,"c")/$D120</x:f>
        <x:v>0.5546651402404121</x:v>
      </x:c>
      <x:c r="H120" s="12" t="n">
        <x:f>SUMIFS('统计计数'!$H$6:$H$95,'统计计数'!$B$6:$B$95,"G_H0",'统计计数'!$A$6:$A$95,"c")/$D120</x:f>
        <x:v>0.20778477389811104</x:v>
      </x:c>
      <x:c r="I120" s="12" t="n">
        <x:f>SUMIFS('统计计数'!$I$6:$I$95,'统计计数'!$B$6:$B$95,"G_H0",'统计计数'!$A$6:$A$95,"c")/$D120</x:f>
        <x:v>0.10131654264453349</x:v>
      </x:c>
      <x:c r="J120" s="12" t="n">
        <x:f>SUMIFS('统计计数'!$J$6:$J$95,'统计计数'!$B$6:$B$95,"G_H0",'统计计数'!$A$6:$A$95,"c")/$D120</x:f>
        <x:v>0.0034344590726960505</x:v>
      </x:c>
      <x:c r="K120" s="12" t="n">
        <x:f>SUMIFS('统计计数'!$K$6:$K$95,'统计计数'!$B$6:$B$95,"G_H0",'统计计数'!$A$6:$A$95,"c")/$D120</x:f>
        <x:v>0</x:v>
      </x:c>
      <x:c r="L120" s="12" t="n">
        <x:f>SUMIFS('统计计数'!$L$6:$L$95,'统计计数'!$B$6:$B$95,"G_H0",'统计计数'!$A$6:$A$95,"c")/$D120</x:f>
        <x:v>0</x:v>
      </x:c>
      <x:c r="M120" s="12" t="n">
        <x:f>SUMIFS('统计计数'!$M$6:$M$95,'统计计数'!$B$6:$B$95,"G_H0",'统计计数'!$A$6:$A$95,"c")/$D120</x:f>
        <x:v>0</x:v>
      </x:c>
      <x:c r="N120" s="12" t="n">
        <x:f>SUMIFS('统计计数'!$N$6:$N$95,'统计计数'!$B$6:$B$95,"G_H0",'统计计数'!$A$6:$A$95,"c")/$D120</x:f>
        <x:v>0</x:v>
      </x:c>
    </x:row>
    <x:row r="121" ht="24" customHeight="1">
      <x:c r="A121" s="10" t="str">
        <x:v>c</x:v>
      </x:c>
      <x:c r="B121" s="10" t="str">
        <x:v>G_H0</x:v>
      </x:c>
      <x:c r="C121" s="9" t="str">
        <x:v>源三角形</x:v>
      </x:c>
      <x:c r="D121" s="11" t="n">
        <x:f>SUMIFS('统计计数'!$D$6:$D$95,'统计计数'!$B$6:$B$95,"G_H0",'统计计数'!$A$6:$A$95,"c")</x:f>
        <x:v>11760345</x:v>
      </x:c>
      <x:c r="E121" s="12" t="n">
        <x:f>SUMIFS('统计计数'!$O$6:$O$95,'统计计数'!$B$6:$B$95,"G_H0",'统计计数'!$A$6:$A$95,"c")/$D121</x:f>
        <x:v>0</x:v>
      </x:c>
      <x:c r="F121" s="12" t="n">
        <x:f>SUMIFS('统计计数'!$P$6:$P$95,'统计计数'!$B$6:$B$95,"G_H0",'统计计数'!$A$6:$A$95,"c")/$D121</x:f>
        <x:v>0.041313073723602496</x:v>
      </x:c>
      <x:c r="G121" s="12" t="n">
        <x:f>SUMIFS('统计计数'!$Q$6:$Q$95,'统计计数'!$B$6:$B$95,"G_H0",'统计计数'!$A$6:$A$95,"c")/$D121</x:f>
        <x:v>0.38088542470480247</x:v>
      </x:c>
      <x:c r="H121" s="12" t="n">
        <x:f>SUMIFS('统计计数'!$R$6:$R$95,'统计计数'!$B$6:$B$95,"G_H0",'统计计数'!$A$6:$A$95,"c")/$D121</x:f>
        <x:v>0.20894659127772186</x:v>
      </x:c>
      <x:c r="I121" s="12" t="n">
        <x:f>SUMIFS('统计计数'!$S$6:$S$95,'统计计数'!$B$6:$B$95,"G_H0",'统计计数'!$A$6:$A$95,"c")/$D121</x:f>
        <x:v>0.3681086736826173</x:v>
      </x:c>
      <x:c r="J121" s="12" t="n">
        <x:f>SUMIFS('统计计数'!$T$6:$T$95,'统计计数'!$B$6:$B$95,"G_H0",'统计计数'!$A$6:$A$95,"c")/$D121</x:f>
        <x:v>0.0007462366112558772</x:v>
      </x:c>
      <x:c r="K121" s="12" t="n">
        <x:f>SUMIFS('统计计数'!$U$6:$U$95,'统计计数'!$B$6:$B$95,"G_H0",'统计计数'!$A$6:$A$95,"c")/$D121</x:f>
        <x:v>0</x:v>
      </x:c>
      <x:c r="L121" s="12" t="n">
        <x:f>SUMIFS('统计计数'!$V$6:$V$95,'统计计数'!$B$6:$B$95,"G_H0",'统计计数'!$A$6:$A$95,"c")/$D121</x:f>
        <x:v>0</x:v>
      </x:c>
      <x:c r="M121" s="12" t="n">
        <x:f>SUMIFS('统计计数'!$W$6:$W$95,'统计计数'!$B$6:$B$95,"G_H0",'统计计数'!$A$6:$A$95,"c")/$D121</x:f>
        <x:v>0</x:v>
      </x:c>
      <x:c r="N121" s="12" t="n">
        <x:f>SUMIFS('统计计数'!$X$6:$X$95,'统计计数'!$B$6:$B$95,"G_H0",'统计计数'!$A$6:$A$95,"c")/$D121</x:f>
        <x:v>0</x:v>
      </x:c>
    </x:row>
    <x:row r="122" ht="24" customHeight="1">
      <x:c r="A122" s="10" t="str">
        <x:v>c</x:v>
      </x:c>
      <x:c r="B122" s="10" t="str">
        <x:v>G_H1</x:v>
      </x:c>
      <x:c r="C122" s="9" t="str">
        <x:v>节点</x:v>
      </x:c>
      <x:c r="D122" s="11" t="n">
        <x:f>SUMIFS('统计计数'!$C$6:$C$95,'统计计数'!$B$6:$B$95,"G_H1",'统计计数'!$A$6:$A$95,"c")</x:f>
        <x:v>1747</x:v>
      </x:c>
      <x:c r="E122" s="12" t="n">
        <x:f>SUMIFS('统计计数'!$E$6:$E$95,'统计计数'!$B$6:$B$95,"G_H1",'统计计数'!$A$6:$A$95,"c")/$D122</x:f>
        <x:v>0</x:v>
      </x:c>
      <x:c r="F122" s="12" t="n">
        <x:f>SUMIFS('统计计数'!$F$6:$F$95,'统计计数'!$B$6:$B$95,"G_H1",'统计计数'!$A$6:$A$95,"c")/$D122</x:f>
        <x:v>0.11276473955352032</x:v>
      </x:c>
      <x:c r="G122" s="12" t="n">
        <x:f>SUMIFS('统计计数'!$G$6:$G$95,'统计计数'!$B$6:$B$95,"G_H1",'统计计数'!$A$6:$A$95,"c")/$D122</x:f>
        <x:v>0.5329135661133372</x:v>
      </x:c>
      <x:c r="H122" s="12" t="n">
        <x:f>SUMIFS('统计计数'!$H$6:$H$95,'统计计数'!$B$6:$B$95,"G_H1",'统计计数'!$A$6:$A$95,"c")/$D122</x:f>
        <x:v>0.24384659416141957</x:v>
      </x:c>
      <x:c r="I122" s="12" t="n">
        <x:f>SUMIFS('统计计数'!$I$6:$I$95,'统计计数'!$B$6:$B$95,"G_H1",'统计计数'!$A$6:$A$95,"c")/$D122</x:f>
        <x:v>0.1070406410990269</x:v>
      </x:c>
      <x:c r="J122" s="12" t="n">
        <x:f>SUMIFS('统计计数'!$J$6:$J$95,'统计计数'!$B$6:$B$95,"G_H1",'统计计数'!$A$6:$A$95,"c")/$D122</x:f>
        <x:v>0.0034344590726960505</x:v>
      </x:c>
      <x:c r="K122" s="12" t="n">
        <x:f>SUMIFS('统计计数'!$K$6:$K$95,'统计计数'!$B$6:$B$95,"G_H1",'统计计数'!$A$6:$A$95,"c")/$D122</x:f>
        <x:v>0</x:v>
      </x:c>
      <x:c r="L122" s="12" t="n">
        <x:f>SUMIFS('统计计数'!$L$6:$L$95,'统计计数'!$B$6:$B$95,"G_H1",'统计计数'!$A$6:$A$95,"c")/$D122</x:f>
        <x:v>0</x:v>
      </x:c>
      <x:c r="M122" s="12" t="n">
        <x:f>SUMIFS('统计计数'!$M$6:$M$95,'统计计数'!$B$6:$B$95,"G_H1",'统计计数'!$A$6:$A$95,"c")/$D122</x:f>
        <x:v>0</x:v>
      </x:c>
      <x:c r="N122" s="12" t="n">
        <x:f>SUMIFS('统计计数'!$N$6:$N$95,'统计计数'!$B$6:$B$95,"G_H1",'统计计数'!$A$6:$A$95,"c")/$D122</x:f>
        <x:v>0</x:v>
      </x:c>
    </x:row>
    <x:row r="123" ht="24" customHeight="1">
      <x:c r="A123" s="10" t="str">
        <x:v>c</x:v>
      </x:c>
      <x:c r="B123" s="10" t="str">
        <x:v>G_H1</x:v>
      </x:c>
      <x:c r="C123" s="9" t="str">
        <x:v>源三角形</x:v>
      </x:c>
      <x:c r="D123" s="11" t="n">
        <x:f>SUMIFS('统计计数'!$D$6:$D$95,'统计计数'!$B$6:$B$95,"G_H1",'统计计数'!$A$6:$A$95,"c")</x:f>
        <x:v>11760345</x:v>
      </x:c>
      <x:c r="E123" s="12" t="n">
        <x:f>SUMIFS('统计计数'!$O$6:$O$95,'统计计数'!$B$6:$B$95,"G_H1",'统计计数'!$A$6:$A$95,"c")/$D123</x:f>
        <x:v>0</x:v>
      </x:c>
      <x:c r="F123" s="12" t="n">
        <x:f>SUMIFS('统计计数'!$P$6:$P$95,'统计计数'!$B$6:$B$95,"G_H1",'统计计数'!$A$6:$A$95,"c")/$D123</x:f>
        <x:v>0.02149001581161097</x:v>
      </x:c>
      <x:c r="G123" s="12" t="n">
        <x:f>SUMIFS('统计计数'!$Q$6:$Q$95,'统计计数'!$B$6:$B$95,"G_H1",'统计计数'!$A$6:$A$95,"c")/$D123</x:f>
        <x:v>0.3861862896028986</x:v>
      </x:c>
      <x:c r="H123" s="12" t="n">
        <x:f>SUMIFS('统计计数'!$R$6:$R$95,'统计计数'!$B$6:$B$95,"G_H1",'统计计数'!$A$6:$A$95,"c")/$D123</x:f>
        <x:v>0.21881841051431739</x:v>
      </x:c>
      <x:c r="I123" s="12" t="n">
        <x:f>SUMIFS('统计计数'!$S$6:$S$95,'统计计数'!$B$6:$B$95,"G_H1",'统计计数'!$A$6:$A$95,"c")/$D123</x:f>
        <x:v>0.3727590474599172</x:v>
      </x:c>
      <x:c r="J123" s="12" t="n">
        <x:f>SUMIFS('统计计数'!$T$6:$T$95,'统计计数'!$B$6:$B$95,"G_H1",'统计计数'!$A$6:$A$95,"c")/$D123</x:f>
        <x:v>0.0007462366112558772</x:v>
      </x:c>
      <x:c r="K123" s="12" t="n">
        <x:f>SUMIFS('统计计数'!$U$6:$U$95,'统计计数'!$B$6:$B$95,"G_H1",'统计计数'!$A$6:$A$95,"c")/$D123</x:f>
        <x:v>0</x:v>
      </x:c>
      <x:c r="L123" s="12" t="n">
        <x:f>SUMIFS('统计计数'!$V$6:$V$95,'统计计数'!$B$6:$B$95,"G_H1",'统计计数'!$A$6:$A$95,"c")/$D123</x:f>
        <x:v>0</x:v>
      </x:c>
      <x:c r="M123" s="12" t="n">
        <x:f>SUMIFS('统计计数'!$W$6:$W$95,'统计计数'!$B$6:$B$95,"G_H1",'统计计数'!$A$6:$A$95,"c")/$D123</x:f>
        <x:v>0</x:v>
      </x:c>
      <x:c r="N123" s="12" t="n">
        <x:f>SUMIFS('统计计数'!$X$6:$X$95,'统计计数'!$B$6:$B$95,"G_H1",'统计计数'!$A$6:$A$95,"c")/$D123</x:f>
        <x:v>0</x:v>
      </x:c>
    </x:row>
    <x:row r="124" ht="24" customHeight="1">
      <x:c r="A124" s="10" t="str">
        <x:v>c</x:v>
      </x:c>
      <x:c r="B124" s="10" t="str">
        <x:v>NCG_H1_M1</x:v>
      </x:c>
      <x:c r="C124" s="9" t="str">
        <x:v>节点</x:v>
      </x:c>
      <x:c r="D124" s="11" t="n">
        <x:f>SUMIFS('统计计数'!$C$6:$C$95,'统计计数'!$B$6:$B$95,"NCG_H1_M1",'统计计数'!$A$6:$A$95,"c")</x:f>
        <x:v>1747</x:v>
      </x:c>
      <x:c r="E124" s="12" t="n">
        <x:f>SUMIFS('统计计数'!$E$6:$E$95,'统计计数'!$B$6:$B$95,"NCG_H1_M1",'统计计数'!$A$6:$A$95,"c")/$D124</x:f>
        <x:v>0.0011448196908986834</x:v>
      </x:c>
      <x:c r="F124" s="12" t="n">
        <x:f>SUMIFS('统计计数'!$F$6:$F$95,'统计计数'!$B$6:$B$95,"NCG_H1_M1",'统计计数'!$A$6:$A$95,"c")/$D124</x:f>
        <x:v>0.1287922152261019</x:v>
      </x:c>
      <x:c r="G124" s="12" t="n">
        <x:f>SUMIFS('统计计数'!$G$6:$G$95,'统计计数'!$B$6:$B$95,"NCG_H1_M1",'统计计数'!$A$6:$A$95,"c")/$D124</x:f>
        <x:v>0.37092157985117347</x:v>
      </x:c>
      <x:c r="H124" s="12" t="n">
        <x:f>SUMIFS('统计计数'!$H$6:$H$95,'统计计数'!$B$6:$B$95,"NCG_H1_M1",'统计计数'!$A$6:$A$95,"c")/$D124</x:f>
        <x:v>0.23526044647967945</x:v>
      </x:c>
      <x:c r="I124" s="12" t="n">
        <x:f>SUMIFS('统计计数'!$I$6:$I$95,'统计计数'!$B$6:$B$95,"NCG_H1_M1",'统计计数'!$A$6:$A$95,"c")/$D124</x:f>
        <x:v>0.04979965655409273</x:v>
      </x:c>
      <x:c r="J124" s="12" t="n">
        <x:f>SUMIFS('统计计数'!$J$6:$J$95,'统计计数'!$B$6:$B$95,"NCG_H1_M1",'统计计数'!$A$6:$A$95,"c")/$D124</x:f>
        <x:v>0.02289639381797367</x:v>
      </x:c>
      <x:c r="K124" s="12" t="n">
        <x:f>SUMIFS('统计计数'!$K$6:$K$95,'统计计数'!$B$6:$B$95,"NCG_H1_M1",'统计计数'!$A$6:$A$95,"c")/$D124</x:f>
        <x:v>0.040641099026903264</x:v>
      </x:c>
      <x:c r="L124" s="12" t="n">
        <x:f>SUMIFS('统计计数'!$L$6:$L$95,'统计计数'!$B$6:$B$95,"NCG_H1_M1",'统计计数'!$A$6:$A$95,"c")/$D124</x:f>
        <x:v>0.09616485403548941</x:v>
      </x:c>
      <x:c r="M124" s="12" t="n">
        <x:f>SUMIFS('统计计数'!$M$6:$M$95,'统计计数'!$B$6:$B$95,"NCG_H1_M1",'统计计数'!$A$6:$A$95,"c")/$D124</x:f>
        <x:v>0.038923869490555235</x:v>
      </x:c>
      <x:c r="N124" s="12" t="n">
        <x:f>SUMIFS('统计计数'!$N$6:$N$95,'统计计数'!$B$6:$B$95,"NCG_H1_M1",'统计计数'!$A$6:$A$95,"c")/$D124</x:f>
        <x:v>0.015455065827132226</x:v>
      </x:c>
    </x:row>
    <x:row r="125" ht="24" customHeight="1">
      <x:c r="A125" s="10" t="str">
        <x:v>c</x:v>
      </x:c>
      <x:c r="B125" s="10" t="str">
        <x:v>NCG_H1_M1</x:v>
      </x:c>
      <x:c r="C125" s="9" t="str">
        <x:v>源三角形</x:v>
      </x:c>
      <x:c r="D125" s="11" t="n">
        <x:f>SUMIFS('统计计数'!$D$6:$D$95,'统计计数'!$B$6:$B$95,"NCG_H1_M1",'统计计数'!$A$6:$A$95,"c")</x:f>
        <x:v>11760345</x:v>
      </x:c>
      <x:c r="E125" s="12" t="n">
        <x:f>SUMIFS('统计计数'!$O$6:$O$95,'统计计数'!$B$6:$B$95,"NCG_H1_M1",'统计计数'!$A$6:$A$95,"c")/$D125</x:f>
        <x:v>0.00007278698031392787</x:v>
      </x:c>
      <x:c r="F125" s="12" t="n">
        <x:f>SUMIFS('统计计数'!$P$6:$P$95,'统计计数'!$B$6:$B$95,"NCG_H1_M1",'统计计数'!$A$6:$A$95,"c")/$D125</x:f>
        <x:v>0.01983870371149826</x:v>
      </x:c>
      <x:c r="G125" s="12" t="n">
        <x:f>SUMIFS('统计计数'!$Q$6:$Q$95,'统计计数'!$B$6:$B$95,"NCG_H1_M1",'统计计数'!$A$6:$A$95,"c")/$D125</x:f>
        <x:v>0.2316484762989521</x:v>
      </x:c>
      <x:c r="H125" s="12" t="n">
        <x:f>SUMIFS('统计计数'!$R$6:$R$95,'统计计数'!$B$6:$B$95,"NCG_H1_M1",'统计计数'!$A$6:$A$95,"c")/$D125</x:f>
        <x:v>0.18386909567704007</x:v>
      </x:c>
      <x:c r="I125" s="12" t="n">
        <x:f>SUMIFS('统计计数'!$S$6:$S$95,'统计计数'!$B$6:$B$95,"NCG_H1_M1",'统计计数'!$A$6:$A$95,"c")/$D125</x:f>
        <x:v>0.19848337782607567</x:v>
      </x:c>
      <x:c r="J125" s="12" t="n">
        <x:f>SUMIFS('统计计数'!$T$6:$T$95,'统计计数'!$B$6:$B$95,"NCG_H1_M1",'统计计数'!$A$6:$A$95,"c")/$D125</x:f>
        <x:v>0.004621633123858186</x:v>
      </x:c>
      <x:c r="K125" s="12" t="n">
        <x:f>SUMIFS('统计计数'!$U$6:$U$95,'统计计数'!$B$6:$B$95,"NCG_H1_M1",'统计计数'!$A$6:$A$95,"c")/$D125</x:f>
        <x:v>0.03602717437286066</x:v>
      </x:c>
      <x:c r="L125" s="12" t="n">
        <x:f>SUMIFS('统计计数'!$V$6:$V$95,'统计计数'!$B$6:$B$95,"NCG_H1_M1",'统计计数'!$A$6:$A$95,"c")/$D125</x:f>
        <x:v>0.10369695786985841</x:v>
      </x:c>
      <x:c r="M125" s="12" t="n">
        <x:f>SUMIFS('统计计数'!$W$6:$W$95,'统计计数'!$B$6:$B$95,"NCG_H1_M1",'统计计数'!$A$6:$A$95,"c")/$D125</x:f>
        <x:v>0.11094045285236105</x:v>
      </x:c>
      <x:c r="N125" s="12" t="n">
        <x:f>SUMIFS('统计计数'!$X$6:$X$95,'统计计数'!$B$6:$B$95,"NCG_H1_M1",'统计计数'!$A$6:$A$95,"c")/$D125</x:f>
        <x:v>0.11080134128718162</x:v>
      </x:c>
    </x:row>
    <x:row r="126" ht="24" customHeight="1">
      <x:c r="A126" s="10" t="str">
        <x:v>d</x:v>
      </x:c>
      <x:c r="B126" s="10" t="str">
        <x:v>N_H0</x:v>
      </x:c>
      <x:c r="C126" s="9" t="str">
        <x:v>节点</x:v>
      </x:c>
      <x:c r="D126" s="11" t="n">
        <x:f>SUMIFS('统计计数'!$C$6:$C$95,'统计计数'!$B$6:$B$95,"N_H0",'统计计数'!$A$6:$A$95,"d")</x:f>
        <x:v>1167</x:v>
      </x:c>
      <x:c r="E126" s="12" t="n">
        <x:f>SUMIFS('统计计数'!$E$6:$E$95,'统计计数'!$B$6:$B$95,"N_H0",'统计计数'!$A$6:$A$95,"d")/$D126</x:f>
        <x:v>0</x:v>
      </x:c>
      <x:c r="F126" s="12" t="n">
        <x:f>SUMIFS('统计计数'!$F$6:$F$95,'统计计数'!$B$6:$B$95,"N_H0",'统计计数'!$A$6:$A$95,"d")/$D126</x:f>
        <x:v>0.13367609254498714</x:v>
      </x:c>
      <x:c r="G126" s="12" t="n">
        <x:f>SUMIFS('统计计数'!$G$6:$G$95,'统计计数'!$B$6:$B$95,"N_H0",'统计计数'!$A$6:$A$95,"d")/$D126</x:f>
        <x:v>0.05312767780634105</x:v>
      </x:c>
      <x:c r="H126" s="12" t="n">
        <x:f>SUMIFS('统计计数'!$H$6:$H$95,'统计计数'!$B$6:$B$95,"N_H0",'统计计数'!$A$6:$A$95,"d")/$D126</x:f>
        <x:v>0</x:v>
      </x:c>
      <x:c r="I126" s="12" t="n">
        <x:f>SUMIFS('统计计数'!$I$6:$I$95,'统计计数'!$B$6:$B$95,"N_H0",'统计计数'!$A$6:$A$95,"d")/$D126</x:f>
        <x:v>0.792630676949443</x:v>
      </x:c>
      <x:c r="J126" s="12" t="n">
        <x:f>SUMIFS('统计计数'!$J$6:$J$95,'统计计数'!$B$6:$B$95,"N_H0",'统计计数'!$A$6:$A$95,"d")/$D126</x:f>
        <x:v>0</x:v>
      </x:c>
      <x:c r="K126" s="12" t="n">
        <x:f>SUMIFS('统计计数'!$K$6:$K$95,'统计计数'!$B$6:$B$95,"N_H0",'统计计数'!$A$6:$A$95,"d")/$D126</x:f>
        <x:v>0.003427592116538132</x:v>
      </x:c>
      <x:c r="L126" s="12" t="n">
        <x:f>SUMIFS('统计计数'!$L$6:$L$95,'统计计数'!$B$6:$B$95,"N_H0",'统计计数'!$A$6:$A$95,"d")/$D126</x:f>
        <x:v>0.010282776349614395</x:v>
      </x:c>
      <x:c r="M126" s="12" t="n">
        <x:f>SUMIFS('统计计数'!$M$6:$M$95,'统计计数'!$B$6:$B$95,"N_H0",'统计计数'!$A$6:$A$95,"d")/$D126</x:f>
        <x:v>0.006855184233076264</x:v>
      </x:c>
      <x:c r="N126" s="12" t="n">
        <x:f>SUMIFS('统计计数'!$N$6:$N$95,'统计计数'!$B$6:$B$95,"N_H0",'统计计数'!$A$6:$A$95,"d")/$D126</x:f>
        <x:v>0</x:v>
      </x:c>
    </x:row>
    <x:row r="127" ht="24" customHeight="1">
      <x:c r="A127" s="10" t="str">
        <x:v>d</x:v>
      </x:c>
      <x:c r="B127" s="10" t="str">
        <x:v>N_H0</x:v>
      </x:c>
      <x:c r="C127" s="9" t="str">
        <x:v>源三角形</x:v>
      </x:c>
      <x:c r="D127" s="11" t="n">
        <x:f>SUMIFS('统计计数'!$D$6:$D$95,'统计计数'!$B$6:$B$95,"N_H0",'统计计数'!$A$6:$A$95,"d")</x:f>
        <x:v>1723934</x:v>
      </x:c>
      <x:c r="E127" s="12" t="n">
        <x:f>SUMIFS('统计计数'!$O$6:$O$95,'统计计数'!$B$6:$B$95,"N_H0",'统计计数'!$A$6:$A$95,"d")/$D127</x:f>
        <x:v>0</x:v>
      </x:c>
      <x:c r="F127" s="12" t="n">
        <x:f>SUMIFS('统计计数'!$P$6:$P$95,'统计计数'!$B$6:$B$95,"N_H0",'统计计数'!$A$6:$A$95,"d")/$D127</x:f>
        <x:v>0.06560111930039085</x:v>
      </x:c>
      <x:c r="G127" s="12" t="n">
        <x:f>SUMIFS('统计计数'!$Q$6:$Q$95,'统计计数'!$B$6:$B$95,"N_H0",'统计计数'!$A$6:$A$95,"d")/$D127</x:f>
        <x:v>0.07832782461509548</x:v>
      </x:c>
      <x:c r="H127" s="12" t="n">
        <x:f>SUMIFS('统计计数'!$R$6:$R$95,'统计计数'!$B$6:$B$95,"N_H0",'统计计数'!$A$6:$A$95,"d")/$D127</x:f>
        <x:v>0</x:v>
      </x:c>
      <x:c r="I127" s="12" t="n">
        <x:f>SUMIFS('统计计数'!$S$6:$S$95,'统计计数'!$B$6:$B$95,"N_H0",'统计计数'!$A$6:$A$95,"d")/$D127</x:f>
        <x:v>0.819421161134939</x:v>
      </x:c>
      <x:c r="J127" s="12" t="n">
        <x:f>SUMIFS('统计计数'!$T$6:$T$95,'统计计数'!$B$6:$B$95,"N_H0",'统计计数'!$A$6:$A$95,"d")/$D127</x:f>
        <x:v>0</x:v>
      </x:c>
      <x:c r="K127" s="12" t="n">
        <x:f>SUMIFS('统计计数'!$U$6:$U$95,'统计计数'!$B$6:$B$95,"N_H0",'统计计数'!$A$6:$A$95,"d")/$D127</x:f>
        <x:v>0.0035453793474692187</x:v>
      </x:c>
      <x:c r="L127" s="12" t="n">
        <x:f>SUMIFS('统计计数'!$V$6:$V$95,'统计计数'!$B$6:$B$95,"N_H0",'统计计数'!$A$6:$A$95,"d")/$D127</x:f>
        <x:v>0.025746925346329965</x:v>
      </x:c>
      <x:c r="M127" s="12" t="n">
        <x:f>SUMIFS('统计计数'!$W$6:$W$95,'统计计数'!$B$6:$B$95,"N_H0",'统计计数'!$A$6:$A$95,"d")/$D127</x:f>
        <x:v>0.007357590255775453</x:v>
      </x:c>
      <x:c r="N127" s="12" t="n">
        <x:f>SUMIFS('统计计数'!$X$6:$X$95,'统计计数'!$B$6:$B$95,"N_H0",'统计计数'!$A$6:$A$95,"d")/$D127</x:f>
        <x:v>0</x:v>
      </x:c>
    </x:row>
    <x:row r="128" ht="24" customHeight="1">
      <x:c r="A128" s="10" t="str">
        <x:v>d</x:v>
      </x:c>
      <x:c r="B128" s="10" t="str">
        <x:v>N_H1</x:v>
      </x:c>
      <x:c r="C128" s="9" t="str">
        <x:v>节点</x:v>
      </x:c>
      <x:c r="D128" s="11" t="n">
        <x:f>SUMIFS('统计计数'!$C$6:$C$95,'统计计数'!$B$6:$B$95,"N_H1",'统计计数'!$A$6:$A$95,"d")</x:f>
        <x:v>1167</x:v>
      </x:c>
      <x:c r="E128" s="12" t="n">
        <x:f>SUMIFS('统计计数'!$E$6:$E$95,'统计计数'!$B$6:$B$95,"N_H1",'统计计数'!$A$6:$A$95,"d")/$D128</x:f>
        <x:v>0</x:v>
      </x:c>
      <x:c r="F128" s="12" t="n">
        <x:f>SUMIFS('统计计数'!$F$6:$F$95,'统计计数'!$B$6:$B$95,"N_H1",'统计计数'!$A$6:$A$95,"d")/$D128</x:f>
        <x:v>0.13367609254498714</x:v>
      </x:c>
      <x:c r="G128" s="12" t="n">
        <x:f>SUMIFS('统计计数'!$G$6:$G$95,'统计计数'!$B$6:$B$95,"N_H1",'统计计数'!$A$6:$A$95,"d")/$D128</x:f>
        <x:v>0.04284490145672665</x:v>
      </x:c>
      <x:c r="H128" s="12" t="n">
        <x:f>SUMIFS('统计计数'!$H$6:$H$95,'统计计数'!$B$6:$B$95,"N_H1",'统计计数'!$A$6:$A$95,"d")/$D128</x:f>
        <x:v>0</x:v>
      </x:c>
      <x:c r="I128" s="12" t="n">
        <x:f>SUMIFS('统计计数'!$I$6:$I$95,'统计计数'!$B$6:$B$95,"N_H1",'统计计数'!$A$6:$A$95,"d")/$D128</x:f>
        <x:v>0.792630676949443</x:v>
      </x:c>
      <x:c r="J128" s="12" t="n">
        <x:f>SUMIFS('统计计数'!$J$6:$J$95,'统计计数'!$B$6:$B$95,"N_H1",'统计计数'!$A$6:$A$95,"d")/$D128</x:f>
        <x:v>0.009425878320479864</x:v>
      </x:c>
      <x:c r="K128" s="12" t="n">
        <x:f>SUMIFS('统计计数'!$K$6:$K$95,'统计计数'!$B$6:$B$95,"N_H1",'统计计数'!$A$6:$A$95,"d")/$D128</x:f>
        <x:v>0.004284490145672665</x:v>
      </x:c>
      <x:c r="L128" s="12" t="n">
        <x:f>SUMIFS('统计计数'!$L$6:$L$95,'统计计数'!$B$6:$B$95,"N_H1",'统计计数'!$A$6:$A$95,"d")/$D128</x:f>
        <x:v>0.010282776349614395</x:v>
      </x:c>
      <x:c r="M128" s="12" t="n">
        <x:f>SUMIFS('统计计数'!$M$6:$M$95,'统计计数'!$B$6:$B$95,"N_H1",'统计计数'!$A$6:$A$95,"d")/$D128</x:f>
        <x:v>0.006855184233076264</x:v>
      </x:c>
      <x:c r="N128" s="12" t="n">
        <x:f>SUMIFS('统计计数'!$N$6:$N$95,'统计计数'!$B$6:$B$95,"N_H1",'统计计数'!$A$6:$A$95,"d")/$D128</x:f>
        <x:v>0</x:v>
      </x:c>
    </x:row>
    <x:row r="129" ht="24" customHeight="1">
      <x:c r="A129" s="10" t="str">
        <x:v>d</x:v>
      </x:c>
      <x:c r="B129" s="10" t="str">
        <x:v>N_H1</x:v>
      </x:c>
      <x:c r="C129" s="9" t="str">
        <x:v>源三角形</x:v>
      </x:c>
      <x:c r="D129" s="11" t="n">
        <x:f>SUMIFS('统计计数'!$D$6:$D$95,'统计计数'!$B$6:$B$95,"N_H1",'统计计数'!$A$6:$A$95,"d")</x:f>
        <x:v>1723934</x:v>
      </x:c>
      <x:c r="E129" s="12" t="n">
        <x:f>SUMIFS('统计计数'!$O$6:$O$95,'统计计数'!$B$6:$B$95,"N_H1",'统计计数'!$A$6:$A$95,"d")/$D129</x:f>
        <x:v>0</x:v>
      </x:c>
      <x:c r="F129" s="12" t="n">
        <x:f>SUMIFS('统计计数'!$P$6:$P$95,'统计计数'!$B$6:$B$95,"N_H1",'统计计数'!$A$6:$A$95,"d")/$D129</x:f>
        <x:v>0.06560111930039085</x:v>
      </x:c>
      <x:c r="G129" s="12" t="n">
        <x:f>SUMIFS('统计计数'!$Q$6:$Q$95,'统计计数'!$B$6:$B$95,"N_H1",'统计计数'!$A$6:$A$95,"d")/$D129</x:f>
        <x:v>0.0745863820772721</x:v>
      </x:c>
      <x:c r="H129" s="12" t="n">
        <x:f>SUMIFS('统计计数'!$R$6:$R$95,'统计计数'!$B$6:$B$95,"N_H1",'统计计数'!$A$6:$A$95,"d")/$D129</x:f>
        <x:v>0</x:v>
      </x:c>
      <x:c r="I129" s="12" t="n">
        <x:f>SUMIFS('统计计数'!$S$6:$S$95,'统计计数'!$B$6:$B$95,"N_H1",'统计计数'!$A$6:$A$95,"d")/$D129</x:f>
        <x:v>0.819421161134939</x:v>
      </x:c>
      <x:c r="J129" s="12" t="n">
        <x:f>SUMIFS('统计计数'!$T$6:$T$95,'统计计数'!$B$6:$B$95,"N_H1",'统计计数'!$A$6:$A$95,"d")/$D129</x:f>
        <x:v>0.003224021337243769</x:v>
      </x:c>
      <x:c r="K129" s="12" t="n">
        <x:f>SUMIFS('统计计数'!$U$6:$U$95,'统计计数'!$B$6:$B$95,"N_H1",'统计计数'!$A$6:$A$95,"d")/$D129</x:f>
        <x:v>0.004062800548048823</x:v>
      </x:c>
      <x:c r="L129" s="12" t="n">
        <x:f>SUMIFS('统计计数'!$V$6:$V$95,'统计计数'!$B$6:$B$95,"N_H1",'统计计数'!$A$6:$A$95,"d")/$D129</x:f>
        <x:v>0.025746925346329965</x:v>
      </x:c>
      <x:c r="M129" s="12" t="n">
        <x:f>SUMIFS('统计计数'!$W$6:$W$95,'统计计数'!$B$6:$B$95,"N_H1",'统计计数'!$A$6:$A$95,"d")/$D129</x:f>
        <x:v>0.007357590255775453</x:v>
      </x:c>
      <x:c r="N129" s="12" t="n">
        <x:f>SUMIFS('统计计数'!$X$6:$X$95,'统计计数'!$B$6:$B$95,"N_H1",'统计计数'!$A$6:$A$95,"d")/$D129</x:f>
        <x:v>0</x:v>
      </x:c>
    </x:row>
    <x:row r="130" ht="24" customHeight="1">
      <x:c r="A130" s="10" t="str">
        <x:v>d</x:v>
      </x:c>
      <x:c r="B130" s="10" t="str">
        <x:v>C_H0</x:v>
      </x:c>
      <x:c r="C130" s="9" t="str">
        <x:v>节点</x:v>
      </x:c>
      <x:c r="D130" s="11" t="n">
        <x:f>SUMIFS('统计计数'!$C$6:$C$95,'统计计数'!$B$6:$B$95,"C_H0",'统计计数'!$A$6:$A$95,"d")</x:f>
        <x:v>1167</x:v>
      </x:c>
      <x:c r="E130" s="12" t="n">
        <x:f>SUMIFS('统计计数'!$E$6:$E$95,'统计计数'!$B$6:$B$95,"C_H0",'统计计数'!$A$6:$A$95,"d")/$D130</x:f>
        <x:v>0</x:v>
      </x:c>
      <x:c r="F130" s="12" t="n">
        <x:f>SUMIFS('统计计数'!$F$6:$F$95,'统计计数'!$B$6:$B$95,"C_H0",'统计计数'!$A$6:$A$95,"d")/$D130</x:f>
        <x:v>0.2579263067694944</x:v>
      </x:c>
      <x:c r="G130" s="12" t="n">
        <x:f>SUMIFS('统计计数'!$G$6:$G$95,'统计计数'!$B$6:$B$95,"C_H0",'统计计数'!$A$6:$A$95,"d")/$D130</x:f>
        <x:v>0</x:v>
      </x:c>
      <x:c r="H130" s="12" t="n">
        <x:f>SUMIFS('统计计数'!$H$6:$H$95,'统计计数'!$B$6:$B$95,"C_H0",'统计计数'!$A$6:$A$95,"d")/$D130</x:f>
        <x:v>0</x:v>
      </x:c>
      <x:c r="I130" s="12" t="n">
        <x:f>SUMIFS('统计计数'!$I$6:$I$95,'统计计数'!$B$6:$B$95,"C_H0",'统计计数'!$A$6:$A$95,"d")/$D130</x:f>
        <x:v>0.7420736932305055</x:v>
      </x:c>
      <x:c r="J130" s="12" t="n">
        <x:f>SUMIFS('统计计数'!$J$6:$J$95,'统计计数'!$B$6:$B$95,"C_H0",'统计计数'!$A$6:$A$95,"d")/$D130</x:f>
        <x:v>0</x:v>
      </x:c>
      <x:c r="K130" s="12" t="n">
        <x:f>SUMIFS('统计计数'!$K$6:$K$95,'统计计数'!$B$6:$B$95,"C_H0",'统计计数'!$A$6:$A$95,"d")/$D130</x:f>
        <x:v>0</x:v>
      </x:c>
      <x:c r="L130" s="12" t="n">
        <x:f>SUMIFS('统计计数'!$L$6:$L$95,'统计计数'!$B$6:$B$95,"C_H0",'统计计数'!$A$6:$A$95,"d")/$D130</x:f>
        <x:v>0</x:v>
      </x:c>
      <x:c r="M130" s="12" t="n">
        <x:f>SUMIFS('统计计数'!$M$6:$M$95,'统计计数'!$B$6:$B$95,"C_H0",'统计计数'!$A$6:$A$95,"d")/$D130</x:f>
        <x:v>0</x:v>
      </x:c>
      <x:c r="N130" s="12" t="n">
        <x:f>SUMIFS('统计计数'!$N$6:$N$95,'统计计数'!$B$6:$B$95,"C_H0",'统计计数'!$A$6:$A$95,"d")/$D130</x:f>
        <x:v>0</x:v>
      </x:c>
    </x:row>
    <x:row r="131" ht="24" customHeight="1">
      <x:c r="A131" s="10" t="str">
        <x:v>d</x:v>
      </x:c>
      <x:c r="B131" s="10" t="str">
        <x:v>C_H0</x:v>
      </x:c>
      <x:c r="C131" s="9" t="str">
        <x:v>源三角形</x:v>
      </x:c>
      <x:c r="D131" s="11" t="n">
        <x:f>SUMIFS('统计计数'!$D$6:$D$95,'统计计数'!$B$6:$B$95,"C_H0",'统计计数'!$A$6:$A$95,"d")</x:f>
        <x:v>1723934</x:v>
      </x:c>
      <x:c r="E131" s="12" t="n">
        <x:f>SUMIFS('统计计数'!$O$6:$O$95,'统计计数'!$B$6:$B$95,"C_H0",'统计计数'!$A$6:$A$95,"d")/$D131</x:f>
        <x:v>0</x:v>
      </x:c>
      <x:c r="F131" s="12" t="n">
        <x:f>SUMIFS('统计计数'!$P$6:$P$95,'统计计数'!$B$6:$B$95,"C_H0",'统计计数'!$A$6:$A$95,"d")/$D131</x:f>
        <x:v>0.1513108970529034</x:v>
      </x:c>
      <x:c r="G131" s="12" t="n">
        <x:f>SUMIFS('统计计数'!$Q$6:$Q$95,'统计计数'!$B$6:$B$95,"C_H0",'统计计数'!$A$6:$A$95,"d")/$D131</x:f>
        <x:v>0</x:v>
      </x:c>
      <x:c r="H131" s="12" t="n">
        <x:f>SUMIFS('统计计数'!$R$6:$R$95,'统计计数'!$B$6:$B$95,"C_H0",'统计计数'!$A$6:$A$95,"d")/$D131</x:f>
        <x:v>0</x:v>
      </x:c>
      <x:c r="I131" s="12" t="n">
        <x:f>SUMIFS('统计计数'!$S$6:$S$95,'统计计数'!$B$6:$B$95,"C_H0",'统计计数'!$A$6:$A$95,"d")/$D131</x:f>
        <x:v>0.8486891029470965</x:v>
      </x:c>
      <x:c r="J131" s="12" t="n">
        <x:f>SUMIFS('统计计数'!$T$6:$T$95,'统计计数'!$B$6:$B$95,"C_H0",'统计计数'!$A$6:$A$95,"d")/$D131</x:f>
        <x:v>0</x:v>
      </x:c>
      <x:c r="K131" s="12" t="n">
        <x:f>SUMIFS('统计计数'!$U$6:$U$95,'统计计数'!$B$6:$B$95,"C_H0",'统计计数'!$A$6:$A$95,"d")/$D131</x:f>
        <x:v>0</x:v>
      </x:c>
      <x:c r="L131" s="12" t="n">
        <x:f>SUMIFS('统计计数'!$V$6:$V$95,'统计计数'!$B$6:$B$95,"C_H0",'统计计数'!$A$6:$A$95,"d")/$D131</x:f>
        <x:v>0</x:v>
      </x:c>
      <x:c r="M131" s="12" t="n">
        <x:f>SUMIFS('统计计数'!$W$6:$W$95,'统计计数'!$B$6:$B$95,"C_H0",'统计计数'!$A$6:$A$95,"d")/$D131</x:f>
        <x:v>0</x:v>
      </x:c>
      <x:c r="N131" s="12" t="n">
        <x:f>SUMIFS('统计计数'!$X$6:$X$95,'统计计数'!$B$6:$B$95,"C_H0",'统计计数'!$A$6:$A$95,"d")/$D131</x:f>
        <x:v>0</x:v>
      </x:c>
    </x:row>
    <x:row r="132" ht="24" customHeight="1">
      <x:c r="A132" s="10" t="str">
        <x:v>d</x:v>
      </x:c>
      <x:c r="B132" s="10" t="str">
        <x:v>C_H1</x:v>
      </x:c>
      <x:c r="C132" s="9" t="str">
        <x:v>节点</x:v>
      </x:c>
      <x:c r="D132" s="11" t="n">
        <x:f>SUMIFS('统计计数'!$C$6:$C$95,'统计计数'!$B$6:$B$95,"C_H1",'统计计数'!$A$6:$A$95,"d")</x:f>
        <x:v>1167</x:v>
      </x:c>
      <x:c r="E132" s="12" t="n">
        <x:f>SUMIFS('统计计数'!$E$6:$E$95,'统计计数'!$B$6:$B$95,"C_H1",'统计计数'!$A$6:$A$95,"d")/$D132</x:f>
        <x:v>0</x:v>
      </x:c>
      <x:c r="F132" s="12" t="n">
        <x:f>SUMIFS('统计计数'!$F$6:$F$95,'统计计数'!$B$6:$B$95,"C_H1",'统计计数'!$A$6:$A$95,"d")/$D132</x:f>
        <x:v>0.2579263067694944</x:v>
      </x:c>
      <x:c r="G132" s="12" t="n">
        <x:f>SUMIFS('统计计数'!$G$6:$G$95,'统计计数'!$B$6:$B$95,"C_H1",'统计计数'!$A$6:$A$95,"d")/$D132</x:f>
        <x:v>0</x:v>
      </x:c>
      <x:c r="H132" s="12" t="n">
        <x:f>SUMIFS('统计计数'!$H$6:$H$95,'统计计数'!$B$6:$B$95,"C_H1",'统计计数'!$A$6:$A$95,"d")/$D132</x:f>
        <x:v>0</x:v>
      </x:c>
      <x:c r="I132" s="12" t="n">
        <x:f>SUMIFS('统计计数'!$I$6:$I$95,'统计计数'!$B$6:$B$95,"C_H1",'统计计数'!$A$6:$A$95,"d")/$D132</x:f>
        <x:v>0.7420736932305055</x:v>
      </x:c>
      <x:c r="J132" s="12" t="n">
        <x:f>SUMIFS('统计计数'!$J$6:$J$95,'统计计数'!$B$6:$B$95,"C_H1",'统计计数'!$A$6:$A$95,"d")/$D132</x:f>
        <x:v>0</x:v>
      </x:c>
      <x:c r="K132" s="12" t="n">
        <x:f>SUMIFS('统计计数'!$K$6:$K$95,'统计计数'!$B$6:$B$95,"C_H1",'统计计数'!$A$6:$A$95,"d")/$D132</x:f>
        <x:v>0</x:v>
      </x:c>
      <x:c r="L132" s="12" t="n">
        <x:f>SUMIFS('统计计数'!$L$6:$L$95,'统计计数'!$B$6:$B$95,"C_H1",'统计计数'!$A$6:$A$95,"d")/$D132</x:f>
        <x:v>0</x:v>
      </x:c>
      <x:c r="M132" s="12" t="n">
        <x:f>SUMIFS('统计计数'!$M$6:$M$95,'统计计数'!$B$6:$B$95,"C_H1",'统计计数'!$A$6:$A$95,"d")/$D132</x:f>
        <x:v>0</x:v>
      </x:c>
      <x:c r="N132" s="12" t="n">
        <x:f>SUMIFS('统计计数'!$N$6:$N$95,'统计计数'!$B$6:$B$95,"C_H1",'统计计数'!$A$6:$A$95,"d")/$D132</x:f>
        <x:v>0</x:v>
      </x:c>
    </x:row>
    <x:row r="133" ht="24" customHeight="1">
      <x:c r="A133" s="10" t="str">
        <x:v>d</x:v>
      </x:c>
      <x:c r="B133" s="10" t="str">
        <x:v>C_H1</x:v>
      </x:c>
      <x:c r="C133" s="9" t="str">
        <x:v>源三角形</x:v>
      </x:c>
      <x:c r="D133" s="11" t="n">
        <x:f>SUMIFS('统计计数'!$D$6:$D$95,'统计计数'!$B$6:$B$95,"C_H1",'统计计数'!$A$6:$A$95,"d")</x:f>
        <x:v>1723934</x:v>
      </x:c>
      <x:c r="E133" s="12" t="n">
        <x:f>SUMIFS('统计计数'!$O$6:$O$95,'统计计数'!$B$6:$B$95,"C_H1",'统计计数'!$A$6:$A$95,"d")/$D133</x:f>
        <x:v>0</x:v>
      </x:c>
      <x:c r="F133" s="12" t="n">
        <x:f>SUMIFS('统计计数'!$P$6:$P$95,'统计计数'!$B$6:$B$95,"C_H1",'统计计数'!$A$6:$A$95,"d")/$D133</x:f>
        <x:v>0.1513108970529034</x:v>
      </x:c>
      <x:c r="G133" s="12" t="n">
        <x:f>SUMIFS('统计计数'!$Q$6:$Q$95,'统计计数'!$B$6:$B$95,"C_H1",'统计计数'!$A$6:$A$95,"d")/$D133</x:f>
        <x:v>0</x:v>
      </x:c>
      <x:c r="H133" s="12" t="n">
        <x:f>SUMIFS('统计计数'!$R$6:$R$95,'统计计数'!$B$6:$B$95,"C_H1",'统计计数'!$A$6:$A$95,"d")/$D133</x:f>
        <x:v>0</x:v>
      </x:c>
      <x:c r="I133" s="12" t="n">
        <x:f>SUMIFS('统计计数'!$S$6:$S$95,'统计计数'!$B$6:$B$95,"C_H1",'统计计数'!$A$6:$A$95,"d")/$D133</x:f>
        <x:v>0.8486891029470965</x:v>
      </x:c>
      <x:c r="J133" s="12" t="n">
        <x:f>SUMIFS('统计计数'!$T$6:$T$95,'统计计数'!$B$6:$B$95,"C_H1",'统计计数'!$A$6:$A$95,"d")/$D133</x:f>
        <x:v>0</x:v>
      </x:c>
      <x:c r="K133" s="12" t="n">
        <x:f>SUMIFS('统计计数'!$U$6:$U$95,'统计计数'!$B$6:$B$95,"C_H1",'统计计数'!$A$6:$A$95,"d")/$D133</x:f>
        <x:v>0</x:v>
      </x:c>
      <x:c r="L133" s="12" t="n">
        <x:f>SUMIFS('统计计数'!$V$6:$V$95,'统计计数'!$B$6:$B$95,"C_H1",'统计计数'!$A$6:$A$95,"d")/$D133</x:f>
        <x:v>0</x:v>
      </x:c>
      <x:c r="M133" s="12" t="n">
        <x:f>SUMIFS('统计计数'!$W$6:$W$95,'统计计数'!$B$6:$B$95,"C_H1",'统计计数'!$A$6:$A$95,"d")/$D133</x:f>
        <x:v>0</x:v>
      </x:c>
      <x:c r="N133" s="12" t="n">
        <x:f>SUMIFS('统计计数'!$X$6:$X$95,'统计计数'!$B$6:$B$95,"C_H1",'统计计数'!$A$6:$A$95,"d")/$D133</x:f>
        <x:v>0</x:v>
      </x:c>
    </x:row>
    <x:row r="134" ht="24" customHeight="1">
      <x:c r="A134" s="10" t="str">
        <x:v>d</x:v>
      </x:c>
      <x:c r="B134" s="10" t="str">
        <x:v>NG_H0</x:v>
      </x:c>
      <x:c r="C134" s="9" t="str">
        <x:v>节点</x:v>
      </x:c>
      <x:c r="D134" s="11" t="n">
        <x:f>SUMIFS('统计计数'!$C$6:$C$95,'统计计数'!$B$6:$B$95,"NG_H0",'统计计数'!$A$6:$A$95,"d")</x:f>
        <x:v>1167</x:v>
      </x:c>
      <x:c r="E134" s="12" t="n">
        <x:f>SUMIFS('统计计数'!$E$6:$E$95,'统计计数'!$B$6:$B$95,"NG_H0",'统计计数'!$A$6:$A$95,"d")/$D134</x:f>
        <x:v>0</x:v>
      </x:c>
      <x:c r="F134" s="12" t="n">
        <x:f>SUMIFS('统计计数'!$F$6:$F$95,'统计计数'!$B$6:$B$95,"NG_H0",'统计计数'!$A$6:$A$95,"d")/$D134</x:f>
        <x:v>0.09511568123393316</x:v>
      </x:c>
      <x:c r="G134" s="12" t="n">
        <x:f>SUMIFS('统计计数'!$G$6:$G$95,'统计计数'!$B$6:$B$95,"NG_H0",'统计计数'!$A$6:$A$95,"d")/$D134</x:f>
        <x:v>0.4310197086546701</x:v>
      </x:c>
      <x:c r="H134" s="12" t="n">
        <x:f>SUMIFS('统计计数'!$H$6:$H$95,'统计计数'!$B$6:$B$95,"NG_H0",'统计计数'!$A$6:$A$95,"d")/$D134</x:f>
        <x:v>0.2125107112253642</x:v>
      </x:c>
      <x:c r="I134" s="12" t="n">
        <x:f>SUMIFS('统计计数'!$I$6:$I$95,'统计计数'!$B$6:$B$95,"NG_H0",'统计计数'!$A$6:$A$95,"d")/$D134</x:f>
        <x:v>0.1790916880891174</x:v>
      </x:c>
      <x:c r="J134" s="12" t="n">
        <x:f>SUMIFS('统计计数'!$J$6:$J$95,'统计计数'!$B$6:$B$95,"NG_H0",'统计计数'!$A$6:$A$95,"d")/$D134</x:f>
        <x:v>0.061696658097686374</x:v>
      </x:c>
      <x:c r="K134" s="12" t="n">
        <x:f>SUMIFS('统计计数'!$K$6:$K$95,'统计计数'!$B$6:$B$95,"NG_H0",'统计计数'!$A$6:$A$95,"d")/$D134</x:f>
        <x:v>0.003427592116538132</x:v>
      </x:c>
      <x:c r="L134" s="12" t="n">
        <x:f>SUMIFS('统计计数'!$L$6:$L$95,'统计计数'!$B$6:$B$95,"NG_H0",'统计计数'!$A$6:$A$95,"d")/$D134</x:f>
        <x:v>0.010282776349614395</x:v>
      </x:c>
      <x:c r="M134" s="12" t="n">
        <x:f>SUMIFS('统计计数'!$M$6:$M$95,'统计计数'!$B$6:$B$95,"NG_H0",'统计计数'!$A$6:$A$95,"d")/$D134</x:f>
        <x:v>0.006855184233076264</x:v>
      </x:c>
      <x:c r="N134" s="12" t="n">
        <x:f>SUMIFS('统计计数'!$N$6:$N$95,'统计计数'!$B$6:$B$95,"NG_H0",'统计计数'!$A$6:$A$95,"d")/$D134</x:f>
        <x:v>0</x:v>
      </x:c>
    </x:row>
    <x:row r="135" ht="24" customHeight="1">
      <x:c r="A135" s="10" t="str">
        <x:v>d</x:v>
      </x:c>
      <x:c r="B135" s="10" t="str">
        <x:v>NG_H0</x:v>
      </x:c>
      <x:c r="C135" s="9" t="str">
        <x:v>源三角形</x:v>
      </x:c>
      <x:c r="D135" s="11" t="n">
        <x:f>SUMIFS('统计计数'!$D$6:$D$95,'统计计数'!$B$6:$B$95,"NG_H0",'统计计数'!$A$6:$A$95,"d")</x:f>
        <x:v>1723934</x:v>
      </x:c>
      <x:c r="E135" s="12" t="n">
        <x:f>SUMIFS('统计计数'!$O$6:$O$95,'统计计数'!$B$6:$B$95,"NG_H0",'统计计数'!$A$6:$A$95,"d")/$D135</x:f>
        <x:v>0</x:v>
      </x:c>
      <x:c r="F135" s="12" t="n">
        <x:f>SUMIFS('统计计数'!$P$6:$P$95,'统计计数'!$B$6:$B$95,"NG_H0",'统计计数'!$A$6:$A$95,"d")/$D135</x:f>
        <x:v>0.03524032822602258</x:v>
      </x:c>
      <x:c r="G135" s="12" t="n">
        <x:f>SUMIFS('统计计数'!$Q$6:$Q$95,'统计计数'!$B$6:$B$95,"NG_H0",'统计计数'!$A$6:$A$95,"d")/$D135</x:f>
        <x:v>0.33166814970874753</x:v>
      </x:c>
      <x:c r="H135" s="12" t="n">
        <x:f>SUMIFS('统计计数'!$R$6:$R$95,'统计计数'!$B$6:$B$95,"NG_H0",'统计计数'!$A$6:$A$95,"d")/$D135</x:f>
        <x:v>0.2882221709183762</x:v>
      </x:c>
      <x:c r="I135" s="12" t="n">
        <x:f>SUMIFS('统计计数'!$S$6:$S$95,'统计计数'!$B$6:$B$95,"NG_H0",'统计计数'!$A$6:$A$95,"d")/$D135</x:f>
        <x:v>0.22786835226870633</x:v>
      </x:c>
      <x:c r="J135" s="12" t="n">
        <x:f>SUMIFS('统计计数'!$T$6:$T$95,'统计计数'!$B$6:$B$95,"NG_H0",'统计计数'!$A$6:$A$95,"d")/$D135</x:f>
        <x:v>0.08035110392857267</x:v>
      </x:c>
      <x:c r="K135" s="12" t="n">
        <x:f>SUMIFS('统计计数'!$U$6:$U$95,'统计计数'!$B$6:$B$95,"NG_H0",'统计计数'!$A$6:$A$95,"d")/$D135</x:f>
        <x:v>0.0035453793474692187</x:v>
      </x:c>
      <x:c r="L135" s="12" t="n">
        <x:f>SUMIFS('统计计数'!$V$6:$V$95,'统计计数'!$B$6:$B$95,"NG_H0",'统计计数'!$A$6:$A$95,"d")/$D135</x:f>
        <x:v>0.025746925346329965</x:v>
      </x:c>
      <x:c r="M135" s="12" t="n">
        <x:f>SUMIFS('统计计数'!$W$6:$W$95,'统计计数'!$B$6:$B$95,"NG_H0",'统计计数'!$A$6:$A$95,"d")/$D135</x:f>
        <x:v>0.007357590255775453</x:v>
      </x:c>
      <x:c r="N135" s="12" t="n">
        <x:f>SUMIFS('统计计数'!$X$6:$X$95,'统计计数'!$B$6:$B$95,"NG_H0",'统计计数'!$A$6:$A$95,"d")/$D135</x:f>
        <x:v>0</x:v>
      </x:c>
    </x:row>
    <x:row r="136" ht="24" customHeight="1">
      <x:c r="A136" s="10" t="str">
        <x:v>d</x:v>
      </x:c>
      <x:c r="B136" s="10" t="str">
        <x:v>NG_H1</x:v>
      </x:c>
      <x:c r="C136" s="9" t="str">
        <x:v>节点</x:v>
      </x:c>
      <x:c r="D136" s="11" t="n">
        <x:f>SUMIFS('统计计数'!$C$6:$C$95,'统计计数'!$B$6:$B$95,"NG_H1",'统计计数'!$A$6:$A$95,"d")</x:f>
        <x:v>1167</x:v>
      </x:c>
      <x:c r="E136" s="12" t="n">
        <x:f>SUMIFS('统计计数'!$E$6:$E$95,'统计计数'!$B$6:$B$95,"NG_H1",'统计计数'!$A$6:$A$95,"d")/$D136</x:f>
        <x:v>0</x:v>
      </x:c>
      <x:c r="F136" s="12" t="n">
        <x:f>SUMIFS('统计计数'!$F$6:$F$95,'统计计数'!$B$6:$B$95,"NG_H1",'统计计数'!$A$6:$A$95,"d")/$D136</x:f>
        <x:v>0.09511568123393316</x:v>
      </x:c>
      <x:c r="G136" s="12" t="n">
        <x:f>SUMIFS('统计计数'!$G$6:$G$95,'统计计数'!$B$6:$B$95,"NG_H1",'统计计数'!$A$6:$A$95,"d")/$D136</x:f>
        <x:v>0.35475578406169667</x:v>
      </x:c>
      <x:c r="H136" s="12" t="n">
        <x:f>SUMIFS('统计计数'!$H$6:$H$95,'统计计数'!$B$6:$B$95,"NG_H1",'统计计数'!$A$6:$A$95,"d")/$D136</x:f>
        <x:v>0.2750642673521851</x:v>
      </x:c>
      <x:c r="I136" s="12" t="n">
        <x:f>SUMIFS('统计计数'!$I$6:$I$95,'统计计数'!$B$6:$B$95,"NG_H1",'统计计数'!$A$6:$A$95,"d")/$D136</x:f>
        <x:v>0.18251928020565553</x:v>
      </x:c>
      <x:c r="J136" s="12" t="n">
        <x:f>SUMIFS('统计计数'!$J$6:$J$95,'统计计数'!$B$6:$B$95,"NG_H1",'统计计数'!$A$6:$A$95,"d")/$D136</x:f>
        <x:v>0.07112253641816624</x:v>
      </x:c>
      <x:c r="K136" s="12" t="n">
        <x:f>SUMIFS('统计计数'!$K$6:$K$95,'统计计数'!$B$6:$B$95,"NG_H1",'统计计数'!$A$6:$A$95,"d")/$D136</x:f>
        <x:v>0.004284490145672665</x:v>
      </x:c>
      <x:c r="L136" s="12" t="n">
        <x:f>SUMIFS('统计计数'!$L$6:$L$95,'统计计数'!$B$6:$B$95,"NG_H1",'统计计数'!$A$6:$A$95,"d")/$D136</x:f>
        <x:v>0.010282776349614395</x:v>
      </x:c>
      <x:c r="M136" s="12" t="n">
        <x:f>SUMIFS('统计计数'!$M$6:$M$95,'统计计数'!$B$6:$B$95,"NG_H1",'统计计数'!$A$6:$A$95,"d")/$D136</x:f>
        <x:v>0.006855184233076264</x:v>
      </x:c>
      <x:c r="N136" s="12" t="n">
        <x:f>SUMIFS('统计计数'!$N$6:$N$95,'统计计数'!$B$6:$B$95,"NG_H1",'统计计数'!$A$6:$A$95,"d")/$D136</x:f>
        <x:v>0</x:v>
      </x:c>
    </x:row>
    <x:row r="137" ht="24" customHeight="1">
      <x:c r="A137" s="10" t="str">
        <x:v>d</x:v>
      </x:c>
      <x:c r="B137" s="10" t="str">
        <x:v>NG_H1</x:v>
      </x:c>
      <x:c r="C137" s="9" t="str">
        <x:v>源三角形</x:v>
      </x:c>
      <x:c r="D137" s="11" t="n">
        <x:f>SUMIFS('统计计数'!$D$6:$D$95,'统计计数'!$B$6:$B$95,"NG_H1",'统计计数'!$A$6:$A$95,"d")</x:f>
        <x:v>1723934</x:v>
      </x:c>
      <x:c r="E137" s="12" t="n">
        <x:f>SUMIFS('统计计数'!$O$6:$O$95,'统计计数'!$B$6:$B$95,"NG_H1",'统计计数'!$A$6:$A$95,"d")/$D137</x:f>
        <x:v>0</x:v>
      </x:c>
      <x:c r="F137" s="12" t="n">
        <x:f>SUMIFS('统计计数'!$P$6:$P$95,'统计计数'!$B$6:$B$95,"NG_H1",'统计计数'!$A$6:$A$95,"d")/$D137</x:f>
        <x:v>0.03524032822602258</x:v>
      </x:c>
      <x:c r="G137" s="12" t="n">
        <x:f>SUMIFS('统计计数'!$Q$6:$Q$95,'统计计数'!$B$6:$B$95,"NG_H1",'统计计数'!$A$6:$A$95,"d")/$D137</x:f>
        <x:v>0.27612890052635425</x:v>
      </x:c>
      <x:c r="H137" s="12" t="n">
        <x:f>SUMIFS('统计计数'!$R$6:$R$95,'统计计数'!$B$6:$B$95,"NG_H1",'统计计数'!$A$6:$A$95,"d")/$D137</x:f>
        <x:v>0.3374073485411854</x:v>
      </x:c>
      <x:c r="I137" s="12" t="n">
        <x:f>SUMIFS('统计计数'!$S$6:$S$95,'统计计数'!$B$6:$B$95,"NG_H1",'统计计数'!$A$6:$A$95,"d")/$D137</x:f>
        <x:v>0.23048098129046704</x:v>
      </x:c>
      <x:c r="J137" s="12" t="n">
        <x:f>SUMIFS('统计计数'!$T$6:$T$95,'统计计数'!$B$6:$B$95,"NG_H1",'统计计数'!$A$6:$A$95,"d")/$D137</x:f>
        <x:v>0.08357512526581644</x:v>
      </x:c>
      <x:c r="K137" s="12" t="n">
        <x:f>SUMIFS('统计计数'!$U$6:$U$95,'统计计数'!$B$6:$B$95,"NG_H1",'统计计数'!$A$6:$A$95,"d")/$D137</x:f>
        <x:v>0.004062800548048823</x:v>
      </x:c>
      <x:c r="L137" s="12" t="n">
        <x:f>SUMIFS('统计计数'!$V$6:$V$95,'统计计数'!$B$6:$B$95,"NG_H1",'统计计数'!$A$6:$A$95,"d")/$D137</x:f>
        <x:v>0.025746925346329965</x:v>
      </x:c>
      <x:c r="M137" s="12" t="n">
        <x:f>SUMIFS('统计计数'!$W$6:$W$95,'统计计数'!$B$6:$B$95,"NG_H1",'统计计数'!$A$6:$A$95,"d")/$D137</x:f>
        <x:v>0.007357590255775453</x:v>
      </x:c>
      <x:c r="N137" s="12" t="n">
        <x:f>SUMIFS('统计计数'!$X$6:$X$95,'统计计数'!$B$6:$B$95,"NG_H1",'统计计数'!$A$6:$A$95,"d")/$D137</x:f>
        <x:v>0</x:v>
      </x:c>
    </x:row>
    <x:row r="138" ht="24" customHeight="1">
      <x:c r="A138" s="10" t="str">
        <x:v>d</x:v>
      </x:c>
      <x:c r="B138" s="10" t="str">
        <x:v>CG_H0</x:v>
      </x:c>
      <x:c r="C138" s="9" t="str">
        <x:v>节点</x:v>
      </x:c>
      <x:c r="D138" s="11" t="n">
        <x:f>SUMIFS('统计计数'!$C$6:$C$95,'统计计数'!$B$6:$B$95,"CG_H0",'统计计数'!$A$6:$A$95,"d")</x:f>
        <x:v>1167</x:v>
      </x:c>
      <x:c r="E138" s="12" t="n">
        <x:f>SUMIFS('统计计数'!$E$6:$E$95,'统计计数'!$B$6:$B$95,"CG_H0",'统计计数'!$A$6:$A$95,"d")/$D138</x:f>
        <x:v>0</x:v>
      </x:c>
      <x:c r="F138" s="12" t="n">
        <x:f>SUMIFS('统计计数'!$F$6:$F$95,'统计计数'!$B$6:$B$95,"CG_H0",'统计计数'!$A$6:$A$95,"d")/$D138</x:f>
        <x:v>0.10968294772922023</x:v>
      </x:c>
      <x:c r="G138" s="12" t="n">
        <x:f>SUMIFS('统计计数'!$G$6:$G$95,'统计计数'!$B$6:$B$95,"CG_H0",'统计计数'!$A$6:$A$95,"d")/$D138</x:f>
        <x:v>0.4310197086546701</x:v>
      </x:c>
      <x:c r="H138" s="12" t="n">
        <x:f>SUMIFS('统计计数'!$H$6:$H$95,'统计计数'!$B$6:$B$95,"CG_H0",'统计计数'!$A$6:$A$95,"d")/$D138</x:f>
        <x:v>0.2185089974293059</x:v>
      </x:c>
      <x:c r="I138" s="12" t="n">
        <x:f>SUMIFS('统计计数'!$I$6:$I$95,'统计计数'!$B$6:$B$95,"CG_H0",'统计计数'!$A$6:$A$95,"d")/$D138</x:f>
        <x:v>0.1790916880891174</x:v>
      </x:c>
      <x:c r="J138" s="12" t="n">
        <x:f>SUMIFS('统计计数'!$J$6:$J$95,'统计计数'!$B$6:$B$95,"CG_H0",'统计计数'!$A$6:$A$95,"d")/$D138</x:f>
        <x:v>0.061696658097686374</x:v>
      </x:c>
      <x:c r="K138" s="12" t="n">
        <x:f>SUMIFS('统计计数'!$K$6:$K$95,'统计计数'!$B$6:$B$95,"CG_H0",'统计计数'!$A$6:$A$95,"d")/$D138</x:f>
        <x:v>0</x:v>
      </x:c>
      <x:c r="L138" s="12" t="n">
        <x:f>SUMIFS('统计计数'!$L$6:$L$95,'统计计数'!$B$6:$B$95,"CG_H0",'统计计数'!$A$6:$A$95,"d")/$D138</x:f>
        <x:v>0</x:v>
      </x:c>
      <x:c r="M138" s="12" t="n">
        <x:f>SUMIFS('统计计数'!$M$6:$M$95,'统计计数'!$B$6:$B$95,"CG_H0",'统计计数'!$A$6:$A$95,"d")/$D138</x:f>
        <x:v>0</x:v>
      </x:c>
      <x:c r="N138" s="12" t="n">
        <x:f>SUMIFS('统计计数'!$N$6:$N$95,'统计计数'!$B$6:$B$95,"CG_H0",'统计计数'!$A$6:$A$95,"d")/$D138</x:f>
        <x:v>0</x:v>
      </x:c>
    </x:row>
    <x:row r="139" ht="24" customHeight="1">
      <x:c r="A139" s="10" t="str">
        <x:v>d</x:v>
      </x:c>
      <x:c r="B139" s="10" t="str">
        <x:v>CG_H0</x:v>
      </x:c>
      <x:c r="C139" s="9" t="str">
        <x:v>源三角形</x:v>
      </x:c>
      <x:c r="D139" s="11" t="n">
        <x:f>SUMIFS('统计计数'!$D$6:$D$95,'统计计数'!$B$6:$B$95,"CG_H0",'统计计数'!$A$6:$A$95,"d")</x:f>
        <x:v>1723934</x:v>
      </x:c>
      <x:c r="E139" s="12" t="n">
        <x:f>SUMIFS('统计计数'!$O$6:$O$95,'统计计数'!$B$6:$B$95,"CG_H0",'统计计数'!$A$6:$A$95,"d")/$D139</x:f>
        <x:v>0</x:v>
      </x:c>
      <x:c r="F139" s="12" t="n">
        <x:f>SUMIFS('统计计数'!$P$6:$P$95,'统计计数'!$B$6:$B$95,"CG_H0",'统计计数'!$A$6:$A$95,"d")/$D139</x:f>
        <x:v>0.032678745241987224</x:v>
      </x:c>
      <x:c r="G139" s="12" t="n">
        <x:f>SUMIFS('统计计数'!$Q$6:$Q$95,'统计计数'!$B$6:$B$95,"CG_H0",'统计计数'!$A$6:$A$95,"d")/$D139</x:f>
        <x:v>0.3510958076121244</x:v>
      </x:c>
      <x:c r="H139" s="12" t="n">
        <x:f>SUMIFS('统计计数'!$R$6:$R$95,'统计计数'!$B$6:$B$95,"CG_H0",'统计计数'!$A$6:$A$95,"d")/$D139</x:f>
        <x:v>0.3080059909486094</x:v>
      </x:c>
      <x:c r="I139" s="12" t="n">
        <x:f>SUMIFS('统计计数'!$S$6:$S$95,'统计计数'!$B$6:$B$95,"CG_H0",'统计计数'!$A$6:$A$95,"d")/$D139</x:f>
        <x:v>0.22786835226870633</x:v>
      </x:c>
      <x:c r="J139" s="12" t="n">
        <x:f>SUMIFS('统计计数'!$T$6:$T$95,'统计计数'!$B$6:$B$95,"CG_H0",'统计计数'!$A$6:$A$95,"d")/$D139</x:f>
        <x:v>0.08035110392857267</x:v>
      </x:c>
      <x:c r="K139" s="12" t="n">
        <x:f>SUMIFS('统计计数'!$U$6:$U$95,'统计计数'!$B$6:$B$95,"CG_H0",'统计计数'!$A$6:$A$95,"d")/$D139</x:f>
        <x:v>0</x:v>
      </x:c>
      <x:c r="L139" s="12" t="n">
        <x:f>SUMIFS('统计计数'!$V$6:$V$95,'统计计数'!$B$6:$B$95,"CG_H0",'统计计数'!$A$6:$A$95,"d")/$D139</x:f>
        <x:v>0</x:v>
      </x:c>
      <x:c r="M139" s="12" t="n">
        <x:f>SUMIFS('统计计数'!$W$6:$W$95,'统计计数'!$B$6:$B$95,"CG_H0",'统计计数'!$A$6:$A$95,"d")/$D139</x:f>
        <x:v>0</x:v>
      </x:c>
      <x:c r="N139" s="12" t="n">
        <x:f>SUMIFS('统计计数'!$X$6:$X$95,'统计计数'!$B$6:$B$95,"CG_H0",'统计计数'!$A$6:$A$95,"d")/$D139</x:f>
        <x:v>0</x:v>
      </x:c>
    </x:row>
    <x:row r="140" ht="24" customHeight="1">
      <x:c r="A140" s="10" t="str">
        <x:v>d</x:v>
      </x:c>
      <x:c r="B140" s="10" t="str">
        <x:v>CG_H1</x:v>
      </x:c>
      <x:c r="C140" s="9" t="str">
        <x:v>节点</x:v>
      </x:c>
      <x:c r="D140" s="11" t="n">
        <x:f>SUMIFS('统计计数'!$C$6:$C$95,'统计计数'!$B$6:$B$95,"CG_H1",'统计计数'!$A$6:$A$95,"d")</x:f>
        <x:v>1167</x:v>
      </x:c>
      <x:c r="E140" s="12" t="n">
        <x:f>SUMIFS('统计计数'!$E$6:$E$95,'统计计数'!$B$6:$B$95,"CG_H1",'统计计数'!$A$6:$A$95,"d")/$D140</x:f>
        <x:v>0</x:v>
      </x:c>
      <x:c r="F140" s="12" t="n">
        <x:f>SUMIFS('统计计数'!$F$6:$F$95,'统计计数'!$B$6:$B$95,"CG_H1",'统计计数'!$A$6:$A$95,"d")/$D140</x:f>
        <x:v>0.10968294772922023</x:v>
      </x:c>
      <x:c r="G140" s="12" t="n">
        <x:f>SUMIFS('统计计数'!$G$6:$G$95,'统计计数'!$B$6:$B$95,"CG_H1",'统计计数'!$A$6:$A$95,"d")/$D140</x:f>
        <x:v>0.36503856041131105</x:v>
      </x:c>
      <x:c r="H140" s="12" t="n">
        <x:f>SUMIFS('统计计数'!$H$6:$H$95,'统计计数'!$B$6:$B$95,"CG_H1",'统计计数'!$A$6:$A$95,"d")/$D140</x:f>
        <x:v>0.2810625535561268</x:v>
      </x:c>
      <x:c r="I140" s="12" t="n">
        <x:f>SUMIFS('统计计数'!$I$6:$I$95,'统计计数'!$B$6:$B$95,"CG_H1",'统计计数'!$A$6:$A$95,"d")/$D140</x:f>
        <x:v>0.1790916880891174</x:v>
      </x:c>
      <x:c r="J140" s="12" t="n">
        <x:f>SUMIFS('统计计数'!$J$6:$J$95,'统计计数'!$B$6:$B$95,"CG_H1",'统计计数'!$A$6:$A$95,"d")/$D140</x:f>
        <x:v>0.06512425021422451</x:v>
      </x:c>
      <x:c r="K140" s="12" t="n">
        <x:f>SUMIFS('统计计数'!$K$6:$K$95,'统计计数'!$B$6:$B$95,"CG_H1",'统计计数'!$A$6:$A$95,"d")/$D140</x:f>
        <x:v>0</x:v>
      </x:c>
      <x:c r="L140" s="12" t="n">
        <x:f>SUMIFS('统计计数'!$L$6:$L$95,'统计计数'!$B$6:$B$95,"CG_H1",'统计计数'!$A$6:$A$95,"d")/$D140</x:f>
        <x:v>0</x:v>
      </x:c>
      <x:c r="M140" s="12" t="n">
        <x:f>SUMIFS('统计计数'!$M$6:$M$95,'统计计数'!$B$6:$B$95,"CG_H1",'统计计数'!$A$6:$A$95,"d")/$D140</x:f>
        <x:v>0</x:v>
      </x:c>
      <x:c r="N140" s="12" t="n">
        <x:f>SUMIFS('统计计数'!$N$6:$N$95,'统计计数'!$B$6:$B$95,"CG_H1",'统计计数'!$A$6:$A$95,"d")/$D140</x:f>
        <x:v>0</x:v>
      </x:c>
    </x:row>
    <x:row r="141" ht="24" customHeight="1">
      <x:c r="A141" s="10" t="str">
        <x:v>d</x:v>
      </x:c>
      <x:c r="B141" s="10" t="str">
        <x:v>CG_H1</x:v>
      </x:c>
      <x:c r="C141" s="9" t="str">
        <x:v>源三角形</x:v>
      </x:c>
      <x:c r="D141" s="11" t="n">
        <x:f>SUMIFS('统计计数'!$D$6:$D$95,'统计计数'!$B$6:$B$95,"CG_H1",'统计计数'!$A$6:$A$95,"d")</x:f>
        <x:v>1723934</x:v>
      </x:c>
      <x:c r="E141" s="12" t="n">
        <x:f>SUMIFS('统计计数'!$O$6:$O$95,'统计计数'!$B$6:$B$95,"CG_H1",'统计计数'!$A$6:$A$95,"d")/$D141</x:f>
        <x:v>0</x:v>
      </x:c>
      <x:c r="F141" s="12" t="n">
        <x:f>SUMIFS('统计计数'!$P$6:$P$95,'统计计数'!$B$6:$B$95,"CG_H1",'统计计数'!$A$6:$A$95,"d")/$D141</x:f>
        <x:v>0.032678745241987224</x:v>
      </x:c>
      <x:c r="G141" s="12" t="n">
        <x:f>SUMIFS('统计计数'!$Q$6:$Q$95,'统计计数'!$B$6:$B$95,"CG_H1",'统计计数'!$A$6:$A$95,"d")/$D141</x:f>
        <x:v>0.29929800096755443</x:v>
      </x:c>
      <x:c r="H141" s="12" t="n">
        <x:f>SUMIFS('统计计数'!$R$6:$R$95,'统计计数'!$B$6:$B$95,"CG_H1",'统计计数'!$A$6:$A$95,"d")/$D141</x:f>
        <x:v>0.35719116857141864</x:v>
      </x:c>
      <x:c r="I141" s="12" t="n">
        <x:f>SUMIFS('统计计数'!$S$6:$S$95,'统计计数'!$B$6:$B$95,"CG_H1",'统计计数'!$A$6:$A$95,"d")/$D141</x:f>
        <x:v>0.22829528276604558</x:v>
      </x:c>
      <x:c r="J141" s="12" t="n">
        <x:f>SUMIFS('统计计数'!$T$6:$T$95,'统计计数'!$B$6:$B$95,"CG_H1",'统计计数'!$A$6:$A$95,"d")/$D141</x:f>
        <x:v>0.08253680245299413</x:v>
      </x:c>
      <x:c r="K141" s="12" t="n">
        <x:f>SUMIFS('统计计数'!$U$6:$U$95,'统计计数'!$B$6:$B$95,"CG_H1",'统计计数'!$A$6:$A$95,"d")/$D141</x:f>
        <x:v>0</x:v>
      </x:c>
      <x:c r="L141" s="12" t="n">
        <x:f>SUMIFS('统计计数'!$V$6:$V$95,'统计计数'!$B$6:$B$95,"CG_H1",'统计计数'!$A$6:$A$95,"d")/$D141</x:f>
        <x:v>0</x:v>
      </x:c>
      <x:c r="M141" s="12" t="n">
        <x:f>SUMIFS('统计计数'!$W$6:$W$95,'统计计数'!$B$6:$B$95,"CG_H1",'统计计数'!$A$6:$A$95,"d")/$D141</x:f>
        <x:v>0</x:v>
      </x:c>
      <x:c r="N141" s="12" t="n">
        <x:f>SUMIFS('统计计数'!$X$6:$X$95,'统计计数'!$B$6:$B$95,"CG_H1",'统计计数'!$A$6:$A$95,"d")/$D141</x:f>
        <x:v>0</x:v>
      </x:c>
    </x:row>
    <x:row r="142" ht="24" customHeight="1">
      <x:c r="A142" s="10" t="str">
        <x:v>d</x:v>
      </x:c>
      <x:c r="B142" s="10" t="str">
        <x:v>NC_H0</x:v>
      </x:c>
      <x:c r="C142" s="9" t="str">
        <x:v>节点</x:v>
      </x:c>
      <x:c r="D142" s="11" t="n">
        <x:f>SUMIFS('统计计数'!$C$6:$C$95,'统计计数'!$B$6:$B$95,"NC_H0",'统计计数'!$A$6:$A$95,"d")</x:f>
        <x:v>1167</x:v>
      </x:c>
      <x:c r="E142" s="12" t="n">
        <x:f>SUMIFS('统计计数'!$E$6:$E$95,'统计计数'!$B$6:$B$95,"NC_H0",'统计计数'!$A$6:$A$95,"d")/$D142</x:f>
        <x:v>0</x:v>
      </x:c>
      <x:c r="F142" s="12" t="n">
        <x:f>SUMIFS('统计计数'!$F$6:$F$95,'统计计数'!$B$6:$B$95,"NC_H0",'统计计数'!$A$6:$A$95,"d")/$D142</x:f>
        <x:v>0.2827763496143959</x:v>
      </x:c>
      <x:c r="G142" s="12" t="n">
        <x:f>SUMIFS('统计计数'!$G$6:$G$95,'统计计数'!$B$6:$B$95,"NC_H0",'统计计数'!$A$6:$A$95,"d")/$D142</x:f>
        <x:v>0.04798628963153385</x:v>
      </x:c>
      <x:c r="H142" s="12" t="n">
        <x:f>SUMIFS('统计计数'!$H$6:$H$95,'统计计数'!$B$6:$B$95,"NC_H0",'统计计数'!$A$6:$A$95,"d")/$D142</x:f>
        <x:v>0</x:v>
      </x:c>
      <x:c r="I142" s="12" t="n">
        <x:f>SUMIFS('统计计数'!$I$6:$I$95,'统计计数'!$B$6:$B$95,"NC_H0",'统计计数'!$A$6:$A$95,"d")/$D142</x:f>
        <x:v>0.6486718080548415</x:v>
      </x:c>
      <x:c r="J142" s="12" t="n">
        <x:f>SUMIFS('统计计数'!$J$6:$J$95,'统计计数'!$B$6:$B$95,"NC_H0",'统计计数'!$A$6:$A$95,"d")/$D142</x:f>
        <x:v>0</x:v>
      </x:c>
      <x:c r="K142" s="12" t="n">
        <x:f>SUMIFS('统计计数'!$K$6:$K$95,'统计计数'!$B$6:$B$95,"NC_H0",'统计计数'!$A$6:$A$95,"d")/$D142</x:f>
        <x:v>0.003427592116538132</x:v>
      </x:c>
      <x:c r="L142" s="12" t="n">
        <x:f>SUMIFS('统计计数'!$L$6:$L$95,'统计计数'!$B$6:$B$95,"NC_H0",'统计计数'!$A$6:$A$95,"d")/$D142</x:f>
        <x:v>0.010282776349614395</x:v>
      </x:c>
      <x:c r="M142" s="12" t="n">
        <x:f>SUMIFS('统计计数'!$M$6:$M$95,'统计计数'!$B$6:$B$95,"NC_H0",'统计计数'!$A$6:$A$95,"d")/$D142</x:f>
        <x:v>0.006855184233076264</x:v>
      </x:c>
      <x:c r="N142" s="12" t="n">
        <x:f>SUMIFS('统计计数'!$N$6:$N$95,'统计计数'!$B$6:$B$95,"NC_H0",'统计计数'!$A$6:$A$95,"d")/$D142</x:f>
        <x:v>0</x:v>
      </x:c>
    </x:row>
    <x:row r="143" ht="24" customHeight="1">
      <x:c r="A143" s="10" t="str">
        <x:v>d</x:v>
      </x:c>
      <x:c r="B143" s="10" t="str">
        <x:v>NC_H0</x:v>
      </x:c>
      <x:c r="C143" s="9" t="str">
        <x:v>源三角形</x:v>
      </x:c>
      <x:c r="D143" s="11" t="n">
        <x:f>SUMIFS('统计计数'!$D$6:$D$95,'统计计数'!$B$6:$B$95,"NC_H0",'统计计数'!$A$6:$A$95,"d")</x:f>
        <x:v>1723934</x:v>
      </x:c>
      <x:c r="E143" s="12" t="n">
        <x:f>SUMIFS('统计计数'!$O$6:$O$95,'统计计数'!$B$6:$B$95,"NC_H0",'统计计数'!$A$6:$A$95,"d")/$D143</x:f>
        <x:v>0</x:v>
      </x:c>
      <x:c r="F143" s="12" t="n">
        <x:f>SUMIFS('统计计数'!$P$6:$P$95,'统计计数'!$B$6:$B$95,"NC_H0",'统计计数'!$A$6:$A$95,"d")/$D143</x:f>
        <x:v>0.16585089684407872</x:v>
      </x:c>
      <x:c r="G143" s="12" t="n">
        <x:f>SUMIFS('统计计数'!$Q$6:$Q$95,'统计计数'!$B$6:$B$95,"NC_H0",'统计计数'!$A$6:$A$95,"d")/$D143</x:f>
        <x:v>0.0761688092467577</x:v>
      </x:c>
      <x:c r="H143" s="12" t="n">
        <x:f>SUMIFS('统计计数'!$R$6:$R$95,'统计计数'!$B$6:$B$95,"NC_H0",'统计计数'!$A$6:$A$95,"d")/$D143</x:f>
        <x:v>0</x:v>
      </x:c>
      <x:c r="I143" s="12" t="n">
        <x:f>SUMIFS('统计计数'!$S$6:$S$95,'统计计数'!$B$6:$B$95,"NC_H0",'统计计数'!$A$6:$A$95,"d")/$D143</x:f>
        <x:v>0.721330398959589</x:v>
      </x:c>
      <x:c r="J143" s="12" t="n">
        <x:f>SUMIFS('统计计数'!$T$6:$T$95,'统计计数'!$B$6:$B$95,"NC_H0",'统计计数'!$A$6:$A$95,"d")/$D143</x:f>
        <x:v>0</x:v>
      </x:c>
      <x:c r="K143" s="12" t="n">
        <x:f>SUMIFS('统计计数'!$U$6:$U$95,'统计计数'!$B$6:$B$95,"NC_H0",'统计计数'!$A$6:$A$95,"d")/$D143</x:f>
        <x:v>0.0035453793474692187</x:v>
      </x:c>
      <x:c r="L143" s="12" t="n">
        <x:f>SUMIFS('统计计数'!$V$6:$V$95,'统计计数'!$B$6:$B$95,"NC_H0",'统计计数'!$A$6:$A$95,"d")/$D143</x:f>
        <x:v>0.025746925346329965</x:v>
      </x:c>
      <x:c r="M143" s="12" t="n">
        <x:f>SUMIFS('统计计数'!$W$6:$W$95,'统计计数'!$B$6:$B$95,"NC_H0",'统计计数'!$A$6:$A$95,"d")/$D143</x:f>
        <x:v>0.007357590255775453</x:v>
      </x:c>
      <x:c r="N143" s="12" t="n">
        <x:f>SUMIFS('统计计数'!$X$6:$X$95,'统计计数'!$B$6:$B$95,"NC_H0",'统计计数'!$A$6:$A$95,"d")/$D143</x:f>
        <x:v>0</x:v>
      </x:c>
    </x:row>
    <x:row r="144" ht="24" customHeight="1">
      <x:c r="A144" s="10" t="str">
        <x:v>d</x:v>
      </x:c>
      <x:c r="B144" s="10" t="str">
        <x:v>NC_H1</x:v>
      </x:c>
      <x:c r="C144" s="9" t="str">
        <x:v>节点</x:v>
      </x:c>
      <x:c r="D144" s="11" t="n">
        <x:f>SUMIFS('统计计数'!$C$6:$C$95,'统计计数'!$B$6:$B$95,"NC_H1",'统计计数'!$A$6:$A$95,"d")</x:f>
        <x:v>1167</x:v>
      </x:c>
      <x:c r="E144" s="12" t="n">
        <x:f>SUMIFS('统计计数'!$E$6:$E$95,'统计计数'!$B$6:$B$95,"NC_H1",'统计计数'!$A$6:$A$95,"d")/$D144</x:f>
        <x:v>0</x:v>
      </x:c>
      <x:c r="F144" s="12" t="n">
        <x:f>SUMIFS('统计计数'!$F$6:$F$95,'统计计数'!$B$6:$B$95,"NC_H1",'统计计数'!$A$6:$A$95,"d")/$D144</x:f>
        <x:v>0.2827763496143959</x:v>
      </x:c>
      <x:c r="G144" s="12" t="n">
        <x:f>SUMIFS('统计计数'!$G$6:$G$95,'统计计数'!$B$6:$B$95,"NC_H1",'统计计数'!$A$6:$A$95,"d")/$D144</x:f>
        <x:v>0.04284490145672665</x:v>
      </x:c>
      <x:c r="H144" s="12" t="n">
        <x:f>SUMIFS('统计计数'!$H$6:$H$95,'统计计数'!$B$6:$B$95,"NC_H1",'统计计数'!$A$6:$A$95,"d")/$D144</x:f>
        <x:v>0</x:v>
      </x:c>
      <x:c r="I144" s="12" t="n">
        <x:f>SUMIFS('统计计数'!$I$6:$I$95,'统计计数'!$B$6:$B$95,"NC_H1",'统计计数'!$A$6:$A$95,"d")/$D144</x:f>
        <x:v>0.6486718080548415</x:v>
      </x:c>
      <x:c r="J144" s="12" t="n">
        <x:f>SUMIFS('统计计数'!$J$6:$J$95,'统计计数'!$B$6:$B$95,"NC_H1",'统计计数'!$A$6:$A$95,"d")/$D144</x:f>
        <x:v>0.004284490145672665</x:v>
      </x:c>
      <x:c r="K144" s="12" t="n">
        <x:f>SUMIFS('统计计数'!$K$6:$K$95,'统计计数'!$B$6:$B$95,"NC_H1",'统计计数'!$A$6:$A$95,"d")/$D144</x:f>
        <x:v>0.004284490145672665</x:v>
      </x:c>
      <x:c r="L144" s="12" t="n">
        <x:f>SUMIFS('统计计数'!$L$6:$L$95,'统计计数'!$B$6:$B$95,"NC_H1",'统计计数'!$A$6:$A$95,"d")/$D144</x:f>
        <x:v>0.010282776349614395</x:v>
      </x:c>
      <x:c r="M144" s="12" t="n">
        <x:f>SUMIFS('统计计数'!$M$6:$M$95,'统计计数'!$B$6:$B$95,"NC_H1",'统计计数'!$A$6:$A$95,"d")/$D144</x:f>
        <x:v>0.006855184233076264</x:v>
      </x:c>
      <x:c r="N144" s="12" t="n">
        <x:f>SUMIFS('统计计数'!$N$6:$N$95,'统计计数'!$B$6:$B$95,"NC_H1",'统计计数'!$A$6:$A$95,"d")/$D144</x:f>
        <x:v>0</x:v>
      </x:c>
    </x:row>
    <x:row r="145" ht="24" customHeight="1">
      <x:c r="A145" s="10" t="str">
        <x:v>d</x:v>
      </x:c>
      <x:c r="B145" s="10" t="str">
        <x:v>NC_H1</x:v>
      </x:c>
      <x:c r="C145" s="9" t="str">
        <x:v>源三角形</x:v>
      </x:c>
      <x:c r="D145" s="11" t="n">
        <x:f>SUMIFS('统计计数'!$D$6:$D$95,'统计计数'!$B$6:$B$95,"NC_H1",'统计计数'!$A$6:$A$95,"d")</x:f>
        <x:v>1723934</x:v>
      </x:c>
      <x:c r="E145" s="12" t="n">
        <x:f>SUMIFS('统计计数'!$O$6:$O$95,'统计计数'!$B$6:$B$95,"NC_H1",'统计计数'!$A$6:$A$95,"d")/$D145</x:f>
        <x:v>0</x:v>
      </x:c>
      <x:c r="F145" s="12" t="n">
        <x:f>SUMIFS('统计计数'!$P$6:$P$95,'统计计数'!$B$6:$B$95,"NC_H1",'统计计数'!$A$6:$A$95,"d")/$D145</x:f>
        <x:v>0.16585089684407872</x:v>
      </x:c>
      <x:c r="G145" s="12" t="n">
        <x:f>SUMIFS('统计计数'!$Q$6:$Q$95,'统计计数'!$B$6:$B$95,"NC_H1",'统计计数'!$A$6:$A$95,"d")/$D145</x:f>
        <x:v>0.0745863820772721</x:v>
      </x:c>
      <x:c r="H145" s="12" t="n">
        <x:f>SUMIFS('统计计数'!$R$6:$R$95,'统计计数'!$B$6:$B$95,"NC_H1",'统计计数'!$A$6:$A$95,"d")/$D145</x:f>
        <x:v>0</x:v>
      </x:c>
      <x:c r="I145" s="12" t="n">
        <x:f>SUMIFS('统计计数'!$S$6:$S$95,'统计计数'!$B$6:$B$95,"NC_H1",'统计计数'!$A$6:$A$95,"d")/$D145</x:f>
        <x:v>0.721330398959589</x:v>
      </x:c>
      <x:c r="J145" s="12" t="n">
        <x:f>SUMIFS('统计计数'!$T$6:$T$95,'统计计数'!$B$6:$B$95,"NC_H1",'统计计数'!$A$6:$A$95,"d")/$D145</x:f>
        <x:v>0.0010650059689060022</x:v>
      </x:c>
      <x:c r="K145" s="12" t="n">
        <x:f>SUMIFS('统计计数'!$U$6:$U$95,'统计计数'!$B$6:$B$95,"NC_H1",'统计计数'!$A$6:$A$95,"d")/$D145</x:f>
        <x:v>0.004062800548048823</x:v>
      </x:c>
      <x:c r="L145" s="12" t="n">
        <x:f>SUMIFS('统计计数'!$V$6:$V$95,'统计计数'!$B$6:$B$95,"NC_H1",'统计计数'!$A$6:$A$95,"d")/$D145</x:f>
        <x:v>0.025746925346329965</x:v>
      </x:c>
      <x:c r="M145" s="12" t="n">
        <x:f>SUMIFS('统计计数'!$W$6:$W$95,'统计计数'!$B$6:$B$95,"NC_H1",'统计计数'!$A$6:$A$95,"d")/$D145</x:f>
        <x:v>0.007357590255775453</x:v>
      </x:c>
      <x:c r="N145" s="12" t="n">
        <x:f>SUMIFS('统计计数'!$X$6:$X$95,'统计计数'!$B$6:$B$95,"NC_H1",'统计计数'!$A$6:$A$95,"d")/$D145</x:f>
        <x:v>0</x:v>
      </x:c>
    </x:row>
    <x:row r="146" ht="24" customHeight="1">
      <x:c r="A146" s="10" t="str">
        <x:v>d</x:v>
      </x:c>
      <x:c r="B146" s="10" t="str">
        <x:v>NCG_H0</x:v>
      </x:c>
      <x:c r="C146" s="9" t="str">
        <x:v>节点</x:v>
      </x:c>
      <x:c r="D146" s="11" t="n">
        <x:f>SUMIFS('统计计数'!$C$6:$C$95,'统计计数'!$B$6:$B$95,"NCG_H0",'统计计数'!$A$6:$A$95,"d")</x:f>
        <x:v>1167</x:v>
      </x:c>
      <x:c r="E146" s="12" t="n">
        <x:f>SUMIFS('统计计数'!$E$6:$E$95,'统计计数'!$B$6:$B$95,"NCG_H0",'统计计数'!$A$6:$A$95,"d")/$D146</x:f>
        <x:v>0</x:v>
      </x:c>
      <x:c r="F146" s="12" t="n">
        <x:f>SUMIFS('统计计数'!$F$6:$F$95,'统计计数'!$B$6:$B$95,"NCG_H0",'统计计数'!$A$6:$A$95,"d")/$D146</x:f>
        <x:v>0.08140531276778064</x:v>
      </x:c>
      <x:c r="G146" s="12" t="n">
        <x:f>SUMIFS('统计计数'!$G$6:$G$95,'统计计数'!$B$6:$B$95,"NCG_H0",'统计计数'!$A$6:$A$95,"d")/$D146</x:f>
        <x:v>0.41645244215938304</x:v>
      </x:c>
      <x:c r="H146" s="12" t="n">
        <x:f>SUMIFS('统计计数'!$H$6:$H$95,'统计计数'!$B$6:$B$95,"NCG_H0",'统计计数'!$A$6:$A$95,"d")/$D146</x:f>
        <x:v>0.23736075407026563</x:v>
      </x:c>
      <x:c r="I146" s="12" t="n">
        <x:f>SUMIFS('统计计数'!$I$6:$I$95,'统计计数'!$B$6:$B$95,"NCG_H0",'统计计数'!$A$6:$A$95,"d")/$D146</x:f>
        <x:v>0.17737789203084833</x:v>
      </x:c>
      <x:c r="J146" s="12" t="n">
        <x:f>SUMIFS('统计计数'!$J$6:$J$95,'统计计数'!$B$6:$B$95,"NCG_H0",'统计计数'!$A$6:$A$95,"d")/$D146</x:f>
        <x:v>0.06683804627249357</x:v>
      </x:c>
      <x:c r="K146" s="12" t="n">
        <x:f>SUMIFS('统计计数'!$K$6:$K$95,'统计计数'!$B$6:$B$95,"NCG_H0",'统计计数'!$A$6:$A$95,"d")/$D146</x:f>
        <x:v>0.003427592116538132</x:v>
      </x:c>
      <x:c r="L146" s="12" t="n">
        <x:f>SUMIFS('统计计数'!$L$6:$L$95,'统计计数'!$B$6:$B$95,"NCG_H0",'统计计数'!$A$6:$A$95,"d")/$D146</x:f>
        <x:v>0.010282776349614395</x:v>
      </x:c>
      <x:c r="M146" s="12" t="n">
        <x:f>SUMIFS('统计计数'!$M$6:$M$95,'统计计数'!$B$6:$B$95,"NCG_H0",'统计计数'!$A$6:$A$95,"d")/$D146</x:f>
        <x:v>0.006855184233076264</x:v>
      </x:c>
      <x:c r="N146" s="12" t="n">
        <x:f>SUMIFS('统计计数'!$N$6:$N$95,'统计计数'!$B$6:$B$95,"NCG_H0",'统计计数'!$A$6:$A$95,"d")/$D146</x:f>
        <x:v>0</x:v>
      </x:c>
    </x:row>
    <x:row r="147" ht="24" customHeight="1">
      <x:c r="A147" s="10" t="str">
        <x:v>d</x:v>
      </x:c>
      <x:c r="B147" s="10" t="str">
        <x:v>NCG_H0</x:v>
      </x:c>
      <x:c r="C147" s="9" t="str">
        <x:v>源三角形</x:v>
      </x:c>
      <x:c r="D147" s="11" t="n">
        <x:f>SUMIFS('统计计数'!$D$6:$D$95,'统计计数'!$B$6:$B$95,"NCG_H0",'统计计数'!$A$6:$A$95,"d")</x:f>
        <x:v>1723934</x:v>
      </x:c>
      <x:c r="E147" s="12" t="n">
        <x:f>SUMIFS('统计计数'!$O$6:$O$95,'统计计数'!$B$6:$B$95,"NCG_H0",'统计计数'!$A$6:$A$95,"d")/$D147</x:f>
        <x:v>0</x:v>
      </x:c>
      <x:c r="F147" s="12" t="n">
        <x:f>SUMIFS('统计计数'!$P$6:$P$95,'统计计数'!$B$6:$B$95,"NCG_H0",'统计计数'!$A$6:$A$95,"d")/$D147</x:f>
        <x:v>0.028473247815751647</x:v>
      </x:c>
      <x:c r="G147" s="12" t="n">
        <x:f>SUMIFS('统计计数'!$Q$6:$Q$95,'统计计数'!$B$6:$B$95,"NCG_H0",'统计计数'!$A$6:$A$95,"d")/$D147</x:f>
        <x:v>0.32055055471961225</x:v>
      </x:c>
      <x:c r="H147" s="12" t="n">
        <x:f>SUMIFS('统计计数'!$R$6:$R$95,'统计计数'!$B$6:$B$95,"NCG_H0",'统计计数'!$A$6:$A$95,"d")/$D147</x:f>
        <x:v>0.3021275756496478</x:v>
      </x:c>
      <x:c r="I147" s="12" t="n">
        <x:f>SUMIFS('统计计数'!$S$6:$S$95,'统计计数'!$B$6:$B$95,"NCG_H0",'统计计数'!$A$6:$A$95,"d")/$D147</x:f>
        <x:v>0.23038120948945842</x:v>
      </x:c>
      <x:c r="J147" s="12" t="n">
        <x:f>SUMIFS('统计计数'!$T$6:$T$95,'统计计数'!$B$6:$B$95,"NCG_H0",'统计计数'!$A$6:$A$95,"d")/$D147</x:f>
        <x:v>0.08181751737595523</x:v>
      </x:c>
      <x:c r="K147" s="12" t="n">
        <x:f>SUMIFS('统计计数'!$U$6:$U$95,'统计计数'!$B$6:$B$95,"NCG_H0",'统计计数'!$A$6:$A$95,"d")/$D147</x:f>
        <x:v>0.0035453793474692187</x:v>
      </x:c>
      <x:c r="L147" s="12" t="n">
        <x:f>SUMIFS('统计计数'!$V$6:$V$95,'统计计数'!$B$6:$B$95,"NCG_H0",'统计计数'!$A$6:$A$95,"d")/$D147</x:f>
        <x:v>0.025746925346329965</x:v>
      </x:c>
      <x:c r="M147" s="12" t="n">
        <x:f>SUMIFS('统计计数'!$W$6:$W$95,'统计计数'!$B$6:$B$95,"NCG_H0",'统计计数'!$A$6:$A$95,"d")/$D147</x:f>
        <x:v>0.007357590255775453</x:v>
      </x:c>
      <x:c r="N147" s="12" t="n">
        <x:f>SUMIFS('统计计数'!$X$6:$X$95,'统计计数'!$B$6:$B$95,"NCG_H0",'统计计数'!$A$6:$A$95,"d")/$D147</x:f>
        <x:v>0</x:v>
      </x:c>
    </x:row>
    <x:row r="148" ht="24" customHeight="1">
      <x:c r="A148" s="10" t="str">
        <x:v>d</x:v>
      </x:c>
      <x:c r="B148" s="10" t="str">
        <x:v>NCG_H1</x:v>
      </x:c>
      <x:c r="C148" s="9" t="str">
        <x:v>节点</x:v>
      </x:c>
      <x:c r="D148" s="11" t="n">
        <x:f>SUMIFS('统计计数'!$C$6:$C$95,'统计计数'!$B$6:$B$95,"NCG_H1",'统计计数'!$A$6:$A$95,"d")</x:f>
        <x:v>1167</x:v>
      </x:c>
      <x:c r="E148" s="12" t="n">
        <x:f>SUMIFS('统计计数'!$E$6:$E$95,'统计计数'!$B$6:$B$95,"NCG_H1",'统计计数'!$A$6:$A$95,"d")/$D148</x:f>
        <x:v>0</x:v>
      </x:c>
      <x:c r="F148" s="12" t="n">
        <x:f>SUMIFS('统计计数'!$F$6:$F$95,'统计计数'!$B$6:$B$95,"NCG_H1",'统计计数'!$A$6:$A$95,"d")/$D148</x:f>
        <x:v>0.08140531276778064</x:v>
      </x:c>
      <x:c r="G148" s="12" t="n">
        <x:f>SUMIFS('统计计数'!$G$6:$G$95,'统计计数'!$B$6:$B$95,"NCG_H1",'统计计数'!$A$6:$A$95,"d")/$D148</x:f>
        <x:v>0.35389888603256214</x:v>
      </x:c>
      <x:c r="H148" s="12" t="n">
        <x:f>SUMIFS('统计计数'!$H$6:$H$95,'统计计数'!$B$6:$B$95,"NCG_H1",'统计计数'!$A$6:$A$95,"d")/$D148</x:f>
        <x:v>0.29220222793487577</x:v>
      </x:c>
      <x:c r="I148" s="12" t="n">
        <x:f>SUMIFS('统计计数'!$I$6:$I$95,'统计计数'!$B$6:$B$95,"NCG_H1",'统计计数'!$A$6:$A$95,"d")/$D148</x:f>
        <x:v>0.17737789203084833</x:v>
      </x:c>
      <x:c r="J148" s="12" t="n">
        <x:f>SUMIFS('统计计数'!$J$6:$J$95,'统计计数'!$B$6:$B$95,"NCG_H1",'统计计数'!$A$6:$A$95,"d")/$D148</x:f>
        <x:v>0.07369323050556983</x:v>
      </x:c>
      <x:c r="K148" s="12" t="n">
        <x:f>SUMIFS('统计计数'!$K$6:$K$95,'统计计数'!$B$6:$B$95,"NCG_H1",'统计计数'!$A$6:$A$95,"d")/$D148</x:f>
        <x:v>0.004284490145672665</x:v>
      </x:c>
      <x:c r="L148" s="12" t="n">
        <x:f>SUMIFS('统计计数'!$L$6:$L$95,'统计计数'!$B$6:$B$95,"NCG_H1",'统计计数'!$A$6:$A$95,"d")/$D148</x:f>
        <x:v>0.010282776349614395</x:v>
      </x:c>
      <x:c r="M148" s="12" t="n">
        <x:f>SUMIFS('统计计数'!$M$6:$M$95,'统计计数'!$B$6:$B$95,"NCG_H1",'统计计数'!$A$6:$A$95,"d")/$D148</x:f>
        <x:v>0.006855184233076264</x:v>
      </x:c>
      <x:c r="N148" s="12" t="n">
        <x:f>SUMIFS('统计计数'!$N$6:$N$95,'统计计数'!$B$6:$B$95,"NCG_H1",'统计计数'!$A$6:$A$95,"d")/$D148</x:f>
        <x:v>0</x:v>
      </x:c>
    </x:row>
    <x:row r="149" ht="24" customHeight="1">
      <x:c r="A149" s="10" t="str">
        <x:v>d</x:v>
      </x:c>
      <x:c r="B149" s="10" t="str">
        <x:v>NCG_H1</x:v>
      </x:c>
      <x:c r="C149" s="9" t="str">
        <x:v>源三角形</x:v>
      </x:c>
      <x:c r="D149" s="11" t="n">
        <x:f>SUMIFS('统计计数'!$D$6:$D$95,'统计计数'!$B$6:$B$95,"NCG_H1",'统计计数'!$A$6:$A$95,"d")</x:f>
        <x:v>1723934</x:v>
      </x:c>
      <x:c r="E149" s="12" t="n">
        <x:f>SUMIFS('统计计数'!$O$6:$O$95,'统计计数'!$B$6:$B$95,"NCG_H1",'统计计数'!$A$6:$A$95,"d")/$D149</x:f>
        <x:v>0</x:v>
      </x:c>
      <x:c r="F149" s="12" t="n">
        <x:f>SUMIFS('统计计数'!$P$6:$P$95,'统计计数'!$B$6:$B$95,"NCG_H1",'统计计数'!$A$6:$A$95,"d")/$D149</x:f>
        <x:v>0.028473247815751647</x:v>
      </x:c>
      <x:c r="G149" s="12" t="n">
        <x:f>SUMIFS('统计计数'!$Q$6:$Q$95,'统计计数'!$B$6:$B$95,"NCG_H1",'统计计数'!$A$6:$A$95,"d")/$D149</x:f>
        <x:v>0.2721971954842819</x:v>
      </x:c>
      <x:c r="H149" s="12" t="n">
        <x:f>SUMIFS('统计计数'!$R$6:$R$95,'统计计数'!$B$6:$B$95,"NCG_H1",'统计计数'!$A$6:$A$95,"d")/$D149</x:f>
        <x:v>0.34685434593203684</x:v>
      </x:c>
      <x:c r="I149" s="12" t="n">
        <x:f>SUMIFS('统计计数'!$S$6:$S$95,'统计计数'!$B$6:$B$95,"NCG_H1",'统计计数'!$A$6:$A$95,"d")/$D149</x:f>
        <x:v>0.2303928108616687</x:v>
      </x:c>
      <x:c r="J149" s="12" t="n">
        <x:f>SUMIFS('统计计数'!$T$6:$T$95,'统计计数'!$B$6:$B$95,"NCG_H1",'统计计数'!$A$6:$A$95,"d")/$D149</x:f>
        <x:v>0.08491508375610667</x:v>
      </x:c>
      <x:c r="K149" s="12" t="n">
        <x:f>SUMIFS('统计计数'!$U$6:$U$95,'统计计数'!$B$6:$B$95,"NCG_H1",'统计计数'!$A$6:$A$95,"d")/$D149</x:f>
        <x:v>0.004062800548048823</x:v>
      </x:c>
      <x:c r="L149" s="12" t="n">
        <x:f>SUMIFS('统计计数'!$V$6:$V$95,'统计计数'!$B$6:$B$95,"NCG_H1",'统计计数'!$A$6:$A$95,"d")/$D149</x:f>
        <x:v>0.025746925346329965</x:v>
      </x:c>
      <x:c r="M149" s="12" t="n">
        <x:f>SUMIFS('统计计数'!$W$6:$W$95,'统计计数'!$B$6:$B$95,"NCG_H1",'统计计数'!$A$6:$A$95,"d")/$D149</x:f>
        <x:v>0.007357590255775453</x:v>
      </x:c>
      <x:c r="N149" s="12" t="n">
        <x:f>SUMIFS('统计计数'!$X$6:$X$95,'统计计数'!$B$6:$B$95,"NCG_H1",'统计计数'!$A$6:$A$95,"d")/$D149</x:f>
        <x:v>0</x:v>
      </x:c>
    </x:row>
    <x:row r="150" ht="24" customHeight="1">
      <x:c r="A150" s="10" t="str">
        <x:v>d</x:v>
      </x:c>
      <x:c r="B150" s="10" t="str">
        <x:v>G_H0</x:v>
      </x:c>
      <x:c r="C150" s="9" t="str">
        <x:v>节点</x:v>
      </x:c>
      <x:c r="D150" s="11" t="n">
        <x:f>SUMIFS('统计计数'!$C$6:$C$95,'统计计数'!$B$6:$B$95,"G_H0",'统计计数'!$A$6:$A$95,"d")</x:f>
        <x:v>1167</x:v>
      </x:c>
      <x:c r="E150" s="12" t="n">
        <x:f>SUMIFS('统计计数'!$E$6:$E$95,'统计计数'!$B$6:$B$95,"G_H0",'统计计数'!$A$6:$A$95,"d")/$D150</x:f>
        <x:v>0</x:v>
      </x:c>
      <x:c r="F150" s="12" t="n">
        <x:f>SUMIFS('统计计数'!$F$6:$F$95,'统计计数'!$B$6:$B$95,"G_H0",'统计计数'!$A$6:$A$95,"d")/$D150</x:f>
        <x:v>0.07626392459297343</x:v>
      </x:c>
      <x:c r="G150" s="12" t="n">
        <x:f>SUMIFS('统计计数'!$G$6:$G$95,'统计计数'!$B$6:$B$95,"G_H0",'统计计数'!$A$6:$A$95,"d")/$D150</x:f>
        <x:v>0.4644387317909169</x:v>
      </x:c>
      <x:c r="H150" s="12" t="n">
        <x:f>SUMIFS('统计计数'!$H$6:$H$95,'统计计数'!$B$6:$B$95,"G_H0",'统计计数'!$A$6:$A$95,"d")/$D150</x:f>
        <x:v>0.2185089974293059</x:v>
      </x:c>
      <x:c r="I150" s="12" t="n">
        <x:f>SUMIFS('统计计数'!$I$6:$I$95,'统计计数'!$B$6:$B$95,"G_H0",'统计计数'!$A$6:$A$95,"d")/$D150</x:f>
        <x:v>0.1790916880891174</x:v>
      </x:c>
      <x:c r="J150" s="12" t="n">
        <x:f>SUMIFS('统计计数'!$J$6:$J$95,'统计计数'!$B$6:$B$95,"G_H0",'统计计数'!$A$6:$A$95,"d")/$D150</x:f>
        <x:v>0.061696658097686374</x:v>
      </x:c>
      <x:c r="K150" s="12" t="n">
        <x:f>SUMIFS('统计计数'!$K$6:$K$95,'统计计数'!$B$6:$B$95,"G_H0",'统计计数'!$A$6:$A$95,"d")/$D150</x:f>
        <x:v>0</x:v>
      </x:c>
      <x:c r="L150" s="12" t="n">
        <x:f>SUMIFS('统计计数'!$L$6:$L$95,'统计计数'!$B$6:$B$95,"G_H0",'统计计数'!$A$6:$A$95,"d")/$D150</x:f>
        <x:v>0</x:v>
      </x:c>
      <x:c r="M150" s="12" t="n">
        <x:f>SUMIFS('统计计数'!$M$6:$M$95,'统计计数'!$B$6:$B$95,"G_H0",'统计计数'!$A$6:$A$95,"d")/$D150</x:f>
        <x:v>0</x:v>
      </x:c>
      <x:c r="N150" s="12" t="n">
        <x:f>SUMIFS('统计计数'!$N$6:$N$95,'统计计数'!$B$6:$B$95,"G_H0",'统计计数'!$A$6:$A$95,"d")/$D150</x:f>
        <x:v>0</x:v>
      </x:c>
    </x:row>
    <x:row r="151" ht="24" customHeight="1">
      <x:c r="A151" s="10" t="str">
        <x:v>d</x:v>
      </x:c>
      <x:c r="B151" s="10" t="str">
        <x:v>G_H0</x:v>
      </x:c>
      <x:c r="C151" s="9" t="str">
        <x:v>源三角形</x:v>
      </x:c>
      <x:c r="D151" s="11" t="n">
        <x:f>SUMIFS('统计计数'!$D$6:$D$95,'统计计数'!$B$6:$B$95,"G_H0",'统计计数'!$A$6:$A$95,"d")</x:f>
        <x:v>1723934</x:v>
      </x:c>
      <x:c r="E151" s="12" t="n">
        <x:f>SUMIFS('统计计数'!$O$6:$O$95,'统计计数'!$B$6:$B$95,"G_H0",'统计计数'!$A$6:$A$95,"d")/$D151</x:f>
        <x:v>0</x:v>
      </x:c>
      <x:c r="F151" s="12" t="n">
        <x:f>SUMIFS('统计计数'!$P$6:$P$95,'统计计数'!$B$6:$B$95,"G_H0",'统计计数'!$A$6:$A$95,"d")/$D151</x:f>
        <x:v>0.02456358538087885</x:v>
      </x:c>
      <x:c r="G151" s="12" t="n">
        <x:f>SUMIFS('统计计数'!$Q$6:$Q$95,'统计计数'!$B$6:$B$95,"G_H0",'统计计数'!$A$6:$A$95,"d")/$D151</x:f>
        <x:v>0.3592109674732327</x:v>
      </x:c>
      <x:c r="H151" s="12" t="n">
        <x:f>SUMIFS('统计计数'!$R$6:$R$95,'统计计数'!$B$6:$B$95,"G_H0",'统计计数'!$A$6:$A$95,"d")/$D151</x:f>
        <x:v>0.3080059909486094</x:v>
      </x:c>
      <x:c r="I151" s="12" t="n">
        <x:f>SUMIFS('统计计数'!$S$6:$S$95,'统计计数'!$B$6:$B$95,"G_H0",'统计计数'!$A$6:$A$95,"d")/$D151</x:f>
        <x:v>0.22786835226870633</x:v>
      </x:c>
      <x:c r="J151" s="12" t="n">
        <x:f>SUMIFS('统计计数'!$T$6:$T$95,'统计计数'!$B$6:$B$95,"G_H0",'统计计数'!$A$6:$A$95,"d")/$D151</x:f>
        <x:v>0.08035110392857267</x:v>
      </x:c>
      <x:c r="K151" s="12" t="n">
        <x:f>SUMIFS('统计计数'!$U$6:$U$95,'统计计数'!$B$6:$B$95,"G_H0",'统计计数'!$A$6:$A$95,"d")/$D151</x:f>
        <x:v>0</x:v>
      </x:c>
      <x:c r="L151" s="12" t="n">
        <x:f>SUMIFS('统计计数'!$V$6:$V$95,'统计计数'!$B$6:$B$95,"G_H0",'统计计数'!$A$6:$A$95,"d")/$D151</x:f>
        <x:v>0</x:v>
      </x:c>
      <x:c r="M151" s="12" t="n">
        <x:f>SUMIFS('统计计数'!$W$6:$W$95,'统计计数'!$B$6:$B$95,"G_H0",'统计计数'!$A$6:$A$95,"d")/$D151</x:f>
        <x:v>0</x:v>
      </x:c>
      <x:c r="N151" s="12" t="n">
        <x:f>SUMIFS('统计计数'!$X$6:$X$95,'统计计数'!$B$6:$B$95,"G_H0",'统计计数'!$A$6:$A$95,"d")/$D151</x:f>
        <x:v>0</x:v>
      </x:c>
    </x:row>
    <x:row r="152" ht="24" customHeight="1">
      <x:c r="A152" s="10" t="str">
        <x:v>d</x:v>
      </x:c>
      <x:c r="B152" s="10" t="str">
        <x:v>G_H1</x:v>
      </x:c>
      <x:c r="C152" s="9" t="str">
        <x:v>节点</x:v>
      </x:c>
      <x:c r="D152" s="11" t="n">
        <x:f>SUMIFS('统计计数'!$C$6:$C$95,'统计计数'!$B$6:$B$95,"G_H1",'统计计数'!$A$6:$A$95,"d")</x:f>
        <x:v>1167</x:v>
      </x:c>
      <x:c r="E152" s="12" t="n">
        <x:f>SUMIFS('统计计数'!$E$6:$E$95,'统计计数'!$B$6:$B$95,"G_H1",'统计计数'!$A$6:$A$95,"d")/$D152</x:f>
        <x:v>0</x:v>
      </x:c>
      <x:c r="F152" s="12" t="n">
        <x:f>SUMIFS('统计计数'!$F$6:$F$95,'统计计数'!$B$6:$B$95,"G_H1",'统计计数'!$A$6:$A$95,"d")/$D152</x:f>
        <x:v>0.07626392459297343</x:v>
      </x:c>
      <x:c r="G152" s="12" t="n">
        <x:f>SUMIFS('统计计数'!$G$6:$G$95,'统计计数'!$B$6:$B$95,"G_H1",'统计计数'!$A$6:$A$95,"d")/$D152</x:f>
        <x:v>0.39845758354755784</x:v>
      </x:c>
      <x:c r="H152" s="12" t="n">
        <x:f>SUMIFS('统计计数'!$H$6:$H$95,'统计计数'!$B$6:$B$95,"G_H1",'统计计数'!$A$6:$A$95,"d")/$D152</x:f>
        <x:v>0.2810625535561268</x:v>
      </x:c>
      <x:c r="I152" s="12" t="n">
        <x:f>SUMIFS('统计计数'!$I$6:$I$95,'统计计数'!$B$6:$B$95,"G_H1",'统计计数'!$A$6:$A$95,"d")/$D152</x:f>
        <x:v>0.18251928020565553</x:v>
      </x:c>
      <x:c r="J152" s="12" t="n">
        <x:f>SUMIFS('统计计数'!$J$6:$J$95,'统计计数'!$B$6:$B$95,"G_H1",'统计计数'!$A$6:$A$95,"d")/$D152</x:f>
        <x:v>0.061696658097686374</x:v>
      </x:c>
      <x:c r="K152" s="12" t="n">
        <x:f>SUMIFS('统计计数'!$K$6:$K$95,'统计计数'!$B$6:$B$95,"G_H1",'统计计数'!$A$6:$A$95,"d")/$D152</x:f>
        <x:v>0</x:v>
      </x:c>
      <x:c r="L152" s="12" t="n">
        <x:f>SUMIFS('统计计数'!$L$6:$L$95,'统计计数'!$B$6:$B$95,"G_H1",'统计计数'!$A$6:$A$95,"d")/$D152</x:f>
        <x:v>0</x:v>
      </x:c>
      <x:c r="M152" s="12" t="n">
        <x:f>SUMIFS('统计计数'!$M$6:$M$95,'统计计数'!$B$6:$B$95,"G_H1",'统计计数'!$A$6:$A$95,"d")/$D152</x:f>
        <x:v>0</x:v>
      </x:c>
      <x:c r="N152" s="12" t="n">
        <x:f>SUMIFS('统计计数'!$N$6:$N$95,'统计计数'!$B$6:$B$95,"G_H1",'统计计数'!$A$6:$A$95,"d")/$D152</x:f>
        <x:v>0</x:v>
      </x:c>
    </x:row>
    <x:row r="153" ht="24" customHeight="1">
      <x:c r="A153" s="10" t="str">
        <x:v>d</x:v>
      </x:c>
      <x:c r="B153" s="10" t="str">
        <x:v>G_H1</x:v>
      </x:c>
      <x:c r="C153" s="9" t="str">
        <x:v>源三角形</x:v>
      </x:c>
      <x:c r="D153" s="11" t="n">
        <x:f>SUMIFS('统计计数'!$D$6:$D$95,'统计计数'!$B$6:$B$95,"G_H1",'统计计数'!$A$6:$A$95,"d")</x:f>
        <x:v>1723934</x:v>
      </x:c>
      <x:c r="E153" s="12" t="n">
        <x:f>SUMIFS('统计计数'!$O$6:$O$95,'统计计数'!$B$6:$B$95,"G_H1",'统计计数'!$A$6:$A$95,"d")/$D153</x:f>
        <x:v>0</x:v>
      </x:c>
      <x:c r="F153" s="12" t="n">
        <x:f>SUMIFS('统计计数'!$P$6:$P$95,'统计计数'!$B$6:$B$95,"G_H1",'统计计数'!$A$6:$A$95,"d")/$D153</x:f>
        <x:v>0.02456358538087885</x:v>
      </x:c>
      <x:c r="G153" s="12" t="n">
        <x:f>SUMIFS('统计计数'!$Q$6:$Q$95,'统计计数'!$B$6:$B$95,"G_H1",'统计计数'!$A$6:$A$95,"d")/$D153</x:f>
        <x:v>0.3074131608286628</x:v>
      </x:c>
      <x:c r="H153" s="12" t="n">
        <x:f>SUMIFS('统计计数'!$R$6:$R$95,'统计计数'!$B$6:$B$95,"G_H1",'统计计数'!$A$6:$A$95,"d")/$D153</x:f>
        <x:v>0.35719116857141864</x:v>
      </x:c>
      <x:c r="I153" s="12" t="n">
        <x:f>SUMIFS('统计计数'!$S$6:$S$95,'统计计数'!$B$6:$B$95,"G_H1",'统计计数'!$A$6:$A$95,"d")/$D153</x:f>
        <x:v>0.23048098129046704</x:v>
      </x:c>
      <x:c r="J153" s="12" t="n">
        <x:f>SUMIFS('统计计数'!$T$6:$T$95,'统计计数'!$B$6:$B$95,"G_H1",'统计计数'!$A$6:$A$95,"d")/$D153</x:f>
        <x:v>0.08035110392857267</x:v>
      </x:c>
      <x:c r="K153" s="12" t="n">
        <x:f>SUMIFS('统计计数'!$U$6:$U$95,'统计计数'!$B$6:$B$95,"G_H1",'统计计数'!$A$6:$A$95,"d")/$D153</x:f>
        <x:v>0</x:v>
      </x:c>
      <x:c r="L153" s="12" t="n">
        <x:f>SUMIFS('统计计数'!$V$6:$V$95,'统计计数'!$B$6:$B$95,"G_H1",'统计计数'!$A$6:$A$95,"d")/$D153</x:f>
        <x:v>0</x:v>
      </x:c>
      <x:c r="M153" s="12" t="n">
        <x:f>SUMIFS('统计计数'!$W$6:$W$95,'统计计数'!$B$6:$B$95,"G_H1",'统计计数'!$A$6:$A$95,"d")/$D153</x:f>
        <x:v>0</x:v>
      </x:c>
      <x:c r="N153" s="12" t="n">
        <x:f>SUMIFS('统计计数'!$X$6:$X$95,'统计计数'!$B$6:$B$95,"G_H1",'统计计数'!$A$6:$A$95,"d")/$D153</x:f>
        <x:v>0</x:v>
      </x:c>
    </x:row>
    <x:row r="154" ht="24" customHeight="1">
      <x:c r="A154" s="10" t="str">
        <x:v>d</x:v>
      </x:c>
      <x:c r="B154" s="10" t="str">
        <x:v>NCG_H1_M1</x:v>
      </x:c>
      <x:c r="C154" s="9" t="str">
        <x:v>节点</x:v>
      </x:c>
      <x:c r="D154" s="11" t="n">
        <x:f>SUMIFS('统计计数'!$C$6:$C$95,'统计计数'!$B$6:$B$95,"NCG_H1_M1",'统计计数'!$A$6:$A$95,"d")</x:f>
        <x:v>1167</x:v>
      </x:c>
      <x:c r="E154" s="12" t="n">
        <x:f>SUMIFS('统计计数'!$E$6:$E$95,'统计计数'!$B$6:$B$95,"NCG_H1_M1",'统计计数'!$A$6:$A$95,"d")/$D154</x:f>
        <x:v>0</x:v>
      </x:c>
      <x:c r="F154" s="12" t="n">
        <x:f>SUMIFS('统计计数'!$F$6:$F$95,'统计计数'!$B$6:$B$95,"NCG_H1_M1",'统计计数'!$A$6:$A$95,"d")/$D154</x:f>
        <x:v>0.0779777206512425</x:v>
      </x:c>
      <x:c r="G154" s="12" t="n">
        <x:f>SUMIFS('统计计数'!$G$6:$G$95,'统计计数'!$B$6:$B$95,"NCG_H1_M1",'统计计数'!$A$6:$A$95,"d")/$D154</x:f>
        <x:v>0.3101970865467009</x:v>
      </x:c>
      <x:c r="H154" s="12" t="n">
        <x:f>SUMIFS('统计计数'!$H$6:$H$95,'统计计数'!$B$6:$B$95,"NCG_H1_M1",'统计计数'!$A$6:$A$95,"d")/$D154</x:f>
        <x:v>0.2707797772065124</x:v>
      </x:c>
      <x:c r="I154" s="12" t="n">
        <x:f>SUMIFS('统计计数'!$I$6:$I$95,'统计计数'!$B$6:$B$95,"NCG_H1_M1",'统计计数'!$A$6:$A$95,"d")/$D154</x:f>
        <x:v>0.17566409597257926</x:v>
      </x:c>
      <x:c r="J154" s="12" t="n">
        <x:f>SUMIFS('统计计数'!$J$6:$J$95,'统计计数'!$B$6:$B$95,"NCG_H1_M1",'统计计数'!$A$6:$A$95,"d")/$D154</x:f>
        <x:v>0.08740359897172237</x:v>
      </x:c>
      <x:c r="K154" s="12" t="n">
        <x:f>SUMIFS('统计计数'!$K$6:$K$95,'统计计数'!$B$6:$B$95,"NCG_H1_M1",'统计计数'!$A$6:$A$95,"d")/$D154</x:f>
        <x:v>0.010282776349614395</x:v>
      </x:c>
      <x:c r="L154" s="12" t="n">
        <x:f>SUMIFS('统计计数'!$L$6:$L$95,'统计计数'!$B$6:$B$95,"NCG_H1_M1",'统计计数'!$A$6:$A$95,"d")/$D154</x:f>
        <x:v>0.022279348757497857</x:v>
      </x:c>
      <x:c r="M154" s="12" t="n">
        <x:f>SUMIFS('统计计数'!$M$6:$M$95,'统计计数'!$B$6:$B$95,"NCG_H1_M1",'统计计数'!$A$6:$A$95,"d")/$D154</x:f>
        <x:v>0.04198800342759212</x:v>
      </x:c>
      <x:c r="N154" s="12" t="n">
        <x:f>SUMIFS('统计计数'!$N$6:$N$95,'统计计数'!$B$6:$B$95,"NCG_H1_M1",'统计计数'!$A$6:$A$95,"d")/$D154</x:f>
        <x:v>0.003427592116538132</x:v>
      </x:c>
    </x:row>
    <x:row r="155" ht="24" customHeight="1">
      <x:c r="A155" s="10" t="str">
        <x:v>d</x:v>
      </x:c>
      <x:c r="B155" s="10" t="str">
        <x:v>NCG_H1_M1</x:v>
      </x:c>
      <x:c r="C155" s="9" t="str">
        <x:v>源三角形</x:v>
      </x:c>
      <x:c r="D155" s="11" t="n">
        <x:f>SUMIFS('统计计数'!$D$6:$D$95,'统计计数'!$B$6:$B$95,"NCG_H1_M1",'统计计数'!$A$6:$A$95,"d")</x:f>
        <x:v>1723934</x:v>
      </x:c>
      <x:c r="E155" s="12" t="n">
        <x:f>SUMIFS('统计计数'!$O$6:$O$95,'统计计数'!$B$6:$B$95,"NCG_H1_M1",'统计计数'!$A$6:$A$95,"d")/$D155</x:f>
        <x:v>0</x:v>
      </x:c>
      <x:c r="F155" s="12" t="n">
        <x:f>SUMIFS('统计计数'!$P$6:$P$95,'统计计数'!$B$6:$B$95,"NCG_H1_M1",'统计计数'!$A$6:$A$95,"d")/$D155</x:f>
        <x:v>0.02707644260163092</x:v>
      </x:c>
      <x:c r="G155" s="12" t="n">
        <x:f>SUMIFS('统计计数'!$Q$6:$Q$95,'统计计数'!$B$6:$B$95,"NCG_H1_M1",'统计计数'!$A$6:$A$95,"d")/$D155</x:f>
        <x:v>0.2189863417044968</x:v>
      </x:c>
      <x:c r="H155" s="12" t="n">
        <x:f>SUMIFS('统计计数'!$R$6:$R$95,'统计计数'!$B$6:$B$95,"NCG_H1_M1",'统计计数'!$A$6:$A$95,"d")/$D155</x:f>
        <x:v>0.3303873582167299</x:v>
      </x:c>
      <x:c r="I155" s="12" t="n">
        <x:f>SUMIFS('统计计数'!$S$6:$S$95,'统计计数'!$B$6:$B$95,"NCG_H1_M1",'统计计数'!$A$6:$A$95,"d")/$D155</x:f>
        <x:v>0.23024663357181888</x:v>
      </x:c>
      <x:c r="J155" s="12" t="n">
        <x:f>SUMIFS('统计计数'!$T$6:$T$95,'统计计数'!$B$6:$B$95,"NCG_H1_M1",'统计计数'!$A$6:$A$95,"d")/$D155</x:f>
        <x:v>0.09455814433731222</x:v>
      </x:c>
      <x:c r="K155" s="12" t="n">
        <x:f>SUMIFS('统计计数'!$U$6:$U$95,'统计计数'!$B$6:$B$95,"NCG_H1_M1",'统计计数'!$A$6:$A$95,"d")/$D155</x:f>
        <x:v>0.007311184766934233</x:v>
      </x:c>
      <x:c r="L155" s="12" t="n">
        <x:f>SUMIFS('统计计数'!$V$6:$V$95,'统计计数'!$B$6:$B$95,"NCG_H1_M1",'统计计数'!$A$6:$A$95,"d")/$D155</x:f>
        <x:v>0.03690744541264341</x:v>
      </x:c>
      <x:c r="M155" s="12" t="n">
        <x:f>SUMIFS('统计计数'!$W$6:$W$95,'统计计数'!$B$6:$B$95,"NCG_H1_M1",'统计计数'!$A$6:$A$95,"d")/$D155</x:f>
        <x:v>0.050674793814612394</x:v>
      </x:c>
      <x:c r="N155" s="12" t="n">
        <x:f>SUMIFS('统计计数'!$X$6:$X$95,'统计计数'!$B$6:$B$95,"NCG_H1_M1",'统计计数'!$A$6:$A$95,"d")/$D155</x:f>
        <x:v>0.0038516555738212716</x:v>
      </x:c>
    </x:row>
    <x:row r="156" ht="24" customHeight="1">
      <x:c r="A156" s="10" t="str">
        <x:v>e</x:v>
      </x:c>
      <x:c r="B156" s="10" t="str">
        <x:v>N_H0</x:v>
      </x:c>
      <x:c r="C156" s="9" t="str">
        <x:v>节点</x:v>
      </x:c>
      <x:c r="D156" s="11" t="n">
        <x:f>SUMIFS('统计计数'!$C$6:$C$95,'统计计数'!$B$6:$B$95,"N_H0",'统计计数'!$A$6:$A$95,"e")</x:f>
        <x:v>3347</x:v>
      </x:c>
      <x:c r="E156" s="12" t="n">
        <x:f>SUMIFS('统计计数'!$E$6:$E$95,'统计计数'!$B$6:$B$95,"N_H0",'统计计数'!$A$6:$A$95,"e")/$D156</x:f>
        <x:v>0</x:v>
      </x:c>
      <x:c r="F156" s="12" t="n">
        <x:f>SUMIFS('统计计数'!$F$6:$F$95,'统计计数'!$B$6:$B$95,"N_H0",'统计计数'!$A$6:$A$95,"e")/$D156</x:f>
        <x:v>0.17089931281744847</x:v>
      </x:c>
      <x:c r="G156" s="12" t="n">
        <x:f>SUMIFS('统计计数'!$G$6:$G$95,'统计计数'!$B$6:$B$95,"N_H0",'统计计数'!$A$6:$A$95,"e")/$D156</x:f>
        <x:v>0.034359127576934566</x:v>
      </x:c>
      <x:c r="H156" s="12" t="n">
        <x:f>SUMIFS('统计计数'!$H$6:$H$95,'统计计数'!$B$6:$B$95,"N_H0",'统计计数'!$A$6:$A$95,"e")/$D156</x:f>
        <x:v>0</x:v>
      </x:c>
      <x:c r="I156" s="12" t="n">
        <x:f>SUMIFS('统计计数'!$I$6:$I$95,'统计计数'!$B$6:$B$95,"N_H0",'统计计数'!$A$6:$A$95,"e")/$D156</x:f>
        <x:v>0.6567074992530625</x:v>
      </x:c>
      <x:c r="J156" s="12" t="n">
        <x:f>SUMIFS('统计计数'!$J$6:$J$95,'统计计数'!$B$6:$B$95,"N_H0",'统计计数'!$A$6:$A$95,"e")/$D156</x:f>
        <x:v>0</x:v>
      </x:c>
      <x:c r="K156" s="12" t="n">
        <x:f>SUMIFS('统计计数'!$K$6:$K$95,'统计计数'!$B$6:$B$95,"N_H0",'统计计数'!$A$6:$A$95,"e")/$D156</x:f>
        <x:v>0.05019420376456528</x:v>
      </x:c>
      <x:c r="L156" s="12" t="n">
        <x:f>SUMIFS('统计计数'!$L$6:$L$95,'统计计数'!$B$6:$B$95,"N_H0",'统计计数'!$A$6:$A$95,"e")/$D156</x:f>
        <x:v>0.00985957573946818</x:v>
      </x:c>
      <x:c r="M156" s="12" t="n">
        <x:f>SUMIFS('统计计数'!$M$6:$M$95,'统计计数'!$B$6:$B$95,"N_H0",'统计计数'!$A$6:$A$95,"e")/$D156</x:f>
        <x:v>0.07798028084852106</x:v>
      </x:c>
      <x:c r="N156" s="12" t="n">
        <x:f>SUMIFS('统计计数'!$N$6:$N$95,'统计计数'!$B$6:$B$95,"N_H0",'统计计数'!$A$6:$A$95,"e")/$D156</x:f>
        <x:v>0</x:v>
      </x:c>
    </x:row>
    <x:row r="157" ht="24" customHeight="1">
      <x:c r="A157" s="10" t="str">
        <x:v>e</x:v>
      </x:c>
      <x:c r="B157" s="10" t="str">
        <x:v>N_H0</x:v>
      </x:c>
      <x:c r="C157" s="9" t="str">
        <x:v>源三角形</x:v>
      </x:c>
      <x:c r="D157" s="11" t="n">
        <x:f>SUMIFS('统计计数'!$D$6:$D$95,'统计计数'!$B$6:$B$95,"N_H0",'统计计数'!$A$6:$A$95,"e")</x:f>
        <x:v>15496224</x:v>
      </x:c>
      <x:c r="E157" s="12" t="n">
        <x:f>SUMIFS('统计计数'!$O$6:$O$95,'统计计数'!$B$6:$B$95,"N_H0",'统计计数'!$A$6:$A$95,"e")/$D157</x:f>
        <x:v>0</x:v>
      </x:c>
      <x:c r="F157" s="12" t="n">
        <x:f>SUMIFS('统计计数'!$P$6:$P$95,'统计计数'!$B$6:$B$95,"N_H0",'统计计数'!$A$6:$A$95,"e")/$D157</x:f>
        <x:v>0.09432659207817337</x:v>
      </x:c>
      <x:c r="G157" s="12" t="n">
        <x:f>SUMIFS('统计计数'!$Q$6:$Q$95,'统计计数'!$B$6:$B$95,"N_H0",'统计计数'!$A$6:$A$95,"e")/$D157</x:f>
        <x:v>0.017709217419675915</x:v>
      </x:c>
      <x:c r="H157" s="12" t="n">
        <x:f>SUMIFS('统计计数'!$R$6:$R$95,'统计计数'!$B$6:$B$95,"N_H0",'统计计数'!$A$6:$A$95,"e")/$D157</x:f>
        <x:v>0</x:v>
      </x:c>
      <x:c r="I157" s="12" t="n">
        <x:f>SUMIFS('统计计数'!$S$6:$S$95,'统计计数'!$B$6:$B$95,"N_H0",'统计计数'!$A$6:$A$95,"e")/$D157</x:f>
        <x:v>0.6143211404275003</x:v>
      </x:c>
      <x:c r="J157" s="12" t="n">
        <x:f>SUMIFS('统计计数'!$T$6:$T$95,'统计计数'!$B$6:$B$95,"N_H0",'统计计数'!$A$6:$A$95,"e")/$D157</x:f>
        <x:v>0</x:v>
      </x:c>
      <x:c r="K157" s="12" t="n">
        <x:f>SUMIFS('统计计数'!$U$6:$U$95,'统计计数'!$B$6:$B$95,"N_H0",'统计计数'!$A$6:$A$95,"e")/$D157</x:f>
        <x:v>0.0890770551587277</x:v>
      </x:c>
      <x:c r="L157" s="12" t="n">
        <x:f>SUMIFS('统计计数'!$V$6:$V$95,'统计计数'!$B$6:$B$95,"N_H0",'统计计数'!$A$6:$A$95,"e")/$D157</x:f>
        <x:v>0.05932090295029292</x:v>
      </x:c>
      <x:c r="M157" s="12" t="n">
        <x:f>SUMIFS('统计计数'!$W$6:$W$95,'统计计数'!$B$6:$B$95,"N_H0",'统计计数'!$A$6:$A$95,"e")/$D157</x:f>
        <x:v>0.12524509196562983</x:v>
      </x:c>
      <x:c r="N157" s="12" t="n">
        <x:f>SUMIFS('统计计数'!$X$6:$X$95,'统计计数'!$B$6:$B$95,"N_H0",'统计计数'!$A$6:$A$95,"e")/$D157</x:f>
        <x:v>0</x:v>
      </x:c>
    </x:row>
    <x:row r="158" ht="24" customHeight="1">
      <x:c r="A158" s="10" t="str">
        <x:v>e</x:v>
      </x:c>
      <x:c r="B158" s="10" t="str">
        <x:v>N_H1</x:v>
      </x:c>
      <x:c r="C158" s="9" t="str">
        <x:v>节点</x:v>
      </x:c>
      <x:c r="D158" s="11" t="n">
        <x:f>SUMIFS('统计计数'!$C$6:$C$95,'统计计数'!$B$6:$B$95,"N_H1",'统计计数'!$A$6:$A$95,"e")</x:f>
        <x:v>3347</x:v>
      </x:c>
      <x:c r="E158" s="12" t="n">
        <x:f>SUMIFS('统计计数'!$E$6:$E$95,'统计计数'!$B$6:$B$95,"N_H1",'统计计数'!$A$6:$A$95,"e")/$D158</x:f>
        <x:v>0</x:v>
      </x:c>
      <x:c r="F158" s="12" t="n">
        <x:f>SUMIFS('统计计数'!$F$6:$F$95,'统计计数'!$B$6:$B$95,"N_H1",'统计计数'!$A$6:$A$95,"e")/$D158</x:f>
        <x:v>0.17089931281744847</x:v>
      </x:c>
      <x:c r="G158" s="12" t="n">
        <x:f>SUMIFS('统计计数'!$G$6:$G$95,'统计计数'!$B$6:$B$95,"N_H1",'统计计数'!$A$6:$A$95,"e")/$D158</x:f>
        <x:v>0.030475052285628922</x:v>
      </x:c>
      <x:c r="H158" s="12" t="n">
        <x:f>SUMIFS('统计计数'!$H$6:$H$95,'统计计数'!$B$6:$B$95,"N_H1",'统计计数'!$A$6:$A$95,"e")/$D158</x:f>
        <x:v>0</x:v>
      </x:c>
      <x:c r="I158" s="12" t="n">
        <x:f>SUMIFS('统计计数'!$I$6:$I$95,'统计计数'!$B$6:$B$95,"N_H1",'统计计数'!$A$6:$A$95,"e")/$D158</x:f>
        <x:v>0.6567074992530625</x:v>
      </x:c>
      <x:c r="J158" s="12" t="n">
        <x:f>SUMIFS('统计计数'!$J$6:$J$95,'统计计数'!$B$6:$B$95,"N_H1",'统计计数'!$A$6:$A$95,"e")/$D158</x:f>
        <x:v>0.003884075291305647</x:v>
      </x:c>
      <x:c r="K158" s="12" t="n">
        <x:f>SUMIFS('统计计数'!$K$6:$K$95,'统计计数'!$B$6:$B$95,"N_H1",'统计计数'!$A$6:$A$95,"e")/$D158</x:f>
        <x:v>0.05019420376456528</x:v>
      </x:c>
      <x:c r="L158" s="12" t="n">
        <x:f>SUMIFS('统计计数'!$L$6:$L$95,'统计计数'!$B$6:$B$95,"N_H1",'统计计数'!$A$6:$A$95,"e")/$D158</x:f>
        <x:v>0.00985957573946818</x:v>
      </x:c>
      <x:c r="M158" s="12" t="n">
        <x:f>SUMIFS('统计计数'!$M$6:$M$95,'统计计数'!$B$6:$B$95,"N_H1",'统计计数'!$A$6:$A$95,"e")/$D158</x:f>
        <x:v>0.07798028084852106</x:v>
      </x:c>
      <x:c r="N158" s="12" t="n">
        <x:f>SUMIFS('统计计数'!$N$6:$N$95,'统计计数'!$B$6:$B$95,"N_H1",'统计计数'!$A$6:$A$95,"e")/$D158</x:f>
        <x:v>0</x:v>
      </x:c>
    </x:row>
    <x:row r="159" ht="24" customHeight="1">
      <x:c r="A159" s="10" t="str">
        <x:v>e</x:v>
      </x:c>
      <x:c r="B159" s="10" t="str">
        <x:v>N_H1</x:v>
      </x:c>
      <x:c r="C159" s="9" t="str">
        <x:v>源三角形</x:v>
      </x:c>
      <x:c r="D159" s="11" t="n">
        <x:f>SUMIFS('统计计数'!$D$6:$D$95,'统计计数'!$B$6:$B$95,"N_H1",'统计计数'!$A$6:$A$95,"e")</x:f>
        <x:v>15496224</x:v>
      </x:c>
      <x:c r="E159" s="12" t="n">
        <x:f>SUMIFS('统计计数'!$O$6:$O$95,'统计计数'!$B$6:$B$95,"N_H1",'统计计数'!$A$6:$A$95,"e")/$D159</x:f>
        <x:v>0</x:v>
      </x:c>
      <x:c r="F159" s="12" t="n">
        <x:f>SUMIFS('统计计数'!$P$6:$P$95,'统计计数'!$B$6:$B$95,"N_H1",'统计计数'!$A$6:$A$95,"e")/$D159</x:f>
        <x:v>0.09432659207817337</x:v>
      </x:c>
      <x:c r="G159" s="12" t="n">
        <x:f>SUMIFS('统计计数'!$Q$6:$Q$95,'统计计数'!$B$6:$B$95,"N_H1",'统计计数'!$A$6:$A$95,"e")/$D159</x:f>
        <x:v>0.01617142343838086</x:v>
      </x:c>
      <x:c r="H159" s="12" t="n">
        <x:f>SUMIFS('统计计数'!$R$6:$R$95,'统计计数'!$B$6:$B$95,"N_H1",'统计计数'!$A$6:$A$95,"e")/$D159</x:f>
        <x:v>0</x:v>
      </x:c>
      <x:c r="I159" s="12" t="n">
        <x:f>SUMIFS('统计计数'!$S$6:$S$95,'统计计数'!$B$6:$B$95,"N_H1",'统计计数'!$A$6:$A$95,"e")/$D159</x:f>
        <x:v>0.6143211404275003</x:v>
      </x:c>
      <x:c r="J159" s="12" t="n">
        <x:f>SUMIFS('统计计数'!$T$6:$T$95,'统计计数'!$B$6:$B$95,"N_H1",'统计计数'!$A$6:$A$95,"e")/$D159</x:f>
        <x:v>0.001537793981295056</x:v>
      </x:c>
      <x:c r="K159" s="12" t="n">
        <x:f>SUMIFS('统计计数'!$U$6:$U$95,'统计计数'!$B$6:$B$95,"N_H1",'统计计数'!$A$6:$A$95,"e")/$D159</x:f>
        <x:v>0.0890770551587277</x:v>
      </x:c>
      <x:c r="L159" s="12" t="n">
        <x:f>SUMIFS('统计计数'!$V$6:$V$95,'统计计数'!$B$6:$B$95,"N_H1",'统计计数'!$A$6:$A$95,"e")/$D159</x:f>
        <x:v>0.05932090295029292</x:v>
      </x:c>
      <x:c r="M159" s="12" t="n">
        <x:f>SUMIFS('统计计数'!$W$6:$W$95,'统计计数'!$B$6:$B$95,"N_H1",'统计计数'!$A$6:$A$95,"e")/$D159</x:f>
        <x:v>0.12524509196562983</x:v>
      </x:c>
      <x:c r="N159" s="12" t="n">
        <x:f>SUMIFS('统计计数'!$X$6:$X$95,'统计计数'!$B$6:$B$95,"N_H1",'统计计数'!$A$6:$A$95,"e")/$D159</x:f>
        <x:v>0</x:v>
      </x:c>
    </x:row>
    <x:row r="160" ht="24" customHeight="1">
      <x:c r="A160" s="10" t="str">
        <x:v>e</x:v>
      </x:c>
      <x:c r="B160" s="10" t="str">
        <x:v>C_H0</x:v>
      </x:c>
      <x:c r="C160" s="9" t="str">
        <x:v>节点</x:v>
      </x:c>
      <x:c r="D160" s="11" t="n">
        <x:f>SUMIFS('统计计数'!$C$6:$C$95,'统计计数'!$B$6:$B$95,"C_H0",'统计计数'!$A$6:$A$95,"e")</x:f>
        <x:v>3347</x:v>
      </x:c>
      <x:c r="E160" s="12" t="n">
        <x:f>SUMIFS('统计计数'!$E$6:$E$95,'统计计数'!$B$6:$B$95,"C_H0",'统计计数'!$A$6:$A$95,"e")/$D160</x:f>
        <x:v>0</x:v>
      </x:c>
      <x:c r="F160" s="12" t="n">
        <x:f>SUMIFS('统计计数'!$F$6:$F$95,'统计计数'!$B$6:$B$95,"C_H0",'统计计数'!$A$6:$A$95,"e")/$D160</x:f>
        <x:v>0.33522557514191814</x:v>
      </x:c>
      <x:c r="G160" s="12" t="n">
        <x:f>SUMIFS('统计计数'!$G$6:$G$95,'统计计数'!$B$6:$B$95,"C_H0",'统计计数'!$A$6:$A$95,"e")/$D160</x:f>
        <x:v>0</x:v>
      </x:c>
      <x:c r="H160" s="12" t="n">
        <x:f>SUMIFS('统计计数'!$H$6:$H$95,'统计计数'!$B$6:$B$95,"C_H0",'统计计数'!$A$6:$A$95,"e")/$D160</x:f>
        <x:v>0</x:v>
      </x:c>
      <x:c r="I160" s="12" t="n">
        <x:f>SUMIFS('统计计数'!$I$6:$I$95,'统计计数'!$B$6:$B$95,"C_H0",'统计计数'!$A$6:$A$95,"e")/$D160</x:f>
        <x:v>0.6641768748132656</x:v>
      </x:c>
      <x:c r="J160" s="12" t="n">
        <x:f>SUMIFS('统计计数'!$J$6:$J$95,'统计计数'!$B$6:$B$95,"C_H0",'统计计数'!$A$6:$A$95,"e")/$D160</x:f>
        <x:v>0</x:v>
      </x:c>
      <x:c r="K160" s="12" t="n">
        <x:f>SUMIFS('统计计数'!$K$6:$K$95,'统计计数'!$B$6:$B$95,"C_H0",'统计计数'!$A$6:$A$95,"e")/$D160</x:f>
        <x:v>0.0005975500448162533</x:v>
      </x:c>
      <x:c r="L160" s="12" t="n">
        <x:f>SUMIFS('统计计数'!$L$6:$L$95,'统计计数'!$B$6:$B$95,"C_H0",'统计计数'!$A$6:$A$95,"e")/$D160</x:f>
        <x:v>0</x:v>
      </x:c>
      <x:c r="M160" s="12" t="n">
        <x:f>SUMIFS('统计计数'!$M$6:$M$95,'统计计数'!$B$6:$B$95,"C_H0",'统计计数'!$A$6:$A$95,"e")/$D160</x:f>
        <x:v>0</x:v>
      </x:c>
      <x:c r="N160" s="12" t="n">
        <x:f>SUMIFS('统计计数'!$N$6:$N$95,'统计计数'!$B$6:$B$95,"C_H0",'统计计数'!$A$6:$A$95,"e")/$D160</x:f>
        <x:v>0</x:v>
      </x:c>
    </x:row>
    <x:row r="161" ht="24" customHeight="1">
      <x:c r="A161" s="10" t="str">
        <x:v>e</x:v>
      </x:c>
      <x:c r="B161" s="10" t="str">
        <x:v>C_H0</x:v>
      </x:c>
      <x:c r="C161" s="9" t="str">
        <x:v>源三角形</x:v>
      </x:c>
      <x:c r="D161" s="11" t="n">
        <x:f>SUMIFS('统计计数'!$D$6:$D$95,'统计计数'!$B$6:$B$95,"C_H0",'统计计数'!$A$6:$A$95,"e")</x:f>
        <x:v>15496224</x:v>
      </x:c>
      <x:c r="E161" s="12" t="n">
        <x:f>SUMIFS('统计计数'!$O$6:$O$95,'统计计数'!$B$6:$B$95,"C_H0",'统计计数'!$A$6:$A$95,"e")/$D161</x:f>
        <x:v>0</x:v>
      </x:c>
      <x:c r="F161" s="12" t="n">
        <x:f>SUMIFS('统计计数'!$P$6:$P$95,'统计计数'!$B$6:$B$95,"C_H0",'统计计数'!$A$6:$A$95,"e")/$D161</x:f>
        <x:v>0.18157597618619864</x:v>
      </x:c>
      <x:c r="G161" s="12" t="n">
        <x:f>SUMIFS('统计计数'!$Q$6:$Q$95,'统计计数'!$B$6:$B$95,"C_H0",'统计计数'!$A$6:$A$95,"e")/$D161</x:f>
        <x:v>0</x:v>
      </x:c>
      <x:c r="H161" s="12" t="n">
        <x:f>SUMIFS('统计计数'!$R$6:$R$95,'统计计数'!$B$6:$B$95,"C_H0",'统计计数'!$A$6:$A$95,"e")/$D161</x:f>
        <x:v>0</x:v>
      </x:c>
      <x:c r="I161" s="12" t="n">
        <x:f>SUMIFS('统计计数'!$S$6:$S$95,'统计计数'!$B$6:$B$95,"C_H0",'统计计数'!$A$6:$A$95,"e")/$D161</x:f>
        <x:v>0.8174347505560065</x:v>
      </x:c>
      <x:c r="J161" s="12" t="n">
        <x:f>SUMIFS('统计计数'!$T$6:$T$95,'统计计数'!$B$6:$B$95,"C_H0",'统计计数'!$A$6:$A$95,"e")/$D161</x:f>
        <x:v>0</x:v>
      </x:c>
      <x:c r="K161" s="12" t="n">
        <x:f>SUMIFS('统计计数'!$U$6:$U$95,'统计计数'!$B$6:$B$95,"C_H0",'统计计数'!$A$6:$A$95,"e")/$D161</x:f>
        <x:v>0.0009892732577949312</x:v>
      </x:c>
      <x:c r="L161" s="12" t="n">
        <x:f>SUMIFS('统计计数'!$V$6:$V$95,'统计计数'!$B$6:$B$95,"C_H0",'统计计数'!$A$6:$A$95,"e")/$D161</x:f>
        <x:v>0</x:v>
      </x:c>
      <x:c r="M161" s="12" t="n">
        <x:f>SUMIFS('统计计数'!$W$6:$W$95,'统计计数'!$B$6:$B$95,"C_H0",'统计计数'!$A$6:$A$95,"e")/$D161</x:f>
        <x:v>0</x:v>
      </x:c>
      <x:c r="N161" s="12" t="n">
        <x:f>SUMIFS('统计计数'!$X$6:$X$95,'统计计数'!$B$6:$B$95,"C_H0",'统计计数'!$A$6:$A$95,"e")/$D161</x:f>
        <x:v>0</x:v>
      </x:c>
    </x:row>
    <x:row r="162" ht="24" customHeight="1">
      <x:c r="A162" s="10" t="str">
        <x:v>e</x:v>
      </x:c>
      <x:c r="B162" s="10" t="str">
        <x:v>C_H1</x:v>
      </x:c>
      <x:c r="C162" s="9" t="str">
        <x:v>节点</x:v>
      </x:c>
      <x:c r="D162" s="11" t="n">
        <x:f>SUMIFS('统计计数'!$C$6:$C$95,'统计计数'!$B$6:$B$95,"C_H1",'统计计数'!$A$6:$A$95,"e")</x:f>
        <x:v>3347</x:v>
      </x:c>
      <x:c r="E162" s="12" t="n">
        <x:f>SUMIFS('统计计数'!$E$6:$E$95,'统计计数'!$B$6:$B$95,"C_H1",'统计计数'!$A$6:$A$95,"e")/$D162</x:f>
        <x:v>0</x:v>
      </x:c>
      <x:c r="F162" s="12" t="n">
        <x:f>SUMIFS('统计计数'!$F$6:$F$95,'统计计数'!$B$6:$B$95,"C_H1",'统计计数'!$A$6:$A$95,"e")/$D162</x:f>
        <x:v>0.33492680011951</x:v>
      </x:c>
      <x:c r="G162" s="12" t="n">
        <x:f>SUMIFS('统计计数'!$G$6:$G$95,'统计计数'!$B$6:$B$95,"C_H1",'统计计数'!$A$6:$A$95,"e")/$D162</x:f>
        <x:v>0</x:v>
      </x:c>
      <x:c r="H162" s="12" t="n">
        <x:f>SUMIFS('统计计数'!$H$6:$H$95,'统计计数'!$B$6:$B$95,"C_H1",'统计计数'!$A$6:$A$95,"e")/$D162</x:f>
        <x:v>0</x:v>
      </x:c>
      <x:c r="I162" s="12" t="n">
        <x:f>SUMIFS('统计计数'!$I$6:$I$95,'统计计数'!$B$6:$B$95,"C_H1",'统计计数'!$A$6:$A$95,"e")/$D162</x:f>
        <x:v>0.6641768748132656</x:v>
      </x:c>
      <x:c r="J162" s="12" t="n">
        <x:f>SUMIFS('统计计数'!$J$6:$J$95,'统计计数'!$B$6:$B$95,"C_H1",'统计计数'!$A$6:$A$95,"e")/$D162</x:f>
        <x:v>0</x:v>
      </x:c>
      <x:c r="K162" s="12" t="n">
        <x:f>SUMIFS('统计计数'!$K$6:$K$95,'统计计数'!$B$6:$B$95,"C_H1",'统计计数'!$A$6:$A$95,"e")/$D162</x:f>
        <x:v>0.00089632506722438</x:v>
      </x:c>
      <x:c r="L162" s="12" t="n">
        <x:f>SUMIFS('统计计数'!$L$6:$L$95,'统计计数'!$B$6:$B$95,"C_H1",'统计计数'!$A$6:$A$95,"e")/$D162</x:f>
        <x:v>0</x:v>
      </x:c>
      <x:c r="M162" s="12" t="n">
        <x:f>SUMIFS('统计计数'!$M$6:$M$95,'统计计数'!$B$6:$B$95,"C_H1",'统计计数'!$A$6:$A$95,"e")/$D162</x:f>
        <x:v>0</x:v>
      </x:c>
      <x:c r="N162" s="12" t="n">
        <x:f>SUMIFS('统计计数'!$N$6:$N$95,'统计计数'!$B$6:$B$95,"C_H1",'统计计数'!$A$6:$A$95,"e")/$D162</x:f>
        <x:v>0</x:v>
      </x:c>
    </x:row>
    <x:row r="163" ht="24" customHeight="1">
      <x:c r="A163" s="10" t="str">
        <x:v>e</x:v>
      </x:c>
      <x:c r="B163" s="10" t="str">
        <x:v>C_H1</x:v>
      </x:c>
      <x:c r="C163" s="9" t="str">
        <x:v>源三角形</x:v>
      </x:c>
      <x:c r="D163" s="11" t="n">
        <x:f>SUMIFS('统计计数'!$D$6:$D$95,'统计计数'!$B$6:$B$95,"C_H1",'统计计数'!$A$6:$A$95,"e")</x:f>
        <x:v>15496224</x:v>
      </x:c>
      <x:c r="E163" s="12" t="n">
        <x:f>SUMIFS('统计计数'!$O$6:$O$95,'统计计数'!$B$6:$B$95,"C_H1",'统计计数'!$A$6:$A$95,"e")/$D163</x:f>
        <x:v>0</x:v>
      </x:c>
      <x:c r="F163" s="12" t="n">
        <x:f>SUMIFS('统计计数'!$P$6:$P$95,'统计计数'!$B$6:$B$95,"C_H1",'统计计数'!$A$6:$A$95,"e")/$D163</x:f>
        <x:v>0.18151247684597227</x:v>
      </x:c>
      <x:c r="G163" s="12" t="n">
        <x:f>SUMIFS('统计计数'!$Q$6:$Q$95,'统计计数'!$B$6:$B$95,"C_H1",'统计计数'!$A$6:$A$95,"e")/$D163</x:f>
        <x:v>0</x:v>
      </x:c>
      <x:c r="H163" s="12" t="n">
        <x:f>SUMIFS('统计计数'!$R$6:$R$95,'统计计数'!$B$6:$B$95,"C_H1",'统计计数'!$A$6:$A$95,"e")/$D163</x:f>
        <x:v>0</x:v>
      </x:c>
      <x:c r="I163" s="12" t="n">
        <x:f>SUMIFS('统计计数'!$S$6:$S$95,'统计计数'!$B$6:$B$95,"C_H1",'统计计数'!$A$6:$A$95,"e")/$D163</x:f>
        <x:v>0.8174347505560065</x:v>
      </x:c>
      <x:c r="J163" s="12" t="n">
        <x:f>SUMIFS('统计计数'!$T$6:$T$95,'统计计数'!$B$6:$B$95,"C_H1",'统计计数'!$A$6:$A$95,"e")/$D163</x:f>
        <x:v>0</x:v>
      </x:c>
      <x:c r="K163" s="12" t="n">
        <x:f>SUMIFS('统计计数'!$U$6:$U$95,'统计计数'!$B$6:$B$95,"C_H1",'统计计数'!$A$6:$A$95,"e")/$D163</x:f>
        <x:v>0.0010527725980212987</x:v>
      </x:c>
      <x:c r="L163" s="12" t="n">
        <x:f>SUMIFS('统计计数'!$V$6:$V$95,'统计计数'!$B$6:$B$95,"C_H1",'统计计数'!$A$6:$A$95,"e")/$D163</x:f>
        <x:v>0</x:v>
      </x:c>
      <x:c r="M163" s="12" t="n">
        <x:f>SUMIFS('统计计数'!$W$6:$W$95,'统计计数'!$B$6:$B$95,"C_H1",'统计计数'!$A$6:$A$95,"e")/$D163</x:f>
        <x:v>0</x:v>
      </x:c>
      <x:c r="N163" s="12" t="n">
        <x:f>SUMIFS('统计计数'!$X$6:$X$95,'统计计数'!$B$6:$B$95,"C_H1",'统计计数'!$A$6:$A$95,"e")/$D163</x:f>
        <x:v>0</x:v>
      </x:c>
    </x:row>
    <x:row r="164" ht="24" customHeight="1">
      <x:c r="A164" s="10" t="str">
        <x:v>e</x:v>
      </x:c>
      <x:c r="B164" s="10" t="str">
        <x:v>NG_H0</x:v>
      </x:c>
      <x:c r="C164" s="9" t="str">
        <x:v>节点</x:v>
      </x:c>
      <x:c r="D164" s="11" t="n">
        <x:f>SUMIFS('统计计数'!$C$6:$C$95,'统计计数'!$B$6:$B$95,"NG_H0",'统计计数'!$A$6:$A$95,"e")</x:f>
        <x:v>3347</x:v>
      </x:c>
      <x:c r="E164" s="12" t="n">
        <x:f>SUMIFS('统计计数'!$E$6:$E$95,'统计计数'!$B$6:$B$95,"NG_H0",'统计计数'!$A$6:$A$95,"e")/$D164</x:f>
        <x:v>0.005676725425754407</x:v>
      </x:c>
      <x:c r="F164" s="12" t="n">
        <x:f>SUMIFS('统计计数'!$F$6:$F$95,'统计计数'!$B$6:$B$95,"NG_H0",'统计计数'!$A$6:$A$95,"e")/$D164</x:f>
        <x:v>0.19958171496862862</x:v>
      </x:c>
      <x:c r="G164" s="12" t="n">
        <x:f>SUMIFS('统计计数'!$G$6:$G$95,'统计计数'!$B$6:$B$95,"NG_H0",'统计计数'!$A$6:$A$95,"e")/$D164</x:f>
        <x:v>0.3295488497161637</x:v>
      </x:c>
      <x:c r="H164" s="12" t="n">
        <x:f>SUMIFS('统计计数'!$H$6:$H$95,'统计计数'!$B$6:$B$95,"NG_H0",'统计计数'!$A$6:$A$95,"e")/$D164</x:f>
        <x:v>0.27845832088437406</x:v>
      </x:c>
      <x:c r="I164" s="12" t="n">
        <x:f>SUMIFS('统计计数'!$I$6:$I$95,'统计计数'!$B$6:$B$95,"NG_H0",'统计计数'!$A$6:$A$95,"e")/$D164</x:f>
        <x:v>0.03824320286824021</x:v>
      </x:c>
      <x:c r="J164" s="12" t="n">
        <x:f>SUMIFS('统计计数'!$J$6:$J$95,'统计计数'!$B$6:$B$95,"NG_H0",'统计计数'!$A$6:$A$95,"e")/$D164</x:f>
        <x:v>0.010158350761876307</x:v>
      </x:c>
      <x:c r="K164" s="12" t="n">
        <x:f>SUMIFS('统计计数'!$K$6:$K$95,'统计计数'!$B$6:$B$95,"NG_H0",'统计计数'!$A$6:$A$95,"e")/$D164</x:f>
        <x:v>0.05049297878697341</x:v>
      </x:c>
      <x:c r="L164" s="12" t="n">
        <x:f>SUMIFS('统计计数'!$L$6:$L$95,'统计计数'!$B$6:$B$95,"NG_H0",'统计计数'!$A$6:$A$95,"e")/$D164</x:f>
        <x:v>0.00985957573946818</x:v>
      </x:c>
      <x:c r="M164" s="12" t="n">
        <x:f>SUMIFS('统计计数'!$M$6:$M$95,'统计计数'!$B$6:$B$95,"NG_H0",'统计计数'!$A$6:$A$95,"e")/$D164</x:f>
        <x:v>0.07678518075888856</x:v>
      </x:c>
      <x:c r="N164" s="12" t="n">
        <x:f>SUMIFS('统计计数'!$N$6:$N$95,'统计计数'!$B$6:$B$95,"NG_H0",'统计计数'!$A$6:$A$95,"e")/$D164</x:f>
        <x:v>0.0011951000896325067</x:v>
      </x:c>
    </x:row>
    <x:row r="165" ht="24" customHeight="1">
      <x:c r="A165" s="10" t="str">
        <x:v>e</x:v>
      </x:c>
      <x:c r="B165" s="10" t="str">
        <x:v>NG_H0</x:v>
      </x:c>
      <x:c r="C165" s="9" t="str">
        <x:v>源三角形</x:v>
      </x:c>
      <x:c r="D165" s="11" t="n">
        <x:f>SUMIFS('统计计数'!$D$6:$D$95,'统计计数'!$B$6:$B$95,"NG_H0",'统计计数'!$A$6:$A$95,"e")</x:f>
        <x:v>15496224</x:v>
      </x:c>
      <x:c r="E165" s="12" t="n">
        <x:f>SUMIFS('统计计数'!$O$6:$O$95,'统计计数'!$B$6:$B$95,"NG_H0",'统计计数'!$A$6:$A$95,"e")/$D165</x:f>
        <x:v>0.000589562979987899</x:v>
      </x:c>
      <x:c r="F165" s="12" t="n">
        <x:f>SUMIFS('统计计数'!$P$6:$P$95,'统计计数'!$B$6:$B$95,"NG_H0",'统计计数'!$A$6:$A$95,"e")/$D165</x:f>
        <x:v>0.14178318537470805</x:v>
      </x:c>
      <x:c r="G165" s="12" t="n">
        <x:f>SUMIFS('统计计数'!$Q$6:$Q$95,'统计计数'!$B$6:$B$95,"NG_H0",'统计计数'!$A$6:$A$95,"e")/$D165</x:f>
        <x:v>0.1531859632385283</x:v>
      </x:c>
      <x:c r="H165" s="12" t="n">
        <x:f>SUMIFS('统计计数'!$R$6:$R$95,'统计计数'!$B$6:$B$95,"NG_H0",'统计计数'!$A$6:$A$95,"e")/$D165</x:f>
        <x:v>0.32793305001269984</x:v>
      </x:c>
      <x:c r="I165" s="12" t="n">
        <x:f>SUMIFS('统计计数'!$S$6:$S$95,'统计计数'!$B$6:$B$95,"NG_H0",'统计计数'!$A$6:$A$95,"e")/$D165</x:f>
        <x:v>0.04211167830304983</x:v>
      </x:c>
      <x:c r="J165" s="12" t="n">
        <x:f>SUMIFS('统计计数'!$T$6:$T$95,'统计计数'!$B$6:$B$95,"NG_H0",'统计计数'!$A$6:$A$95,"e")/$D165</x:f>
        <x:v>0.037231650755693776</x:v>
      </x:c>
      <x:c r="K165" s="12" t="n">
        <x:f>SUMIFS('统计计数'!$U$6:$U$95,'统计计数'!$B$6:$B$95,"NG_H0",'统计计数'!$A$6:$A$95,"e")/$D165</x:f>
        <x:v>0.11259891441940953</x:v>
      </x:c>
      <x:c r="L165" s="12" t="n">
        <x:f>SUMIFS('统计计数'!$V$6:$V$95,'统计计数'!$B$6:$B$95,"NG_H0",'统计计数'!$A$6:$A$95,"e")/$D165</x:f>
        <x:v>0.05932090295029292</x:v>
      </x:c>
      <x:c r="M165" s="12" t="n">
        <x:f>SUMIFS('统计计数'!$W$6:$W$95,'统计计数'!$B$6:$B$95,"NG_H0",'统计计数'!$A$6:$A$95,"e")/$D165</x:f>
        <x:v>0.1250778254108872</x:v>
      </x:c>
      <x:c r="N165" s="12" t="n">
        <x:f>SUMIFS('统计计数'!$X$6:$X$95,'统计计数'!$B$6:$B$95,"NG_H0",'统计计数'!$A$6:$A$95,"e")/$D165</x:f>
        <x:v>0.00016726655474262633</x:v>
      </x:c>
    </x:row>
    <x:row r="166" ht="24" customHeight="1">
      <x:c r="A166" s="10" t="str">
        <x:v>e</x:v>
      </x:c>
      <x:c r="B166" s="10" t="str">
        <x:v>NG_H1</x:v>
      </x:c>
      <x:c r="C166" s="9" t="str">
        <x:v>节点</x:v>
      </x:c>
      <x:c r="D166" s="11" t="n">
        <x:f>SUMIFS('统计计数'!$C$6:$C$95,'统计计数'!$B$6:$B$95,"NG_H1",'统计计数'!$A$6:$A$95,"e")</x:f>
        <x:v>3347</x:v>
      </x:c>
      <x:c r="E166" s="12" t="n">
        <x:f>SUMIFS('统计计数'!$E$6:$E$95,'统计计数'!$B$6:$B$95,"NG_H1",'统计计数'!$A$6:$A$95,"e")/$D166</x:f>
        <x:v>0.005676725425754407</x:v>
      </x:c>
      <x:c r="F166" s="12" t="n">
        <x:f>SUMIFS('统计计数'!$F$6:$F$95,'统计计数'!$B$6:$B$95,"NG_H1",'统计计数'!$A$6:$A$95,"e")/$D166</x:f>
        <x:v>0.17627726322079473</x:v>
      </x:c>
      <x:c r="G166" s="12" t="n">
        <x:f>SUMIFS('统计计数'!$G$6:$G$95,'统计计数'!$B$6:$B$95,"NG_H1",'统计计数'!$A$6:$A$95,"e")/$D166</x:f>
        <x:v>0.31102479832685986</x:v>
      </x:c>
      <x:c r="H166" s="12" t="n">
        <x:f>SUMIFS('统计计数'!$H$6:$H$95,'统计计数'!$B$6:$B$95,"NG_H1",'统计计数'!$A$6:$A$95,"e")/$D166</x:f>
        <x:v>0.29369584702718854</x:v>
      </x:c>
      <x:c r="I166" s="12" t="n">
        <x:f>SUMIFS('统计计数'!$I$6:$I$95,'统计计数'!$B$6:$B$95,"NG_H1",'统计计数'!$A$6:$A$95,"e")/$D166</x:f>
        <x:v>0.060950104571257845</x:v>
      </x:c>
      <x:c r="J166" s="12" t="n">
        <x:f>SUMIFS('统计计数'!$J$6:$J$95,'统计计数'!$B$6:$B$95,"NG_H1",'统计计数'!$A$6:$A$95,"e")/$D166</x:f>
        <x:v>0.014042426053181954</x:v>
      </x:c>
      <x:c r="K166" s="12" t="n">
        <x:f>SUMIFS('统计计数'!$K$6:$K$95,'统计计数'!$B$6:$B$95,"NG_H1",'统计计数'!$A$6:$A$95,"e")/$D166</x:f>
        <x:v>0.05049297878697341</x:v>
      </x:c>
      <x:c r="L166" s="12" t="n">
        <x:f>SUMIFS('统计计数'!$L$6:$L$95,'统计计数'!$B$6:$B$95,"NG_H1",'统计计数'!$A$6:$A$95,"e")/$D166</x:f>
        <x:v>0.00985957573946818</x:v>
      </x:c>
      <x:c r="M166" s="12" t="n">
        <x:f>SUMIFS('统计计数'!$M$6:$M$95,'统计计数'!$B$6:$B$95,"NG_H1",'统计计数'!$A$6:$A$95,"e")/$D166</x:f>
        <x:v>0.07678518075888856</x:v>
      </x:c>
      <x:c r="N166" s="12" t="n">
        <x:f>SUMIFS('统计计数'!$N$6:$N$95,'统计计数'!$B$6:$B$95,"NG_H1",'统计计数'!$A$6:$A$95,"e")/$D166</x:f>
        <x:v>0.0011951000896325067</x:v>
      </x:c>
    </x:row>
    <x:row r="167" ht="24" customHeight="1">
      <x:c r="A167" s="10" t="str">
        <x:v>e</x:v>
      </x:c>
      <x:c r="B167" s="10" t="str">
        <x:v>NG_H1</x:v>
      </x:c>
      <x:c r="C167" s="9" t="str">
        <x:v>源三角形</x:v>
      </x:c>
      <x:c r="D167" s="11" t="n">
        <x:f>SUMIFS('统计计数'!$D$6:$D$95,'统计计数'!$B$6:$B$95,"NG_H1",'统计计数'!$A$6:$A$95,"e")</x:f>
        <x:v>15496224</x:v>
      </x:c>
      <x:c r="E167" s="12" t="n">
        <x:f>SUMIFS('统计计数'!$O$6:$O$95,'统计计数'!$B$6:$B$95,"NG_H1",'统计计数'!$A$6:$A$95,"e")/$D167</x:f>
        <x:v>0.000589562979987899</x:v>
      </x:c>
      <x:c r="F167" s="12" t="n">
        <x:f>SUMIFS('统计计数'!$P$6:$P$95,'统计计数'!$B$6:$B$95,"NG_H1",'统计计数'!$A$6:$A$95,"e")/$D167</x:f>
        <x:v>0.13690844943903754</x:v>
      </x:c>
      <x:c r="G167" s="12" t="n">
        <x:f>SUMIFS('统计计数'!$Q$6:$Q$95,'统计计数'!$B$6:$B$95,"NG_H1",'统计计数'!$A$6:$A$95,"e")/$D167</x:f>
        <x:v>0.137927149220352</x:v>
      </x:c>
      <x:c r="H167" s="12" t="n">
        <x:f>SUMIFS('统计计数'!$R$6:$R$95,'统计计数'!$B$6:$B$95,"NG_H1",'统计计数'!$A$6:$A$95,"e")/$D167</x:f>
        <x:v>0.3429746498243701</x:v>
      </x:c>
      <x:c r="I167" s="12" t="n">
        <x:f>SUMIFS('统计计数'!$S$6:$S$95,'统计计数'!$B$6:$B$95,"NG_H1",'统计计数'!$A$6:$A$95,"e")/$D167</x:f>
        <x:v>0.04566583446393134</x:v>
      </x:c>
      <x:c r="J167" s="12" t="n">
        <x:f>SUMIFS('统计计数'!$T$6:$T$95,'统计计数'!$B$6:$B$95,"NG_H1",'统计计数'!$A$6:$A$95,"e")/$D167</x:f>
        <x:v>0.03876944473698883</x:v>
      </x:c>
      <x:c r="K167" s="12" t="n">
        <x:f>SUMIFS('统计计数'!$U$6:$U$95,'统计计数'!$B$6:$B$95,"NG_H1",'统计计数'!$A$6:$A$95,"e")/$D167</x:f>
        <x:v>0.11259891441940953</x:v>
      </x:c>
      <x:c r="L167" s="12" t="n">
        <x:f>SUMIFS('统计计数'!$V$6:$V$95,'统计计数'!$B$6:$B$95,"NG_H1",'统计计数'!$A$6:$A$95,"e")/$D167</x:f>
        <x:v>0.05932090295029292</x:v>
      </x:c>
      <x:c r="M167" s="12" t="n">
        <x:f>SUMIFS('统计计数'!$W$6:$W$95,'统计计数'!$B$6:$B$95,"NG_H1",'统计计数'!$A$6:$A$95,"e")/$D167</x:f>
        <x:v>0.1250778254108872</x:v>
      </x:c>
      <x:c r="N167" s="12" t="n">
        <x:f>SUMIFS('统计计数'!$X$6:$X$95,'统计计数'!$B$6:$B$95,"NG_H1",'统计计数'!$A$6:$A$95,"e")/$D167</x:f>
        <x:v>0.00016726655474262633</x:v>
      </x:c>
    </x:row>
    <x:row r="168" ht="24" customHeight="1">
      <x:c r="A168" s="10" t="str">
        <x:v>e</x:v>
      </x:c>
      <x:c r="B168" s="10" t="str">
        <x:v>CG_H0</x:v>
      </x:c>
      <x:c r="C168" s="9" t="str">
        <x:v>节点</x:v>
      </x:c>
      <x:c r="D168" s="11" t="n">
        <x:f>SUMIFS('统计计数'!$C$6:$C$95,'统计计数'!$B$6:$B$95,"CG_H0",'统计计数'!$A$6:$A$95,"e")</x:f>
        <x:v>3347</x:v>
      </x:c>
      <x:c r="E168" s="12" t="n">
        <x:f>SUMIFS('统计计数'!$E$6:$E$95,'统计计数'!$B$6:$B$95,"CG_H0",'统计计数'!$A$6:$A$95,"e")/$D168</x:f>
        <x:v>0.005975500448162534</x:v>
      </x:c>
      <x:c r="F168" s="12" t="n">
        <x:f>SUMIFS('统计计数'!$F$6:$F$95,'统计计数'!$B$6:$B$95,"CG_H0",'统计计数'!$A$6:$A$95,"e")/$D168</x:f>
        <x:v>0.2730803704810278</x:v>
      </x:c>
      <x:c r="G168" s="12" t="n">
        <x:f>SUMIFS('统计计数'!$G$6:$G$95,'统计计数'!$B$6:$B$95,"CG_H0",'统计计数'!$A$6:$A$95,"e")/$D168</x:f>
        <x:v>0.4176874813265611</x:v>
      </x:c>
      <x:c r="H168" s="12" t="n">
        <x:f>SUMIFS('统计计数'!$H$6:$H$95,'统计计数'!$B$6:$B$95,"CG_H0",'统计计数'!$A$6:$A$95,"e")/$D168</x:f>
        <x:v>0.2539587690469077</x:v>
      </x:c>
      <x:c r="I168" s="12" t="n">
        <x:f>SUMIFS('统计计数'!$I$6:$I$95,'统计计数'!$B$6:$B$95,"CG_H0",'统计计数'!$A$6:$A$95,"e")/$D168</x:f>
        <x:v>0.03824320286824021</x:v>
      </x:c>
      <x:c r="J168" s="12" t="n">
        <x:f>SUMIFS('统计计数'!$J$6:$J$95,'统计计数'!$B$6:$B$95,"CG_H0",'统计计数'!$A$6:$A$95,"e")/$D168</x:f>
        <x:v>0.010158350761876307</x:v>
      </x:c>
      <x:c r="K168" s="12" t="n">
        <x:f>SUMIFS('统计计数'!$K$6:$K$95,'统计计数'!$B$6:$B$95,"CG_H0",'统计计数'!$A$6:$A$95,"e")/$D168</x:f>
        <x:v>0.00089632506722438</x:v>
      </x:c>
      <x:c r="L168" s="12" t="n">
        <x:f>SUMIFS('统计计数'!$L$6:$L$95,'统计计数'!$B$6:$B$95,"CG_H0",'统计计数'!$A$6:$A$95,"e")/$D168</x:f>
        <x:v>0</x:v>
      </x:c>
      <x:c r="M168" s="12" t="n">
        <x:f>SUMIFS('统计计数'!$M$6:$M$95,'统计计数'!$B$6:$B$95,"CG_H0",'统计计数'!$A$6:$A$95,"e")/$D168</x:f>
        <x:v>0</x:v>
      </x:c>
      <x:c r="N168" s="12" t="n">
        <x:f>SUMIFS('统计计数'!$N$6:$N$95,'统计计数'!$B$6:$B$95,"CG_H0",'统计计数'!$A$6:$A$95,"e")/$D168</x:f>
        <x:v>0</x:v>
      </x:c>
    </x:row>
    <x:row r="169" ht="24" customHeight="1">
      <x:c r="A169" s="10" t="str">
        <x:v>e</x:v>
      </x:c>
      <x:c r="B169" s="10" t="str">
        <x:v>CG_H0</x:v>
      </x:c>
      <x:c r="C169" s="9" t="str">
        <x:v>源三角形</x:v>
      </x:c>
      <x:c r="D169" s="11" t="n">
        <x:f>SUMIFS('统计计数'!$D$6:$D$95,'统计计数'!$B$6:$B$95,"CG_H0",'统计计数'!$A$6:$A$95,"e")</x:f>
        <x:v>15496224</x:v>
      </x:c>
      <x:c r="E169" s="12" t="n">
        <x:f>SUMIFS('统计计数'!$O$6:$O$95,'统计计数'!$B$6:$B$95,"CG_H0",'统计计数'!$A$6:$A$95,"e")/$D169</x:f>
        <x:v>0.0006207963953024944</x:v>
      </x:c>
      <x:c r="F169" s="12" t="n">
        <x:f>SUMIFS('统计计数'!$P$6:$P$95,'统计计数'!$B$6:$B$95,"CG_H0",'统计计数'!$A$6:$A$95,"e")/$D169</x:f>
        <x:v>0.19658969823874514</x:v>
      </x:c>
      <x:c r="G169" s="12" t="n">
        <x:f>SUMIFS('统计计数'!$Q$6:$Q$95,'统计计数'!$B$6:$B$95,"CG_H0",'统计计数'!$A$6:$A$95,"e")/$D169</x:f>
        <x:v>0.308423781174046</x:v>
      </x:c>
      <x:c r="H169" s="12" t="n">
        <x:f>SUMIFS('统计计数'!$R$6:$R$95,'统计计数'!$B$6:$B$95,"CG_H0",'统计计数'!$A$6:$A$95,"e")/$D169</x:f>
        <x:v>0.390511262614686</x:v>
      </x:c>
      <x:c r="I169" s="12" t="n">
        <x:f>SUMIFS('统计计数'!$S$6:$S$95,'统计计数'!$B$6:$B$95,"CG_H0",'统计计数'!$A$6:$A$95,"e")/$D169</x:f>
        <x:v>0.04211167830304983</x:v>
      </x:c>
      <x:c r="J169" s="12" t="n">
        <x:f>SUMIFS('统计计数'!$T$6:$T$95,'统计计数'!$B$6:$B$95,"CG_H0",'统计计数'!$A$6:$A$95,"e")/$D169</x:f>
        <x:v>0.037231650755693776</x:v>
      </x:c>
      <x:c r="K169" s="12" t="n">
        <x:f>SUMIFS('统计计数'!$U$6:$U$95,'统计计数'!$B$6:$B$95,"CG_H0",'统计计数'!$A$6:$A$95,"e")/$D169</x:f>
        <x:v>0.02451113251847676</x:v>
      </x:c>
      <x:c r="L169" s="12" t="n">
        <x:f>SUMIFS('统计计数'!$V$6:$V$95,'统计计数'!$B$6:$B$95,"CG_H0",'统计计数'!$A$6:$A$95,"e")/$D169</x:f>
        <x:v>0</x:v>
      </x:c>
      <x:c r="M169" s="12" t="n">
        <x:f>SUMIFS('统计计数'!$W$6:$W$95,'统计计数'!$B$6:$B$95,"CG_H0",'统计计数'!$A$6:$A$95,"e")/$D169</x:f>
        <x:v>0</x:v>
      </x:c>
      <x:c r="N169" s="12" t="n">
        <x:f>SUMIFS('统计计数'!$X$6:$X$95,'统计计数'!$B$6:$B$95,"CG_H0",'统计计数'!$A$6:$A$95,"e")/$D169</x:f>
        <x:v>0</x:v>
      </x:c>
    </x:row>
    <x:row r="170" ht="24" customHeight="1">
      <x:c r="A170" s="10" t="str">
        <x:v>e</x:v>
      </x:c>
      <x:c r="B170" s="10" t="str">
        <x:v>CG_H1</x:v>
      </x:c>
      <x:c r="C170" s="9" t="str">
        <x:v>节点</x:v>
      </x:c>
      <x:c r="D170" s="11" t="n">
        <x:f>SUMIFS('统计计数'!$C$6:$C$95,'统计计数'!$B$6:$B$95,"CG_H1",'统计计数'!$A$6:$A$95,"e")</x:f>
        <x:v>3347</x:v>
      </x:c>
      <x:c r="E170" s="12" t="n">
        <x:f>SUMIFS('统计计数'!$E$6:$E$95,'统计计数'!$B$6:$B$95,"CG_H1",'统计计数'!$A$6:$A$95,"e")/$D170</x:f>
        <x:v>0.005975500448162534</x:v>
      </x:c>
      <x:c r="F170" s="12" t="n">
        <x:f>SUMIFS('统计计数'!$F$6:$F$95,'统计计数'!$B$6:$B$95,"CG_H1",'统计计数'!$A$6:$A$95,"e")/$D170</x:f>
        <x:v>0.19778906483417985</x:v>
      </x:c>
      <x:c r="G170" s="12" t="n">
        <x:f>SUMIFS('统计计数'!$G$6:$G$95,'统计计数'!$B$6:$B$95,"CG_H1",'统计计数'!$A$6:$A$95,"e")/$D170</x:f>
        <x:v>0.4711682103376158</x:v>
      </x:c>
      <x:c r="H170" s="12" t="n">
        <x:f>SUMIFS('统计计数'!$H$6:$H$95,'统计计数'!$B$6:$B$95,"CG_H1",'统计计数'!$A$6:$A$95,"e")/$D170</x:f>
        <x:v>0.25276366895727514</x:v>
      </x:c>
      <x:c r="I170" s="12" t="n">
        <x:f>SUMIFS('统计计数'!$I$6:$I$95,'统计计数'!$B$6:$B$95,"CG_H1",'统计计数'!$A$6:$A$95,"e")/$D170</x:f>
        <x:v>0.060950104571257845</x:v>
      </x:c>
      <x:c r="J170" s="12" t="n">
        <x:f>SUMIFS('统计计数'!$J$6:$J$95,'统计计数'!$B$6:$B$95,"CG_H1",'统计计数'!$A$6:$A$95,"e")/$D170</x:f>
        <x:v>0.010158350761876307</x:v>
      </x:c>
      <x:c r="K170" s="12" t="n">
        <x:f>SUMIFS('统计计数'!$K$6:$K$95,'统计计数'!$B$6:$B$95,"CG_H1",'统计计数'!$A$6:$A$95,"e")/$D170</x:f>
        <x:v>0.0011951000896325067</x:v>
      </x:c>
      <x:c r="L170" s="12" t="n">
        <x:f>SUMIFS('统计计数'!$L$6:$L$95,'统计计数'!$B$6:$B$95,"CG_H1",'统计计数'!$A$6:$A$95,"e")/$D170</x:f>
        <x:v>0</x:v>
      </x:c>
      <x:c r="M170" s="12" t="n">
        <x:f>SUMIFS('统计计数'!$M$6:$M$95,'统计计数'!$B$6:$B$95,"CG_H1",'统计计数'!$A$6:$A$95,"e")/$D170</x:f>
        <x:v>0</x:v>
      </x:c>
      <x:c r="N170" s="12" t="n">
        <x:f>SUMIFS('统计计数'!$N$6:$N$95,'统计计数'!$B$6:$B$95,"CG_H1",'统计计数'!$A$6:$A$95,"e")/$D170</x:f>
        <x:v>0</x:v>
      </x:c>
    </x:row>
    <x:row r="171" ht="24" customHeight="1">
      <x:c r="A171" s="10" t="str">
        <x:v>e</x:v>
      </x:c>
      <x:c r="B171" s="10" t="str">
        <x:v>CG_H1</x:v>
      </x:c>
      <x:c r="C171" s="9" t="str">
        <x:v>源三角形</x:v>
      </x:c>
      <x:c r="D171" s="11" t="n">
        <x:f>SUMIFS('统计计数'!$D$6:$D$95,'统计计数'!$B$6:$B$95,"CG_H1",'统计计数'!$A$6:$A$95,"e")</x:f>
        <x:v>15496224</x:v>
      </x:c>
      <x:c r="E171" s="12" t="n">
        <x:f>SUMIFS('统计计数'!$O$6:$O$95,'统计计数'!$B$6:$B$95,"CG_H1",'统计计数'!$A$6:$A$95,"e")/$D171</x:f>
        <x:v>0.0006207963953024944</x:v>
      </x:c>
      <x:c r="F171" s="12" t="n">
        <x:f>SUMIFS('统计计数'!$P$6:$P$95,'统计计数'!$B$6:$B$95,"CG_H1",'统计计数'!$A$6:$A$95,"e")/$D171</x:f>
        <x:v>0.15732903706089948</x:v>
      </x:c>
      <x:c r="G171" s="12" t="n">
        <x:f>SUMIFS('统计计数'!$Q$6:$Q$95,'统计计数'!$B$6:$B$95,"CG_H1",'统计计数'!$A$6:$A$95,"e")/$D171</x:f>
        <x:v>0.3345145243125035</x:v>
      </x:c>
      <x:c r="H171" s="12" t="n">
        <x:f>SUMIFS('统计计数'!$R$6:$R$95,'统计计数'!$B$6:$B$95,"CG_H1",'统计计数'!$A$6:$A$95,"e")/$D171</x:f>
        <x:v>0.4000635251529663</x:v>
      </x:c>
      <x:c r="I171" s="12" t="n">
        <x:f>SUMIFS('统计计数'!$S$6:$S$95,'统计计数'!$B$6:$B$95,"CG_H1",'统计计数'!$A$6:$A$95,"e")/$D171</x:f>
        <x:v>0.04566583446393134</x:v>
      </x:c>
      <x:c r="J171" s="12" t="n">
        <x:f>SUMIFS('统计计数'!$T$6:$T$95,'统计计数'!$B$6:$B$95,"CG_H1",'统计计数'!$A$6:$A$95,"e")/$D171</x:f>
        <x:v>0.037231650755693776</x:v>
      </x:c>
      <x:c r="K171" s="12" t="n">
        <x:f>SUMIFS('统计计数'!$U$6:$U$95,'统计计数'!$B$6:$B$95,"CG_H1",'统计计数'!$A$6:$A$95,"e")/$D171</x:f>
        <x:v>0.024574631858703126</x:v>
      </x:c>
      <x:c r="L171" s="12" t="n">
        <x:f>SUMIFS('统计计数'!$V$6:$V$95,'统计计数'!$B$6:$B$95,"CG_H1",'统计计数'!$A$6:$A$95,"e")/$D171</x:f>
        <x:v>0</x:v>
      </x:c>
      <x:c r="M171" s="12" t="n">
        <x:f>SUMIFS('统计计数'!$W$6:$W$95,'统计计数'!$B$6:$B$95,"CG_H1",'统计计数'!$A$6:$A$95,"e")/$D171</x:f>
        <x:v>0</x:v>
      </x:c>
      <x:c r="N171" s="12" t="n">
        <x:f>SUMIFS('统计计数'!$X$6:$X$95,'统计计数'!$B$6:$B$95,"CG_H1",'统计计数'!$A$6:$A$95,"e")/$D171</x:f>
        <x:v>0</x:v>
      </x:c>
    </x:row>
    <x:row r="172" ht="24" customHeight="1">
      <x:c r="A172" s="10" t="str">
        <x:v>e</x:v>
      </x:c>
      <x:c r="B172" s="10" t="str">
        <x:v>NC_H0</x:v>
      </x:c>
      <x:c r="C172" s="9" t="str">
        <x:v>节点</x:v>
      </x:c>
      <x:c r="D172" s="11" t="n">
        <x:f>SUMIFS('统计计数'!$C$6:$C$95,'统计计数'!$B$6:$B$95,"NC_H0",'统计计数'!$A$6:$A$95,"e")</x:f>
        <x:v>3347</x:v>
      </x:c>
      <x:c r="E172" s="12" t="n">
        <x:f>SUMIFS('统计计数'!$E$6:$E$95,'统计计数'!$B$6:$B$95,"NC_H0",'统计计数'!$A$6:$A$95,"e")/$D172</x:f>
        <x:v>0</x:v>
      </x:c>
      <x:c r="F172" s="12" t="n">
        <x:f>SUMIFS('统计计数'!$F$6:$F$95,'统计计数'!$B$6:$B$95,"NC_H0",'统计计数'!$A$6:$A$95,"e")/$D172</x:f>
        <x:v>0.32207947415596055</x:v>
      </x:c>
      <x:c r="G172" s="12" t="n">
        <x:f>SUMIFS('统计计数'!$G$6:$G$95,'统计计数'!$B$6:$B$95,"NC_H0",'统计计数'!$A$6:$A$95,"e")/$D172</x:f>
        <x:v>0.024798326859874514</x:v>
      </x:c>
      <x:c r="H172" s="12" t="n">
        <x:f>SUMIFS('统计计数'!$H$6:$H$95,'统计计数'!$B$6:$B$95,"NC_H0",'统计计数'!$A$6:$A$95,"e")/$D172</x:f>
        <x:v>0</x:v>
      </x:c>
      <x:c r="I172" s="12" t="n">
        <x:f>SUMIFS('统计计数'!$I$6:$I$95,'统计计数'!$B$6:$B$95,"NC_H0",'统计计数'!$A$6:$A$95,"e")/$D172</x:f>
        <x:v>0.5371974902898118</x:v>
      </x:c>
      <x:c r="J172" s="12" t="n">
        <x:f>SUMIFS('统计计数'!$J$6:$J$95,'统计计数'!$B$6:$B$95,"NC_H0",'统计计数'!$A$6:$A$95,"e")/$D172</x:f>
        <x:v>0</x:v>
      </x:c>
      <x:c r="K172" s="12" t="n">
        <x:f>SUMIFS('统计计数'!$K$6:$K$95,'统计计数'!$B$6:$B$95,"NC_H0",'统计计数'!$A$6:$A$95,"e")/$D172</x:f>
        <x:v>0.05019420376456528</x:v>
      </x:c>
      <x:c r="L172" s="12" t="n">
        <x:f>SUMIFS('统计计数'!$L$6:$L$95,'统计计数'!$B$6:$B$95,"NC_H0",'统计计数'!$A$6:$A$95,"e")/$D172</x:f>
        <x:v>0.009560800717060053</x:v>
      </x:c>
      <x:c r="M172" s="12" t="n">
        <x:f>SUMIFS('统计计数'!$M$6:$M$95,'统计计数'!$B$6:$B$95,"NC_H0",'统计计数'!$A$6:$A$95,"e")/$D172</x:f>
        <x:v>0.056169704212727815</x:v>
      </x:c>
      <x:c r="N172" s="12" t="n">
        <x:f>SUMIFS('统计计数'!$N$6:$N$95,'统计计数'!$B$6:$B$95,"NC_H0",'统计计数'!$A$6:$A$95,"e")/$D172</x:f>
        <x:v>0</x:v>
      </x:c>
    </x:row>
    <x:row r="173" ht="24" customHeight="1">
      <x:c r="A173" s="10" t="str">
        <x:v>e</x:v>
      </x:c>
      <x:c r="B173" s="10" t="str">
        <x:v>NC_H0</x:v>
      </x:c>
      <x:c r="C173" s="9" t="str">
        <x:v>源三角形</x:v>
      </x:c>
      <x:c r="D173" s="11" t="n">
        <x:f>SUMIFS('统计计数'!$D$6:$D$95,'统计计数'!$B$6:$B$95,"NC_H0",'统计计数'!$A$6:$A$95,"e")</x:f>
        <x:v>15496224</x:v>
      </x:c>
      <x:c r="E173" s="12" t="n">
        <x:f>SUMIFS('统计计数'!$O$6:$O$95,'统计计数'!$B$6:$B$95,"NC_H0",'统计计数'!$A$6:$A$95,"e")/$D173</x:f>
        <x:v>0</x:v>
      </x:c>
      <x:c r="F173" s="12" t="n">
        <x:f>SUMIFS('统计计数'!$P$6:$P$95,'统计计数'!$B$6:$B$95,"NC_H0",'统计计数'!$A$6:$A$95,"e")/$D173</x:f>
        <x:v>0.17683714432625652</x:v>
      </x:c>
      <x:c r="G173" s="12" t="n">
        <x:f>SUMIFS('统计计数'!$Q$6:$Q$95,'统计计数'!$B$6:$B$95,"NC_H0",'统计计数'!$A$6:$A$95,"e")/$D173</x:f>
        <x:v>0.01581804702874713</x:v>
      </x:c>
      <x:c r="H173" s="12" t="n">
        <x:f>SUMIFS('统计计数'!$R$6:$R$95,'统计计数'!$B$6:$B$95,"NC_H0",'统计计数'!$A$6:$A$95,"e")/$D173</x:f>
        <x:v>0</x:v>
      </x:c>
      <x:c r="I173" s="12" t="n">
        <x:f>SUMIFS('统计计数'!$S$6:$S$95,'统计计数'!$B$6:$B$95,"NC_H0",'统计计数'!$A$6:$A$95,"e")/$D173</x:f>
        <x:v>0.5958452846319207</x:v>
      </x:c>
      <x:c r="J173" s="12" t="n">
        <x:f>SUMIFS('统计计数'!$T$6:$T$95,'统计计数'!$B$6:$B$95,"NC_H0",'统计计数'!$A$6:$A$95,"e")/$D173</x:f>
        <x:v>0</x:v>
      </x:c>
      <x:c r="K173" s="12" t="n">
        <x:f>SUMIFS('统计计数'!$U$6:$U$95,'统计计数'!$B$6:$B$95,"NC_H0",'统计计数'!$A$6:$A$95,"e")/$D173</x:f>
        <x:v>0.0890770551587277</x:v>
      </x:c>
      <x:c r="L173" s="12" t="n">
        <x:f>SUMIFS('统计计数'!$V$6:$V$95,'统计计数'!$B$6:$B$95,"NC_H0",'统计计数'!$A$6:$A$95,"e")/$D173</x:f>
        <x:v>0.059283603541094916</x:v>
      </x:c>
      <x:c r="M173" s="12" t="n">
        <x:f>SUMIFS('统计计数'!$W$6:$W$95,'统计计数'!$B$6:$B$95,"NC_H0",'统计计数'!$A$6:$A$95,"e")/$D173</x:f>
        <x:v>0.06313886531325309</x:v>
      </x:c>
      <x:c r="N173" s="12" t="n">
        <x:f>SUMIFS('统计计数'!$X$6:$X$95,'统计计数'!$B$6:$B$95,"NC_H0",'统计计数'!$A$6:$A$95,"e")/$D173</x:f>
        <x:v>0</x:v>
      </x:c>
    </x:row>
    <x:row r="174" ht="24" customHeight="1">
      <x:c r="A174" s="10" t="str">
        <x:v>e</x:v>
      </x:c>
      <x:c r="B174" s="10" t="str">
        <x:v>NC_H1</x:v>
      </x:c>
      <x:c r="C174" s="9" t="str">
        <x:v>节点</x:v>
      </x:c>
      <x:c r="D174" s="11" t="n">
        <x:f>SUMIFS('统计计数'!$C$6:$C$95,'统计计数'!$B$6:$B$95,"NC_H1",'统计计数'!$A$6:$A$95,"e")</x:f>
        <x:v>3347</x:v>
      </x:c>
      <x:c r="E174" s="12" t="n">
        <x:f>SUMIFS('统计计数'!$E$6:$E$95,'统计计数'!$B$6:$B$95,"NC_H1",'统计计数'!$A$6:$A$95,"e")/$D174</x:f>
        <x:v>0</x:v>
      </x:c>
      <x:c r="F174" s="12" t="n">
        <x:f>SUMIFS('统计计数'!$F$6:$F$95,'统计计数'!$B$6:$B$95,"NC_H1",'统计计数'!$A$6:$A$95,"e")/$D174</x:f>
        <x:v>0.32178069913355245</x:v>
      </x:c>
      <x:c r="G174" s="12" t="n">
        <x:f>SUMIFS('统计计数'!$G$6:$G$95,'统计计数'!$B$6:$B$95,"NC_H1",'统计计数'!$A$6:$A$95,"e")/$D174</x:f>
        <x:v>0.021810576635793246</x:v>
      </x:c>
      <x:c r="H174" s="12" t="n">
        <x:f>SUMIFS('统计计数'!$H$6:$H$95,'统计计数'!$B$6:$B$95,"NC_H1",'统计计数'!$A$6:$A$95,"e")/$D174</x:f>
        <x:v>0</x:v>
      </x:c>
      <x:c r="I174" s="12" t="n">
        <x:f>SUMIFS('统计计数'!$I$6:$I$95,'统计计数'!$B$6:$B$95,"NC_H1",'统计计数'!$A$6:$A$95,"e")/$D174</x:f>
        <x:v>0.5371974902898118</x:v>
      </x:c>
      <x:c r="J174" s="12" t="n">
        <x:f>SUMIFS('统计计数'!$J$6:$J$95,'统计计数'!$B$6:$B$95,"NC_H1",'统计计数'!$A$6:$A$95,"e")/$D174</x:f>
        <x:v>0.002987750224081267</x:v>
      </x:c>
      <x:c r="K174" s="12" t="n">
        <x:f>SUMIFS('统计计数'!$K$6:$K$95,'统计计数'!$B$6:$B$95,"NC_H1",'统计计数'!$A$6:$A$95,"e")/$D174</x:f>
        <x:v>0.05049297878697341</x:v>
      </x:c>
      <x:c r="L174" s="12" t="n">
        <x:f>SUMIFS('统计计数'!$L$6:$L$95,'统计计数'!$B$6:$B$95,"NC_H1",'统计计数'!$A$6:$A$95,"e")/$D174</x:f>
        <x:v>0.009560800717060053</x:v>
      </x:c>
      <x:c r="M174" s="12" t="n">
        <x:f>SUMIFS('统计计数'!$M$6:$M$95,'统计计数'!$B$6:$B$95,"NC_H1",'统计计数'!$A$6:$A$95,"e")/$D174</x:f>
        <x:v>0.056169704212727815</x:v>
      </x:c>
      <x:c r="N174" s="12" t="n">
        <x:f>SUMIFS('统计计数'!$N$6:$N$95,'统计计数'!$B$6:$B$95,"NC_H1",'统计计数'!$A$6:$A$95,"e")/$D174</x:f>
        <x:v>0</x:v>
      </x:c>
    </x:row>
    <x:row r="175" ht="24" customHeight="1">
      <x:c r="A175" s="10" t="str">
        <x:v>e</x:v>
      </x:c>
      <x:c r="B175" s="10" t="str">
        <x:v>NC_H1</x:v>
      </x:c>
      <x:c r="C175" s="9" t="str">
        <x:v>源三角形</x:v>
      </x:c>
      <x:c r="D175" s="11" t="n">
        <x:f>SUMIFS('统计计数'!$D$6:$D$95,'统计计数'!$B$6:$B$95,"NC_H1",'统计计数'!$A$6:$A$95,"e")</x:f>
        <x:v>15496224</x:v>
      </x:c>
      <x:c r="E175" s="12" t="n">
        <x:f>SUMIFS('统计计数'!$O$6:$O$95,'统计计数'!$B$6:$B$95,"NC_H1",'统计计数'!$A$6:$A$95,"e")/$D175</x:f>
        <x:v>0</x:v>
      </x:c>
      <x:c r="F175" s="12" t="n">
        <x:f>SUMIFS('统计计数'!$P$6:$P$95,'统计计数'!$B$6:$B$95,"NC_H1",'统计计数'!$A$6:$A$95,"e")/$D175</x:f>
        <x:v>0.17677364498603015</x:v>
      </x:c>
      <x:c r="G175" s="12" t="n">
        <x:f>SUMIFS('统计计数'!$Q$6:$Q$95,'统计计数'!$B$6:$B$95,"NC_H1",'统计计数'!$A$6:$A$95,"e")/$D175</x:f>
        <x:v>0.014485851520989888</x:v>
      </x:c>
      <x:c r="H175" s="12" t="n">
        <x:f>SUMIFS('统计计数'!$R$6:$R$95,'统计计数'!$B$6:$B$95,"NC_H1",'统计计数'!$A$6:$A$95,"e")/$D175</x:f>
        <x:v>0</x:v>
      </x:c>
      <x:c r="I175" s="12" t="n">
        <x:f>SUMIFS('统计计数'!$S$6:$S$95,'统计计数'!$B$6:$B$95,"NC_H1",'统计计数'!$A$6:$A$95,"e")/$D175</x:f>
        <x:v>0.5958452846319207</x:v>
      </x:c>
      <x:c r="J175" s="12" t="n">
        <x:f>SUMIFS('统计计数'!$T$6:$T$95,'统计计数'!$B$6:$B$95,"NC_H1",'统计计数'!$A$6:$A$95,"e")/$D175</x:f>
        <x:v>0.0013321955077572447</x:v>
      </x:c>
      <x:c r="K175" s="12" t="n">
        <x:f>SUMIFS('统计计数'!$U$6:$U$95,'统计计数'!$B$6:$B$95,"NC_H1",'统计计数'!$A$6:$A$95,"e")/$D175</x:f>
        <x:v>0.08914055449895407</x:v>
      </x:c>
      <x:c r="L175" s="12" t="n">
        <x:f>SUMIFS('统计计数'!$V$6:$V$95,'统计计数'!$B$6:$B$95,"NC_H1",'统计计数'!$A$6:$A$95,"e")/$D175</x:f>
        <x:v>0.059283603541094916</x:v>
      </x:c>
      <x:c r="M175" s="12" t="n">
        <x:f>SUMIFS('统计计数'!$W$6:$W$95,'统计计数'!$B$6:$B$95,"NC_H1",'统计计数'!$A$6:$A$95,"e")/$D175</x:f>
        <x:v>0.06313886531325309</x:v>
      </x:c>
      <x:c r="N175" s="12" t="n">
        <x:f>SUMIFS('统计计数'!$X$6:$X$95,'统计计数'!$B$6:$B$95,"NC_H1",'统计计数'!$A$6:$A$95,"e")/$D175</x:f>
        <x:v>0</x:v>
      </x:c>
    </x:row>
    <x:row r="176" ht="24" customHeight="1">
      <x:c r="A176" s="10" t="str">
        <x:v>e</x:v>
      </x:c>
      <x:c r="B176" s="10" t="str">
        <x:v>NCG_H0</x:v>
      </x:c>
      <x:c r="C176" s="9" t="str">
        <x:v>节点</x:v>
      </x:c>
      <x:c r="D176" s="11" t="n">
        <x:f>SUMIFS('统计计数'!$C$6:$C$95,'统计计数'!$B$6:$B$95,"NCG_H0",'统计计数'!$A$6:$A$95,"e")</x:f>
        <x:v>3347</x:v>
      </x:c>
      <x:c r="E176" s="12" t="n">
        <x:f>SUMIFS('统计计数'!$E$6:$E$95,'统计计数'!$B$6:$B$95,"NCG_H0",'统计计数'!$A$6:$A$95,"e")/$D176</x:f>
        <x:v>0</x:v>
      </x:c>
      <x:c r="F176" s="12" t="n">
        <x:f>SUMIFS('统计计数'!$F$6:$F$95,'统计计数'!$B$6:$B$95,"NCG_H0",'统计计数'!$A$6:$A$95,"e")/$D176</x:f>
        <x:v>0.21332536599940244</x:v>
      </x:c>
      <x:c r="G176" s="12" t="n">
        <x:f>SUMIFS('统计计数'!$G$6:$G$95,'统计计数'!$B$6:$B$95,"NCG_H0",'统计计数'!$A$6:$A$95,"e")/$D176</x:f>
        <x:v>0.35464595159844636</x:v>
      </x:c>
      <x:c r="H176" s="12" t="n">
        <x:f>SUMIFS('统计计数'!$H$6:$H$95,'统计计数'!$B$6:$B$95,"NCG_H0",'统计计数'!$A$6:$A$95,"e")/$D176</x:f>
        <x:v>0.2644158948311921</x:v>
      </x:c>
      <x:c r="I176" s="12" t="n">
        <x:f>SUMIFS('统计计数'!$I$6:$I$95,'统计计数'!$B$6:$B$95,"NCG_H0",'统计计数'!$A$6:$A$95,"e")/$D176</x:f>
        <x:v>0.04003585300268898</x:v>
      </x:c>
      <x:c r="J176" s="12" t="n">
        <x:f>SUMIFS('统计计数'!$J$6:$J$95,'统计计数'!$B$6:$B$95,"NCG_H0",'统计计数'!$A$6:$A$95,"e")/$D176</x:f>
        <x:v>0.011353450851508814</x:v>
      </x:c>
      <x:c r="K176" s="12" t="n">
        <x:f>SUMIFS('统计计数'!$K$6:$K$95,'统计计数'!$B$6:$B$95,"NCG_H0",'统计计数'!$A$6:$A$95,"e")/$D176</x:f>
        <x:v>0.05049297878697341</x:v>
      </x:c>
      <x:c r="L176" s="12" t="n">
        <x:f>SUMIFS('统计计数'!$L$6:$L$95,'统计计数'!$B$6:$B$95,"NCG_H0",'统计计数'!$A$6:$A$95,"e")/$D176</x:f>
        <x:v>0.009560800717060053</x:v>
      </x:c>
      <x:c r="M176" s="12" t="n">
        <x:f>SUMIFS('统计计数'!$M$6:$M$95,'统计计数'!$B$6:$B$95,"NCG_H0",'统计计数'!$A$6:$A$95,"e")/$D176</x:f>
        <x:v>0.05587092919031969</x:v>
      </x:c>
      <x:c r="N176" s="12" t="n">
        <x:f>SUMIFS('统计计数'!$N$6:$N$95,'统计计数'!$B$6:$B$95,"NCG_H0",'统计计数'!$A$6:$A$95,"e")/$D176</x:f>
        <x:v>0.00029877502240812666</x:v>
      </x:c>
    </x:row>
    <x:row r="177" ht="24" customHeight="1">
      <x:c r="A177" s="10" t="str">
        <x:v>e</x:v>
      </x:c>
      <x:c r="B177" s="10" t="str">
        <x:v>NCG_H0</x:v>
      </x:c>
      <x:c r="C177" s="9" t="str">
        <x:v>源三角形</x:v>
      </x:c>
      <x:c r="D177" s="11" t="n">
        <x:f>SUMIFS('统计计数'!$D$6:$D$95,'统计计数'!$B$6:$B$95,"NCG_H0",'统计计数'!$A$6:$A$95,"e")</x:f>
        <x:v>15496224</x:v>
      </x:c>
      <x:c r="E177" s="12" t="n">
        <x:f>SUMIFS('统计计数'!$O$6:$O$95,'统计计数'!$B$6:$B$95,"NCG_H0",'统计计数'!$A$6:$A$95,"e")/$D177</x:f>
        <x:v>0</x:v>
      </x:c>
      <x:c r="F177" s="12" t="n">
        <x:f>SUMIFS('统计计数'!$P$6:$P$95,'统计计数'!$B$6:$B$95,"NCG_H0",'统计计数'!$A$6:$A$95,"e")/$D177</x:f>
        <x:v>0.1442347503495045</x:v>
      </x:c>
      <x:c r="G177" s="12" t="n">
        <x:f>SUMIFS('统计计数'!$Q$6:$Q$95,'统计计数'!$B$6:$B$95,"NCG_H0",'统计计数'!$A$6:$A$95,"e")/$D177</x:f>
        <x:v>0.2115461160086483</x:v>
      </x:c>
      <x:c r="H177" s="12" t="n">
        <x:f>SUMIFS('统计计数'!$R$6:$R$95,'统计计数'!$B$6:$B$95,"NCG_H0",'统计计数'!$A$6:$A$95,"e")/$D177</x:f>
        <x:v>0.3294383199416839</x:v>
      </x:c>
      <x:c r="I177" s="12" t="n">
        <x:f>SUMIFS('统计计数'!$S$6:$S$95,'统计计数'!$B$6:$B$95,"NCG_H0",'统计计数'!$A$6:$A$95,"e")/$D177</x:f>
        <x:v>0.03881203575787237</x:v>
      </x:c>
      <x:c r="J177" s="12" t="n">
        <x:f>SUMIFS('统计计数'!$T$6:$T$95,'统计计数'!$B$6:$B$95,"NCG_H0",'统计计数'!$A$6:$A$95,"e")/$D177</x:f>
        <x:v>0.04094739466853344</x:v>
      </x:c>
      <x:c r="K177" s="12" t="n">
        <x:f>SUMIFS('统计计数'!$U$6:$U$95,'统计计数'!$B$6:$B$95,"NCG_H0",'统计计数'!$A$6:$A$95,"e")/$D177</x:f>
        <x:v>0.11259891441940953</x:v>
      </x:c>
      <x:c r="L177" s="12" t="n">
        <x:f>SUMIFS('统计计数'!$V$6:$V$95,'统计计数'!$B$6:$B$95,"NCG_H0",'统计计数'!$A$6:$A$95,"e")/$D177</x:f>
        <x:v>0.059283603541094916</x:v>
      </x:c>
      <x:c r="M177" s="12" t="n">
        <x:f>SUMIFS('统计计数'!$W$6:$W$95,'统计计数'!$B$6:$B$95,"NCG_H0",'统计计数'!$A$6:$A$95,"e")/$D177</x:f>
        <x:v>0.06309704867456743</x:v>
      </x:c>
      <x:c r="N177" s="12" t="n">
        <x:f>SUMIFS('统计计数'!$X$6:$X$95,'统计计数'!$B$6:$B$95,"NCG_H0",'统计计数'!$A$6:$A$95,"e")/$D177</x:f>
        <x:v>0.00004181663868565658</x:v>
      </x:c>
    </x:row>
    <x:row r="178" ht="24" customHeight="1">
      <x:c r="A178" s="10" t="str">
        <x:v>e</x:v>
      </x:c>
      <x:c r="B178" s="10" t="str">
        <x:v>NCG_H1</x:v>
      </x:c>
      <x:c r="C178" s="9" t="str">
        <x:v>节点</x:v>
      </x:c>
      <x:c r="D178" s="11" t="n">
        <x:f>SUMIFS('统计计数'!$C$6:$C$95,'统计计数'!$B$6:$B$95,"NCG_H1",'统计计数'!$A$6:$A$95,"e")</x:f>
        <x:v>3347</x:v>
      </x:c>
      <x:c r="E178" s="12" t="n">
        <x:f>SUMIFS('统计计数'!$E$6:$E$95,'统计计数'!$B$6:$B$95,"NCG_H1",'统计计数'!$A$6:$A$95,"e")/$D178</x:f>
        <x:v>0</x:v>
      </x:c>
      <x:c r="F178" s="12" t="n">
        <x:f>SUMIFS('统计计数'!$F$6:$F$95,'统计计数'!$B$6:$B$95,"NCG_H1",'统计计数'!$A$6:$A$95,"e")/$D178</x:f>
        <x:v>0.17956378846728413</x:v>
      </x:c>
      <x:c r="G178" s="12" t="n">
        <x:f>SUMIFS('统计计数'!$G$6:$G$95,'统计计数'!$B$6:$B$95,"NCG_H1",'统计计数'!$A$6:$A$95,"e")/$D178</x:f>
        <x:v>0.3642067523155064</x:v>
      </x:c>
      <x:c r="H178" s="12" t="n">
        <x:f>SUMIFS('统计计数'!$H$6:$H$95,'统计计数'!$B$6:$B$95,"NCG_H1",'统计计数'!$A$6:$A$95,"e")/$D178</x:f>
        <x:v>0.2575440693158052</x:v>
      </x:c>
      <x:c r="I178" s="12" t="n">
        <x:f>SUMIFS('统计计数'!$I$6:$I$95,'统计计数'!$B$6:$B$95,"NCG_H1",'统计计数'!$A$6:$A$95,"e")/$D178</x:f>
        <x:v>0.06782193008664476</x:v>
      </x:c>
      <x:c r="J178" s="12" t="n">
        <x:f>SUMIFS('统计计数'!$J$6:$J$95,'统计计数'!$B$6:$B$95,"NCG_H1",'统计计数'!$A$6:$A$95,"e")/$D178</x:f>
        <x:v>0.01434120107559008</x:v>
      </x:c>
      <x:c r="K178" s="12" t="n">
        <x:f>SUMIFS('统计计数'!$K$6:$K$95,'统计计数'!$B$6:$B$95,"NCG_H1",'统计计数'!$A$6:$A$95,"e")/$D178</x:f>
        <x:v>0.050791753809381536</x:v>
      </x:c>
      <x:c r="L178" s="12" t="n">
        <x:f>SUMIFS('统计计数'!$L$6:$L$95,'统计计数'!$B$6:$B$95,"NCG_H1",'统计计数'!$A$6:$A$95,"e")/$D178</x:f>
        <x:v>0.009560800717060053</x:v>
      </x:c>
      <x:c r="M178" s="12" t="n">
        <x:f>SUMIFS('统计计数'!$M$6:$M$95,'统计计数'!$B$6:$B$95,"NCG_H1",'统计计数'!$A$6:$A$95,"e")/$D178</x:f>
        <x:v>0.05587092919031969</x:v>
      </x:c>
      <x:c r="N178" s="12" t="n">
        <x:f>SUMIFS('统计计数'!$N$6:$N$95,'统计计数'!$B$6:$B$95,"NCG_H1",'统计计数'!$A$6:$A$95,"e")/$D178</x:f>
        <x:v>0.00029877502240812666</x:v>
      </x:c>
    </x:row>
    <x:row r="179" ht="24" customHeight="1">
      <x:c r="A179" s="10" t="str">
        <x:v>e</x:v>
      </x:c>
      <x:c r="B179" s="10" t="str">
        <x:v>NCG_H1</x:v>
      </x:c>
      <x:c r="C179" s="9" t="str">
        <x:v>源三角形</x:v>
      </x:c>
      <x:c r="D179" s="11" t="n">
        <x:f>SUMIFS('统计计数'!$D$6:$D$95,'统计计数'!$B$6:$B$95,"NCG_H1",'统计计数'!$A$6:$A$95,"e")</x:f>
        <x:v>15496224</x:v>
      </x:c>
      <x:c r="E179" s="12" t="n">
        <x:f>SUMIFS('统计计数'!$O$6:$O$95,'统计计数'!$B$6:$B$95,"NCG_H1",'统计计数'!$A$6:$A$95,"e")/$D179</x:f>
        <x:v>0</x:v>
      </x:c>
      <x:c r="F179" s="12" t="n">
        <x:f>SUMIFS('统计计数'!$P$6:$P$95,'统计计数'!$B$6:$B$95,"NCG_H1",'统计计数'!$A$6:$A$95,"e")/$D179</x:f>
        <x:v>0.1357772061116308</x:v>
      </x:c>
      <x:c r="G179" s="12" t="n">
        <x:f>SUMIFS('统计计数'!$Q$6:$Q$95,'统计计数'!$B$6:$B$95,"NCG_H1",'统计计数'!$A$6:$A$95,"e")/$D179</x:f>
        <x:v>0.20635039865195548</x:v>
      </x:c>
      <x:c r="H179" s="12" t="n">
        <x:f>SUMIFS('统计计数'!$R$6:$R$95,'统计计数'!$B$6:$B$95,"NCG_H1",'统计计数'!$A$6:$A$95,"e")/$D179</x:f>
        <x:v>0.3347150893017551</x:v>
      </x:c>
      <x:c r="I179" s="12" t="n">
        <x:f>SUMIFS('统计计数'!$S$6:$S$95,'统计计数'!$B$6:$B$95,"NCG_H1",'统计计数'!$A$6:$A$95,"e")/$D179</x:f>
        <x:v>0.04579283314438408</x:v>
      </x:c>
      <x:c r="J179" s="12" t="n">
        <x:f>SUMIFS('统计计数'!$T$6:$T$95,'统计计数'!$B$6:$B$95,"NCG_H1",'统计计数'!$A$6:$A$95,"e")/$D179</x:f>
        <x:v>0.04227959017629069</x:v>
      </x:c>
      <x:c r="K179" s="12" t="n">
        <x:f>SUMIFS('统计计数'!$U$6:$U$95,'统计计数'!$B$6:$B$95,"NCG_H1",'统计计数'!$A$6:$A$95,"e")/$D179</x:f>
        <x:v>0.1126624137596359</x:v>
      </x:c>
      <x:c r="L179" s="12" t="n">
        <x:f>SUMIFS('统计计数'!$V$6:$V$95,'统计计数'!$B$6:$B$95,"NCG_H1",'统计计数'!$A$6:$A$95,"e")/$D179</x:f>
        <x:v>0.059283603541094916</x:v>
      </x:c>
      <x:c r="M179" s="12" t="n">
        <x:f>SUMIFS('统计计数'!$W$6:$W$95,'统计计数'!$B$6:$B$95,"NCG_H1",'统计计数'!$A$6:$A$95,"e")/$D179</x:f>
        <x:v>0.06309704867456743</x:v>
      </x:c>
      <x:c r="N179" s="12" t="n">
        <x:f>SUMIFS('统计计数'!$X$6:$X$95,'统计计数'!$B$6:$B$95,"NCG_H1",'统计计数'!$A$6:$A$95,"e")/$D179</x:f>
        <x:v>0.00004181663868565658</x:v>
      </x:c>
    </x:row>
    <x:row r="180" ht="24" customHeight="1">
      <x:c r="A180" s="10" t="str">
        <x:v>e</x:v>
      </x:c>
      <x:c r="B180" s="10" t="str">
        <x:v>G_H0</x:v>
      </x:c>
      <x:c r="C180" s="9" t="str">
        <x:v>节点</x:v>
      </x:c>
      <x:c r="D180" s="11" t="n">
        <x:f>SUMIFS('统计计数'!$C$6:$C$95,'统计计数'!$B$6:$B$95,"G_H0",'统计计数'!$A$6:$A$95,"e")</x:f>
        <x:v>3347</x:v>
      </x:c>
      <x:c r="E180" s="12" t="n">
        <x:f>SUMIFS('统计计数'!$E$6:$E$95,'统计计数'!$B$6:$B$95,"G_H0",'统计计数'!$A$6:$A$95,"e")/$D180</x:f>
        <x:v>0</x:v>
      </x:c>
      <x:c r="F180" s="12" t="n">
        <x:f>SUMIFS('统计计数'!$F$6:$F$95,'统计计数'!$B$6:$B$95,"G_H0",'统计计数'!$A$6:$A$95,"e")/$D180</x:f>
        <x:v>0.16671646250373467</x:v>
      </x:c>
      <x:c r="G180" s="12" t="n">
        <x:f>SUMIFS('统计计数'!$G$6:$G$95,'统计计数'!$B$6:$B$95,"G_H0",'统计计数'!$A$6:$A$95,"e")/$D180</x:f>
        <x:v>0.49208246190618465</x:v>
      </x:c>
      <x:c r="H180" s="12" t="n">
        <x:f>SUMIFS('统计计数'!$H$6:$H$95,'统计计数'!$B$6:$B$95,"G_H0",'统计计数'!$A$6:$A$95,"e")/$D180</x:f>
        <x:v>0.292500746937556</x:v>
      </x:c>
      <x:c r="I180" s="12" t="n">
        <x:f>SUMIFS('统计计数'!$I$6:$I$95,'统计计数'!$B$6:$B$95,"G_H0",'统计计数'!$A$6:$A$95,"e")/$D180</x:f>
        <x:v>0.03824320286824021</x:v>
      </x:c>
      <x:c r="J180" s="12" t="n">
        <x:f>SUMIFS('统计计数'!$J$6:$J$95,'统计计数'!$B$6:$B$95,"G_H0",'统计计数'!$A$6:$A$95,"e")/$D180</x:f>
        <x:v>0.010158350761876307</x:v>
      </x:c>
      <x:c r="K180" s="12" t="n">
        <x:f>SUMIFS('统计计数'!$K$6:$K$95,'统计计数'!$B$6:$B$95,"G_H0",'统计计数'!$A$6:$A$95,"e")/$D180</x:f>
        <x:v>0.00029877502240812666</x:v>
      </x:c>
      <x:c r="L180" s="12" t="n">
        <x:f>SUMIFS('统计计数'!$L$6:$L$95,'统计计数'!$B$6:$B$95,"G_H0",'统计计数'!$A$6:$A$95,"e")/$D180</x:f>
        <x:v>0</x:v>
      </x:c>
      <x:c r="M180" s="12" t="n">
        <x:f>SUMIFS('统计计数'!$M$6:$M$95,'统计计数'!$B$6:$B$95,"G_H0",'统计计数'!$A$6:$A$95,"e")/$D180</x:f>
        <x:v>0</x:v>
      </x:c>
      <x:c r="N180" s="12" t="n">
        <x:f>SUMIFS('统计计数'!$N$6:$N$95,'统计计数'!$B$6:$B$95,"G_H0",'统计计数'!$A$6:$A$95,"e")/$D180</x:f>
        <x:v>0</x:v>
      </x:c>
    </x:row>
    <x:row r="181" ht="24" customHeight="1">
      <x:c r="A181" s="10" t="str">
        <x:v>e</x:v>
      </x:c>
      <x:c r="B181" s="10" t="str">
        <x:v>G_H0</x:v>
      </x:c>
      <x:c r="C181" s="9" t="str">
        <x:v>源三角形</x:v>
      </x:c>
      <x:c r="D181" s="11" t="n">
        <x:f>SUMIFS('统计计数'!$D$6:$D$95,'统计计数'!$B$6:$B$95,"G_H0",'统计计数'!$A$6:$A$95,"e")</x:f>
        <x:v>15496224</x:v>
      </x:c>
      <x:c r="E181" s="12" t="n">
        <x:f>SUMIFS('统计计数'!$O$6:$O$95,'统计计数'!$B$6:$B$95,"G_H0",'统计计数'!$A$6:$A$95,"e")/$D181</x:f>
        <x:v>0</x:v>
      </x:c>
      <x:c r="F181" s="12" t="n">
        <x:f>SUMIFS('统计计数'!$P$6:$P$95,'统计计数'!$B$6:$B$95,"G_H0",'统计计数'!$A$6:$A$95,"e")/$D181</x:f>
        <x:v>0.11800887751751653</x:v>
      </x:c>
      <x:c r="G181" s="12" t="n">
        <x:f>SUMIFS('统计计数'!$Q$6:$Q$95,'统计计数'!$B$6:$B$95,"G_H0",'统计计数'!$A$6:$A$95,"e")/$D181</x:f>
        <x:v>0.38493945363722154</x:v>
      </x:c>
      <x:c r="H181" s="12" t="n">
        <x:f>SUMIFS('统计计数'!$R$6:$R$95,'统计计数'!$B$6:$B$95,"G_H0",'统计计数'!$A$6:$A$95,"e")/$D181</x:f>
        <x:v>0.3941864805258365</x:v>
      </x:c>
      <x:c r="I181" s="12" t="n">
        <x:f>SUMIFS('统计计数'!$S$6:$S$95,'统计计数'!$B$6:$B$95,"G_H0",'统计计数'!$A$6:$A$95,"e")/$D181</x:f>
        <x:v>0.04211167830304983</x:v>
      </x:c>
      <x:c r="J181" s="12" t="n">
        <x:f>SUMIFS('统计计数'!$T$6:$T$95,'统计计数'!$B$6:$B$95,"G_H0",'统计计数'!$A$6:$A$95,"e")/$D181</x:f>
        <x:v>0.037231650755693776</x:v>
      </x:c>
      <x:c r="K181" s="12" t="n">
        <x:f>SUMIFS('统计计数'!$U$6:$U$95,'统计计数'!$B$6:$B$95,"G_H0",'统计计数'!$A$6:$A$95,"e")/$D181</x:f>
        <x:v>0.02352185926068183</x:v>
      </x:c>
      <x:c r="L181" s="12" t="n">
        <x:f>SUMIFS('统计计数'!$V$6:$V$95,'统计计数'!$B$6:$B$95,"G_H0",'统计计数'!$A$6:$A$95,"e")/$D181</x:f>
        <x:v>0</x:v>
      </x:c>
      <x:c r="M181" s="12" t="n">
        <x:f>SUMIFS('统计计数'!$W$6:$W$95,'统计计数'!$B$6:$B$95,"G_H0",'统计计数'!$A$6:$A$95,"e")/$D181</x:f>
        <x:v>0</x:v>
      </x:c>
      <x:c r="N181" s="12" t="n">
        <x:f>SUMIFS('统计计数'!$X$6:$X$95,'统计计数'!$B$6:$B$95,"G_H0",'统计计数'!$A$6:$A$95,"e")/$D181</x:f>
        <x:v>0</x:v>
      </x:c>
    </x:row>
    <x:row r="182" ht="24" customHeight="1">
      <x:c r="A182" s="10" t="str">
        <x:v>e</x:v>
      </x:c>
      <x:c r="B182" s="10" t="str">
        <x:v>G_H1</x:v>
      </x:c>
      <x:c r="C182" s="9" t="str">
        <x:v>节点</x:v>
      </x:c>
      <x:c r="D182" s="11" t="n">
        <x:f>SUMIFS('统计计数'!$C$6:$C$95,'统计计数'!$B$6:$B$95,"G_H1",'统计计数'!$A$6:$A$95,"e")</x:f>
        <x:v>3347</x:v>
      </x:c>
      <x:c r="E182" s="12" t="n">
        <x:f>SUMIFS('统计计数'!$E$6:$E$95,'统计计数'!$B$6:$B$95,"G_H1",'统计计数'!$A$6:$A$95,"e")/$D182</x:f>
        <x:v>0</x:v>
      </x:c>
      <x:c r="F182" s="12" t="n">
        <x:f>SUMIFS('统计计数'!$F$6:$F$95,'统计计数'!$B$6:$B$95,"G_H1",'统计计数'!$A$6:$A$95,"e")/$D182</x:f>
        <x:v>0.1096504332237825</x:v>
      </x:c>
      <x:c r="G182" s="12" t="n">
        <x:f>SUMIFS('统计计数'!$G$6:$G$95,'统计计数'!$B$6:$B$95,"G_H1",'统计计数'!$A$6:$A$95,"e")/$D182</x:f>
        <x:v>0.5085150881386317</x:v>
      </x:c>
      <x:c r="H182" s="12" t="n">
        <x:f>SUMIFS('统计计数'!$H$6:$H$95,'统计计数'!$B$6:$B$95,"G_H1",'统计计数'!$A$6:$A$95,"e")/$D182</x:f>
        <x:v>0.3104272482820436</x:v>
      </x:c>
      <x:c r="I182" s="12" t="n">
        <x:f>SUMIFS('统计计数'!$I$6:$I$95,'统计计数'!$B$6:$B$95,"G_H1",'统计计数'!$A$6:$A$95,"e")/$D182</x:f>
        <x:v>0.060950104571257845</x:v>
      </x:c>
      <x:c r="J182" s="12" t="n">
        <x:f>SUMIFS('统计计数'!$J$6:$J$95,'统计计数'!$B$6:$B$95,"G_H1",'统计计数'!$A$6:$A$95,"e")/$D182</x:f>
        <x:v>0.010158350761876307</x:v>
      </x:c>
      <x:c r="K182" s="12" t="n">
        <x:f>SUMIFS('统计计数'!$K$6:$K$95,'统计计数'!$B$6:$B$95,"G_H1",'统计计数'!$A$6:$A$95,"e")/$D182</x:f>
        <x:v>0.00029877502240812666</x:v>
      </x:c>
      <x:c r="L182" s="12" t="n">
        <x:f>SUMIFS('统计计数'!$L$6:$L$95,'统计计数'!$B$6:$B$95,"G_H1",'统计计数'!$A$6:$A$95,"e")/$D182</x:f>
        <x:v>0</x:v>
      </x:c>
      <x:c r="M182" s="12" t="n">
        <x:f>SUMIFS('统计计数'!$M$6:$M$95,'统计计数'!$B$6:$B$95,"G_H1",'统计计数'!$A$6:$A$95,"e")/$D182</x:f>
        <x:v>0</x:v>
      </x:c>
      <x:c r="N182" s="12" t="n">
        <x:f>SUMIFS('统计计数'!$N$6:$N$95,'统计计数'!$B$6:$B$95,"G_H1",'统计计数'!$A$6:$A$95,"e")/$D182</x:f>
        <x:v>0</x:v>
      </x:c>
    </x:row>
    <x:row r="183" ht="24" customHeight="1">
      <x:c r="A183" s="10" t="str">
        <x:v>e</x:v>
      </x:c>
      <x:c r="B183" s="10" t="str">
        <x:v>G_H1</x:v>
      </x:c>
      <x:c r="C183" s="9" t="str">
        <x:v>源三角形</x:v>
      </x:c>
      <x:c r="D183" s="11" t="n">
        <x:f>SUMIFS('统计计数'!$D$6:$D$95,'统计计数'!$B$6:$B$95,"G_H1",'统计计数'!$A$6:$A$95,"e")</x:f>
        <x:v>15496224</x:v>
      </x:c>
      <x:c r="E183" s="12" t="n">
        <x:f>SUMIFS('统计计数'!$O$6:$O$95,'统计计数'!$B$6:$B$95,"G_H1",'统计计数'!$A$6:$A$95,"e")/$D183</x:f>
        <x:v>0</x:v>
      </x:c>
      <x:c r="F183" s="12" t="n">
        <x:f>SUMIFS('统计计数'!$P$6:$P$95,'统计计数'!$B$6:$B$95,"G_H1",'统计计数'!$A$6:$A$95,"e")/$D183</x:f>
        <x:v>0.08439088128824157</x:v>
      </x:c>
      <x:c r="G183" s="12" t="n">
        <x:f>SUMIFS('统计计数'!$Q$6:$Q$95,'统计计数'!$B$6:$B$95,"G_H1",'统计计数'!$A$6:$A$95,"e")/$D183</x:f>
        <x:v>0.3997064058960428</x:v>
      </x:c>
      <x:c r="H183" s="12" t="n">
        <x:f>SUMIFS('统计计数'!$R$6:$R$95,'统计计数'!$B$6:$B$95,"G_H1",'统计计数'!$A$6:$A$95,"e")/$D183</x:f>
        <x:v>0.40948336833540866</x:v>
      </x:c>
      <x:c r="I183" s="12" t="n">
        <x:f>SUMIFS('统计计数'!$S$6:$S$95,'统计计数'!$B$6:$B$95,"G_H1",'统计计数'!$A$6:$A$95,"e")/$D183</x:f>
        <x:v>0.04566583446393134</x:v>
      </x:c>
      <x:c r="J183" s="12" t="n">
        <x:f>SUMIFS('统计计数'!$T$6:$T$95,'统计计数'!$B$6:$B$95,"G_H1",'统计计数'!$A$6:$A$95,"e")/$D183</x:f>
        <x:v>0.037231650755693776</x:v>
      </x:c>
      <x:c r="K183" s="12" t="n">
        <x:f>SUMIFS('统计计数'!$U$6:$U$95,'统计计数'!$B$6:$B$95,"G_H1",'统计计数'!$A$6:$A$95,"e")/$D183</x:f>
        <x:v>0.02352185926068183</x:v>
      </x:c>
      <x:c r="L183" s="12" t="n">
        <x:f>SUMIFS('统计计数'!$V$6:$V$95,'统计计数'!$B$6:$B$95,"G_H1",'统计计数'!$A$6:$A$95,"e")/$D183</x:f>
        <x:v>0</x:v>
      </x:c>
      <x:c r="M183" s="12" t="n">
        <x:f>SUMIFS('统计计数'!$W$6:$W$95,'统计计数'!$B$6:$B$95,"G_H1",'统计计数'!$A$6:$A$95,"e")/$D183</x:f>
        <x:v>0</x:v>
      </x:c>
      <x:c r="N183" s="12" t="n">
        <x:f>SUMIFS('统计计数'!$X$6:$X$95,'统计计数'!$B$6:$B$95,"G_H1",'统计计数'!$A$6:$A$95,"e")/$D183</x:f>
        <x:v>0</x:v>
      </x:c>
    </x:row>
    <x:row r="184" ht="24" customHeight="1">
      <x:c r="A184" s="10" t="str">
        <x:v>e</x:v>
      </x:c>
      <x:c r="B184" s="10" t="str">
        <x:v>NCG_H1_M1</x:v>
      </x:c>
      <x:c r="C184" s="9" t="str">
        <x:v>节点</x:v>
      </x:c>
      <x:c r="D184" s="11" t="n">
        <x:f>SUMIFS('统计计数'!$C$6:$C$95,'统计计数'!$B$6:$B$95,"NCG_H1_M1",'统计计数'!$A$6:$A$95,"e")</x:f>
        <x:v>3347</x:v>
      </x:c>
      <x:c r="E184" s="12" t="n">
        <x:f>SUMIFS('统计计数'!$E$6:$E$95,'统计计数'!$B$6:$B$95,"NCG_H1_M1",'统计计数'!$A$6:$A$95,"e")/$D184</x:f>
        <x:v>0</x:v>
      </x:c>
      <x:c r="F184" s="12" t="n">
        <x:f>SUMIFS('统计计数'!$F$6:$F$95,'统计计数'!$B$6:$B$95,"NCG_H1_M1",'统计计数'!$A$6:$A$95,"e")/$D184</x:f>
        <x:v>0.18225276366895726</x:v>
      </x:c>
      <x:c r="G184" s="12" t="n">
        <x:f>SUMIFS('统计计数'!$G$6:$G$95,'统计计数'!$B$6:$B$95,"NCG_H1_M1",'统计计数'!$A$6:$A$95,"e")/$D184</x:f>
        <x:v>0.35255452644158947</x:v>
      </x:c>
      <x:c r="H184" s="12" t="n">
        <x:f>SUMIFS('统计计数'!$H$6:$H$95,'统计计数'!$B$6:$B$95,"NCG_H1_M1",'统计计数'!$A$6:$A$95,"e")/$D184</x:f>
        <x:v>0.2506722438004183</x:v>
      </x:c>
      <x:c r="I184" s="12" t="n">
        <x:f>SUMIFS('统计计数'!$I$6:$I$95,'统计计数'!$B$6:$B$95,"NCG_H1_M1",'统计计数'!$A$6:$A$95,"e")/$D184</x:f>
        <x:v>0.06752315506423663</x:v>
      </x:c>
      <x:c r="J184" s="12" t="n">
        <x:f>SUMIFS('统计计数'!$J$6:$J$95,'统计计数'!$B$6:$B$95,"NCG_H1_M1",'统计计数'!$A$6:$A$95,"e")/$D184</x:f>
        <x:v>0.014042426053181954</x:v>
      </x:c>
      <x:c r="K184" s="12" t="n">
        <x:f>SUMIFS('统计计数'!$K$6:$K$95,'统计计数'!$B$6:$B$95,"NCG_H1_M1",'统计计数'!$A$6:$A$95,"e")/$D184</x:f>
        <x:v>0.050791753809381536</x:v>
      </x:c>
      <x:c r="L184" s="12" t="n">
        <x:f>SUMIFS('统计计数'!$L$6:$L$95,'统计计数'!$B$6:$B$95,"NCG_H1_M1",'统计计数'!$A$6:$A$95,"e")/$D184</x:f>
        <x:v>0.01703017627726322</x:v>
      </x:c>
      <x:c r="M184" s="12" t="n">
        <x:f>SUMIFS('统计计数'!$M$6:$M$95,'统计计数'!$B$6:$B$95,"NCG_H1_M1",'统计计数'!$A$6:$A$95,"e")/$D184</x:f>
        <x:v>0.06393785479533912</x:v>
      </x:c>
      <x:c r="N184" s="12" t="n">
        <x:f>SUMIFS('统计计数'!$N$6:$N$95,'统计计数'!$B$6:$B$95,"NCG_H1_M1",'统计计数'!$A$6:$A$95,"e")/$D184</x:f>
        <x:v>0.0011951000896325067</x:v>
      </x:c>
    </x:row>
    <x:row r="185" ht="24" customHeight="1">
      <x:c r="A185" s="10" t="str">
        <x:v>e</x:v>
      </x:c>
      <x:c r="B185" s="10" t="str">
        <x:v>NCG_H1_M1</x:v>
      </x:c>
      <x:c r="C185" s="9" t="str">
        <x:v>源三角形</x:v>
      </x:c>
      <x:c r="D185" s="11" t="n">
        <x:f>SUMIFS('统计计数'!$D$6:$D$95,'统计计数'!$B$6:$B$95,"NCG_H1_M1",'统计计数'!$A$6:$A$95,"e")</x:f>
        <x:v>15496224</x:v>
      </x:c>
      <x:c r="E185" s="12" t="n">
        <x:f>SUMIFS('统计计数'!$O$6:$O$95,'统计计数'!$B$6:$B$95,"NCG_H1_M1",'统计计数'!$A$6:$A$95,"e")/$D185</x:f>
        <x:v>0</x:v>
      </x:c>
      <x:c r="F185" s="12" t="n">
        <x:f>SUMIFS('统计计数'!$P$6:$P$95,'统计计数'!$B$6:$B$95,"NCG_H1_M1",'统计计数'!$A$6:$A$95,"e")/$D185</x:f>
        <x:v>0.13169479222809377</x:v>
      </x:c>
      <x:c r="G185" s="12" t="n">
        <x:f>SUMIFS('统计计数'!$Q$6:$Q$95,'统计计数'!$B$6:$B$95,"NCG_H1_M1",'统计计数'!$A$6:$A$95,"e")/$D185</x:f>
        <x:v>0.16417625351827644</x:v>
      </x:c>
      <x:c r="H185" s="12" t="n">
        <x:f>SUMIFS('统计计数'!$R$6:$R$95,'统计计数'!$B$6:$B$95,"NCG_H1_M1",'统计计数'!$A$6:$A$95,"e")/$D185</x:f>
        <x:v>0.3140870963145602</x:v>
      </x:c>
      <x:c r="I185" s="12" t="n">
        <x:f>SUMIFS('统计计数'!$S$6:$S$95,'统计计数'!$B$6:$B$95,"NCG_H1_M1",'统计计数'!$A$6:$A$95,"e")/$D185</x:f>
        <x:v>0.045720299345182416</x:v>
      </x:c>
      <x:c r="J185" s="12" t="n">
        <x:f>SUMIFS('统计计数'!$T$6:$T$95,'统计计数'!$B$6:$B$95,"NCG_H1_M1",'统计计数'!$A$6:$A$95,"e")/$D185</x:f>
        <x:v>0.04225997249394433</x:v>
      </x:c>
      <x:c r="K185" s="12" t="n">
        <x:f>SUMIFS('统计计数'!$U$6:$U$95,'统计计数'!$B$6:$B$95,"NCG_H1_M1",'统计计数'!$A$6:$A$95,"e")/$D185</x:f>
        <x:v>0.1126624137596359</x:v>
      </x:c>
      <x:c r="L185" s="12" t="n">
        <x:f>SUMIFS('统计计数'!$V$6:$V$95,'统计计数'!$B$6:$B$95,"NCG_H1_M1",'统计计数'!$A$6:$A$95,"e")/$D185</x:f>
        <x:v>0.08032640725895547</x:v>
      </x:c>
      <x:c r="M185" s="12" t="n">
        <x:f>SUMIFS('统计计数'!$W$6:$W$95,'统计计数'!$B$6:$B$95,"NCG_H1_M1",'统计计数'!$A$6:$A$95,"e")/$D185</x:f>
        <x:v>0.10867679765083417</x:v>
      </x:c>
      <x:c r="N185" s="12" t="n">
        <x:f>SUMIFS('统计计数'!$X$6:$X$95,'统计计数'!$B$6:$B$95,"NCG_H1_M1",'统计计数'!$A$6:$A$95,"e")/$D185</x:f>
        <x:v>0.00039596743051726664</x:v>
      </x:c>
    </x:row>
    <x:row r="186" ht="24" customHeight="1">
      <x:c r="A186" s="10" t="str">
        <x:v>f</x:v>
      </x:c>
      <x:c r="B186" s="10" t="str">
        <x:v>N_H0</x:v>
      </x:c>
      <x:c r="C186" s="9" t="str">
        <x:v>节点</x:v>
      </x:c>
      <x:c r="D186" s="11" t="n">
        <x:f>SUMIFS('统计计数'!$C$6:$C$95,'统计计数'!$B$6:$B$95,"N_H0",'统计计数'!$A$6:$A$95,"f")</x:f>
        <x:v>1480</x:v>
      </x:c>
      <x:c r="E186" s="12" t="n">
        <x:f>SUMIFS('统计计数'!$E$6:$E$95,'统计计数'!$B$6:$B$95,"N_H0",'统计计数'!$A$6:$A$95,"f")/$D186</x:f>
        <x:v>0</x:v>
      </x:c>
      <x:c r="F186" s="12" t="n">
        <x:f>SUMIFS('统计计数'!$F$6:$F$95,'统计计数'!$B$6:$B$95,"N_H0",'统计计数'!$A$6:$A$95,"f")/$D186</x:f>
        <x:v>0.17567567567567569</x:v>
      </x:c>
      <x:c r="G186" s="12" t="n">
        <x:f>SUMIFS('统计计数'!$G$6:$G$95,'统计计数'!$B$6:$B$95,"N_H0",'统计计数'!$A$6:$A$95,"f")/$D186</x:f>
        <x:v>0.043243243243243246</x:v>
      </x:c>
      <x:c r="H186" s="12" t="n">
        <x:f>SUMIFS('统计计数'!$H$6:$H$95,'统计计数'!$B$6:$B$95,"N_H0",'统计计数'!$A$6:$A$95,"f")/$D186</x:f>
        <x:v>0</x:v>
      </x:c>
      <x:c r="I186" s="12" t="n">
        <x:f>SUMIFS('统计计数'!$I$6:$I$95,'统计计数'!$B$6:$B$95,"N_H0",'统计计数'!$A$6:$A$95,"f")/$D186</x:f>
        <x:v>0.7006756756756757</x:v>
      </x:c>
      <x:c r="J186" s="12" t="n">
        <x:f>SUMIFS('统计计数'!$J$6:$J$95,'统计计数'!$B$6:$B$95,"N_H0",'统计计数'!$A$6:$A$95,"f")/$D186</x:f>
        <x:v>0</x:v>
      </x:c>
      <x:c r="K186" s="12" t="n">
        <x:f>SUMIFS('统计计数'!$K$6:$K$95,'统计计数'!$B$6:$B$95,"N_H0",'统计计数'!$A$6:$A$95,"f")/$D186</x:f>
        <x:v>0.004054054054054054</x:v>
      </x:c>
      <x:c r="L186" s="12" t="n">
        <x:f>SUMIFS('统计计数'!$L$6:$L$95,'统计计数'!$B$6:$B$95,"N_H0",'统计计数'!$A$6:$A$95,"f")/$D186</x:f>
        <x:v>0.008108108108108109</x:v>
      </x:c>
      <x:c r="M186" s="12" t="n">
        <x:f>SUMIFS('统计计数'!$M$6:$M$95,'统计计数'!$B$6:$B$95,"N_H0",'统计计数'!$A$6:$A$95,"f")/$D186</x:f>
        <x:v>0.06824324324324324</x:v>
      </x:c>
      <x:c r="N186" s="12" t="n">
        <x:f>SUMIFS('统计计数'!$N$6:$N$95,'统计计数'!$B$6:$B$95,"N_H0",'统计计数'!$A$6:$A$95,"f")/$D186</x:f>
        <x:v>0</x:v>
      </x:c>
    </x:row>
    <x:row r="187" ht="24" customHeight="1">
      <x:c r="A187" s="10" t="str">
        <x:v>f</x:v>
      </x:c>
      <x:c r="B187" s="10" t="str">
        <x:v>N_H0</x:v>
      </x:c>
      <x:c r="C187" s="9" t="str">
        <x:v>源三角形</x:v>
      </x:c>
      <x:c r="D187" s="11" t="n">
        <x:f>SUMIFS('统计计数'!$D$6:$D$95,'统计计数'!$B$6:$B$95,"N_H0",'统计计数'!$A$6:$A$95,"f")</x:f>
        <x:v>2911273</x:v>
      </x:c>
      <x:c r="E187" s="12" t="n">
        <x:f>SUMIFS('统计计数'!$O$6:$O$95,'统计计数'!$B$6:$B$95,"N_H0",'统计计数'!$A$6:$A$95,"f")/$D187</x:f>
        <x:v>0</x:v>
      </x:c>
      <x:c r="F187" s="12" t="n">
        <x:f>SUMIFS('统计计数'!$P$6:$P$95,'统计计数'!$B$6:$B$95,"N_H0",'统计计数'!$A$6:$A$95,"f")/$D187</x:f>
        <x:v>0.026362350765455525</x:v>
      </x:c>
      <x:c r="G187" s="12" t="n">
        <x:f>SUMIFS('统计计数'!$Q$6:$Q$95,'统计计数'!$B$6:$B$95,"N_H0",'统计计数'!$A$6:$A$95,"f")/$D187</x:f>
        <x:v>0.01598166850034332</x:v>
      </x:c>
      <x:c r="H187" s="12" t="n">
        <x:f>SUMIFS('统计计数'!$R$6:$R$95,'统计计数'!$B$6:$B$95,"N_H0",'统计计数'!$A$6:$A$95,"f")/$D187</x:f>
        <x:v>0</x:v>
      </x:c>
      <x:c r="I187" s="12" t="n">
        <x:f>SUMIFS('统计计数'!$S$6:$S$95,'统计计数'!$B$6:$B$95,"N_H0",'统计计数'!$A$6:$A$95,"f")/$D187</x:f>
        <x:v>0.22361832778993931</x:v>
      </x:c>
      <x:c r="J187" s="12" t="n">
        <x:f>SUMIFS('统计计数'!$T$6:$T$95,'统计计数'!$B$6:$B$95,"N_H0",'统计计数'!$A$6:$A$95,"f")/$D187</x:f>
        <x:v>0</x:v>
      </x:c>
      <x:c r="K187" s="12" t="n">
        <x:f>SUMIFS('统计计数'!$U$6:$U$95,'统计计数'!$B$6:$B$95,"N_H0",'统计计数'!$A$6:$A$95,"f")/$D187</x:f>
        <x:v>0.001829440248303749</x:v>
      </x:c>
      <x:c r="L187" s="12" t="n">
        <x:f>SUMIFS('统计计数'!$V$6:$V$95,'统计计数'!$B$6:$B$95,"N_H0",'统计计数'!$A$6:$A$95,"f")/$D187</x:f>
        <x:v>0.0025871843691745843</x:v>
      </x:c>
      <x:c r="M187" s="12" t="n">
        <x:f>SUMIFS('统计计数'!$W$6:$W$95,'统计计数'!$B$6:$B$95,"N_H0",'统计计数'!$A$6:$A$95,"f")/$D187</x:f>
        <x:v>0.7296210283267835</x:v>
      </x:c>
      <x:c r="N187" s="12" t="n">
        <x:f>SUMIFS('统计计数'!$X$6:$X$95,'统计计数'!$B$6:$B$95,"N_H0",'统计计数'!$A$6:$A$95,"f")/$D187</x:f>
        <x:v>0</x:v>
      </x:c>
    </x:row>
    <x:row r="188" ht="24" customHeight="1">
      <x:c r="A188" s="10" t="str">
        <x:v>f</x:v>
      </x:c>
      <x:c r="B188" s="10" t="str">
        <x:v>N_H1</x:v>
      </x:c>
      <x:c r="C188" s="9" t="str">
        <x:v>节点</x:v>
      </x:c>
      <x:c r="D188" s="11" t="n">
        <x:f>SUMIFS('统计计数'!$C$6:$C$95,'统计计数'!$B$6:$B$95,"N_H1",'统计计数'!$A$6:$A$95,"f")</x:f>
        <x:v>1480</x:v>
      </x:c>
      <x:c r="E188" s="12" t="n">
        <x:f>SUMIFS('统计计数'!$E$6:$E$95,'统计计数'!$B$6:$B$95,"N_H1",'统计计数'!$A$6:$A$95,"f")/$D188</x:f>
        <x:v>0</x:v>
      </x:c>
      <x:c r="F188" s="12" t="n">
        <x:f>SUMIFS('统计计数'!$F$6:$F$95,'统计计数'!$B$6:$B$95,"N_H1",'统计计数'!$A$6:$A$95,"f")/$D188</x:f>
        <x:v>0.1304054054054054</x:v>
      </x:c>
      <x:c r="G188" s="12" t="n">
        <x:f>SUMIFS('统计计数'!$G$6:$G$95,'统计计数'!$B$6:$B$95,"N_H1",'统计计数'!$A$6:$A$95,"f")/$D188</x:f>
        <x:v>0.00945945945945946</x:v>
      </x:c>
      <x:c r="H188" s="12" t="n">
        <x:f>SUMIFS('统计计数'!$H$6:$H$95,'统计计数'!$B$6:$B$95,"N_H1",'统计计数'!$A$6:$A$95,"f")/$D188</x:f>
        <x:v>0</x:v>
      </x:c>
      <x:c r="I188" s="12" t="n">
        <x:f>SUMIFS('统计计数'!$I$6:$I$95,'统计计数'!$B$6:$B$95,"N_H1",'统计计数'!$A$6:$A$95,"f")/$D188</x:f>
        <x:v>0.7006756756756757</x:v>
      </x:c>
      <x:c r="J188" s="12" t="n">
        <x:f>SUMIFS('统计计数'!$J$6:$J$95,'统计计数'!$B$6:$B$95,"N_H1",'统计计数'!$A$6:$A$95,"f")/$D188</x:f>
        <x:v>0.03175675675675676</x:v>
      </x:c>
      <x:c r="K188" s="12" t="n">
        <x:f>SUMIFS('统计计数'!$K$6:$K$95,'统计计数'!$B$6:$B$95,"N_H1",'统计计数'!$A$6:$A$95,"f")/$D188</x:f>
        <x:v>0.051351351351351354</x:v>
      </x:c>
      <x:c r="L188" s="12" t="n">
        <x:f>SUMIFS('统计计数'!$L$6:$L$95,'统计计数'!$B$6:$B$95,"N_H1",'统计计数'!$A$6:$A$95,"f")/$D188</x:f>
        <x:v>0.008108108108108109</x:v>
      </x:c>
      <x:c r="M188" s="12" t="n">
        <x:f>SUMIFS('统计计数'!$M$6:$M$95,'统计计数'!$B$6:$B$95,"N_H1",'统计计数'!$A$6:$A$95,"f")/$D188</x:f>
        <x:v>0.06824324324324324</x:v>
      </x:c>
      <x:c r="N188" s="12" t="n">
        <x:f>SUMIFS('统计计数'!$N$6:$N$95,'统计计数'!$B$6:$B$95,"N_H1",'统计计数'!$A$6:$A$95,"f")/$D188</x:f>
        <x:v>0</x:v>
      </x:c>
    </x:row>
    <x:row r="189" ht="24" customHeight="1">
      <x:c r="A189" s="10" t="str">
        <x:v>f</x:v>
      </x:c>
      <x:c r="B189" s="10" t="str">
        <x:v>N_H1</x:v>
      </x:c>
      <x:c r="C189" s="9" t="str">
        <x:v>源三角形</x:v>
      </x:c>
      <x:c r="D189" s="11" t="n">
        <x:f>SUMIFS('统计计数'!$D$6:$D$95,'统计计数'!$B$6:$B$95,"N_H1",'统计计数'!$A$6:$A$95,"f")</x:f>
        <x:v>2911273</x:v>
      </x:c>
      <x:c r="E189" s="12" t="n">
        <x:f>SUMIFS('统计计数'!$O$6:$O$95,'统计计数'!$B$6:$B$95,"N_H1",'统计计数'!$A$6:$A$95,"f")/$D189</x:f>
        <x:v>0</x:v>
      </x:c>
      <x:c r="F189" s="12" t="n">
        <x:f>SUMIFS('统计计数'!$P$6:$P$95,'统计计数'!$B$6:$B$95,"N_H1",'统计计数'!$A$6:$A$95,"f")/$D189</x:f>
        <x:v>0.0223833354000123</x:v>
      </x:c>
      <x:c r="G189" s="12" t="n">
        <x:f>SUMIFS('统计计数'!$Q$6:$Q$95,'统计计数'!$B$6:$B$95,"N_H1",'统计计数'!$A$6:$A$95,"f")/$D189</x:f>
        <x:v>0.0033081748087520476</x:v>
      </x:c>
      <x:c r="H189" s="12" t="n">
        <x:f>SUMIFS('统计计数'!$R$6:$R$95,'统计计数'!$B$6:$B$95,"N_H1",'统计计数'!$A$6:$A$95,"f")/$D189</x:f>
        <x:v>0</x:v>
      </x:c>
      <x:c r="I189" s="12" t="n">
        <x:f>SUMIFS('统计计数'!$S$6:$S$95,'统计计数'!$B$6:$B$95,"N_H1",'统计计数'!$A$6:$A$95,"f")/$D189</x:f>
        <x:v>0.22361832778993931</x:v>
      </x:c>
      <x:c r="J189" s="12" t="n">
        <x:f>SUMIFS('统计计数'!$T$6:$T$95,'统计计数'!$B$6:$B$95,"N_H1",'统计计数'!$A$6:$A$95,"f")/$D189</x:f>
        <x:v>0.01174056847296698</x:v>
      </x:c>
      <x:c r="K189" s="12" t="n">
        <x:f>SUMIFS('统计计数'!$U$6:$U$95,'统计计数'!$B$6:$B$95,"N_H1",'统计计数'!$A$6:$A$95,"f")/$D189</x:f>
        <x:v>0.006741380832371268</x:v>
      </x:c>
      <x:c r="L189" s="12" t="n">
        <x:f>SUMIFS('统计计数'!$V$6:$V$95,'统计计数'!$B$6:$B$95,"N_H1",'统计计数'!$A$6:$A$95,"f")/$D189</x:f>
        <x:v>0.0025871843691745843</x:v>
      </x:c>
      <x:c r="M189" s="12" t="n">
        <x:f>SUMIFS('统计计数'!$W$6:$W$95,'统计计数'!$B$6:$B$95,"N_H1",'统计计数'!$A$6:$A$95,"f")/$D189</x:f>
        <x:v>0.7296210283267835</x:v>
      </x:c>
      <x:c r="N189" s="12" t="n">
        <x:f>SUMIFS('统计计数'!$X$6:$X$95,'统计计数'!$B$6:$B$95,"N_H1",'统计计数'!$A$6:$A$95,"f")/$D189</x:f>
        <x:v>0</x:v>
      </x:c>
    </x:row>
    <x:row r="190" ht="24" customHeight="1">
      <x:c r="A190" s="10" t="str">
        <x:v>f</x:v>
      </x:c>
      <x:c r="B190" s="10" t="str">
        <x:v>C_H0</x:v>
      </x:c>
      <x:c r="C190" s="9" t="str">
        <x:v>节点</x:v>
      </x:c>
      <x:c r="D190" s="11" t="n">
        <x:f>SUMIFS('统计计数'!$C$6:$C$95,'统计计数'!$B$6:$B$95,"C_H0",'统计计数'!$A$6:$A$95,"f")</x:f>
        <x:v>1480</x:v>
      </x:c>
      <x:c r="E190" s="12" t="n">
        <x:f>SUMIFS('统计计数'!$E$6:$E$95,'统计计数'!$B$6:$B$95,"C_H0",'统计计数'!$A$6:$A$95,"f")/$D190</x:f>
        <x:v>0</x:v>
      </x:c>
      <x:c r="F190" s="12" t="n">
        <x:f>SUMIFS('统计计数'!$F$6:$F$95,'统计计数'!$B$6:$B$95,"C_H0",'统计计数'!$A$6:$A$95,"f")/$D190</x:f>
        <x:v>0.37567567567567567</x:v>
      </x:c>
      <x:c r="G190" s="12" t="n">
        <x:f>SUMIFS('统计计数'!$G$6:$G$95,'统计计数'!$B$6:$B$95,"C_H0",'统计计数'!$A$6:$A$95,"f")/$D190</x:f>
        <x:v>0</x:v>
      </x:c>
      <x:c r="H190" s="12" t="n">
        <x:f>SUMIFS('统计计数'!$H$6:$H$95,'统计计数'!$B$6:$B$95,"C_H0",'统计计数'!$A$6:$A$95,"f")/$D190</x:f>
        <x:v>0</x:v>
      </x:c>
      <x:c r="I190" s="12" t="n">
        <x:f>SUMIFS('统计计数'!$I$6:$I$95,'统计计数'!$B$6:$B$95,"C_H0",'统计计数'!$A$6:$A$95,"f")/$D190</x:f>
        <x:v>0.6236486486486487</x:v>
      </x:c>
      <x:c r="J190" s="12" t="n">
        <x:f>SUMIFS('统计计数'!$J$6:$J$95,'统计计数'!$B$6:$B$95,"C_H0",'统计计数'!$A$6:$A$95,"f")/$D190</x:f>
        <x:v>0</x:v>
      </x:c>
      <x:c r="K190" s="12" t="n">
        <x:f>SUMIFS('统计计数'!$K$6:$K$95,'统计计数'!$B$6:$B$95,"C_H0",'统计计数'!$A$6:$A$95,"f")/$D190</x:f>
        <x:v>0</x:v>
      </x:c>
      <x:c r="L190" s="12" t="n">
        <x:f>SUMIFS('统计计数'!$L$6:$L$95,'统计计数'!$B$6:$B$95,"C_H0",'统计计数'!$A$6:$A$95,"f")/$D190</x:f>
        <x:v>0</x:v>
      </x:c>
      <x:c r="M190" s="12" t="n">
        <x:f>SUMIFS('统计计数'!$M$6:$M$95,'统计计数'!$B$6:$B$95,"C_H0",'统计计数'!$A$6:$A$95,"f")/$D190</x:f>
        <x:v>0.0006756756756756757</x:v>
      </x:c>
      <x:c r="N190" s="12" t="n">
        <x:f>SUMIFS('统计计数'!$N$6:$N$95,'统计计数'!$B$6:$B$95,"C_H0",'统计计数'!$A$6:$A$95,"f")/$D190</x:f>
        <x:v>0</x:v>
      </x:c>
    </x:row>
    <x:row r="191" ht="24" customHeight="1">
      <x:c r="A191" s="10" t="str">
        <x:v>f</x:v>
      </x:c>
      <x:c r="B191" s="10" t="str">
        <x:v>C_H0</x:v>
      </x:c>
      <x:c r="C191" s="9" t="str">
        <x:v>源三角形</x:v>
      </x:c>
      <x:c r="D191" s="11" t="n">
        <x:f>SUMIFS('统计计数'!$D$6:$D$95,'统计计数'!$B$6:$B$95,"C_H0",'统计计数'!$A$6:$A$95,"f")</x:f>
        <x:v>2911273</x:v>
      </x:c>
      <x:c r="E191" s="12" t="n">
        <x:f>SUMIFS('统计计数'!$O$6:$O$95,'统计计数'!$B$6:$B$95,"C_H0",'统计计数'!$A$6:$A$95,"f")/$D191</x:f>
        <x:v>0</x:v>
      </x:c>
      <x:c r="F191" s="12" t="n">
        <x:f>SUMIFS('统计计数'!$P$6:$P$95,'统计计数'!$B$6:$B$95,"C_H0",'统计计数'!$A$6:$A$95,"f")/$D191</x:f>
        <x:v>0.772944344278259</x:v>
      </x:c>
      <x:c r="G191" s="12" t="n">
        <x:f>SUMIFS('统计计数'!$Q$6:$Q$95,'统计计数'!$B$6:$B$95,"C_H0",'统计计数'!$A$6:$A$95,"f")/$D191</x:f>
        <x:v>0</x:v>
      </x:c>
      <x:c r="H191" s="12" t="n">
        <x:f>SUMIFS('统计计数'!$R$6:$R$95,'统计计数'!$B$6:$B$95,"C_H0",'统计计数'!$A$6:$A$95,"f")/$D191</x:f>
        <x:v>0</x:v>
      </x:c>
      <x:c r="I191" s="12" t="n">
        <x:f>SUMIFS('统计计数'!$S$6:$S$95,'统计计数'!$B$6:$B$95,"C_H0",'统计计数'!$A$6:$A$95,"f")/$D191</x:f>
        <x:v>0.22676987008775887</x:v>
      </x:c>
      <x:c r="J191" s="12" t="n">
        <x:f>SUMIFS('统计计数'!$T$6:$T$95,'统计计数'!$B$6:$B$95,"C_H0",'统计计数'!$A$6:$A$95,"f")/$D191</x:f>
        <x:v>0</x:v>
      </x:c>
      <x:c r="K191" s="12" t="n">
        <x:f>SUMIFS('统计计数'!$U$6:$U$95,'统计计数'!$B$6:$B$95,"C_H0",'统计计数'!$A$6:$A$95,"f")/$D191</x:f>
        <x:v>0</x:v>
      </x:c>
      <x:c r="L191" s="12" t="n">
        <x:f>SUMIFS('统计计数'!$V$6:$V$95,'统计计数'!$B$6:$B$95,"C_H0",'统计计数'!$A$6:$A$95,"f")/$D191</x:f>
        <x:v>0</x:v>
      </x:c>
      <x:c r="M191" s="12" t="n">
        <x:f>SUMIFS('统计计数'!$W$6:$W$95,'统计计数'!$B$6:$B$95,"C_H0",'统计计数'!$A$6:$A$95,"f")/$D191</x:f>
        <x:v>0.00028578563398211023</x:v>
      </x:c>
      <x:c r="N191" s="12" t="n">
        <x:f>SUMIFS('统计计数'!$X$6:$X$95,'统计计数'!$B$6:$B$95,"C_H0",'统计计数'!$A$6:$A$95,"f")/$D191</x:f>
        <x:v>0</x:v>
      </x:c>
    </x:row>
    <x:row r="192" ht="24" customHeight="1">
      <x:c r="A192" s="10" t="str">
        <x:v>f</x:v>
      </x:c>
      <x:c r="B192" s="10" t="str">
        <x:v>C_H1</x:v>
      </x:c>
      <x:c r="C192" s="9" t="str">
        <x:v>节点</x:v>
      </x:c>
      <x:c r="D192" s="11" t="n">
        <x:f>SUMIFS('统计计数'!$C$6:$C$95,'统计计数'!$B$6:$B$95,"C_H1",'统计计数'!$A$6:$A$95,"f")</x:f>
        <x:v>1480</x:v>
      </x:c>
      <x:c r="E192" s="12" t="n">
        <x:f>SUMIFS('统计计数'!$E$6:$E$95,'统计计数'!$B$6:$B$95,"C_H1",'统计计数'!$A$6:$A$95,"f")/$D192</x:f>
        <x:v>0</x:v>
      </x:c>
      <x:c r="F192" s="12" t="n">
        <x:f>SUMIFS('统计计数'!$F$6:$F$95,'统计计数'!$B$6:$B$95,"C_H1",'统计计数'!$A$6:$A$95,"f")/$D192</x:f>
        <x:v>0.3054054054054054</x:v>
      </x:c>
      <x:c r="G192" s="12" t="n">
        <x:f>SUMIFS('统计计数'!$G$6:$G$95,'统计计数'!$B$6:$B$95,"C_H1",'统计计数'!$A$6:$A$95,"f")/$D192</x:f>
        <x:v>0</x:v>
      </x:c>
      <x:c r="H192" s="12" t="n">
        <x:f>SUMIFS('统计计数'!$H$6:$H$95,'统计计数'!$B$6:$B$95,"C_H1",'统计计数'!$A$6:$A$95,"f")/$D192</x:f>
        <x:v>0</x:v>
      </x:c>
      <x:c r="I192" s="12" t="n">
        <x:f>SUMIFS('统计计数'!$I$6:$I$95,'统计计数'!$B$6:$B$95,"C_H1",'统计计数'!$A$6:$A$95,"f")/$D192</x:f>
        <x:v>0.6236486486486487</x:v>
      </x:c>
      <x:c r="J192" s="12" t="n">
        <x:f>SUMIFS('统计计数'!$J$6:$J$95,'统计计数'!$B$6:$B$95,"C_H1",'统计计数'!$A$6:$A$95,"f")/$D192</x:f>
        <x:v>0</x:v>
      </x:c>
      <x:c r="K192" s="12" t="n">
        <x:f>SUMIFS('统计计数'!$K$6:$K$95,'统计计数'!$B$6:$B$95,"C_H1",'统计计数'!$A$6:$A$95,"f")/$D192</x:f>
        <x:v>0.07027027027027027</x:v>
      </x:c>
      <x:c r="L192" s="12" t="n">
        <x:f>SUMIFS('统计计数'!$L$6:$L$95,'统计计数'!$B$6:$B$95,"C_H1",'统计计数'!$A$6:$A$95,"f")/$D192</x:f>
        <x:v>0</x:v>
      </x:c>
      <x:c r="M192" s="12" t="n">
        <x:f>SUMIFS('统计计数'!$M$6:$M$95,'统计计数'!$B$6:$B$95,"C_H1",'统计计数'!$A$6:$A$95,"f")/$D192</x:f>
        <x:v>0.0006756756756756757</x:v>
      </x:c>
      <x:c r="N192" s="12" t="n">
        <x:f>SUMIFS('统计计数'!$N$6:$N$95,'统计计数'!$B$6:$B$95,"C_H1",'统计计数'!$A$6:$A$95,"f")/$D192</x:f>
        <x:v>0</x:v>
      </x:c>
    </x:row>
    <x:row r="193" ht="24" customHeight="1">
      <x:c r="A193" s="10" t="str">
        <x:v>f</x:v>
      </x:c>
      <x:c r="B193" s="10" t="str">
        <x:v>C_H1</x:v>
      </x:c>
      <x:c r="C193" s="9" t="str">
        <x:v>源三角形</x:v>
      </x:c>
      <x:c r="D193" s="11" t="n">
        <x:f>SUMIFS('统计计数'!$D$6:$D$95,'统计计数'!$B$6:$B$95,"C_H1",'统计计数'!$A$6:$A$95,"f")</x:f>
        <x:v>2911273</x:v>
      </x:c>
      <x:c r="E193" s="12" t="n">
        <x:f>SUMIFS('统计计数'!$O$6:$O$95,'统计计数'!$B$6:$B$95,"C_H1",'统计计数'!$A$6:$A$95,"f")/$D193</x:f>
        <x:v>0</x:v>
      </x:c>
      <x:c r="F193" s="12" t="n">
        <x:f>SUMIFS('统计计数'!$P$6:$P$95,'统计计数'!$B$6:$B$95,"C_H1",'统计计数'!$A$6:$A$95,"f")/$D193</x:f>
        <x:v>0.7636721118218731</x:v>
      </x:c>
      <x:c r="G193" s="12" t="n">
        <x:f>SUMIFS('统计计数'!$Q$6:$Q$95,'统计计数'!$B$6:$B$95,"C_H1",'统计计数'!$A$6:$A$95,"f")/$D193</x:f>
        <x:v>0</x:v>
      </x:c>
      <x:c r="H193" s="12" t="n">
        <x:f>SUMIFS('统计计数'!$R$6:$R$95,'统计计数'!$B$6:$B$95,"C_H1",'统计计数'!$A$6:$A$95,"f")/$D193</x:f>
        <x:v>0</x:v>
      </x:c>
      <x:c r="I193" s="12" t="n">
        <x:f>SUMIFS('统计计数'!$S$6:$S$95,'统计计数'!$B$6:$B$95,"C_H1",'统计计数'!$A$6:$A$95,"f")/$D193</x:f>
        <x:v>0.22676987008775887</x:v>
      </x:c>
      <x:c r="J193" s="12" t="n">
        <x:f>SUMIFS('统计计数'!$T$6:$T$95,'统计计数'!$B$6:$B$95,"C_H1",'统计计数'!$A$6:$A$95,"f")/$D193</x:f>
        <x:v>0</x:v>
      </x:c>
      <x:c r="K193" s="12" t="n">
        <x:f>SUMIFS('统计计数'!$U$6:$U$95,'统计计数'!$B$6:$B$95,"C_H1",'统计计数'!$A$6:$A$95,"f")/$D193</x:f>
        <x:v>0.009272232456385917</x:v>
      </x:c>
      <x:c r="L193" s="12" t="n">
        <x:f>SUMIFS('统计计数'!$V$6:$V$95,'统计计数'!$B$6:$B$95,"C_H1",'统计计数'!$A$6:$A$95,"f")/$D193</x:f>
        <x:v>0</x:v>
      </x:c>
      <x:c r="M193" s="12" t="n">
        <x:f>SUMIFS('统计计数'!$W$6:$W$95,'统计计数'!$B$6:$B$95,"C_H1",'统计计数'!$A$6:$A$95,"f")/$D193</x:f>
        <x:v>0.00028578563398211023</x:v>
      </x:c>
      <x:c r="N193" s="12" t="n">
        <x:f>SUMIFS('统计计数'!$X$6:$X$95,'统计计数'!$B$6:$B$95,"C_H1",'统计计数'!$A$6:$A$95,"f")/$D193</x:f>
        <x:v>0</x:v>
      </x:c>
    </x:row>
    <x:row r="194" ht="24" customHeight="1">
      <x:c r="A194" s="10" t="str">
        <x:v>f</x:v>
      </x:c>
      <x:c r="B194" s="10" t="str">
        <x:v>NG_H0</x:v>
      </x:c>
      <x:c r="C194" s="9" t="str">
        <x:v>节点</x:v>
      </x:c>
      <x:c r="D194" s="11" t="n">
        <x:f>SUMIFS('统计计数'!$C$6:$C$95,'统计计数'!$B$6:$B$95,"NG_H0",'统计计数'!$A$6:$A$95,"f")</x:f>
        <x:v>1480</x:v>
      </x:c>
      <x:c r="E194" s="12" t="n">
        <x:f>SUMIFS('统计计数'!$E$6:$E$95,'统计计数'!$B$6:$B$95,"NG_H0",'统计计数'!$A$6:$A$95,"f")/$D194</x:f>
        <x:v>0</x:v>
      </x:c>
      <x:c r="F194" s="12" t="n">
        <x:f>SUMIFS('统计计数'!$F$6:$F$95,'统计计数'!$B$6:$B$95,"NG_H0",'统计计数'!$A$6:$A$95,"f")/$D194</x:f>
        <x:v>0.11689189189189189</x:v>
      </x:c>
      <x:c r="G194" s="12" t="n">
        <x:f>SUMIFS('统计计数'!$G$6:$G$95,'统计计数'!$B$6:$B$95,"NG_H0",'统计计数'!$A$6:$A$95,"f")/$D194</x:f>
        <x:v>0.4648648648648649</x:v>
      </x:c>
      <x:c r="H194" s="12" t="n">
        <x:f>SUMIFS('统计计数'!$H$6:$H$95,'统计计数'!$B$6:$B$95,"NG_H0",'统计计数'!$A$6:$A$95,"f")/$D194</x:f>
        <x:v>0.26013513513513514</x:v>
      </x:c>
      <x:c r="I194" s="12" t="n">
        <x:f>SUMIFS('统计计数'!$I$6:$I$95,'统计计数'!$B$6:$B$95,"NG_H0",'统计计数'!$A$6:$A$95,"f")/$D194</x:f>
        <x:v>0.06486486486486487</x:v>
      </x:c>
      <x:c r="J194" s="12" t="n">
        <x:f>SUMIFS('统计计数'!$J$6:$J$95,'统计计数'!$B$6:$B$95,"NG_H0",'统计计数'!$A$6:$A$95,"f")/$D194</x:f>
        <x:v>0.012837837837837839</x:v>
      </x:c>
      <x:c r="K194" s="12" t="n">
        <x:f>SUMIFS('统计计数'!$K$6:$K$95,'统计计数'!$B$6:$B$95,"NG_H0",'统计计数'!$A$6:$A$95,"f")/$D194</x:f>
        <x:v>0.004054054054054054</x:v>
      </x:c>
      <x:c r="L194" s="12" t="n">
        <x:f>SUMIFS('统计计数'!$L$6:$L$95,'统计计数'!$B$6:$B$95,"NG_H0",'统计计数'!$A$6:$A$95,"f")/$D194</x:f>
        <x:v>0.008108108108108109</x:v>
      </x:c>
      <x:c r="M194" s="12" t="n">
        <x:f>SUMIFS('统计计数'!$M$6:$M$95,'统计计数'!$B$6:$B$95,"NG_H0",'统计计数'!$A$6:$A$95,"f")/$D194</x:f>
        <x:v>0.06824324324324324</x:v>
      </x:c>
      <x:c r="N194" s="12" t="n">
        <x:f>SUMIFS('统计计数'!$N$6:$N$95,'统计计数'!$B$6:$B$95,"NG_H0",'统计计数'!$A$6:$A$95,"f")/$D194</x:f>
        <x:v>0</x:v>
      </x:c>
    </x:row>
    <x:row r="195" ht="24" customHeight="1">
      <x:c r="A195" s="10" t="str">
        <x:v>f</x:v>
      </x:c>
      <x:c r="B195" s="10" t="str">
        <x:v>NG_H0</x:v>
      </x:c>
      <x:c r="C195" s="9" t="str">
        <x:v>源三角形</x:v>
      </x:c>
      <x:c r="D195" s="11" t="n">
        <x:f>SUMIFS('统计计数'!$D$6:$D$95,'统计计数'!$B$6:$B$95,"NG_H0",'统计计数'!$A$6:$A$95,"f")</x:f>
        <x:v>2911273</x:v>
      </x:c>
      <x:c r="E195" s="12" t="n">
        <x:f>SUMIFS('统计计数'!$O$6:$O$95,'统计计数'!$B$6:$B$95,"NG_H0",'统计计数'!$A$6:$A$95,"f")/$D195</x:f>
        <x:v>0</x:v>
      </x:c>
      <x:c r="F195" s="12" t="n">
        <x:f>SUMIFS('统计计数'!$P$6:$P$95,'统计计数'!$B$6:$B$95,"NG_H0",'统计计数'!$A$6:$A$95,"f")/$D195</x:f>
        <x:v>0.012722956589780484</x:v>
      </x:c>
      <x:c r="G195" s="12" t="n">
        <x:f>SUMIFS('统计计数'!$Q$6:$Q$95,'统计计数'!$B$6:$B$95,"NG_H0",'统计计数'!$A$6:$A$95,"f")/$D195</x:f>
        <x:v>0.10645240071954777</x:v>
      </x:c>
      <x:c r="H195" s="12" t="n">
        <x:f>SUMIFS('统计计数'!$R$6:$R$95,'统计计数'!$B$6:$B$95,"NG_H0",'统计计数'!$A$6:$A$95,"f")/$D195</x:f>
        <x:v>0.10285225741453996</x:v>
      </x:c>
      <x:c r="I195" s="12" t="n">
        <x:f>SUMIFS('统计计数'!$S$6:$S$95,'统计计数'!$B$6:$B$95,"NG_H0",'统计计数'!$A$6:$A$95,"f")/$D195</x:f>
        <x:v>0.03558237238486394</x:v>
      </x:c>
      <x:c r="J195" s="12" t="n">
        <x:f>SUMIFS('统计计数'!$T$6:$T$95,'统计计数'!$B$6:$B$95,"NG_H0",'统计计数'!$A$6:$A$95,"f")/$D195</x:f>
        <x:v>0.008352359947006</x:v>
      </x:c>
      <x:c r="K195" s="12" t="n">
        <x:f>SUMIFS('统计计数'!$U$6:$U$95,'统计计数'!$B$6:$B$95,"NG_H0",'统计计数'!$A$6:$A$95,"f")/$D195</x:f>
        <x:v>0.001829440248303749</x:v>
      </x:c>
      <x:c r="L195" s="12" t="n">
        <x:f>SUMIFS('统计计数'!$V$6:$V$95,'统计计数'!$B$6:$B$95,"NG_H0",'统计计数'!$A$6:$A$95,"f")/$D195</x:f>
        <x:v>0.0025871843691745843</x:v>
      </x:c>
      <x:c r="M195" s="12" t="n">
        <x:f>SUMIFS('统计计数'!$W$6:$W$95,'统计计数'!$B$6:$B$95,"NG_H0",'统计计数'!$A$6:$A$95,"f")/$D195</x:f>
        <x:v>0.7296210283267835</x:v>
      </x:c>
      <x:c r="N195" s="12" t="n">
        <x:f>SUMIFS('统计计数'!$X$6:$X$95,'统计计数'!$B$6:$B$95,"NG_H0",'统计计数'!$A$6:$A$95,"f")/$D195</x:f>
        <x:v>0</x:v>
      </x:c>
    </x:row>
    <x:row r="196" ht="24" customHeight="1">
      <x:c r="A196" s="10" t="str">
        <x:v>f</x:v>
      </x:c>
      <x:c r="B196" s="10" t="str">
        <x:v>NG_H1</x:v>
      </x:c>
      <x:c r="C196" s="9" t="str">
        <x:v>节点</x:v>
      </x:c>
      <x:c r="D196" s="11" t="n">
        <x:f>SUMIFS('统计计数'!$C$6:$C$95,'统计计数'!$B$6:$B$95,"NG_H1",'统计计数'!$A$6:$A$95,"f")</x:f>
        <x:v>1480</x:v>
      </x:c>
      <x:c r="E196" s="12" t="n">
        <x:f>SUMIFS('统计计数'!$E$6:$E$95,'统计计数'!$B$6:$B$95,"NG_H1",'统计计数'!$A$6:$A$95,"f")/$D196</x:f>
        <x:v>0</x:v>
      </x:c>
      <x:c r="F196" s="12" t="n">
        <x:f>SUMIFS('统计计数'!$F$6:$F$95,'统计计数'!$B$6:$B$95,"NG_H1",'统计计数'!$A$6:$A$95,"f")/$D196</x:f>
        <x:v>0.07027027027027027</x:v>
      </x:c>
      <x:c r="G196" s="12" t="n">
        <x:f>SUMIFS('统计计数'!$G$6:$G$95,'统计计数'!$B$6:$B$95,"NG_H1",'统计计数'!$A$6:$A$95,"f")/$D196</x:f>
        <x:v>0.3952702702702703</x:v>
      </x:c>
      <x:c r="H196" s="12" t="n">
        <x:f>SUMIFS('统计计数'!$H$6:$H$95,'统计计数'!$B$6:$B$95,"NG_H1",'统计计数'!$A$6:$A$95,"f")/$D196</x:f>
        <x:v>0.28378378378378377</x:v>
      </x:c>
      <x:c r="I196" s="12" t="n">
        <x:f>SUMIFS('统计计数'!$I$6:$I$95,'统计计数'!$B$6:$B$95,"NG_H1",'统计计数'!$A$6:$A$95,"f")/$D196</x:f>
        <x:v>0.07837837837837838</x:v>
      </x:c>
      <x:c r="J196" s="12" t="n">
        <x:f>SUMIFS('统计计数'!$J$6:$J$95,'统计计数'!$B$6:$B$95,"NG_H1",'统计计数'!$A$6:$A$95,"f")/$D196</x:f>
        <x:v>0.0445945945945946</x:v>
      </x:c>
      <x:c r="K196" s="12" t="n">
        <x:f>SUMIFS('统计计数'!$K$6:$K$95,'统计计数'!$B$6:$B$95,"NG_H1",'统计计数'!$A$6:$A$95,"f")/$D196</x:f>
        <x:v>0.051351351351351354</x:v>
      </x:c>
      <x:c r="L196" s="12" t="n">
        <x:f>SUMIFS('统计计数'!$L$6:$L$95,'统计计数'!$B$6:$B$95,"NG_H1",'统计计数'!$A$6:$A$95,"f")/$D196</x:f>
        <x:v>0.008108108108108109</x:v>
      </x:c>
      <x:c r="M196" s="12" t="n">
        <x:f>SUMIFS('统计计数'!$M$6:$M$95,'统计计数'!$B$6:$B$95,"NG_H1",'统计计数'!$A$6:$A$95,"f")/$D196</x:f>
        <x:v>0.06824324324324324</x:v>
      </x:c>
      <x:c r="N196" s="12" t="n">
        <x:f>SUMIFS('统计计数'!$N$6:$N$95,'统计计数'!$B$6:$B$95,"NG_H1",'统计计数'!$A$6:$A$95,"f")/$D196</x:f>
        <x:v>0</x:v>
      </x:c>
    </x:row>
    <x:row r="197" ht="24" customHeight="1">
      <x:c r="A197" s="10" t="str">
        <x:v>f</x:v>
      </x:c>
      <x:c r="B197" s="10" t="str">
        <x:v>NG_H1</x:v>
      </x:c>
      <x:c r="C197" s="9" t="str">
        <x:v>源三角形</x:v>
      </x:c>
      <x:c r="D197" s="11" t="n">
        <x:f>SUMIFS('统计计数'!$D$6:$D$95,'统计计数'!$B$6:$B$95,"NG_H1",'统计计数'!$A$6:$A$95,"f")</x:f>
        <x:v>2911273</x:v>
      </x:c>
      <x:c r="E197" s="12" t="n">
        <x:f>SUMIFS('统计计数'!$O$6:$O$95,'统计计数'!$B$6:$B$95,"NG_H1",'统计计数'!$A$6:$A$95,"f")/$D197</x:f>
        <x:v>0</x:v>
      </x:c>
      <x:c r="F197" s="12" t="n">
        <x:f>SUMIFS('统计计数'!$P$6:$P$95,'统计计数'!$B$6:$B$95,"NG_H1",'统计计数'!$A$6:$A$95,"f")/$D197</x:f>
        <x:v>0.008783786336767456</x:v>
      </x:c>
      <x:c r="G197" s="12" t="n">
        <x:f>SUMIFS('统计计数'!$Q$6:$Q$95,'统计计数'!$B$6:$B$95,"NG_H1",'统计计数'!$A$6:$A$95,"f")/$D197</x:f>
        <x:v>0.08690356417965611</x:v>
      </x:c>
      <x:c r="H197" s="12" t="n">
        <x:f>SUMIFS('统计计数'!$R$6:$R$95,'统计计数'!$B$6:$B$95,"NG_H1",'统计计数'!$A$6:$A$95,"f")/$D197</x:f>
        <x:v>0.10554661139645784</x:v>
      </x:c>
      <x:c r="I197" s="12" t="n">
        <x:f>SUMIFS('统计计数'!$S$6:$S$95,'统计计数'!$B$6:$B$95,"NG_H1",'统计计数'!$A$6:$A$95,"f")/$D197</x:f>
        <x:v>0.03972351613881625</x:v>
      </x:c>
      <x:c r="J197" s="12" t="n">
        <x:f>SUMIFS('统计计数'!$T$6:$T$95,'统计计数'!$B$6:$B$95,"NG_H1",'统计计数'!$A$6:$A$95,"f")/$D197</x:f>
        <x:v>0.02009292841997298</x:v>
      </x:c>
      <x:c r="K197" s="12" t="n">
        <x:f>SUMIFS('统计计数'!$U$6:$U$95,'统计计数'!$B$6:$B$95,"NG_H1",'统计计数'!$A$6:$A$95,"f")/$D197</x:f>
        <x:v>0.006741380832371268</x:v>
      </x:c>
      <x:c r="L197" s="12" t="n">
        <x:f>SUMIFS('统计计数'!$V$6:$V$95,'统计计数'!$B$6:$B$95,"NG_H1",'统计计数'!$A$6:$A$95,"f")/$D197</x:f>
        <x:v>0.0025871843691745843</x:v>
      </x:c>
      <x:c r="M197" s="12" t="n">
        <x:f>SUMIFS('统计计数'!$W$6:$W$95,'统计计数'!$B$6:$B$95,"NG_H1",'统计计数'!$A$6:$A$95,"f")/$D197</x:f>
        <x:v>0.7296210283267835</x:v>
      </x:c>
      <x:c r="N197" s="12" t="n">
        <x:f>SUMIFS('统计计数'!$X$6:$X$95,'统计计数'!$B$6:$B$95,"NG_H1",'统计计数'!$A$6:$A$95,"f")/$D197</x:f>
        <x:v>0</x:v>
      </x:c>
    </x:row>
    <x:row r="198" ht="24" customHeight="1">
      <x:c r="A198" s="10" t="str">
        <x:v>f</x:v>
      </x:c>
      <x:c r="B198" s="10" t="str">
        <x:v>CG_H0</x:v>
      </x:c>
      <x:c r="C198" s="9" t="str">
        <x:v>节点</x:v>
      </x:c>
      <x:c r="D198" s="11" t="n">
        <x:f>SUMIFS('统计计数'!$C$6:$C$95,'统计计数'!$B$6:$B$95,"CG_H0",'统计计数'!$A$6:$A$95,"f")</x:f>
        <x:v>1480</x:v>
      </x:c>
      <x:c r="E198" s="12" t="n">
        <x:f>SUMIFS('统计计数'!$E$6:$E$95,'统计计数'!$B$6:$B$95,"CG_H0",'统计计数'!$A$6:$A$95,"f")/$D198</x:f>
        <x:v>0</x:v>
      </x:c>
      <x:c r="F198" s="12" t="n">
        <x:f>SUMIFS('统计计数'!$F$6:$F$95,'统计计数'!$B$6:$B$95,"CG_H0",'统计计数'!$A$6:$A$95,"f")/$D198</x:f>
        <x:v>0.11756756756756757</x:v>
      </x:c>
      <x:c r="G198" s="12" t="n">
        <x:f>SUMIFS('统计计数'!$G$6:$G$95,'统计计数'!$B$6:$B$95,"CG_H0",'统计计数'!$A$6:$A$95,"f")/$D198</x:f>
        <x:v>0.5141891891891892</x:v>
      </x:c>
      <x:c r="H198" s="12" t="n">
        <x:f>SUMIFS('统计计数'!$H$6:$H$95,'统计计数'!$B$6:$B$95,"CG_H0",'统计计数'!$A$6:$A$95,"f")/$D198</x:f>
        <x:v>0.28986486486486485</x:v>
      </x:c>
      <x:c r="I198" s="12" t="n">
        <x:f>SUMIFS('统计计数'!$I$6:$I$95,'统计计数'!$B$6:$B$95,"CG_H0",'统计计数'!$A$6:$A$95,"f")/$D198</x:f>
        <x:v>0.06486486486486487</x:v>
      </x:c>
      <x:c r="J198" s="12" t="n">
        <x:f>SUMIFS('统计计数'!$J$6:$J$95,'统计计数'!$B$6:$B$95,"CG_H0",'统计计数'!$A$6:$A$95,"f")/$D198</x:f>
        <x:v>0.012837837837837839</x:v>
      </x:c>
      <x:c r="K198" s="12" t="n">
        <x:f>SUMIFS('统计计数'!$K$6:$K$95,'统计计数'!$B$6:$B$95,"CG_H0",'统计计数'!$A$6:$A$95,"f")/$D198</x:f>
        <x:v>0</x:v>
      </x:c>
      <x:c r="L198" s="12" t="n">
        <x:f>SUMIFS('统计计数'!$L$6:$L$95,'统计计数'!$B$6:$B$95,"CG_H0",'统计计数'!$A$6:$A$95,"f")/$D198</x:f>
        <x:v>0</x:v>
      </x:c>
      <x:c r="M198" s="12" t="n">
        <x:f>SUMIFS('统计计数'!$M$6:$M$95,'统计计数'!$B$6:$B$95,"CG_H0",'统计计数'!$A$6:$A$95,"f")/$D198</x:f>
        <x:v>0.0006756756756756757</x:v>
      </x:c>
      <x:c r="N198" s="12" t="n">
        <x:f>SUMIFS('统计计数'!$N$6:$N$95,'统计计数'!$B$6:$B$95,"CG_H0",'统计计数'!$A$6:$A$95,"f")/$D198</x:f>
        <x:v>0</x:v>
      </x:c>
    </x:row>
    <x:row r="199" ht="24" customHeight="1">
      <x:c r="A199" s="10" t="str">
        <x:v>f</x:v>
      </x:c>
      <x:c r="B199" s="10" t="str">
        <x:v>CG_H0</x:v>
      </x:c>
      <x:c r="C199" s="9" t="str">
        <x:v>源三角形</x:v>
      </x:c>
      <x:c r="D199" s="11" t="n">
        <x:f>SUMIFS('统计计数'!$D$6:$D$95,'统计计数'!$B$6:$B$95,"CG_H0",'统计计数'!$A$6:$A$95,"f")</x:f>
        <x:v>2911273</x:v>
      </x:c>
      <x:c r="E199" s="12" t="n">
        <x:f>SUMIFS('统计计数'!$O$6:$O$95,'统计计数'!$B$6:$B$95,"CG_H0",'统计计数'!$A$6:$A$95,"f")/$D199</x:f>
        <x:v>0</x:v>
      </x:c>
      <x:c r="F199" s="12" t="n">
        <x:f>SUMIFS('统计计数'!$P$6:$P$95,'统计计数'!$B$6:$B$95,"CG_H0",'统计计数'!$A$6:$A$95,"f")/$D199</x:f>
        <x:v>0.014657505496736308</x:v>
      </x:c>
      <x:c r="G199" s="12" t="n">
        <x:f>SUMIFS('统计计数'!$Q$6:$Q$95,'统计计数'!$B$6:$B$95,"CG_H0",'统计计数'!$A$6:$A$95,"f")/$D199</x:f>
        <x:v>0.12335085029813418</x:v>
      </x:c>
      <x:c r="H199" s="12" t="n">
        <x:f>SUMIFS('统计计数'!$R$6:$R$95,'统计计数'!$B$6:$B$95,"CG_H0",'统计计数'!$A$6:$A$95,"f")/$D199</x:f>
        <x:v>0.8177711262392775</x:v>
      </x:c>
      <x:c r="I199" s="12" t="n">
        <x:f>SUMIFS('统计计数'!$S$6:$S$95,'统计计数'!$B$6:$B$95,"CG_H0",'统计计数'!$A$6:$A$95,"f")/$D199</x:f>
        <x:v>0.03558237238486394</x:v>
      </x:c>
      <x:c r="J199" s="12" t="n">
        <x:f>SUMIFS('统计计数'!$T$6:$T$95,'统计计数'!$B$6:$B$95,"CG_H0",'统计计数'!$A$6:$A$95,"f")/$D199</x:f>
        <x:v>0.008352359947006</x:v>
      </x:c>
      <x:c r="K199" s="12" t="n">
        <x:f>SUMIFS('统计计数'!$U$6:$U$95,'统计计数'!$B$6:$B$95,"CG_H0",'统计计数'!$A$6:$A$95,"f")/$D199</x:f>
        <x:v>0</x:v>
      </x:c>
      <x:c r="L199" s="12" t="n">
        <x:f>SUMIFS('统计计数'!$V$6:$V$95,'统计计数'!$B$6:$B$95,"CG_H0",'统计计数'!$A$6:$A$95,"f")/$D199</x:f>
        <x:v>0</x:v>
      </x:c>
      <x:c r="M199" s="12" t="n">
        <x:f>SUMIFS('统计计数'!$W$6:$W$95,'统计计数'!$B$6:$B$95,"CG_H0",'统计计数'!$A$6:$A$95,"f")/$D199</x:f>
        <x:v>0.00028578563398211023</x:v>
      </x:c>
      <x:c r="N199" s="12" t="n">
        <x:f>SUMIFS('统计计数'!$X$6:$X$95,'统计计数'!$B$6:$B$95,"CG_H0",'统计计数'!$A$6:$A$95,"f")/$D199</x:f>
        <x:v>0</x:v>
      </x:c>
    </x:row>
    <x:row r="200" ht="24" customHeight="1">
      <x:c r="A200" s="10" t="str">
        <x:v>f</x:v>
      </x:c>
      <x:c r="B200" s="10" t="str">
        <x:v>CG_H1</x:v>
      </x:c>
      <x:c r="C200" s="9" t="str">
        <x:v>节点</x:v>
      </x:c>
      <x:c r="D200" s="11" t="n">
        <x:f>SUMIFS('统计计数'!$C$6:$C$95,'统计计数'!$B$6:$B$95,"CG_H1",'统计计数'!$A$6:$A$95,"f")</x:f>
        <x:v>1480</x:v>
      </x:c>
      <x:c r="E200" s="12" t="n">
        <x:f>SUMIFS('统计计数'!$E$6:$E$95,'统计计数'!$B$6:$B$95,"CG_H1",'统计计数'!$A$6:$A$95,"f")/$D200</x:f>
        <x:v>0</x:v>
      </x:c>
      <x:c r="F200" s="12" t="n">
        <x:f>SUMIFS('统计计数'!$F$6:$F$95,'统计计数'!$B$6:$B$95,"CG_H1",'统计计数'!$A$6:$A$95,"f")/$D200</x:f>
        <x:v>0.04121621621621622</x:v>
      </x:c>
      <x:c r="G200" s="12" t="n">
        <x:f>SUMIFS('统计计数'!$G$6:$G$95,'统计计数'!$B$6:$B$95,"CG_H1",'统计计数'!$A$6:$A$95,"f")/$D200</x:f>
        <x:v>0.4918918918918919</x:v>
      </x:c>
      <x:c r="H200" s="12" t="n">
        <x:f>SUMIFS('统计计数'!$H$6:$H$95,'统计计数'!$B$6:$B$95,"CG_H1",'统计计数'!$A$6:$A$95,"f")/$D200</x:f>
        <x:v>0.2993243243243243</x:v>
      </x:c>
      <x:c r="I200" s="12" t="n">
        <x:f>SUMIFS('统计计数'!$I$6:$I$95,'统计计数'!$B$6:$B$95,"CG_H1",'统计计数'!$A$6:$A$95,"f")/$D200</x:f>
        <x:v>0.0777027027027027</x:v>
      </x:c>
      <x:c r="J200" s="12" t="n">
        <x:f>SUMIFS('统计计数'!$J$6:$J$95,'统计计数'!$B$6:$B$95,"CG_H1",'统计计数'!$A$6:$A$95,"f")/$D200</x:f>
        <x:v>0.01891891891891892</x:v>
      </x:c>
      <x:c r="K200" s="12" t="n">
        <x:f>SUMIFS('统计计数'!$K$6:$K$95,'统计计数'!$B$6:$B$95,"CG_H1",'统计计数'!$A$6:$A$95,"f")/$D200</x:f>
        <x:v>0.07027027027027027</x:v>
      </x:c>
      <x:c r="L200" s="12" t="n">
        <x:f>SUMIFS('统计计数'!$L$6:$L$95,'统计计数'!$B$6:$B$95,"CG_H1",'统计计数'!$A$6:$A$95,"f")/$D200</x:f>
        <x:v>0</x:v>
      </x:c>
      <x:c r="M200" s="12" t="n">
        <x:f>SUMIFS('统计计数'!$M$6:$M$95,'统计计数'!$B$6:$B$95,"CG_H1",'统计计数'!$A$6:$A$95,"f")/$D200</x:f>
        <x:v>0.0006756756756756757</x:v>
      </x:c>
      <x:c r="N200" s="12" t="n">
        <x:f>SUMIFS('统计计数'!$N$6:$N$95,'统计计数'!$B$6:$B$95,"CG_H1",'统计计数'!$A$6:$A$95,"f")/$D200</x:f>
        <x:v>0</x:v>
      </x:c>
    </x:row>
    <x:row r="201" ht="24" customHeight="1">
      <x:c r="A201" s="10" t="str">
        <x:v>f</x:v>
      </x:c>
      <x:c r="B201" s="10" t="str">
        <x:v>CG_H1</x:v>
      </x:c>
      <x:c r="C201" s="9" t="str">
        <x:v>源三角形</x:v>
      </x:c>
      <x:c r="D201" s="11" t="n">
        <x:f>SUMIFS('统计计数'!$D$6:$D$95,'统计计数'!$B$6:$B$95,"CG_H1",'统计计数'!$A$6:$A$95,"f")</x:f>
        <x:v>2911273</x:v>
      </x:c>
      <x:c r="E201" s="12" t="n">
        <x:f>SUMIFS('统计计数'!$O$6:$O$95,'统计计数'!$B$6:$B$95,"CG_H1",'统计计数'!$A$6:$A$95,"f")/$D201</x:f>
        <x:v>0</x:v>
      </x:c>
      <x:c r="F201" s="12" t="n">
        <x:f>SUMIFS('统计计数'!$P$6:$P$95,'统计计数'!$B$6:$B$95,"CG_H1",'统计计数'!$A$6:$A$95,"f")/$D201</x:f>
        <x:v>0.006757181480403933</x:v>
      </x:c>
      <x:c r="G201" s="12" t="n">
        <x:f>SUMIFS('统计计数'!$Q$6:$Q$95,'统计计数'!$B$6:$B$95,"CG_H1",'统计计数'!$A$6:$A$95,"f")/$D201</x:f>
        <x:v>0.11204445615371694</x:v>
      </x:c>
      <x:c r="H201" s="12" t="n">
        <x:f>SUMIFS('统计计数'!$R$6:$R$95,'统计计数'!$B$6:$B$95,"CG_H1",'统计计数'!$A$6:$A$95,"f")/$D201</x:f>
        <x:v>0.6458360311794875</x:v>
      </x:c>
      <x:c r="I201" s="12" t="n">
        <x:f>SUMIFS('统计计数'!$S$6:$S$95,'统计计数'!$B$6:$B$95,"CG_H1",'统计计数'!$A$6:$A$95,"f")/$D201</x:f>
        <x:v>0.2158086857536205</x:v>
      </x:c>
      <x:c r="J201" s="12" t="n">
        <x:f>SUMIFS('统计计数'!$T$6:$T$95,'统计计数'!$B$6:$B$95,"CG_H1",'统计计数'!$A$6:$A$95,"f")/$D201</x:f>
        <x:v>0.009995627342403134</x:v>
      </x:c>
      <x:c r="K201" s="12" t="n">
        <x:f>SUMIFS('统计计数'!$U$6:$U$95,'统计计数'!$B$6:$B$95,"CG_H1",'统计计数'!$A$6:$A$95,"f")/$D201</x:f>
        <x:v>0.009272232456385917</x:v>
      </x:c>
      <x:c r="L201" s="12" t="n">
        <x:f>SUMIFS('统计计数'!$V$6:$V$95,'统计计数'!$B$6:$B$95,"CG_H1",'统计计数'!$A$6:$A$95,"f")/$D201</x:f>
        <x:v>0</x:v>
      </x:c>
      <x:c r="M201" s="12" t="n">
        <x:f>SUMIFS('统计计数'!$W$6:$W$95,'统计计数'!$B$6:$B$95,"CG_H1",'统计计数'!$A$6:$A$95,"f")/$D201</x:f>
        <x:v>0.00028578563398211023</x:v>
      </x:c>
      <x:c r="N201" s="12" t="n">
        <x:f>SUMIFS('统计计数'!$X$6:$X$95,'统计计数'!$B$6:$B$95,"CG_H1",'统计计数'!$A$6:$A$95,"f")/$D201</x:f>
        <x:v>0</x:v>
      </x:c>
    </x:row>
    <x:row r="202" ht="24" customHeight="1">
      <x:c r="A202" s="10" t="str">
        <x:v>f</x:v>
      </x:c>
      <x:c r="B202" s="10" t="str">
        <x:v>NC_H0</x:v>
      </x:c>
      <x:c r="C202" s="9" t="str">
        <x:v>节点</x:v>
      </x:c>
      <x:c r="D202" s="11" t="n">
        <x:f>SUMIFS('统计计数'!$C$6:$C$95,'统计计数'!$B$6:$B$95,"NC_H0",'统计计数'!$A$6:$A$95,"f")</x:f>
        <x:v>1480</x:v>
      </x:c>
      <x:c r="E202" s="12" t="n">
        <x:f>SUMIFS('统计计数'!$E$6:$E$95,'统计计数'!$B$6:$B$95,"NC_H0",'统计计数'!$A$6:$A$95,"f")/$D202</x:f>
        <x:v>0</x:v>
      </x:c>
      <x:c r="F202" s="12" t="n">
        <x:f>SUMIFS('统计计数'!$F$6:$F$95,'统计计数'!$B$6:$B$95,"NC_H0",'统计计数'!$A$6:$A$95,"f")/$D202</x:f>
        <x:v>0.3027027027027027</x:v>
      </x:c>
      <x:c r="G202" s="12" t="n">
        <x:f>SUMIFS('统计计数'!$G$6:$G$95,'统计计数'!$B$6:$B$95,"NC_H0",'统计计数'!$A$6:$A$95,"f")/$D202</x:f>
        <x:v>0.04256756756756757</x:v>
      </x:c>
      <x:c r="H202" s="12" t="n">
        <x:f>SUMIFS('统计计数'!$H$6:$H$95,'统计计数'!$B$6:$B$95,"NC_H0",'统计计数'!$A$6:$A$95,"f")/$D202</x:f>
        <x:v>0</x:v>
      </x:c>
      <x:c r="I202" s="12" t="n">
        <x:f>SUMIFS('统计计数'!$I$6:$I$95,'统计计数'!$B$6:$B$95,"NC_H0",'统计计数'!$A$6:$A$95,"f")/$D202</x:f>
        <x:v>0.6087837837837838</x:v>
      </x:c>
      <x:c r="J202" s="12" t="n">
        <x:f>SUMIFS('统计计数'!$J$6:$J$95,'统计计数'!$B$6:$B$95,"NC_H0",'统计计数'!$A$6:$A$95,"f")/$D202</x:f>
        <x:v>0</x:v>
      </x:c>
      <x:c r="K202" s="12" t="n">
        <x:f>SUMIFS('统计计数'!$K$6:$K$95,'统计计数'!$B$6:$B$95,"NC_H0",'统计计数'!$A$6:$A$95,"f")/$D202</x:f>
        <x:v>0.004054054054054054</x:v>
      </x:c>
      <x:c r="L202" s="12" t="n">
        <x:f>SUMIFS('统计计数'!$L$6:$L$95,'统计计数'!$B$6:$B$95,"NC_H0",'统计计数'!$A$6:$A$95,"f")/$D202</x:f>
        <x:v>0.006756756756756757</x:v>
      </x:c>
      <x:c r="M202" s="12" t="n">
        <x:f>SUMIFS('统计计数'!$M$6:$M$95,'统计计数'!$B$6:$B$95,"NC_H0",'统计计数'!$A$6:$A$95,"f")/$D202</x:f>
        <x:v>0.03513513513513514</x:v>
      </x:c>
      <x:c r="N202" s="12" t="n">
        <x:f>SUMIFS('统计计数'!$N$6:$N$95,'统计计数'!$B$6:$B$95,"NC_H0",'统计计数'!$A$6:$A$95,"f")/$D202</x:f>
        <x:v>0</x:v>
      </x:c>
    </x:row>
    <x:row r="203" ht="24" customHeight="1">
      <x:c r="A203" s="10" t="str">
        <x:v>f</x:v>
      </x:c>
      <x:c r="B203" s="10" t="str">
        <x:v>NC_H0</x:v>
      </x:c>
      <x:c r="C203" s="9" t="str">
        <x:v>源三角形</x:v>
      </x:c>
      <x:c r="D203" s="11" t="n">
        <x:f>SUMIFS('统计计数'!$D$6:$D$95,'统计计数'!$B$6:$B$95,"NC_H0",'统计计数'!$A$6:$A$95,"f")</x:f>
        <x:v>2911273</x:v>
      </x:c>
      <x:c r="E203" s="12" t="n">
        <x:f>SUMIFS('统计计数'!$O$6:$O$95,'统计计数'!$B$6:$B$95,"NC_H0",'统计计数'!$A$6:$A$95,"f")/$D203</x:f>
        <x:v>0</x:v>
      </x:c>
      <x:c r="F203" s="12" t="n">
        <x:f>SUMIFS('统计计数'!$P$6:$P$95,'统计计数'!$B$6:$B$95,"NC_H0",'统计计数'!$A$6:$A$95,"f")/$D203</x:f>
        <x:v>0.07436265853459981</x:v>
      </x:c>
      <x:c r="G203" s="12" t="n">
        <x:f>SUMIFS('统计计数'!$Q$6:$Q$95,'统计计数'!$B$6:$B$95,"NC_H0",'统计计数'!$A$6:$A$95,"f")/$D203</x:f>
        <x:v>0.015364756242372324</x:v>
      </x:c>
      <x:c r="H203" s="12" t="n">
        <x:f>SUMIFS('统计计数'!$R$6:$R$95,'统计计数'!$B$6:$B$95,"NC_H0",'统计计数'!$A$6:$A$95,"f")/$D203</x:f>
        <x:v>0</x:v>
      </x:c>
      <x:c r="I203" s="12" t="n">
        <x:f>SUMIFS('统计计数'!$S$6:$S$95,'统计计数'!$B$6:$B$95,"NC_H0",'统计计数'!$A$6:$A$95,"f")/$D203</x:f>
        <x:v>0.8728525287734953</x:v>
      </x:c>
      <x:c r="J203" s="12" t="n">
        <x:f>SUMIFS('统计计数'!$T$6:$T$95,'统计计数'!$B$6:$B$95,"NC_H0",'统计计数'!$A$6:$A$95,"f")/$D203</x:f>
        <x:v>0</x:v>
      </x:c>
      <x:c r="K203" s="12" t="n">
        <x:f>SUMIFS('统计计数'!$U$6:$U$95,'统计计数'!$B$6:$B$95,"NC_H0",'统计计数'!$A$6:$A$95,"f")/$D203</x:f>
        <x:v>0.001829440248303749</x:v>
      </x:c>
      <x:c r="L203" s="12" t="n">
        <x:f>SUMIFS('统计计数'!$V$6:$V$95,'统计计数'!$B$6:$B$95,"NC_H0",'统计计数'!$A$6:$A$95,"f")/$D203</x:f>
        <x:v>0.0023673492661114228</x:v>
      </x:c>
      <x:c r="M203" s="12" t="n">
        <x:f>SUMIFS('统计计数'!$W$6:$W$95,'统计计数'!$B$6:$B$95,"NC_H0",'统计计数'!$A$6:$A$95,"f")/$D203</x:f>
        <x:v>0.03322326693511739</x:v>
      </x:c>
      <x:c r="N203" s="12" t="n">
        <x:f>SUMIFS('统计计数'!$X$6:$X$95,'统计计数'!$B$6:$B$95,"NC_H0",'统计计数'!$A$6:$A$95,"f")/$D203</x:f>
        <x:v>0</x:v>
      </x:c>
    </x:row>
    <x:row r="204" ht="24" customHeight="1">
      <x:c r="A204" s="10" t="str">
        <x:v>f</x:v>
      </x:c>
      <x:c r="B204" s="10" t="str">
        <x:v>NC_H1</x:v>
      </x:c>
      <x:c r="C204" s="9" t="str">
        <x:v>节点</x:v>
      </x:c>
      <x:c r="D204" s="11" t="n">
        <x:f>SUMIFS('统计计数'!$C$6:$C$95,'统计计数'!$B$6:$B$95,"NC_H1",'统计计数'!$A$6:$A$95,"f")</x:f>
        <x:v>1480</x:v>
      </x:c>
      <x:c r="E204" s="12" t="n">
        <x:f>SUMIFS('统计计数'!$E$6:$E$95,'统计计数'!$B$6:$B$95,"NC_H1",'统计计数'!$A$6:$A$95,"f")/$D204</x:f>
        <x:v>0</x:v>
      </x:c>
      <x:c r="F204" s="12" t="n">
        <x:f>SUMIFS('统计计数'!$F$6:$F$95,'统计计数'!$B$6:$B$95,"NC_H1",'统计计数'!$A$6:$A$95,"f")/$D204</x:f>
        <x:v>0.25472972972972974</x:v>
      </x:c>
      <x:c r="G204" s="12" t="n">
        <x:f>SUMIFS('统计计数'!$G$6:$G$95,'统计计数'!$B$6:$B$95,"NC_H1",'统计计数'!$A$6:$A$95,"f")/$D204</x:f>
        <x:v>0.00945945945945946</x:v>
      </x:c>
      <x:c r="H204" s="12" t="n">
        <x:f>SUMIFS('统计计数'!$H$6:$H$95,'统计计数'!$B$6:$B$95,"NC_H1",'统计计数'!$A$6:$A$95,"f")/$D204</x:f>
        <x:v>0</x:v>
      </x:c>
      <x:c r="I204" s="12" t="n">
        <x:f>SUMIFS('统计计数'!$I$6:$I$95,'统计计数'!$B$6:$B$95,"NC_H1",'统计计数'!$A$6:$A$95,"f")/$D204</x:f>
        <x:v>0.6087837837837838</x:v>
      </x:c>
      <x:c r="J204" s="12" t="n">
        <x:f>SUMIFS('统计计数'!$J$6:$J$95,'统计计数'!$B$6:$B$95,"NC_H1",'统计计数'!$A$6:$A$95,"f")/$D204</x:f>
        <x:v>0.03175675675675676</x:v>
      </x:c>
      <x:c r="K204" s="12" t="n">
        <x:f>SUMIFS('统计计数'!$K$6:$K$95,'统计计数'!$B$6:$B$95,"NC_H1",'统计计数'!$A$6:$A$95,"f")/$D204</x:f>
        <x:v>0.05337837837837838</x:v>
      </x:c>
      <x:c r="L204" s="12" t="n">
        <x:f>SUMIFS('统计计数'!$L$6:$L$95,'统计计数'!$B$6:$B$95,"NC_H1",'统计计数'!$A$6:$A$95,"f")/$D204</x:f>
        <x:v>0.006756756756756757</x:v>
      </x:c>
      <x:c r="M204" s="12" t="n">
        <x:f>SUMIFS('统计计数'!$M$6:$M$95,'统计计数'!$B$6:$B$95,"NC_H1",'统计计数'!$A$6:$A$95,"f")/$D204</x:f>
        <x:v>0.03513513513513514</x:v>
      </x:c>
      <x:c r="N204" s="12" t="n">
        <x:f>SUMIFS('统计计数'!$N$6:$N$95,'统计计数'!$B$6:$B$95,"NC_H1",'统计计数'!$A$6:$A$95,"f")/$D204</x:f>
        <x:v>0</x:v>
      </x:c>
    </x:row>
    <x:row r="205" ht="24" customHeight="1">
      <x:c r="A205" s="10" t="str">
        <x:v>f</x:v>
      </x:c>
      <x:c r="B205" s="10" t="str">
        <x:v>NC_H1</x:v>
      </x:c>
      <x:c r="C205" s="9" t="str">
        <x:v>源三角形</x:v>
      </x:c>
      <x:c r="D205" s="11" t="n">
        <x:f>SUMIFS('统计计数'!$D$6:$D$95,'统计计数'!$B$6:$B$95,"NC_H1",'统计计数'!$A$6:$A$95,"f")</x:f>
        <x:v>2911273</x:v>
      </x:c>
      <x:c r="E205" s="12" t="n">
        <x:f>SUMIFS('统计计数'!$O$6:$O$95,'统计计数'!$B$6:$B$95,"NC_H1",'统计计数'!$A$6:$A$95,"f")/$D205</x:f>
        <x:v>0</x:v>
      </x:c>
      <x:c r="F205" s="12" t="n">
        <x:f>SUMIFS('统计计数'!$P$6:$P$95,'统计计数'!$B$6:$B$95,"NC_H1",'统计计数'!$A$6:$A$95,"f")/$D205</x:f>
        <x:v>0.06646164753357037</x:v>
      </x:c>
      <x:c r="G205" s="12" t="n">
        <x:f>SUMIFS('统计计数'!$Q$6:$Q$95,'统计计数'!$B$6:$B$95,"NC_H1",'统计计数'!$A$6:$A$95,"f")/$D205</x:f>
        <x:v>0.0033081748087520476</x:v>
      </x:c>
      <x:c r="H205" s="12" t="n">
        <x:f>SUMIFS('统计计数'!$R$6:$R$95,'统计计数'!$B$6:$B$95,"NC_H1",'统计计数'!$A$6:$A$95,"f")/$D205</x:f>
        <x:v>0</x:v>
      </x:c>
      <x:c r="I205" s="12" t="n">
        <x:f>SUMIFS('统计计数'!$S$6:$S$95,'统计计数'!$B$6:$B$95,"NC_H1",'统计计数'!$A$6:$A$95,"f")/$D205</x:f>
        <x:v>0.8728525287734953</x:v>
      </x:c>
      <x:c r="J205" s="12" t="n">
        <x:f>SUMIFS('统计计数'!$T$6:$T$95,'统计计数'!$B$6:$B$95,"NC_H1",'统计计数'!$A$6:$A$95,"f")/$D205</x:f>
        <x:v>0.01174056847296698</x:v>
      </x:c>
      <x:c r="K205" s="12" t="n">
        <x:f>SUMIFS('统计计数'!$U$6:$U$95,'统计计数'!$B$6:$B$95,"NC_H1",'统计计数'!$A$6:$A$95,"f")/$D205</x:f>
        <x:v>0.01004646420998649</x:v>
      </x:c>
      <x:c r="L205" s="12" t="n">
        <x:f>SUMIFS('统计计数'!$V$6:$V$95,'统计计数'!$B$6:$B$95,"NC_H1",'统计计数'!$A$6:$A$95,"f")/$D205</x:f>
        <x:v>0.0023673492661114228</x:v>
      </x:c>
      <x:c r="M205" s="12" t="n">
        <x:f>SUMIFS('统计计数'!$W$6:$W$95,'统计计数'!$B$6:$B$95,"NC_H1",'统计计数'!$A$6:$A$95,"f")/$D205</x:f>
        <x:v>0.03322326693511739</x:v>
      </x:c>
      <x:c r="N205" s="12" t="n">
        <x:f>SUMIFS('统计计数'!$X$6:$X$95,'统计计数'!$B$6:$B$95,"NC_H1",'统计计数'!$A$6:$A$95,"f")/$D205</x:f>
        <x:v>0</x:v>
      </x:c>
    </x:row>
    <x:row r="206" ht="24" customHeight="1">
      <x:c r="A206" s="10" t="str">
        <x:v>f</x:v>
      </x:c>
      <x:c r="B206" s="10" t="str">
        <x:v>NCG_H0</x:v>
      </x:c>
      <x:c r="C206" s="9" t="str">
        <x:v>节点</x:v>
      </x:c>
      <x:c r="D206" s="11" t="n">
        <x:f>SUMIFS('统计计数'!$C$6:$C$95,'统计计数'!$B$6:$B$95,"NCG_H0",'统计计数'!$A$6:$A$95,"f")</x:f>
        <x:v>1480</x:v>
      </x:c>
      <x:c r="E206" s="12" t="n">
        <x:f>SUMIFS('统计计数'!$E$6:$E$95,'统计计数'!$B$6:$B$95,"NCG_H0",'统计计数'!$A$6:$A$95,"f")/$D206</x:f>
        <x:v>0</x:v>
      </x:c>
      <x:c r="F206" s="12" t="n">
        <x:f>SUMIFS('统计计数'!$F$6:$F$95,'统计计数'!$B$6:$B$95,"NCG_H0",'统计计数'!$A$6:$A$95,"f")/$D206</x:f>
        <x:v>0.06554054054054054</x:v>
      </x:c>
      <x:c r="G206" s="12" t="n">
        <x:f>SUMIFS('统计计数'!$G$6:$G$95,'统计计数'!$B$6:$B$95,"NCG_H0",'统计计数'!$A$6:$A$95,"f")/$D206</x:f>
        <x:v>0.49864864864864866</x:v>
      </x:c>
      <x:c r="H206" s="12" t="n">
        <x:f>SUMIFS('统计计数'!$H$6:$H$95,'统计计数'!$B$6:$B$95,"NCG_H0",'统计计数'!$A$6:$A$95,"f")/$D206</x:f>
        <x:v>0.2993243243243243</x:v>
      </x:c>
      <x:c r="I206" s="12" t="n">
        <x:f>SUMIFS('统计计数'!$I$6:$I$95,'统计计数'!$B$6:$B$95,"NCG_H0",'统计计数'!$A$6:$A$95,"f")/$D206</x:f>
        <x:v>0.0777027027027027</x:v>
      </x:c>
      <x:c r="J206" s="12" t="n">
        <x:f>SUMIFS('统计计数'!$J$6:$J$95,'统计计数'!$B$6:$B$95,"NCG_H0",'统计计数'!$A$6:$A$95,"f")/$D206</x:f>
        <x:v>0.012837837837837839</x:v>
      </x:c>
      <x:c r="K206" s="12" t="n">
        <x:f>SUMIFS('统计计数'!$K$6:$K$95,'统计计数'!$B$6:$B$95,"NCG_H0",'统计计数'!$A$6:$A$95,"f")/$D206</x:f>
        <x:v>0.004054054054054054</x:v>
      </x:c>
      <x:c r="L206" s="12" t="n">
        <x:f>SUMIFS('统计计数'!$L$6:$L$95,'统计计数'!$B$6:$B$95,"NCG_H0",'统计计数'!$A$6:$A$95,"f")/$D206</x:f>
        <x:v>0.006756756756756757</x:v>
      </x:c>
      <x:c r="M206" s="12" t="n">
        <x:f>SUMIFS('统计计数'!$M$6:$M$95,'统计计数'!$B$6:$B$95,"NCG_H0",'统计计数'!$A$6:$A$95,"f")/$D206</x:f>
        <x:v>0.03513513513513514</x:v>
      </x:c>
      <x:c r="N206" s="12" t="n">
        <x:f>SUMIFS('统计计数'!$N$6:$N$95,'统计计数'!$B$6:$B$95,"NCG_H0",'统计计数'!$A$6:$A$95,"f")/$D206</x:f>
        <x:v>0</x:v>
      </x:c>
    </x:row>
    <x:row r="207" ht="24" customHeight="1">
      <x:c r="A207" s="10" t="str">
        <x:v>f</x:v>
      </x:c>
      <x:c r="B207" s="10" t="str">
        <x:v>NCG_H0</x:v>
      </x:c>
      <x:c r="C207" s="9" t="str">
        <x:v>源三角形</x:v>
      </x:c>
      <x:c r="D207" s="11" t="n">
        <x:f>SUMIFS('统计计数'!$D$6:$D$95,'统计计数'!$B$6:$B$95,"NCG_H0",'统计计数'!$A$6:$A$95,"f")</x:f>
        <x:v>2911273</x:v>
      </x:c>
      <x:c r="E207" s="12" t="n">
        <x:f>SUMIFS('统计计数'!$O$6:$O$95,'统计计数'!$B$6:$B$95,"NCG_H0",'统计计数'!$A$6:$A$95,"f")/$D207</x:f>
        <x:v>0</x:v>
      </x:c>
      <x:c r="F207" s="12" t="n">
        <x:f>SUMIFS('统计计数'!$P$6:$P$95,'统计计数'!$B$6:$B$95,"NCG_H0",'统计计数'!$A$6:$A$95,"f")/$D207</x:f>
        <x:v>0.009375967145643847</x:v>
      </x:c>
      <x:c r="G207" s="12" t="n">
        <x:f>SUMIFS('统计计数'!$Q$6:$Q$95,'统计计数'!$B$6:$B$95,"NCG_H0",'统计计数'!$A$6:$A$95,"f")/$D207</x:f>
        <x:v>0.1079816286552309</x:v>
      </x:c>
      <x:c r="H207" s="12" t="n">
        <x:f>SUMIFS('统计计数'!$R$6:$R$95,'统计计数'!$B$6:$B$95,"NCG_H0",'统计计数'!$A$6:$A$95,"f")/$D207</x:f>
        <x:v>0.621685771138605</x:v>
      </x:c>
      <x:c r="I207" s="12" t="n">
        <x:f>SUMIFS('统计计数'!$S$6:$S$95,'统计计数'!$B$6:$B$95,"NCG_H0",'统计计数'!$A$6:$A$95,"f")/$D207</x:f>
        <x:v>0.21518421666398171</x:v>
      </x:c>
      <x:c r="J207" s="12" t="n">
        <x:f>SUMIFS('统计计数'!$T$6:$T$95,'统计计数'!$B$6:$B$95,"NCG_H0",'统计计数'!$A$6:$A$95,"f")/$D207</x:f>
        <x:v>0.008352359947006</x:v>
      </x:c>
      <x:c r="K207" s="12" t="n">
        <x:f>SUMIFS('统计计数'!$U$6:$U$95,'统计计数'!$B$6:$B$95,"NCG_H0",'统计计数'!$A$6:$A$95,"f")/$D207</x:f>
        <x:v>0.001829440248303749</x:v>
      </x:c>
      <x:c r="L207" s="12" t="n">
        <x:f>SUMIFS('统计计数'!$V$6:$V$95,'统计计数'!$B$6:$B$95,"NCG_H0",'统计计数'!$A$6:$A$95,"f")/$D207</x:f>
        <x:v>0.0023673492661114228</x:v>
      </x:c>
      <x:c r="M207" s="12" t="n">
        <x:f>SUMIFS('统计计数'!$W$6:$W$95,'统计计数'!$B$6:$B$95,"NCG_H0",'统计计数'!$A$6:$A$95,"f")/$D207</x:f>
        <x:v>0.03322326693511739</x:v>
      </x:c>
      <x:c r="N207" s="12" t="n">
        <x:f>SUMIFS('统计计数'!$X$6:$X$95,'统计计数'!$B$6:$B$95,"NCG_H0",'统计计数'!$A$6:$A$95,"f")/$D207</x:f>
        <x:v>0</x:v>
      </x:c>
    </x:row>
    <x:row r="208" ht="24" customHeight="1">
      <x:c r="A208" s="10" t="str">
        <x:v>f</x:v>
      </x:c>
      <x:c r="B208" s="10" t="str">
        <x:v>NCG_H1</x:v>
      </x:c>
      <x:c r="C208" s="9" t="str">
        <x:v>节点</x:v>
      </x:c>
      <x:c r="D208" s="11" t="n">
        <x:f>SUMIFS('统计计数'!$C$6:$C$95,'统计计数'!$B$6:$B$95,"NCG_H1",'统计计数'!$A$6:$A$95,"f")</x:f>
        <x:v>1480</x:v>
      </x:c>
      <x:c r="E208" s="12" t="n">
        <x:f>SUMIFS('统计计数'!$E$6:$E$95,'统计计数'!$B$6:$B$95,"NCG_H1",'统计计数'!$A$6:$A$95,"f")/$D208</x:f>
        <x:v>0</x:v>
      </x:c>
      <x:c r="F208" s="12" t="n">
        <x:f>SUMIFS('统计计数'!$F$6:$F$95,'统计计数'!$B$6:$B$95,"NCG_H1",'统计计数'!$A$6:$A$95,"f")/$D208</x:f>
        <x:v>0.032432432432432434</x:v>
      </x:c>
      <x:c r="G208" s="12" t="n">
        <x:f>SUMIFS('统计计数'!$G$6:$G$95,'统计计数'!$B$6:$B$95,"NCG_H1",'统计计数'!$A$6:$A$95,"f")/$D208</x:f>
        <x:v>0.4135135135135135</x:v>
      </x:c>
      <x:c r="H208" s="12" t="n">
        <x:f>SUMIFS('统计计数'!$H$6:$H$95,'统计计数'!$B$6:$B$95,"NCG_H1",'统计计数'!$A$6:$A$95,"f")/$D208</x:f>
        <x:v>0.3216216216216216</x:v>
      </x:c>
      <x:c r="I208" s="12" t="n">
        <x:f>SUMIFS('统计计数'!$I$6:$I$95,'统计计数'!$B$6:$B$95,"NCG_H1",'统计计数'!$A$6:$A$95,"f")/$D208</x:f>
        <x:v>0.08648648648648649</x:v>
      </x:c>
      <x:c r="J208" s="12" t="n">
        <x:f>SUMIFS('统计计数'!$J$6:$J$95,'统计计数'!$B$6:$B$95,"NCG_H1",'统计计数'!$A$6:$A$95,"f")/$D208</x:f>
        <x:v>0.05067567567567568</x:v>
      </x:c>
      <x:c r="K208" s="12" t="n">
        <x:f>SUMIFS('统计计数'!$K$6:$K$95,'统计计数'!$B$6:$B$95,"NCG_H1",'统计计数'!$A$6:$A$95,"f")/$D208</x:f>
        <x:v>0.05337837837837838</x:v>
      </x:c>
      <x:c r="L208" s="12" t="n">
        <x:f>SUMIFS('统计计数'!$L$6:$L$95,'统计计数'!$B$6:$B$95,"NCG_H1",'统计计数'!$A$6:$A$95,"f")/$D208</x:f>
        <x:v>0.006756756756756757</x:v>
      </x:c>
      <x:c r="M208" s="12" t="n">
        <x:f>SUMIFS('统计计数'!$M$6:$M$95,'统计计数'!$B$6:$B$95,"NCG_H1",'统计计数'!$A$6:$A$95,"f")/$D208</x:f>
        <x:v>0.03513513513513514</x:v>
      </x:c>
      <x:c r="N208" s="12" t="n">
        <x:f>SUMIFS('统计计数'!$N$6:$N$95,'统计计数'!$B$6:$B$95,"NCG_H1",'统计计数'!$A$6:$A$95,"f")/$D208</x:f>
        <x:v>0</x:v>
      </x:c>
    </x:row>
    <x:row r="209" ht="24" customHeight="1">
      <x:c r="A209" s="10" t="str">
        <x:v>f</x:v>
      </x:c>
      <x:c r="B209" s="10" t="str">
        <x:v>NCG_H1</x:v>
      </x:c>
      <x:c r="C209" s="9" t="str">
        <x:v>源三角形</x:v>
      </x:c>
      <x:c r="D209" s="11" t="n">
        <x:f>SUMIFS('统计计数'!$D$6:$D$95,'统计计数'!$B$6:$B$95,"NCG_H1",'统计计数'!$A$6:$A$95,"f")</x:f>
        <x:v>2911273</x:v>
      </x:c>
      <x:c r="E209" s="12" t="n">
        <x:f>SUMIFS('统计计数'!$O$6:$O$95,'统计计数'!$B$6:$B$95,"NCG_H1",'统计计数'!$A$6:$A$95,"f")/$D209</x:f>
        <x:v>0</x:v>
      </x:c>
      <x:c r="F209" s="12" t="n">
        <x:f>SUMIFS('统计计数'!$P$6:$P$95,'统计计数'!$B$6:$B$95,"NCG_H1",'统计计数'!$A$6:$A$95,"f")/$D209</x:f>
        <x:v>0.005703346955094901</x:v>
      </x:c>
      <x:c r="G209" s="12" t="n">
        <x:f>SUMIFS('统计计数'!$Q$6:$Q$95,'统计计数'!$B$6:$B$95,"NCG_H1",'统计计数'!$A$6:$A$95,"f")/$D209</x:f>
        <x:v>0.08833043139547544</x:v>
      </x:c>
      <x:c r="H209" s="12" t="n">
        <x:f>SUMIFS('统计计数'!$R$6:$R$95,'统计计数'!$B$6:$B$95,"NCG_H1",'统计计数'!$A$6:$A$95,"f")/$D209</x:f>
        <x:v>0.6208503977469649</x:v>
      </x:c>
      <x:c r="I209" s="12" t="n">
        <x:f>SUMIFS('统计计数'!$S$6:$S$95,'统计计数'!$B$6:$B$95,"NCG_H1",'统计计数'!$A$6:$A$95,"f")/$D209</x:f>
        <x:v>0.21774254767587925</x:v>
      </x:c>
      <x:c r="J209" s="12" t="n">
        <x:f>SUMIFS('统计计数'!$T$6:$T$95,'统计计数'!$B$6:$B$95,"NCG_H1",'统计计数'!$A$6:$A$95,"f")/$D209</x:f>
        <x:v>0.021736195815370115</x:v>
      </x:c>
      <x:c r="K209" s="12" t="n">
        <x:f>SUMIFS('统计计数'!$U$6:$U$95,'统计计数'!$B$6:$B$95,"NCG_H1",'统计计数'!$A$6:$A$95,"f")/$D209</x:f>
        <x:v>0.01004646420998649</x:v>
      </x:c>
      <x:c r="L209" s="12" t="n">
        <x:f>SUMIFS('统计计数'!$V$6:$V$95,'统计计数'!$B$6:$B$95,"NCG_H1",'统计计数'!$A$6:$A$95,"f")/$D209</x:f>
        <x:v>0.0023673492661114228</x:v>
      </x:c>
      <x:c r="M209" s="12" t="n">
        <x:f>SUMIFS('统计计数'!$W$6:$W$95,'统计计数'!$B$6:$B$95,"NCG_H1",'统计计数'!$A$6:$A$95,"f")/$D209</x:f>
        <x:v>0.03322326693511739</x:v>
      </x:c>
      <x:c r="N209" s="12" t="n">
        <x:f>SUMIFS('统计计数'!$X$6:$X$95,'统计计数'!$B$6:$B$95,"NCG_H1",'统计计数'!$A$6:$A$95,"f")/$D209</x:f>
        <x:v>0</x:v>
      </x:c>
    </x:row>
    <x:row r="210" ht="24" customHeight="1">
      <x:c r="A210" s="10" t="str">
        <x:v>f</x:v>
      </x:c>
      <x:c r="B210" s="10" t="str">
        <x:v>G_H0</x:v>
      </x:c>
      <x:c r="C210" s="9" t="str">
        <x:v>节点</x:v>
      </x:c>
      <x:c r="D210" s="11" t="n">
        <x:f>SUMIFS('统计计数'!$C$6:$C$95,'统计计数'!$B$6:$B$95,"G_H0",'统计计数'!$A$6:$A$95,"f")</x:f>
        <x:v>1480</x:v>
      </x:c>
      <x:c r="E210" s="12" t="n">
        <x:f>SUMIFS('统计计数'!$E$6:$E$95,'统计计数'!$B$6:$B$95,"G_H0",'统计计数'!$A$6:$A$95,"f")/$D210</x:f>
        <x:v>0</x:v>
      </x:c>
      <x:c r="F210" s="12" t="n">
        <x:f>SUMIFS('统计计数'!$F$6:$F$95,'统计计数'!$B$6:$B$95,"G_H0",'统计计数'!$A$6:$A$95,"f")/$D210</x:f>
        <x:v>0.057432432432432436</x:v>
      </x:c>
      <x:c r="G210" s="12" t="n">
        <x:f>SUMIFS('统计计数'!$G$6:$G$95,'统计计数'!$B$6:$B$95,"G_H0",'统计计数'!$A$6:$A$95,"f")/$D210</x:f>
        <x:v>0.5736486486486486</x:v>
      </x:c>
      <x:c r="H210" s="12" t="n">
        <x:f>SUMIFS('统计计数'!$H$6:$H$95,'统计计数'!$B$6:$B$95,"G_H0",'统计计数'!$A$6:$A$95,"f")/$D210</x:f>
        <x:v>0.29121621621621624</x:v>
      </x:c>
      <x:c r="I210" s="12" t="n">
        <x:f>SUMIFS('统计计数'!$I$6:$I$95,'统计计数'!$B$6:$B$95,"G_H0",'统计计数'!$A$6:$A$95,"f")/$D210</x:f>
        <x:v>0.06486486486486487</x:v>
      </x:c>
      <x:c r="J210" s="12" t="n">
        <x:f>SUMIFS('统计计数'!$J$6:$J$95,'统计计数'!$B$6:$B$95,"G_H0",'统计计数'!$A$6:$A$95,"f")/$D210</x:f>
        <x:v>0.012837837837837839</x:v>
      </x:c>
      <x:c r="K210" s="12" t="n">
        <x:f>SUMIFS('统计计数'!$K$6:$K$95,'统计计数'!$B$6:$B$95,"G_H0",'统计计数'!$A$6:$A$95,"f")/$D210</x:f>
        <x:v>0</x:v>
      </x:c>
      <x:c r="L210" s="12" t="n">
        <x:f>SUMIFS('统计计数'!$L$6:$L$95,'统计计数'!$B$6:$B$95,"G_H0",'统计计数'!$A$6:$A$95,"f")/$D210</x:f>
        <x:v>0</x:v>
      </x:c>
      <x:c r="M210" s="12" t="n">
        <x:f>SUMIFS('统计计数'!$M$6:$M$95,'统计计数'!$B$6:$B$95,"G_H0",'统计计数'!$A$6:$A$95,"f")/$D210</x:f>
        <x:v>0</x:v>
      </x:c>
      <x:c r="N210" s="12" t="n">
        <x:f>SUMIFS('统计计数'!$N$6:$N$95,'统计计数'!$B$6:$B$95,"G_H0",'统计计数'!$A$6:$A$95,"f")/$D210</x:f>
        <x:v>0</x:v>
      </x:c>
    </x:row>
    <x:row r="211" ht="24" customHeight="1">
      <x:c r="A211" s="10" t="str">
        <x:v>f</x:v>
      </x:c>
      <x:c r="B211" s="10" t="str">
        <x:v>G_H0</x:v>
      </x:c>
      <x:c r="C211" s="9" t="str">
        <x:v>源三角形</x:v>
      </x:c>
      <x:c r="D211" s="11" t="n">
        <x:f>SUMIFS('统计计数'!$D$6:$D$95,'统计计数'!$B$6:$B$95,"G_H0",'统计计数'!$A$6:$A$95,"f")</x:f>
        <x:v>2911273</x:v>
      </x:c>
      <x:c r="E211" s="12" t="n">
        <x:f>SUMIFS('统计计数'!$O$6:$O$95,'统计计数'!$B$6:$B$95,"G_H0",'统计计数'!$A$6:$A$95,"f")/$D211</x:f>
        <x:v>0</x:v>
      </x:c>
      <x:c r="F211" s="12" t="n">
        <x:f>SUMIFS('统计计数'!$P$6:$P$95,'统计计数'!$B$6:$B$95,"G_H0",'统计计数'!$A$6:$A$95,"f")/$D211</x:f>
        <x:v>0.0064356726421740595</x:v>
      </x:c>
      <x:c r="G211" s="12" t="n">
        <x:f>SUMIFS('统计计数'!$Q$6:$Q$95,'统计计数'!$B$6:$B$95,"G_H0",'统计计数'!$A$6:$A$95,"f")/$D211</x:f>
        <x:v>0.1314765052951063</x:v>
      </x:c>
      <x:c r="H211" s="12" t="n">
        <x:f>SUMIFS('统计计数'!$R$6:$R$95,'统计计数'!$B$6:$B$95,"G_H0",'统计计数'!$A$6:$A$95,"f")/$D211</x:f>
        <x:v>0.8181530897308497</x:v>
      </x:c>
      <x:c r="I211" s="12" t="n">
        <x:f>SUMIFS('统计计数'!$S$6:$S$95,'统计计数'!$B$6:$B$95,"G_H0",'统计计数'!$A$6:$A$95,"f")/$D211</x:f>
        <x:v>0.03558237238486394</x:v>
      </x:c>
      <x:c r="J211" s="12" t="n">
        <x:f>SUMIFS('统计计数'!$T$6:$T$95,'统计计数'!$B$6:$B$95,"G_H0",'统计计数'!$A$6:$A$95,"f")/$D211</x:f>
        <x:v>0.008352359947006</x:v>
      </x:c>
      <x:c r="K211" s="12" t="n">
        <x:f>SUMIFS('统计计数'!$U$6:$U$95,'统计计数'!$B$6:$B$95,"G_H0",'统计计数'!$A$6:$A$95,"f")/$D211</x:f>
        <x:v>0</x:v>
      </x:c>
      <x:c r="L211" s="12" t="n">
        <x:f>SUMIFS('统计计数'!$V$6:$V$95,'统计计数'!$B$6:$B$95,"G_H0",'统计计数'!$A$6:$A$95,"f")/$D211</x:f>
        <x:v>0</x:v>
      </x:c>
      <x:c r="M211" s="12" t="n">
        <x:f>SUMIFS('统计计数'!$W$6:$W$95,'统计计数'!$B$6:$B$95,"G_H0",'统计计数'!$A$6:$A$95,"f")/$D211</x:f>
        <x:v>0</x:v>
      </x:c>
      <x:c r="N211" s="12" t="n">
        <x:f>SUMIFS('统计计数'!$X$6:$X$95,'统计计数'!$B$6:$B$95,"G_H0",'统计计数'!$A$6:$A$95,"f")/$D211</x:f>
        <x:v>0</x:v>
      </x:c>
    </x:row>
    <x:row r="212" ht="24" customHeight="1">
      <x:c r="A212" s="10" t="str">
        <x:v>f</x:v>
      </x:c>
      <x:c r="B212" s="10" t="str">
        <x:v>G_H1</x:v>
      </x:c>
      <x:c r="C212" s="9" t="str">
        <x:v>节点</x:v>
      </x:c>
      <x:c r="D212" s="11" t="n">
        <x:f>SUMIFS('统计计数'!$C$6:$C$95,'统计计数'!$B$6:$B$95,"G_H1",'统计计数'!$A$6:$A$95,"f")</x:f>
        <x:v>1480</x:v>
      </x:c>
      <x:c r="E212" s="12" t="n">
        <x:f>SUMIFS('统计计数'!$E$6:$E$95,'统计计数'!$B$6:$B$95,"G_H1",'统计计数'!$A$6:$A$95,"f")/$D212</x:f>
        <x:v>0</x:v>
      </x:c>
      <x:c r="F212" s="12" t="n">
        <x:f>SUMIFS('统计计数'!$F$6:$F$95,'统计计数'!$B$6:$B$95,"G_H1",'统计计数'!$A$6:$A$95,"f")/$D212</x:f>
        <x:v>0.02027027027027027</x:v>
      </x:c>
      <x:c r="G212" s="12" t="n">
        <x:f>SUMIFS('统计计数'!$G$6:$G$95,'统计计数'!$B$6:$B$95,"G_H1",'统计计数'!$A$6:$A$95,"f")/$D212</x:f>
        <x:v>0.5608108108108109</x:v>
      </x:c>
      <x:c r="H212" s="12" t="n">
        <x:f>SUMIFS('统计计数'!$H$6:$H$95,'统计计数'!$B$6:$B$95,"G_H1",'统计计数'!$A$6:$A$95,"f")/$D212</x:f>
        <x:v>0.3222972972972973</x:v>
      </x:c>
      <x:c r="I212" s="12" t="n">
        <x:f>SUMIFS('统计计数'!$I$6:$I$95,'统计计数'!$B$6:$B$95,"G_H1",'统计计数'!$A$6:$A$95,"f")/$D212</x:f>
        <x:v>0.08378378378378379</x:v>
      </x:c>
      <x:c r="J212" s="12" t="n">
        <x:f>SUMIFS('统计计数'!$J$6:$J$95,'统计计数'!$B$6:$B$95,"G_H1",'统计计数'!$A$6:$A$95,"f")/$D212</x:f>
        <x:v>0.012837837837837839</x:v>
      </x:c>
      <x:c r="K212" s="12" t="n">
        <x:f>SUMIFS('统计计数'!$K$6:$K$95,'统计计数'!$B$6:$B$95,"G_H1",'统计计数'!$A$6:$A$95,"f")/$D212</x:f>
        <x:v>0</x:v>
      </x:c>
      <x:c r="L212" s="12" t="n">
        <x:f>SUMIFS('统计计数'!$L$6:$L$95,'统计计数'!$B$6:$B$95,"G_H1",'统计计数'!$A$6:$A$95,"f")/$D212</x:f>
        <x:v>0</x:v>
      </x:c>
      <x:c r="M212" s="12" t="n">
        <x:f>SUMIFS('统计计数'!$M$6:$M$95,'统计计数'!$B$6:$B$95,"G_H1",'统计计数'!$A$6:$A$95,"f")/$D212</x:f>
        <x:v>0</x:v>
      </x:c>
      <x:c r="N212" s="12" t="n">
        <x:f>SUMIFS('统计计数'!$N$6:$N$95,'统计计数'!$B$6:$B$95,"G_H1",'统计计数'!$A$6:$A$95,"f")/$D212</x:f>
        <x:v>0</x:v>
      </x:c>
    </x:row>
    <x:row r="213" ht="24" customHeight="1">
      <x:c r="A213" s="10" t="str">
        <x:v>f</x:v>
      </x:c>
      <x:c r="B213" s="10" t="str">
        <x:v>G_H1</x:v>
      </x:c>
      <x:c r="C213" s="9" t="str">
        <x:v>源三角形</x:v>
      </x:c>
      <x:c r="D213" s="11" t="n">
        <x:f>SUMIFS('统计计数'!$D$6:$D$95,'统计计数'!$B$6:$B$95,"G_H1",'统计计数'!$A$6:$A$95,"f")</x:f>
        <x:v>2911273</x:v>
      </x:c>
      <x:c r="E213" s="12" t="n">
        <x:f>SUMIFS('统计计数'!$O$6:$O$95,'统计计数'!$B$6:$B$95,"G_H1",'统计计数'!$A$6:$A$95,"f")/$D213</x:f>
        <x:v>0</x:v>
      </x:c>
      <x:c r="F213" s="12" t="n">
        <x:f>SUMIFS('统计计数'!$P$6:$P$95,'统计计数'!$B$6:$B$95,"G_H1",'统计计数'!$A$6:$A$95,"f")/$D213</x:f>
        <x:v>0.0022849111024627372</x:v>
      </x:c>
      <x:c r="G213" s="12" t="n">
        <x:f>SUMIFS('统计计数'!$Q$6:$Q$95,'统计计数'!$B$6:$B$95,"G_H1",'统计计数'!$A$6:$A$95,"f")/$D213</x:f>
        <x:v>0.12125211204857807</x:v>
      </x:c>
      <x:c r="H213" s="12" t="n">
        <x:f>SUMIFS('统计计数'!$R$6:$R$95,'统计计数'!$B$6:$B$95,"G_H1",'统计计数'!$A$6:$A$95,"f")/$D213</x:f>
        <x:v>0.6506586637529356</x:v>
      </x:c>
      <x:c r="I213" s="12" t="n">
        <x:f>SUMIFS('统计计数'!$S$6:$S$95,'统计计数'!$B$6:$B$95,"G_H1",'统计计数'!$A$6:$A$95,"f")/$D213</x:f>
        <x:v>0.21745195314901763</x:v>
      </x:c>
      <x:c r="J213" s="12" t="n">
        <x:f>SUMIFS('统计计数'!$T$6:$T$95,'统计计数'!$B$6:$B$95,"G_H1",'统计计数'!$A$6:$A$95,"f")/$D213</x:f>
        <x:v>0.008352359947006</x:v>
      </x:c>
      <x:c r="K213" s="12" t="n">
        <x:f>SUMIFS('统计计数'!$U$6:$U$95,'统计计数'!$B$6:$B$95,"G_H1",'统计计数'!$A$6:$A$95,"f")/$D213</x:f>
        <x:v>0</x:v>
      </x:c>
      <x:c r="L213" s="12" t="n">
        <x:f>SUMIFS('统计计数'!$V$6:$V$95,'统计计数'!$B$6:$B$95,"G_H1",'统计计数'!$A$6:$A$95,"f")/$D213</x:f>
        <x:v>0</x:v>
      </x:c>
      <x:c r="M213" s="12" t="n">
        <x:f>SUMIFS('统计计数'!$W$6:$W$95,'统计计数'!$B$6:$B$95,"G_H1",'统计计数'!$A$6:$A$95,"f")/$D213</x:f>
        <x:v>0</x:v>
      </x:c>
      <x:c r="N213" s="12" t="n">
        <x:f>SUMIFS('统计计数'!$X$6:$X$95,'统计计数'!$B$6:$B$95,"G_H1",'统计计数'!$A$6:$A$95,"f")/$D213</x:f>
        <x:v>0</x:v>
      </x:c>
    </x:row>
    <x:row r="214" ht="24" customHeight="1">
      <x:c r="A214" s="10" t="str">
        <x:v>f</x:v>
      </x:c>
      <x:c r="B214" s="10" t="str">
        <x:v>NCG_H1_M1</x:v>
      </x:c>
      <x:c r="C214" s="9" t="str">
        <x:v>节点</x:v>
      </x:c>
      <x:c r="D214" s="11" t="n">
        <x:f>SUMIFS('统计计数'!$C$6:$C$95,'统计计数'!$B$6:$B$95,"NCG_H1_M1",'统计计数'!$A$6:$A$95,"f")</x:f>
        <x:v>1480</x:v>
      </x:c>
      <x:c r="E214" s="12" t="n">
        <x:f>SUMIFS('统计计数'!$E$6:$E$95,'统计计数'!$B$6:$B$95,"NCG_H1_M1",'统计计数'!$A$6:$A$95,"f")/$D214</x:f>
        <x:v>0</x:v>
      </x:c>
      <x:c r="F214" s="12" t="n">
        <x:f>SUMIFS('统计计数'!$F$6:$F$95,'统计计数'!$B$6:$B$95,"NCG_H1_M1",'统计计数'!$A$6:$A$95,"f")/$D214</x:f>
        <x:v>0.03445945945945946</x:v>
      </x:c>
      <x:c r="G214" s="12" t="n">
        <x:f>SUMIFS('统计计数'!$G$6:$G$95,'统计计数'!$B$6:$B$95,"NCG_H1_M1",'统计计数'!$A$6:$A$95,"f")/$D214</x:f>
        <x:v>0.3277027027027027</x:v>
      </x:c>
      <x:c r="H214" s="12" t="n">
        <x:f>SUMIFS('统计计数'!$H$6:$H$95,'统计计数'!$B$6:$B$95,"NCG_H1_M1",'统计计数'!$A$6:$A$95,"f")/$D214</x:f>
        <x:v>0.2527027027027027</x:v>
      </x:c>
      <x:c r="I214" s="12" t="n">
        <x:f>SUMIFS('统计计数'!$I$6:$I$95,'统计计数'!$B$6:$B$95,"NCG_H1_M1",'统计计数'!$A$6:$A$95,"f")/$D214</x:f>
        <x:v>0.07837837837837838</x:v>
      </x:c>
      <x:c r="J214" s="12" t="n">
        <x:f>SUMIFS('统计计数'!$J$6:$J$95,'统计计数'!$B$6:$B$95,"NCG_H1_M1",'统计计数'!$A$6:$A$95,"f")/$D214</x:f>
        <x:v>0.06891891891891892</x:v>
      </x:c>
      <x:c r="K214" s="12" t="n">
        <x:f>SUMIFS('统计计数'!$K$6:$K$95,'统计计数'!$B$6:$B$95,"NCG_H1_M1",'统计计数'!$A$6:$A$95,"f")/$D214</x:f>
        <x:v>0.05810810810810811</x:v>
      </x:c>
      <x:c r="L214" s="12" t="n">
        <x:f>SUMIFS('统计计数'!$L$6:$L$95,'统计计数'!$B$6:$B$95,"NCG_H1_M1",'统计计数'!$A$6:$A$95,"f")/$D214</x:f>
        <x:v>0.02027027027027027</x:v>
      </x:c>
      <x:c r="M214" s="12" t="n">
        <x:f>SUMIFS('统计计数'!$M$6:$M$95,'统计计数'!$B$6:$B$95,"NCG_H1_M1",'统计计数'!$A$6:$A$95,"f")/$D214</x:f>
        <x:v>0.15878378378378377</x:v>
      </x:c>
      <x:c r="N214" s="12" t="n">
        <x:f>SUMIFS('统计计数'!$N$6:$N$95,'统计计数'!$B$6:$B$95,"NCG_H1_M1",'统计计数'!$A$6:$A$95,"f")/$D214</x:f>
        <x:v>0.0006756756756756757</x:v>
      </x:c>
    </x:row>
    <x:row r="215" ht="24" customHeight="1">
      <x:c r="A215" s="10" t="str">
        <x:v>f</x:v>
      </x:c>
      <x:c r="B215" s="10" t="str">
        <x:v>NCG_H1_M1</x:v>
      </x:c>
      <x:c r="C215" s="9" t="str">
        <x:v>源三角形</x:v>
      </x:c>
      <x:c r="D215" s="11" t="n">
        <x:f>SUMIFS('统计计数'!$D$6:$D$95,'统计计数'!$B$6:$B$95,"NCG_H1_M1",'统计计数'!$A$6:$A$95,"f")</x:f>
        <x:v>2911273</x:v>
      </x:c>
      <x:c r="E215" s="12" t="n">
        <x:f>SUMIFS('统计计数'!$O$6:$O$95,'统计计数'!$B$6:$B$95,"NCG_H1_M1",'统计计数'!$A$6:$A$95,"f")/$D215</x:f>
        <x:v>0</x:v>
      </x:c>
      <x:c r="F215" s="12" t="n">
        <x:f>SUMIFS('统计计数'!$P$6:$P$95,'统计计数'!$B$6:$B$95,"NCG_H1_M1",'统计计数'!$A$6:$A$95,"f")/$D215</x:f>
        <x:v>0.00600287228301846</x:v>
      </x:c>
      <x:c r="G215" s="12" t="n">
        <x:f>SUMIFS('统计计数'!$Q$6:$Q$95,'统计计数'!$B$6:$B$95,"NCG_H1_M1",'统计计数'!$A$6:$A$95,"f")/$D215</x:f>
        <x:v>0.07344622094870526</x:v>
      </x:c>
      <x:c r="H215" s="12" t="n">
        <x:f>SUMIFS('统计计数'!$R$6:$R$95,'统计计数'!$B$6:$B$95,"NCG_H1_M1",'统计计数'!$A$6:$A$95,"f")/$D215</x:f>
        <x:v>0.09649284007374094</x:v>
      </x:c>
      <x:c r="I215" s="12" t="n">
        <x:f>SUMIFS('统计计数'!$S$6:$S$95,'统计计数'!$B$6:$B$95,"NCG_H1_M1",'统计计数'!$A$6:$A$95,"f")/$D215</x:f>
        <x:v>0.03922407826404463</x:v>
      </x:c>
      <x:c r="J215" s="12" t="n">
        <x:f>SUMIFS('统计计数'!$T$6:$T$95,'统计计数'!$B$6:$B$95,"NCG_H1_M1",'统计计数'!$A$6:$A$95,"f")/$D215</x:f>
        <x:v>0.029349360228326234</x:v>
      </x:c>
      <x:c r="K215" s="12" t="n">
        <x:f>SUMIFS('统计计数'!$U$6:$U$95,'统计计数'!$B$6:$B$95,"NCG_H1_M1",'统计计数'!$A$6:$A$95,"f")/$D215</x:f>
        <x:v>0.011344178302756218</x:v>
      </x:c>
      <x:c r="L215" s="12" t="n">
        <x:f>SUMIFS('统计计数'!$V$6:$V$95,'统计计数'!$B$6:$B$95,"NCG_H1_M1",'统计计数'!$A$6:$A$95,"f")/$D215</x:f>
        <x:v>0.0033133271939800907</x:v>
      </x:c>
      <x:c r="M215" s="12" t="n">
        <x:f>SUMIFS('统计计数'!$W$6:$W$95,'统计计数'!$B$6:$B$95,"NCG_H1_M1",'统计计数'!$A$6:$A$95,"f")/$D215</x:f>
        <x:v>0.7407529283581443</x:v>
      </x:c>
      <x:c r="N215" s="12" t="n">
        <x:f>SUMIFS('统计计数'!$X$6:$X$95,'统计计数'!$B$6:$B$95,"NCG_H1_M1",'统计计数'!$A$6:$A$95,"f")/$D215</x:f>
        <x:v>0.00007419434728381708</x:v>
      </x:c>
    </x:row>
  </x:sheetData>
  <x:conditionalFormatting sqref="E6:N215">
    <x:cfRule type="colorScale" priority="1">
      <x:colorScale>
        <x:cfvo type="min"/>
        <x:cfvo type="percentile" val="50"/>
        <x:cfvo type="max"/>
        <x:color rgb="FFFFFFFF"/>
        <x:color rgb="FFE3EDF7"/>
        <x:color rgb="FF427BB0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8bd7a247800407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9" hidden="0" customWidth="1"/>
    <x:col min="4" max="4" width="20" hidden="0" customWidth="1"/>
    <x:col min="5" max="5" width="15" hidden="0" customWidth="1"/>
    <x:col min="6" max="6" width="15" hidden="0" customWidth="1"/>
    <x:col min="7" max="7" width="17" hidden="0" customWidth="1"/>
    <x:col min="8" max="8" width="12" hidden="0" customWidth="1"/>
    <x:col min="9" max="9" width="12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3" t="str">
        <x:v>同一批节点的成对变化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4" t="str">
        <x:v>身份逐节点对齐；改变不等于正确，H1包含祖先名称。ALL为各场景计数相加。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2" customHeight="1">
      <x:c r="A5" s="8" t="str">
        <x:v>模型</x:v>
      </x:c>
      <x:c r="B5" s="8" t="str">
        <x:v>对照类型</x:v>
      </x:c>
      <x:c r="C5" s="8" t="str">
        <x:v>对照前</x:v>
      </x:c>
      <x:c r="D5" s="8" t="str">
        <x:v>对照后</x:v>
      </x:c>
      <x:c r="E5" s="8" t="str">
        <x:v>节点数</x:v>
      </x:c>
      <x:c r="F5" s="8" t="str">
        <x:v>P改变数</x:v>
      </x:c>
      <x:c r="G5" s="8" t="str">
        <x:v>P改变比例</x:v>
      </x:c>
      <x:c r="H5" s="8" t="str">
        <x:v>升档</x:v>
      </x:c>
      <x:c r="I5" s="8" t="str">
        <x:v>降档</x:v>
      </x:c>
      <x:c r="J5" s="8" t="str">
        <x:v>功能改变</x:v>
      </x:c>
      <x:c r="K5" s="8" t="str">
        <x:v>身份改变</x:v>
      </x:c>
      <x:c r="L5" s="8" t="str">
        <x:v>状态改变</x:v>
      </x:c>
      <x:c r="M5" s="8" t="str">
        <x:v>约束改变</x:v>
      </x:c>
    </x:row>
    <x:row r="6" ht="24" customHeight="1">
      <x:c r="A6" s="10" t="str">
        <x:v>a</x:v>
      </x:c>
      <x:c r="B6" s="10" t="str">
        <x:v>结构树</x:v>
      </x:c>
      <x:c r="C6" s="9" t="str">
        <x:v>N_H0</x:v>
      </x:c>
      <x:c r="D6" s="9" t="str">
        <x:v>N_H1</x:v>
      </x:c>
      <x:c r="E6" s="11" t="n">
        <x:v>1778</x:v>
      </x:c>
      <x:c r="F6" s="11" t="n">
        <x:v>0</x:v>
      </x:c>
      <x:c r="G6" s="12" t="n">
        <x:f>F6/E6</x:f>
        <x:v>0</x:v>
      </x:c>
      <x:c r="H6" s="11" t="n">
        <x:v>0</x:v>
      </x:c>
      <x:c r="I6" s="11" t="n">
        <x:v>0</x:v>
      </x:c>
      <x:c r="J6" s="11" t="n">
        <x:v>0</x:v>
      </x:c>
      <x:c r="K6" s="11" t="n">
        <x:v>0</x:v>
      </x:c>
      <x:c r="L6" s="11" t="n">
        <x:v>0</x:v>
      </x:c>
      <x:c r="M6" s="11" t="n">
        <x:v>0</x:v>
      </x:c>
    </x:row>
    <x:row r="7" ht="24" customHeight="1">
      <x:c r="A7" s="10" t="str">
        <x:v>a</x:v>
      </x:c>
      <x:c r="B7" s="10" t="str">
        <x:v>结构树</x:v>
      </x:c>
      <x:c r="C7" s="9" t="str">
        <x:v>C_H0</x:v>
      </x:c>
      <x:c r="D7" s="9" t="str">
        <x:v>C_H1</x:v>
      </x:c>
      <x:c r="E7" s="11" t="n">
        <x:v>1778</x:v>
      </x:c>
      <x:c r="F7" s="11" t="n">
        <x:v>0</x:v>
      </x:c>
      <x:c r="G7" s="12" t="n">
        <x:f>F7/E7</x:f>
        <x:v>0</x:v>
      </x:c>
      <x:c r="H7" s="11" t="n">
        <x:v>0</x:v>
      </x:c>
      <x:c r="I7" s="11" t="n">
        <x:v>0</x:v>
      </x:c>
      <x:c r="J7" s="11" t="n">
        <x:v>0</x:v>
      </x:c>
      <x:c r="K7" s="11" t="n">
        <x:v>0</x:v>
      </x:c>
      <x:c r="L7" s="11" t="n">
        <x:v>0</x:v>
      </x:c>
      <x:c r="M7" s="11" t="n">
        <x:v>0</x:v>
      </x:c>
    </x:row>
    <x:row r="8" ht="24" customHeight="1">
      <x:c r="A8" s="10" t="str">
        <x:v>a</x:v>
      </x:c>
      <x:c r="B8" s="10" t="str">
        <x:v>结构树</x:v>
      </x:c>
      <x:c r="C8" s="9" t="str">
        <x:v>NG_H0</x:v>
      </x:c>
      <x:c r="D8" s="9" t="str">
        <x:v>NG_H1</x:v>
      </x:c>
      <x:c r="E8" s="11" t="n">
        <x:v>1778</x:v>
      </x:c>
      <x:c r="F8" s="11" t="n">
        <x:v>0</x:v>
      </x:c>
      <x:c r="G8" s="12" t="n">
        <x:f>F8/E8</x:f>
        <x:v>0</x:v>
      </x:c>
      <x:c r="H8" s="11" t="n">
        <x:v>0</x:v>
      </x:c>
      <x:c r="I8" s="11" t="n">
        <x:v>0</x:v>
      </x:c>
      <x:c r="J8" s="11" t="n">
        <x:v>0</x:v>
      </x:c>
      <x:c r="K8" s="11" t="n">
        <x:v>0</x:v>
      </x:c>
      <x:c r="L8" s="11" t="n">
        <x:v>0</x:v>
      </x:c>
      <x:c r="M8" s="11" t="n">
        <x:v>0</x:v>
      </x:c>
    </x:row>
    <x:row r="9" ht="24" customHeight="1">
      <x:c r="A9" s="10" t="str">
        <x:v>a</x:v>
      </x:c>
      <x:c r="B9" s="10" t="str">
        <x:v>结构树</x:v>
      </x:c>
      <x:c r="C9" s="9" t="str">
        <x:v>CG_H0</x:v>
      </x:c>
      <x:c r="D9" s="9" t="str">
        <x:v>CG_H1</x:v>
      </x:c>
      <x:c r="E9" s="11" t="n">
        <x:v>1778</x:v>
      </x:c>
      <x:c r="F9" s="11" t="n">
        <x:v>0</x:v>
      </x:c>
      <x:c r="G9" s="12" t="n">
        <x:f>F9/E9</x:f>
        <x:v>0</x:v>
      </x:c>
      <x:c r="H9" s="11" t="n">
        <x:v>0</x:v>
      </x:c>
      <x:c r="I9" s="11" t="n">
        <x:v>0</x:v>
      </x:c>
      <x:c r="J9" s="11" t="n">
        <x:v>0</x:v>
      </x:c>
      <x:c r="K9" s="11" t="n">
        <x:v>0</x:v>
      </x:c>
      <x:c r="L9" s="11" t="n">
        <x:v>0</x:v>
      </x:c>
      <x:c r="M9" s="11" t="n">
        <x:v>0</x:v>
      </x:c>
    </x:row>
    <x:row r="10" ht="24" customHeight="1">
      <x:c r="A10" s="10" t="str">
        <x:v>a</x:v>
      </x:c>
      <x:c r="B10" s="10" t="str">
        <x:v>结构树</x:v>
      </x:c>
      <x:c r="C10" s="9" t="str">
        <x:v>NC_H0</x:v>
      </x:c>
      <x:c r="D10" s="9" t="str">
        <x:v>NC_H1</x:v>
      </x:c>
      <x:c r="E10" s="11" t="n">
        <x:v>1778</x:v>
      </x:c>
      <x:c r="F10" s="11" t="n">
        <x:v>0</x:v>
      </x:c>
      <x:c r="G10" s="12" t="n">
        <x:f>F10/E10</x:f>
        <x:v>0</x:v>
      </x:c>
      <x:c r="H10" s="11" t="n">
        <x:v>0</x:v>
      </x:c>
      <x:c r="I10" s="11" t="n">
        <x:v>0</x:v>
      </x:c>
      <x:c r="J10" s="11" t="n">
        <x:v>0</x:v>
      </x:c>
      <x:c r="K10" s="11" t="n">
        <x:v>0</x:v>
      </x:c>
      <x:c r="L10" s="11" t="n">
        <x:v>0</x:v>
      </x:c>
      <x:c r="M10" s="11" t="n">
        <x:v>0</x:v>
      </x:c>
    </x:row>
    <x:row r="11" ht="24" customHeight="1">
      <x:c r="A11" s="10" t="str">
        <x:v>a</x:v>
      </x:c>
      <x:c r="B11" s="10" t="str">
        <x:v>结构树</x:v>
      </x:c>
      <x:c r="C11" s="9" t="str">
        <x:v>NCG_H0</x:v>
      </x:c>
      <x:c r="D11" s="9" t="str">
        <x:v>NCG_H1</x:v>
      </x:c>
      <x:c r="E11" s="11" t="n">
        <x:v>1778</x:v>
      </x:c>
      <x:c r="F11" s="11" t="n">
        <x:v>0</x:v>
      </x:c>
      <x:c r="G11" s="12" t="n">
        <x:f>F11/E11</x:f>
        <x:v>0</x:v>
      </x:c>
      <x:c r="H11" s="11" t="n">
        <x:v>0</x:v>
      </x:c>
      <x:c r="I11" s="11" t="n">
        <x:v>0</x:v>
      </x:c>
      <x:c r="J11" s="11" t="n">
        <x:v>0</x:v>
      </x:c>
      <x:c r="K11" s="11" t="n">
        <x:v>0</x:v>
      </x:c>
      <x:c r="L11" s="11" t="n">
        <x:v>0</x:v>
      </x:c>
      <x:c r="M11" s="11" t="n">
        <x:v>0</x:v>
      </x:c>
    </x:row>
    <x:row r="12" ht="24" customHeight="1">
      <x:c r="A12" s="10" t="str">
        <x:v>a</x:v>
      </x:c>
      <x:c r="B12" s="10" t="str">
        <x:v>结构树</x:v>
      </x:c>
      <x:c r="C12" s="9" t="str">
        <x:v>G_H0</x:v>
      </x:c>
      <x:c r="D12" s="9" t="str">
        <x:v>G_H1</x:v>
      </x:c>
      <x:c r="E12" s="11" t="n">
        <x:v>1778</x:v>
      </x:c>
      <x:c r="F12" s="11" t="n">
        <x:v>0</x:v>
      </x:c>
      <x:c r="G12" s="12" t="n">
        <x:f>F12/E12</x:f>
        <x:v>0</x:v>
      </x:c>
      <x:c r="H12" s="11" t="n">
        <x:v>0</x:v>
      </x:c>
      <x:c r="I12" s="11" t="n">
        <x:v>0</x:v>
      </x:c>
      <x:c r="J12" s="11" t="n">
        <x:v>0</x:v>
      </x:c>
      <x:c r="K12" s="11" t="n">
        <x:v>0</x:v>
      </x:c>
      <x:c r="L12" s="11" t="n">
        <x:v>0</x:v>
      </x:c>
      <x:c r="M12" s="11" t="n">
        <x:v>0</x:v>
      </x:c>
    </x:row>
    <x:row r="13" ht="24" customHeight="1">
      <x:c r="A13" s="10" t="str">
        <x:v>a</x:v>
      </x:c>
      <x:c r="B13" s="10" t="str">
        <x:v>几何分支</x:v>
      </x:c>
      <x:c r="C13" s="9" t="str">
        <x:v>N_H0</x:v>
      </x:c>
      <x:c r="D13" s="9" t="str">
        <x:v>NG_H0</x:v>
      </x:c>
      <x:c r="E13" s="11" t="n">
        <x:v>1778</x:v>
      </x:c>
      <x:c r="F13" s="11" t="n">
        <x:v>1238</x:v>
      </x:c>
      <x:c r="G13" s="12" t="n">
        <x:f>F13/E13</x:f>
        <x:v>0.6962879640044994</x:v>
      </x:c>
      <x:c r="H13" s="11" t="n">
        <x:v>305</x:v>
      </x:c>
      <x:c r="I13" s="11" t="n">
        <x:v>933</x:v>
      </x:c>
      <x:c r="J13" s="11" t="n">
        <x:v>0</x:v>
      </x:c>
      <x:c r="K13" s="11" t="n">
        <x:v>0</x:v>
      </x:c>
      <x:c r="L13" s="11" t="n">
        <x:v>0</x:v>
      </x:c>
      <x:c r="M13" s="11" t="n">
        <x:v>1778</x:v>
      </x:c>
    </x:row>
    <x:row r="14" ht="24" customHeight="1">
      <x:c r="A14" s="10" t="str">
        <x:v>a</x:v>
      </x:c>
      <x:c r="B14" s="10" t="str">
        <x:v>几何分支</x:v>
      </x:c>
      <x:c r="C14" s="9" t="str">
        <x:v>C_H0</x:v>
      </x:c>
      <x:c r="D14" s="9" t="str">
        <x:v>CG_H0</x:v>
      </x:c>
      <x:c r="E14" s="11" t="n">
        <x:v>1778</x:v>
      </x:c>
      <x:c r="F14" s="11" t="n">
        <x:v>1533</x:v>
      </x:c>
      <x:c r="G14" s="12" t="n">
        <x:f>F14/E14</x:f>
        <x:v>0.8622047244094488</x:v>
      </x:c>
      <x:c r="H14" s="11" t="n">
        <x:v>584</x:v>
      </x:c>
      <x:c r="I14" s="11" t="n">
        <x:v>949</x:v>
      </x:c>
      <x:c r="J14" s="11" t="n">
        <x:v>2</x:v>
      </x:c>
      <x:c r="K14" s="11" t="n">
        <x:v>2</x:v>
      </x:c>
      <x:c r="L14" s="11" t="n">
        <x:v>2</x:v>
      </x:c>
      <x:c r="M14" s="11" t="n">
        <x:v>1778</x:v>
      </x:c>
    </x:row>
    <x:row r="15" ht="24" customHeight="1">
      <x:c r="A15" s="10" t="str">
        <x:v>a</x:v>
      </x:c>
      <x:c r="B15" s="10" t="str">
        <x:v>几何分支</x:v>
      </x:c>
      <x:c r="C15" s="9" t="str">
        <x:v>NC_H0</x:v>
      </x:c>
      <x:c r="D15" s="9" t="str">
        <x:v>NCG_H0</x:v>
      </x:c>
      <x:c r="E15" s="11" t="n">
        <x:v>1778</x:v>
      </x:c>
      <x:c r="F15" s="11" t="n">
        <x:v>1422</x:v>
      </x:c>
      <x:c r="G15" s="12" t="n">
        <x:f>F15/E15</x:f>
        <x:v>0.7997750281214848</x:v>
      </x:c>
      <x:c r="H15" s="11" t="n">
        <x:v>506</x:v>
      </x:c>
      <x:c r="I15" s="11" t="n">
        <x:v>916</x:v>
      </x:c>
      <x:c r="J15" s="11" t="n">
        <x:v>2</x:v>
      </x:c>
      <x:c r="K15" s="11" t="n">
        <x:v>2</x:v>
      </x:c>
      <x:c r="L15" s="11" t="n">
        <x:v>2</x:v>
      </x:c>
      <x:c r="M15" s="11" t="n">
        <x:v>1778</x:v>
      </x:c>
    </x:row>
    <x:row r="16" ht="24" customHeight="1">
      <x:c r="A16" s="10" t="str">
        <x:v>a</x:v>
      </x:c>
      <x:c r="B16" s="10" t="str">
        <x:v>几何分支</x:v>
      </x:c>
      <x:c r="C16" s="9" t="str">
        <x:v>N_H1</x:v>
      </x:c>
      <x:c r="D16" s="9" t="str">
        <x:v>NG_H1</x:v>
      </x:c>
      <x:c r="E16" s="11" t="n">
        <x:v>1778</x:v>
      </x:c>
      <x:c r="F16" s="11" t="n">
        <x:v>1238</x:v>
      </x:c>
      <x:c r="G16" s="12" t="n">
        <x:f>F16/E16</x:f>
        <x:v>0.6962879640044994</x:v>
      </x:c>
      <x:c r="H16" s="11" t="n">
        <x:v>305</x:v>
      </x:c>
      <x:c r="I16" s="11" t="n">
        <x:v>933</x:v>
      </x:c>
      <x:c r="J16" s="11" t="n">
        <x:v>0</x:v>
      </x:c>
      <x:c r="K16" s="11" t="n">
        <x:v>0</x:v>
      </x:c>
      <x:c r="L16" s="11" t="n">
        <x:v>0</x:v>
      </x:c>
      <x:c r="M16" s="11" t="n">
        <x:v>1778</x:v>
      </x:c>
    </x:row>
    <x:row r="17" ht="24" customHeight="1">
      <x:c r="A17" s="10" t="str">
        <x:v>a</x:v>
      </x:c>
      <x:c r="B17" s="10" t="str">
        <x:v>几何分支</x:v>
      </x:c>
      <x:c r="C17" s="9" t="str">
        <x:v>C_H1</x:v>
      </x:c>
      <x:c r="D17" s="9" t="str">
        <x:v>CG_H1</x:v>
      </x:c>
      <x:c r="E17" s="11" t="n">
        <x:v>1778</x:v>
      </x:c>
      <x:c r="F17" s="11" t="n">
        <x:v>1533</x:v>
      </x:c>
      <x:c r="G17" s="12" t="n">
        <x:f>F17/E17</x:f>
        <x:v>0.8622047244094488</x:v>
      </x:c>
      <x:c r="H17" s="11" t="n">
        <x:v>584</x:v>
      </x:c>
      <x:c r="I17" s="11" t="n">
        <x:v>949</x:v>
      </x:c>
      <x:c r="J17" s="11" t="n">
        <x:v>2</x:v>
      </x:c>
      <x:c r="K17" s="11" t="n">
        <x:v>2</x:v>
      </x:c>
      <x:c r="L17" s="11" t="n">
        <x:v>2</x:v>
      </x:c>
      <x:c r="M17" s="11" t="n">
        <x:v>1778</x:v>
      </x:c>
    </x:row>
    <x:row r="18" ht="24" customHeight="1">
      <x:c r="A18" s="10" t="str">
        <x:v>a</x:v>
      </x:c>
      <x:c r="B18" s="10" t="str">
        <x:v>几何分支</x:v>
      </x:c>
      <x:c r="C18" s="9" t="str">
        <x:v>NC_H1</x:v>
      </x:c>
      <x:c r="D18" s="9" t="str">
        <x:v>NCG_H1</x:v>
      </x:c>
      <x:c r="E18" s="11" t="n">
        <x:v>1778</x:v>
      </x:c>
      <x:c r="F18" s="11" t="n">
        <x:v>1422</x:v>
      </x:c>
      <x:c r="G18" s="12" t="n">
        <x:f>F18/E18</x:f>
        <x:v>0.7997750281214848</x:v>
      </x:c>
      <x:c r="H18" s="11" t="n">
        <x:v>506</x:v>
      </x:c>
      <x:c r="I18" s="11" t="n">
        <x:v>916</x:v>
      </x:c>
      <x:c r="J18" s="11" t="n">
        <x:v>2</x:v>
      </x:c>
      <x:c r="K18" s="11" t="n">
        <x:v>2</x:v>
      </x:c>
      <x:c r="L18" s="11" t="n">
        <x:v>2</x:v>
      </x:c>
      <x:c r="M18" s="11" t="n">
        <x:v>1778</x:v>
      </x:c>
    </x:row>
    <x:row r="19" ht="24" customHeight="1">
      <x:c r="A19" s="10" t="str">
        <x:v>a</x:v>
      </x:c>
      <x:c r="B19" s="10" t="str">
        <x:v>叶名称</x:v>
      </x:c>
      <x:c r="C19" s="9" t="str">
        <x:v>NCG_H1</x:v>
      </x:c>
      <x:c r="D19" s="9" t="str">
        <x:v>NCG_H1_M1</x:v>
      </x:c>
      <x:c r="E19" s="11" t="n">
        <x:v>1778</x:v>
      </x:c>
      <x:c r="F19" s="11" t="n">
        <x:v>0</x:v>
      </x:c>
      <x:c r="G19" s="12" t="n">
        <x:f>F19/E19</x:f>
        <x:v>0</x:v>
      </x:c>
      <x:c r="H19" s="11" t="n">
        <x:v>0</x:v>
      </x:c>
      <x:c r="I19" s="11" t="n">
        <x:v>0</x:v>
      </x:c>
      <x:c r="J19" s="11" t="n">
        <x:v>0</x:v>
      </x:c>
      <x:c r="K19" s="11" t="n">
        <x:v>0</x:v>
      </x:c>
      <x:c r="L19" s="11" t="n">
        <x:v>0</x:v>
      </x:c>
      <x:c r="M19" s="11" t="n">
        <x:v>0</x:v>
      </x:c>
    </x:row>
    <x:row r="20" ht="24" customHeight="1">
      <x:c r="A20" s="10" t="str">
        <x:v>b</x:v>
      </x:c>
      <x:c r="B20" s="10" t="str">
        <x:v>结构树</x:v>
      </x:c>
      <x:c r="C20" s="9" t="str">
        <x:v>N_H0</x:v>
      </x:c>
      <x:c r="D20" s="9" t="str">
        <x:v>N_H1</x:v>
      </x:c>
      <x:c r="E20" s="11" t="n">
        <x:v>1481</x:v>
      </x:c>
      <x:c r="F20" s="11" t="n">
        <x:v>24</x:v>
      </x:c>
      <x:c r="G20" s="12" t="n">
        <x:f>F20/E20</x:f>
        <x:v>0.016205266711681297</x:v>
      </x:c>
      <x:c r="H20" s="11" t="n">
        <x:v>24</x:v>
      </x:c>
      <x:c r="I20" s="11" t="n">
        <x:v>0</x:v>
      </x:c>
      <x:c r="J20" s="11" t="n">
        <x:v>24</x:v>
      </x:c>
      <x:c r="K20" s="11" t="n">
        <x:v>0</x:v>
      </x:c>
      <x:c r="L20" s="11" t="n">
        <x:v>0</x:v>
      </x:c>
      <x:c r="M20" s="11" t="n">
        <x:v>24</x:v>
      </x:c>
    </x:row>
    <x:row r="21" ht="24" customHeight="1">
      <x:c r="A21" s="10" t="str">
        <x:v>b</x:v>
      </x:c>
      <x:c r="B21" s="10" t="str">
        <x:v>结构树</x:v>
      </x:c>
      <x:c r="C21" s="9" t="str">
        <x:v>C_H0</x:v>
      </x:c>
      <x:c r="D21" s="9" t="str">
        <x:v>C_H1</x:v>
      </x:c>
      <x:c r="E21" s="11" t="n">
        <x:v>1481</x:v>
      </x:c>
      <x:c r="F21" s="11" t="n">
        <x:v>30</x:v>
      </x:c>
      <x:c r="G21" s="12" t="n">
        <x:f>F21/E21</x:f>
        <x:v>0.02025658338960162</x:v>
      </x:c>
      <x:c r="H21" s="11" t="n">
        <x:v>30</x:v>
      </x:c>
      <x:c r="I21" s="11" t="n">
        <x:v>0</x:v>
      </x:c>
      <x:c r="J21" s="11" t="n">
        <x:v>30</x:v>
      </x:c>
      <x:c r="K21" s="11" t="n">
        <x:v>0</x:v>
      </x:c>
      <x:c r="L21" s="11" t="n">
        <x:v>0</x:v>
      </x:c>
      <x:c r="M21" s="11" t="n">
        <x:v>30</x:v>
      </x:c>
    </x:row>
    <x:row r="22" ht="24" customHeight="1">
      <x:c r="A22" s="10" t="str">
        <x:v>b</x:v>
      </x:c>
      <x:c r="B22" s="10" t="str">
        <x:v>结构树</x:v>
      </x:c>
      <x:c r="C22" s="9" t="str">
        <x:v>NG_H0</x:v>
      </x:c>
      <x:c r="D22" s="9" t="str">
        <x:v>NG_H1</x:v>
      </x:c>
      <x:c r="E22" s="11" t="n">
        <x:v>1481</x:v>
      </x:c>
      <x:c r="F22" s="11" t="n">
        <x:v>154</x:v>
      </x:c>
      <x:c r="G22" s="12" t="n">
        <x:f>F22/E22</x:f>
        <x:v>0.10398379473328832</x:v>
      </x:c>
      <x:c r="H22" s="11" t="n">
        <x:v>154</x:v>
      </x:c>
      <x:c r="I22" s="11" t="n">
        <x:v>0</x:v>
      </x:c>
      <x:c r="J22" s="11" t="n">
        <x:v>24</x:v>
      </x:c>
      <x:c r="K22" s="11" t="n">
        <x:v>0</x:v>
      </x:c>
      <x:c r="L22" s="11" t="n">
        <x:v>0</x:v>
      </x:c>
      <x:c r="M22" s="11" t="n">
        <x:v>154</x:v>
      </x:c>
    </x:row>
    <x:row r="23" ht="24" customHeight="1">
      <x:c r="A23" s="10" t="str">
        <x:v>b</x:v>
      </x:c>
      <x:c r="B23" s="10" t="str">
        <x:v>结构树</x:v>
      </x:c>
      <x:c r="C23" s="9" t="str">
        <x:v>CG_H0</x:v>
      </x:c>
      <x:c r="D23" s="9" t="str">
        <x:v>CG_H1</x:v>
      </x:c>
      <x:c r="E23" s="11" t="n">
        <x:v>1481</x:v>
      </x:c>
      <x:c r="F23" s="11" t="n">
        <x:v>196</x:v>
      </x:c>
      <x:c r="G23" s="12" t="n">
        <x:f>F23/E23</x:f>
        <x:v>0.1323430114787306</x:v>
      </x:c>
      <x:c r="H23" s="11" t="n">
        <x:v>196</x:v>
      </x:c>
      <x:c r="I23" s="11" t="n">
        <x:v>0</x:v>
      </x:c>
      <x:c r="J23" s="11" t="n">
        <x:v>32</x:v>
      </x:c>
      <x:c r="K23" s="11" t="n">
        <x:v>2</x:v>
      </x:c>
      <x:c r="L23" s="11" t="n">
        <x:v>2</x:v>
      </x:c>
      <x:c r="M23" s="11" t="n">
        <x:v>196</x:v>
      </x:c>
    </x:row>
    <x:row r="24" ht="24" customHeight="1">
      <x:c r="A24" s="10" t="str">
        <x:v>b</x:v>
      </x:c>
      <x:c r="B24" s="10" t="str">
        <x:v>结构树</x:v>
      </x:c>
      <x:c r="C24" s="9" t="str">
        <x:v>NC_H0</x:v>
      </x:c>
      <x:c r="D24" s="9" t="str">
        <x:v>NC_H1</x:v>
      </x:c>
      <x:c r="E24" s="11" t="n">
        <x:v>1481</x:v>
      </x:c>
      <x:c r="F24" s="11" t="n">
        <x:v>35</x:v>
      </x:c>
      <x:c r="G24" s="12" t="n">
        <x:f>F24/E24</x:f>
        <x:v>0.02363268062120189</x:v>
      </x:c>
      <x:c r="H24" s="11" t="n">
        <x:v>35</x:v>
      </x:c>
      <x:c r="I24" s="11" t="n">
        <x:v>0</x:v>
      </x:c>
      <x:c r="J24" s="11" t="n">
        <x:v>35</x:v>
      </x:c>
      <x:c r="K24" s="11" t="n">
        <x:v>0</x:v>
      </x:c>
      <x:c r="L24" s="11" t="n">
        <x:v>0</x:v>
      </x:c>
      <x:c r="M24" s="11" t="n">
        <x:v>35</x:v>
      </x:c>
    </x:row>
    <x:row r="25" ht="24" customHeight="1">
      <x:c r="A25" s="10" t="str">
        <x:v>b</x:v>
      </x:c>
      <x:c r="B25" s="10" t="str">
        <x:v>结构树</x:v>
      </x:c>
      <x:c r="C25" s="9" t="str">
        <x:v>NCG_H0</x:v>
      </x:c>
      <x:c r="D25" s="9" t="str">
        <x:v>NCG_H1</x:v>
      </x:c>
      <x:c r="E25" s="11" t="n">
        <x:v>1481</x:v>
      </x:c>
      <x:c r="F25" s="11" t="n">
        <x:v>192</x:v>
      </x:c>
      <x:c r="G25" s="12" t="n">
        <x:f>F25/E25</x:f>
        <x:v>0.12964213369345037</x:v>
      </x:c>
      <x:c r="H25" s="11" t="n">
        <x:v>192</x:v>
      </x:c>
      <x:c r="I25" s="11" t="n">
        <x:v>0</x:v>
      </x:c>
      <x:c r="J25" s="11" t="n">
        <x:v>36</x:v>
      </x:c>
      <x:c r="K25" s="11" t="n">
        <x:v>1</x:v>
      </x:c>
      <x:c r="L25" s="11" t="n">
        <x:v>1</x:v>
      </x:c>
      <x:c r="M25" s="11" t="n">
        <x:v>192</x:v>
      </x:c>
    </x:row>
    <x:row r="26" ht="24" customHeight="1">
      <x:c r="A26" s="10" t="str">
        <x:v>b</x:v>
      </x:c>
      <x:c r="B26" s="10" t="str">
        <x:v>结构树</x:v>
      </x:c>
      <x:c r="C26" s="9" t="str">
        <x:v>G_H0</x:v>
      </x:c>
      <x:c r="D26" s="9" t="str">
        <x:v>G_H1</x:v>
      </x:c>
      <x:c r="E26" s="11" t="n">
        <x:v>1481</x:v>
      </x:c>
      <x:c r="F26" s="11" t="n">
        <x:v>167</x:v>
      </x:c>
      <x:c r="G26" s="12" t="n">
        <x:f>F26/E26</x:f>
        <x:v>0.11276164753544902</x:v>
      </x:c>
      <x:c r="H26" s="11" t="n">
        <x:v>167</x:v>
      </x:c>
      <x:c r="I26" s="11" t="n">
        <x:v>0</x:v>
      </x:c>
      <x:c r="J26" s="11" t="n">
        <x:v>0</x:v>
      </x:c>
      <x:c r="K26" s="11" t="n">
        <x:v>0</x:v>
      </x:c>
      <x:c r="L26" s="11" t="n">
        <x:v>0</x:v>
      </x:c>
      <x:c r="M26" s="11" t="n">
        <x:v>167</x:v>
      </x:c>
    </x:row>
    <x:row r="27" ht="24" customHeight="1">
      <x:c r="A27" s="10" t="str">
        <x:v>b</x:v>
      </x:c>
      <x:c r="B27" s="10" t="str">
        <x:v>几何分支</x:v>
      </x:c>
      <x:c r="C27" s="9" t="str">
        <x:v>N_H0</x:v>
      </x:c>
      <x:c r="D27" s="9" t="str">
        <x:v>NG_H0</x:v>
      </x:c>
      <x:c r="E27" s="11" t="n">
        <x:v>1481</x:v>
      </x:c>
      <x:c r="F27" s="11" t="n">
        <x:v>1156</x:v>
      </x:c>
      <x:c r="G27" s="12" t="n">
        <x:f>F27/E27</x:f>
        <x:v>0.7805536799459825</x:v>
      </x:c>
      <x:c r="H27" s="11" t="n">
        <x:v>64</x:v>
      </x:c>
      <x:c r="I27" s="11" t="n">
        <x:v>1092</x:v>
      </x:c>
      <x:c r="J27" s="11" t="n">
        <x:v>0</x:v>
      </x:c>
      <x:c r="K27" s="11" t="n">
        <x:v>0</x:v>
      </x:c>
      <x:c r="L27" s="11" t="n">
        <x:v>0</x:v>
      </x:c>
      <x:c r="M27" s="11" t="n">
        <x:v>1481</x:v>
      </x:c>
    </x:row>
    <x:row r="28" ht="24" customHeight="1">
      <x:c r="A28" s="10" t="str">
        <x:v>b</x:v>
      </x:c>
      <x:c r="B28" s="10" t="str">
        <x:v>几何分支</x:v>
      </x:c>
      <x:c r="C28" s="9" t="str">
        <x:v>C_H0</x:v>
      </x:c>
      <x:c r="D28" s="9" t="str">
        <x:v>CG_H0</x:v>
      </x:c>
      <x:c r="E28" s="11" t="n">
        <x:v>1481</x:v>
      </x:c>
      <x:c r="F28" s="11" t="n">
        <x:v>1285</x:v>
      </x:c>
      <x:c r="G28" s="12" t="n">
        <x:f>F28/E28</x:f>
        <x:v>0.8676569885212694</x:v>
      </x:c>
      <x:c r="H28" s="11" t="n">
        <x:v>212</x:v>
      </x:c>
      <x:c r="I28" s="11" t="n">
        <x:v>1073</x:v>
      </x:c>
      <x:c r="J28" s="11" t="n">
        <x:v>0</x:v>
      </x:c>
      <x:c r="K28" s="11" t="n">
        <x:v>0</x:v>
      </x:c>
      <x:c r="L28" s="11" t="n">
        <x:v>0</x:v>
      </x:c>
      <x:c r="M28" s="11" t="n">
        <x:v>1481</x:v>
      </x:c>
    </x:row>
    <x:row r="29" ht="24" customHeight="1">
      <x:c r="A29" s="10" t="str">
        <x:v>b</x:v>
      </x:c>
      <x:c r="B29" s="10" t="str">
        <x:v>几何分支</x:v>
      </x:c>
      <x:c r="C29" s="9" t="str">
        <x:v>NC_H0</x:v>
      </x:c>
      <x:c r="D29" s="9" t="str">
        <x:v>NCG_H0</x:v>
      </x:c>
      <x:c r="E29" s="11" t="n">
        <x:v>1481</x:v>
      </x:c>
      <x:c r="F29" s="11" t="n">
        <x:v>1220</x:v>
      </x:c>
      <x:c r="G29" s="12" t="n">
        <x:f>F29/E29</x:f>
        <x:v>0.8237677245104659</x:v>
      </x:c>
      <x:c r="H29" s="11" t="n">
        <x:v>219</x:v>
      </x:c>
      <x:c r="I29" s="11" t="n">
        <x:v>1001</x:v>
      </x:c>
      <x:c r="J29" s="11" t="n">
        <x:v>0</x:v>
      </x:c>
      <x:c r="K29" s="11" t="n">
        <x:v>0</x:v>
      </x:c>
      <x:c r="L29" s="11" t="n">
        <x:v>0</x:v>
      </x:c>
      <x:c r="M29" s="11" t="n">
        <x:v>1481</x:v>
      </x:c>
    </x:row>
    <x:row r="30" ht="24" customHeight="1">
      <x:c r="A30" s="10" t="str">
        <x:v>b</x:v>
      </x:c>
      <x:c r="B30" s="10" t="str">
        <x:v>几何分支</x:v>
      </x:c>
      <x:c r="C30" s="9" t="str">
        <x:v>N_H1</x:v>
      </x:c>
      <x:c r="D30" s="9" t="str">
        <x:v>NG_H1</x:v>
      </x:c>
      <x:c r="E30" s="11" t="n">
        <x:v>1481</x:v>
      </x:c>
      <x:c r="F30" s="11" t="n">
        <x:v>1147</x:v>
      </x:c>
      <x:c r="G30" s="12" t="n">
        <x:f>F30/E30</x:f>
        <x:v>0.7744767049291019</x:v>
      </x:c>
      <x:c r="H30" s="11" t="n">
        <x:v>61</x:v>
      </x:c>
      <x:c r="I30" s="11" t="n">
        <x:v>1086</x:v>
      </x:c>
      <x:c r="J30" s="11" t="n">
        <x:v>0</x:v>
      </x:c>
      <x:c r="K30" s="11" t="n">
        <x:v>0</x:v>
      </x:c>
      <x:c r="L30" s="11" t="n">
        <x:v>0</x:v>
      </x:c>
      <x:c r="M30" s="11" t="n">
        <x:v>1481</x:v>
      </x:c>
    </x:row>
    <x:row r="31" ht="24" customHeight="1">
      <x:c r="A31" s="10" t="str">
        <x:v>b</x:v>
      </x:c>
      <x:c r="B31" s="10" t="str">
        <x:v>几何分支</x:v>
      </x:c>
      <x:c r="C31" s="9" t="str">
        <x:v>C_H1</x:v>
      </x:c>
      <x:c r="D31" s="9" t="str">
        <x:v>CG_H1</x:v>
      </x:c>
      <x:c r="E31" s="11" t="n">
        <x:v>1481</x:v>
      </x:c>
      <x:c r="F31" s="11" t="n">
        <x:v>1256</x:v>
      </x:c>
      <x:c r="G31" s="12" t="n">
        <x:f>F31/E31</x:f>
        <x:v>0.8480756245779878</x:v>
      </x:c>
      <x:c r="H31" s="11" t="n">
        <x:v>194</x:v>
      </x:c>
      <x:c r="I31" s="11" t="n">
        <x:v>1062</x:v>
      </x:c>
      <x:c r="J31" s="11" t="n">
        <x:v>2</x:v>
      </x:c>
      <x:c r="K31" s="11" t="n">
        <x:v>2</x:v>
      </x:c>
      <x:c r="L31" s="11" t="n">
        <x:v>2</x:v>
      </x:c>
      <x:c r="M31" s="11" t="n">
        <x:v>1481</x:v>
      </x:c>
    </x:row>
    <x:row r="32" ht="24" customHeight="1">
      <x:c r="A32" s="10" t="str">
        <x:v>b</x:v>
      </x:c>
      <x:c r="B32" s="10" t="str">
        <x:v>几何分支</x:v>
      </x:c>
      <x:c r="C32" s="9" t="str">
        <x:v>NC_H1</x:v>
      </x:c>
      <x:c r="D32" s="9" t="str">
        <x:v>NCG_H1</x:v>
      </x:c>
      <x:c r="E32" s="11" t="n">
        <x:v>1481</x:v>
      </x:c>
      <x:c r="F32" s="11" t="n">
        <x:v>1198</x:v>
      </x:c>
      <x:c r="G32" s="12" t="n">
        <x:f>F32/E32</x:f>
        <x:v>0.8089128966914247</x:v>
      </x:c>
      <x:c r="H32" s="11" t="n">
        <x:v>200</x:v>
      </x:c>
      <x:c r="I32" s="11" t="n">
        <x:v>998</x:v>
      </x:c>
      <x:c r="J32" s="11" t="n">
        <x:v>1</x:v>
      </x:c>
      <x:c r="K32" s="11" t="n">
        <x:v>1</x:v>
      </x:c>
      <x:c r="L32" s="11" t="n">
        <x:v>1</x:v>
      </x:c>
      <x:c r="M32" s="11" t="n">
        <x:v>1481</x:v>
      </x:c>
    </x:row>
    <x:row r="33" ht="24" customHeight="1">
      <x:c r="A33" s="10" t="str">
        <x:v>b</x:v>
      </x:c>
      <x:c r="B33" s="10" t="str">
        <x:v>叶名称</x:v>
      </x:c>
      <x:c r="C33" s="9" t="str">
        <x:v>NCG_H1</x:v>
      </x:c>
      <x:c r="D33" s="9" t="str">
        <x:v>NCG_H1_M1</x:v>
      </x:c>
      <x:c r="E33" s="11" t="n">
        <x:v>1481</x:v>
      </x:c>
      <x:c r="F33" s="11" t="n">
        <x:v>193</x:v>
      </x:c>
      <x:c r="G33" s="12" t="n">
        <x:f>F33/E33</x:f>
        <x:v>0.13031735313977041</x:v>
      </x:c>
      <x:c r="H33" s="11" t="n">
        <x:v>190</x:v>
      </x:c>
      <x:c r="I33" s="11" t="n">
        <x:v>3</x:v>
      </x:c>
      <x:c r="J33" s="11" t="n">
        <x:v>208</x:v>
      </x:c>
      <x:c r="K33" s="11" t="n">
        <x:v>263</x:v>
      </x:c>
      <x:c r="L33" s="11" t="n">
        <x:v>269</x:v>
      </x:c>
      <x:c r="M33" s="11" t="n">
        <x:v>193</x:v>
      </x:c>
    </x:row>
    <x:row r="34" ht="24" customHeight="1">
      <x:c r="A34" s="10" t="str">
        <x:v>c</x:v>
      </x:c>
      <x:c r="B34" s="10" t="str">
        <x:v>结构树</x:v>
      </x:c>
      <x:c r="C34" s="9" t="str">
        <x:v>N_H0</x:v>
      </x:c>
      <x:c r="D34" s="9" t="str">
        <x:v>N_H1</x:v>
      </x:c>
      <x:c r="E34" s="11" t="n">
        <x:v>1747</x:v>
      </x:c>
      <x:c r="F34" s="11" t="n">
        <x:v>34</x:v>
      </x:c>
      <x:c r="G34" s="12" t="n">
        <x:f>F34/E34</x:f>
        <x:v>0.019461934745277618</x:v>
      </x:c>
      <x:c r="H34" s="11" t="n">
        <x:v>34</x:v>
      </x:c>
      <x:c r="I34" s="11" t="n">
        <x:v>0</x:v>
      </x:c>
      <x:c r="J34" s="11" t="n">
        <x:v>34</x:v>
      </x:c>
      <x:c r="K34" s="11" t="n">
        <x:v>0</x:v>
      </x:c>
      <x:c r="L34" s="11" t="n">
        <x:v>0</x:v>
      </x:c>
      <x:c r="M34" s="11" t="n">
        <x:v>34</x:v>
      </x:c>
    </x:row>
    <x:row r="35" ht="24" customHeight="1">
      <x:c r="A35" s="10" t="str">
        <x:v>c</x:v>
      </x:c>
      <x:c r="B35" s="10" t="str">
        <x:v>结构树</x:v>
      </x:c>
      <x:c r="C35" s="9" t="str">
        <x:v>C_H0</x:v>
      </x:c>
      <x:c r="D35" s="9" t="str">
        <x:v>C_H1</x:v>
      </x:c>
      <x:c r="E35" s="11" t="n">
        <x:v>1747</x:v>
      </x:c>
      <x:c r="F35" s="11" t="n">
        <x:v>4</x:v>
      </x:c>
      <x:c r="G35" s="12" t="n">
        <x:f>F35/E35</x:f>
        <x:v>0.0022896393817973667</x:v>
      </x:c>
      <x:c r="H35" s="11" t="n">
        <x:v>4</x:v>
      </x:c>
      <x:c r="I35" s="11" t="n">
        <x:v>0</x:v>
      </x:c>
      <x:c r="J35" s="11" t="n">
        <x:v>4</x:v>
      </x:c>
      <x:c r="K35" s="11" t="n">
        <x:v>0</x:v>
      </x:c>
      <x:c r="L35" s="11" t="n">
        <x:v>0</x:v>
      </x:c>
      <x:c r="M35" s="11" t="n">
        <x:v>4</x:v>
      </x:c>
    </x:row>
    <x:row r="36" ht="24" customHeight="1">
      <x:c r="A36" s="10" t="str">
        <x:v>c</x:v>
      </x:c>
      <x:c r="B36" s="10" t="str">
        <x:v>结构树</x:v>
      </x:c>
      <x:c r="C36" s="9" t="str">
        <x:v>NG_H0</x:v>
      </x:c>
      <x:c r="D36" s="9" t="str">
        <x:v>NG_H1</x:v>
      </x:c>
      <x:c r="E36" s="11" t="n">
        <x:v>1747</x:v>
      </x:c>
      <x:c r="F36" s="11" t="n">
        <x:v>134</x:v>
      </x:c>
      <x:c r="G36" s="12" t="n">
        <x:f>F36/E36</x:f>
        <x:v>0.0767029192902118</x:v>
      </x:c>
      <x:c r="H36" s="11" t="n">
        <x:v>134</x:v>
      </x:c>
      <x:c r="I36" s="11" t="n">
        <x:v>0</x:v>
      </x:c>
      <x:c r="J36" s="11" t="n">
        <x:v>34</x:v>
      </x:c>
      <x:c r="K36" s="11" t="n">
        <x:v>0</x:v>
      </x:c>
      <x:c r="L36" s="11" t="n">
        <x:v>0</x:v>
      </x:c>
      <x:c r="M36" s="11" t="n">
        <x:v>134</x:v>
      </x:c>
    </x:row>
    <x:row r="37" ht="24" customHeight="1">
      <x:c r="A37" s="10" t="str">
        <x:v>c</x:v>
      </x:c>
      <x:c r="B37" s="10" t="str">
        <x:v>结构树</x:v>
      </x:c>
      <x:c r="C37" s="9" t="str">
        <x:v>CG_H0</x:v>
      </x:c>
      <x:c r="D37" s="9" t="str">
        <x:v>CG_H1</x:v>
      </x:c>
      <x:c r="E37" s="11" t="n">
        <x:v>1747</x:v>
      </x:c>
      <x:c r="F37" s="11" t="n">
        <x:v>115</x:v>
      </x:c>
      <x:c r="G37" s="12" t="n">
        <x:f>F37/E37</x:f>
        <x:v>0.0658271322266743</x:v>
      </x:c>
      <x:c r="H37" s="11" t="n">
        <x:v>115</x:v>
      </x:c>
      <x:c r="I37" s="11" t="n">
        <x:v>0</x:v>
      </x:c>
      <x:c r="J37" s="11" t="n">
        <x:v>4</x:v>
      </x:c>
      <x:c r="K37" s="11" t="n">
        <x:v>0</x:v>
      </x:c>
      <x:c r="L37" s="11" t="n">
        <x:v>0</x:v>
      </x:c>
      <x:c r="M37" s="11" t="n">
        <x:v>115</x:v>
      </x:c>
    </x:row>
    <x:row r="38" ht="24" customHeight="1">
      <x:c r="A38" s="10" t="str">
        <x:v>c</x:v>
      </x:c>
      <x:c r="B38" s="10" t="str">
        <x:v>结构树</x:v>
      </x:c>
      <x:c r="C38" s="9" t="str">
        <x:v>NC_H0</x:v>
      </x:c>
      <x:c r="D38" s="9" t="str">
        <x:v>NC_H1</x:v>
      </x:c>
      <x:c r="E38" s="11" t="n">
        <x:v>1747</x:v>
      </x:c>
      <x:c r="F38" s="11" t="n">
        <x:v>39</x:v>
      </x:c>
      <x:c r="G38" s="12" t="n">
        <x:f>F38/E38</x:f>
        <x:v>0.022323983972524327</x:v>
      </x:c>
      <x:c r="H38" s="11" t="n">
        <x:v>39</x:v>
      </x:c>
      <x:c r="I38" s="11" t="n">
        <x:v>0</x:v>
      </x:c>
      <x:c r="J38" s="11" t="n">
        <x:v>39</x:v>
      </x:c>
      <x:c r="K38" s="11" t="n">
        <x:v>0</x:v>
      </x:c>
      <x:c r="L38" s="11" t="n">
        <x:v>0</x:v>
      </x:c>
      <x:c r="M38" s="11" t="n">
        <x:v>39</x:v>
      </x:c>
    </x:row>
    <x:row r="39" ht="24" customHeight="1">
      <x:c r="A39" s="10" t="str">
        <x:v>c</x:v>
      </x:c>
      <x:c r="B39" s="10" t="str">
        <x:v>结构树</x:v>
      </x:c>
      <x:c r="C39" s="9" t="str">
        <x:v>NCG_H0</x:v>
      </x:c>
      <x:c r="D39" s="9" t="str">
        <x:v>NCG_H1</x:v>
      </x:c>
      <x:c r="E39" s="11" t="n">
        <x:v>1747</x:v>
      </x:c>
      <x:c r="F39" s="11" t="n">
        <x:v>143</x:v>
      </x:c>
      <x:c r="G39" s="12" t="n">
        <x:f>F39/E39</x:f>
        <x:v>0.08185460789925587</x:v>
      </x:c>
      <x:c r="H39" s="11" t="n">
        <x:v>143</x:v>
      </x:c>
      <x:c r="I39" s="11" t="n">
        <x:v>0</x:v>
      </x:c>
      <x:c r="J39" s="11" t="n">
        <x:v>39</x:v>
      </x:c>
      <x:c r="K39" s="11" t="n">
        <x:v>0</x:v>
      </x:c>
      <x:c r="L39" s="11" t="n">
        <x:v>0</x:v>
      </x:c>
      <x:c r="M39" s="11" t="n">
        <x:v>143</x:v>
      </x:c>
    </x:row>
    <x:row r="40" ht="24" customHeight="1">
      <x:c r="A40" s="10" t="str">
        <x:v>c</x:v>
      </x:c>
      <x:c r="B40" s="10" t="str">
        <x:v>结构树</x:v>
      </x:c>
      <x:c r="C40" s="9" t="str">
        <x:v>G_H0</x:v>
      </x:c>
      <x:c r="D40" s="9" t="str">
        <x:v>G_H1</x:v>
      </x:c>
      <x:c r="E40" s="11" t="n">
        <x:v>1747</x:v>
      </x:c>
      <x:c r="F40" s="11" t="n">
        <x:v>118</x:v>
      </x:c>
      <x:c r="G40" s="12" t="n">
        <x:f>F40/E40</x:f>
        <x:v>0.06754436176302232</x:v>
      </x:c>
      <x:c r="H40" s="11" t="n">
        <x:v>118</x:v>
      </x:c>
      <x:c r="I40" s="11" t="n">
        <x:v>0</x:v>
      </x:c>
      <x:c r="J40" s="11" t="n">
        <x:v>0</x:v>
      </x:c>
      <x:c r="K40" s="11" t="n">
        <x:v>0</x:v>
      </x:c>
      <x:c r="L40" s="11" t="n">
        <x:v>0</x:v>
      </x:c>
      <x:c r="M40" s="11" t="n">
        <x:v>118</x:v>
      </x:c>
    </x:row>
    <x:row r="41" ht="24" customHeight="1">
      <x:c r="A41" s="10" t="str">
        <x:v>c</x:v>
      </x:c>
      <x:c r="B41" s="10" t="str">
        <x:v>几何分支</x:v>
      </x:c>
      <x:c r="C41" s="9" t="str">
        <x:v>N_H0</x:v>
      </x:c>
      <x:c r="D41" s="9" t="str">
        <x:v>NG_H0</x:v>
      </x:c>
      <x:c r="E41" s="11" t="n">
        <x:v>1747</x:v>
      </x:c>
      <x:c r="F41" s="11" t="n">
        <x:v>1237</x:v>
      </x:c>
      <x:c r="G41" s="12" t="n">
        <x:f>F41/E41</x:f>
        <x:v>0.7080709788208357</x:v>
      </x:c>
      <x:c r="H41" s="11" t="n">
        <x:v>70</x:v>
      </x:c>
      <x:c r="I41" s="11" t="n">
        <x:v>1167</x:v>
      </x:c>
      <x:c r="J41" s="11" t="n">
        <x:v>0</x:v>
      </x:c>
      <x:c r="K41" s="11" t="n">
        <x:v>0</x:v>
      </x:c>
      <x:c r="L41" s="11" t="n">
        <x:v>0</x:v>
      </x:c>
      <x:c r="M41" s="11" t="n">
        <x:v>1747</x:v>
      </x:c>
    </x:row>
    <x:row r="42" ht="24" customHeight="1">
      <x:c r="A42" s="10" t="str">
        <x:v>c</x:v>
      </x:c>
      <x:c r="B42" s="10" t="str">
        <x:v>几何分支</x:v>
      </x:c>
      <x:c r="C42" s="9" t="str">
        <x:v>C_H0</x:v>
      </x:c>
      <x:c r="D42" s="9" t="str">
        <x:v>CG_H0</x:v>
      </x:c>
      <x:c r="E42" s="11" t="n">
        <x:v>1747</x:v>
      </x:c>
      <x:c r="F42" s="11" t="n">
        <x:v>1343</x:v>
      </x:c>
      <x:c r="G42" s="12" t="n">
        <x:f>F42/E42</x:f>
        <x:v>0.7687464224384659</x:v>
      </x:c>
      <x:c r="H42" s="11" t="n">
        <x:v>246</x:v>
      </x:c>
      <x:c r="I42" s="11" t="n">
        <x:v>1097</x:v>
      </x:c>
      <x:c r="J42" s="11" t="n">
        <x:v>0</x:v>
      </x:c>
      <x:c r="K42" s="11" t="n">
        <x:v>0</x:v>
      </x:c>
      <x:c r="L42" s="11" t="n">
        <x:v>0</x:v>
      </x:c>
      <x:c r="M42" s="11" t="n">
        <x:v>1747</x:v>
      </x:c>
    </x:row>
    <x:row r="43" ht="24" customHeight="1">
      <x:c r="A43" s="10" t="str">
        <x:v>c</x:v>
      </x:c>
      <x:c r="B43" s="10" t="str">
        <x:v>几何分支</x:v>
      </x:c>
      <x:c r="C43" s="9" t="str">
        <x:v>NC_H0</x:v>
      </x:c>
      <x:c r="D43" s="9" t="str">
        <x:v>NCG_H0</x:v>
      </x:c>
      <x:c r="E43" s="11" t="n">
        <x:v>1747</x:v>
      </x:c>
      <x:c r="F43" s="11" t="n">
        <x:v>1252</x:v>
      </x:c>
      <x:c r="G43" s="12" t="n">
        <x:f>F43/E43</x:f>
        <x:v>0.7166571265025758</x:v>
      </x:c>
      <x:c r="H43" s="11" t="n">
        <x:v>280</x:v>
      </x:c>
      <x:c r="I43" s="11" t="n">
        <x:v>972</x:v>
      </x:c>
      <x:c r="J43" s="11" t="n">
        <x:v>0</x:v>
      </x:c>
      <x:c r="K43" s="11" t="n">
        <x:v>0</x:v>
      </x:c>
      <x:c r="L43" s="11" t="n">
        <x:v>0</x:v>
      </x:c>
      <x:c r="M43" s="11" t="n">
        <x:v>1747</x:v>
      </x:c>
    </x:row>
    <x:row r="44" ht="24" customHeight="1">
      <x:c r="A44" s="10" t="str">
        <x:v>c</x:v>
      </x:c>
      <x:c r="B44" s="10" t="str">
        <x:v>几何分支</x:v>
      </x:c>
      <x:c r="C44" s="9" t="str">
        <x:v>N_H1</x:v>
      </x:c>
      <x:c r="D44" s="9" t="str">
        <x:v>NG_H1</x:v>
      </x:c>
      <x:c r="E44" s="11" t="n">
        <x:v>1747</x:v>
      </x:c>
      <x:c r="F44" s="11" t="n">
        <x:v>1229</x:v>
      </x:c>
      <x:c r="G44" s="12" t="n">
        <x:f>F44/E44</x:f>
        <x:v>0.7034917000572409</x:v>
      </x:c>
      <x:c r="H44" s="11" t="n">
        <x:v>72</x:v>
      </x:c>
      <x:c r="I44" s="11" t="n">
        <x:v>1157</x:v>
      </x:c>
      <x:c r="J44" s="11" t="n">
        <x:v>0</x:v>
      </x:c>
      <x:c r="K44" s="11" t="n">
        <x:v>0</x:v>
      </x:c>
      <x:c r="L44" s="11" t="n">
        <x:v>0</x:v>
      </x:c>
      <x:c r="M44" s="11" t="n">
        <x:v>1747</x:v>
      </x:c>
    </x:row>
    <x:row r="45" ht="24" customHeight="1">
      <x:c r="A45" s="10" t="str">
        <x:v>c</x:v>
      </x:c>
      <x:c r="B45" s="10" t="str">
        <x:v>几何分支</x:v>
      </x:c>
      <x:c r="C45" s="9" t="str">
        <x:v>C_H1</x:v>
      </x:c>
      <x:c r="D45" s="9" t="str">
        <x:v>CG_H1</x:v>
      </x:c>
      <x:c r="E45" s="11" t="n">
        <x:v>1747</x:v>
      </x:c>
      <x:c r="F45" s="11" t="n">
        <x:v>1353</x:v>
      </x:c>
      <x:c r="G45" s="12" t="n">
        <x:f>F45/E45</x:f>
        <x:v>0.7744705208929593</x:v>
      </x:c>
      <x:c r="H45" s="11" t="n">
        <x:v>261</x:v>
      </x:c>
      <x:c r="I45" s="11" t="n">
        <x:v>1092</x:v>
      </x:c>
      <x:c r="J45" s="11" t="n">
        <x:v>0</x:v>
      </x:c>
      <x:c r="K45" s="11" t="n">
        <x:v>0</x:v>
      </x:c>
      <x:c r="L45" s="11" t="n">
        <x:v>0</x:v>
      </x:c>
      <x:c r="M45" s="11" t="n">
        <x:v>1747</x:v>
      </x:c>
    </x:row>
    <x:row r="46" ht="24" customHeight="1">
      <x:c r="A46" s="10" t="str">
        <x:v>c</x:v>
      </x:c>
      <x:c r="B46" s="10" t="str">
        <x:v>几何分支</x:v>
      </x:c>
      <x:c r="C46" s="9" t="str">
        <x:v>NC_H1</x:v>
      </x:c>
      <x:c r="D46" s="9" t="str">
        <x:v>NCG_H1</x:v>
      </x:c>
      <x:c r="E46" s="11" t="n">
        <x:v>1747</x:v>
      </x:c>
      <x:c r="F46" s="11" t="n">
        <x:v>1259</x:v>
      </x:c>
      <x:c r="G46" s="12" t="n">
        <x:f>F46/E46</x:f>
        <x:v>0.7206639954207212</x:v>
      </x:c>
      <x:c r="H46" s="11" t="n">
        <x:v>292</x:v>
      </x:c>
      <x:c r="I46" s="11" t="n">
        <x:v>967</x:v>
      </x:c>
      <x:c r="J46" s="11" t="n">
        <x:v>0</x:v>
      </x:c>
      <x:c r="K46" s="11" t="n">
        <x:v>0</x:v>
      </x:c>
      <x:c r="L46" s="11" t="n">
        <x:v>0</x:v>
      </x:c>
      <x:c r="M46" s="11" t="n">
        <x:v>1747</x:v>
      </x:c>
    </x:row>
    <x:row r="47" ht="24" customHeight="1">
      <x:c r="A47" s="10" t="str">
        <x:v>c</x:v>
      </x:c>
      <x:c r="B47" s="10" t="str">
        <x:v>叶名称</x:v>
      </x:c>
      <x:c r="C47" s="9" t="str">
        <x:v>NCG_H1</x:v>
      </x:c>
      <x:c r="D47" s="9" t="str">
        <x:v>NCG_H1_M1</x:v>
      </x:c>
      <x:c r="E47" s="11" t="n">
        <x:v>1747</x:v>
      </x:c>
      <x:c r="F47" s="11" t="n">
        <x:v>215</x:v>
      </x:c>
      <x:c r="G47" s="12" t="n">
        <x:f>F47/E47</x:f>
        <x:v>0.12306811677160848</x:v>
      </x:c>
      <x:c r="H47" s="11" t="n">
        <x:v>209</x:v>
      </x:c>
      <x:c r="I47" s="11" t="n">
        <x:v>6</x:v>
      </x:c>
      <x:c r="J47" s="11" t="n">
        <x:v>270</x:v>
      </x:c>
      <x:c r="K47" s="11" t="n">
        <x:v>242</x:v>
      </x:c>
      <x:c r="L47" s="11" t="n">
        <x:v>254</x:v>
      </x:c>
      <x:c r="M47" s="11" t="n">
        <x:v>215</x:v>
      </x:c>
    </x:row>
    <x:row r="48" ht="24" customHeight="1">
      <x:c r="A48" s="10" t="str">
        <x:v>d</x:v>
      </x:c>
      <x:c r="B48" s="10" t="str">
        <x:v>结构树</x:v>
      </x:c>
      <x:c r="C48" s="9" t="str">
        <x:v>N_H0</x:v>
      </x:c>
      <x:c r="D48" s="9" t="str">
        <x:v>N_H1</x:v>
      </x:c>
      <x:c r="E48" s="11" t="n">
        <x:v>1167</x:v>
      </x:c>
      <x:c r="F48" s="11" t="n">
        <x:v>12</x:v>
      </x:c>
      <x:c r="G48" s="12" t="n">
        <x:f>F48/E48</x:f>
        <x:v>0.010282776349614395</x:v>
      </x:c>
      <x:c r="H48" s="11" t="n">
        <x:v>12</x:v>
      </x:c>
      <x:c r="I48" s="11" t="n">
        <x:v>0</x:v>
      </x:c>
      <x:c r="J48" s="11" t="n">
        <x:v>12</x:v>
      </x:c>
      <x:c r="K48" s="11" t="n">
        <x:v>0</x:v>
      </x:c>
      <x:c r="L48" s="11" t="n">
        <x:v>0</x:v>
      </x:c>
      <x:c r="M48" s="11" t="n">
        <x:v>12</x:v>
      </x:c>
    </x:row>
    <x:row r="49" ht="24" customHeight="1">
      <x:c r="A49" s="10" t="str">
        <x:v>d</x:v>
      </x:c>
      <x:c r="B49" s="10" t="str">
        <x:v>结构树</x:v>
      </x:c>
      <x:c r="C49" s="9" t="str">
        <x:v>C_H0</x:v>
      </x:c>
      <x:c r="D49" s="9" t="str">
        <x:v>C_H1</x:v>
      </x:c>
      <x:c r="E49" s="11" t="n">
        <x:v>1167</x:v>
      </x:c>
      <x:c r="F49" s="11" t="n">
        <x:v>0</x:v>
      </x:c>
      <x:c r="G49" s="12" t="n">
        <x:f>F49/E49</x:f>
        <x:v>0</x:v>
      </x:c>
      <x:c r="H49" s="11" t="n">
        <x:v>0</x:v>
      </x:c>
      <x:c r="I49" s="11" t="n">
        <x:v>0</x:v>
      </x:c>
      <x:c r="J49" s="11" t="n">
        <x:v>0</x:v>
      </x:c>
      <x:c r="K49" s="11" t="n">
        <x:v>0</x:v>
      </x:c>
      <x:c r="L49" s="11" t="n">
        <x:v>0</x:v>
      </x:c>
      <x:c r="M49" s="11" t="n">
        <x:v>0</x:v>
      </x:c>
    </x:row>
    <x:row r="50" ht="24" customHeight="1">
      <x:c r="A50" s="10" t="str">
        <x:v>d</x:v>
      </x:c>
      <x:c r="B50" s="10" t="str">
        <x:v>结构树</x:v>
      </x:c>
      <x:c r="C50" s="9" t="str">
        <x:v>NG_H0</x:v>
      </x:c>
      <x:c r="D50" s="9" t="str">
        <x:v>NG_H1</x:v>
      </x:c>
      <x:c r="E50" s="11" t="n">
        <x:v>1167</x:v>
      </x:c>
      <x:c r="F50" s="11" t="n">
        <x:v>93</x:v>
      </x:c>
      <x:c r="G50" s="12" t="n">
        <x:f>F50/E50</x:f>
        <x:v>0.07969151670951156</x:v>
      </x:c>
      <x:c r="H50" s="11" t="n">
        <x:v>93</x:v>
      </x:c>
      <x:c r="I50" s="11" t="n">
        <x:v>0</x:v>
      </x:c>
      <x:c r="J50" s="11" t="n">
        <x:v>12</x:v>
      </x:c>
      <x:c r="K50" s="11" t="n">
        <x:v>0</x:v>
      </x:c>
      <x:c r="L50" s="11" t="n">
        <x:v>0</x:v>
      </x:c>
      <x:c r="M50" s="11" t="n">
        <x:v>93</x:v>
      </x:c>
    </x:row>
    <x:row r="51" ht="24" customHeight="1">
      <x:c r="A51" s="10" t="str">
        <x:v>d</x:v>
      </x:c>
      <x:c r="B51" s="10" t="str">
        <x:v>结构树</x:v>
      </x:c>
      <x:c r="C51" s="9" t="str">
        <x:v>CG_H0</x:v>
      </x:c>
      <x:c r="D51" s="9" t="str">
        <x:v>CG_H1</x:v>
      </x:c>
      <x:c r="E51" s="11" t="n">
        <x:v>1167</x:v>
      </x:c>
      <x:c r="F51" s="11" t="n">
        <x:v>85</x:v>
      </x:c>
      <x:c r="G51" s="12" t="n">
        <x:f>F51/E51</x:f>
        <x:v>0.0728363324764353</x:v>
      </x:c>
      <x:c r="H51" s="11" t="n">
        <x:v>85</x:v>
      </x:c>
      <x:c r="I51" s="11" t="n">
        <x:v>0</x:v>
      </x:c>
      <x:c r="J51" s="11" t="n">
        <x:v>29</x:v>
      </x:c>
      <x:c r="K51" s="11" t="n">
        <x:v>29</x:v>
      </x:c>
      <x:c r="L51" s="11" t="n">
        <x:v>29</x:v>
      </x:c>
      <x:c r="M51" s="11" t="n">
        <x:v>110</x:v>
      </x:c>
    </x:row>
    <x:row r="52" ht="24" customHeight="1">
      <x:c r="A52" s="10" t="str">
        <x:v>d</x:v>
      </x:c>
      <x:c r="B52" s="10" t="str">
        <x:v>结构树</x:v>
      </x:c>
      <x:c r="C52" s="9" t="str">
        <x:v>NC_H0</x:v>
      </x:c>
      <x:c r="D52" s="9" t="str">
        <x:v>NC_H1</x:v>
      </x:c>
      <x:c r="E52" s="11" t="n">
        <x:v>1167</x:v>
      </x:c>
      <x:c r="F52" s="11" t="n">
        <x:v>6</x:v>
      </x:c>
      <x:c r="G52" s="12" t="n">
        <x:f>F52/E52</x:f>
        <x:v>0.005141388174807198</x:v>
      </x:c>
      <x:c r="H52" s="11" t="n">
        <x:v>6</x:v>
      </x:c>
      <x:c r="I52" s="11" t="n">
        <x:v>0</x:v>
      </x:c>
      <x:c r="J52" s="11" t="n">
        <x:v>6</x:v>
      </x:c>
      <x:c r="K52" s="11" t="n">
        <x:v>0</x:v>
      </x:c>
      <x:c r="L52" s="11" t="n">
        <x:v>0</x:v>
      </x:c>
      <x:c r="M52" s="11" t="n">
        <x:v>6</x:v>
      </x:c>
    </x:row>
    <x:row r="53" ht="24" customHeight="1">
      <x:c r="A53" s="10" t="str">
        <x:v>d</x:v>
      </x:c>
      <x:c r="B53" s="10" t="str">
        <x:v>结构树</x:v>
      </x:c>
      <x:c r="C53" s="9" t="str">
        <x:v>NCG_H0</x:v>
      </x:c>
      <x:c r="D53" s="9" t="str">
        <x:v>NCG_H1</x:v>
      </x:c>
      <x:c r="E53" s="11" t="n">
        <x:v>1167</x:v>
      </x:c>
      <x:c r="F53" s="11" t="n">
        <x:v>79</x:v>
      </x:c>
      <x:c r="G53" s="12" t="n">
        <x:f>F53/E53</x:f>
        <x:v>0.0676949443016281</x:v>
      </x:c>
      <x:c r="H53" s="11" t="n">
        <x:v>79</x:v>
      </x:c>
      <x:c r="I53" s="11" t="n">
        <x:v>0</x:v>
      </x:c>
      <x:c r="J53" s="11" t="n">
        <x:v>32</x:v>
      </x:c>
      <x:c r="K53" s="11" t="n">
        <x:v>26</x:v>
      </x:c>
      <x:c r="L53" s="11" t="n">
        <x:v>26</x:v>
      </x:c>
      <x:c r="M53" s="11" t="n">
        <x:v>100</x:v>
      </x:c>
    </x:row>
    <x:row r="54" ht="24" customHeight="1">
      <x:c r="A54" s="10" t="str">
        <x:v>d</x:v>
      </x:c>
      <x:c r="B54" s="10" t="str">
        <x:v>结构树</x:v>
      </x:c>
      <x:c r="C54" s="9" t="str">
        <x:v>G_H0</x:v>
      </x:c>
      <x:c r="D54" s="9" t="str">
        <x:v>G_H1</x:v>
      </x:c>
      <x:c r="E54" s="11" t="n">
        <x:v>1167</x:v>
      </x:c>
      <x:c r="F54" s="11" t="n">
        <x:v>81</x:v>
      </x:c>
      <x:c r="G54" s="12" t="n">
        <x:f>F54/E54</x:f>
        <x:v>0.06940874035989718</x:v>
      </x:c>
      <x:c r="H54" s="11" t="n">
        <x:v>81</x:v>
      </x:c>
      <x:c r="I54" s="11" t="n">
        <x:v>0</x:v>
      </x:c>
      <x:c r="J54" s="11" t="n">
        <x:v>0</x:v>
      </x:c>
      <x:c r="K54" s="11" t="n">
        <x:v>0</x:v>
      </x:c>
      <x:c r="L54" s="11" t="n">
        <x:v>0</x:v>
      </x:c>
      <x:c r="M54" s="11" t="n">
        <x:v>81</x:v>
      </x:c>
    </x:row>
    <x:row r="55" ht="24" customHeight="1">
      <x:c r="A55" s="10" t="str">
        <x:v>d</x:v>
      </x:c>
      <x:c r="B55" s="10" t="str">
        <x:v>几何分支</x:v>
      </x:c>
      <x:c r="C55" s="9" t="str">
        <x:v>N_H0</x:v>
      </x:c>
      <x:c r="D55" s="9" t="str">
        <x:v>NG_H0</x:v>
      </x:c>
      <x:c r="E55" s="11" t="n">
        <x:v>1167</x:v>
      </x:c>
      <x:c r="F55" s="11" t="n">
        <x:v>824</x:v>
      </x:c>
      <x:c r="G55" s="12" t="n">
        <x:f>F55/E55</x:f>
        <x:v>0.7060839760068551</x:v>
      </x:c>
      <x:c r="H55" s="11" t="n">
        <x:v>174</x:v>
      </x:c>
      <x:c r="I55" s="11" t="n">
        <x:v>650</x:v>
      </x:c>
      <x:c r="J55" s="11" t="n">
        <x:v>0</x:v>
      </x:c>
      <x:c r="K55" s="11" t="n">
        <x:v>0</x:v>
      </x:c>
      <x:c r="L55" s="11" t="n">
        <x:v>0</x:v>
      </x:c>
      <x:c r="M55" s="11" t="n">
        <x:v>1167</x:v>
      </x:c>
    </x:row>
    <x:row r="56" ht="24" customHeight="1">
      <x:c r="A56" s="10" t="str">
        <x:v>d</x:v>
      </x:c>
      <x:c r="B56" s="10" t="str">
        <x:v>几何分支</x:v>
      </x:c>
      <x:c r="C56" s="9" t="str">
        <x:v>C_H0</x:v>
      </x:c>
      <x:c r="D56" s="9" t="str">
        <x:v>CG_H0</x:v>
      </x:c>
      <x:c r="E56" s="11" t="n">
        <x:v>1167</x:v>
      </x:c>
      <x:c r="F56" s="11" t="n">
        <x:v>992</x:v>
      </x:c>
      <x:c r="G56" s="12" t="n">
        <x:f>F56/E56</x:f>
        <x:v>0.8500428449014568</x:v>
      </x:c>
      <x:c r="H56" s="11" t="n">
        <x:v>257</x:v>
      </x:c>
      <x:c r="I56" s="11" t="n">
        <x:v>735</x:v>
      </x:c>
      <x:c r="J56" s="11" t="n">
        <x:v>0</x:v>
      </x:c>
      <x:c r="K56" s="11" t="n">
        <x:v>0</x:v>
      </x:c>
      <x:c r="L56" s="11" t="n">
        <x:v>0</x:v>
      </x:c>
      <x:c r="M56" s="11" t="n">
        <x:v>1167</x:v>
      </x:c>
    </x:row>
    <x:row r="57" ht="24" customHeight="1">
      <x:c r="A57" s="10" t="str">
        <x:v>d</x:v>
      </x:c>
      <x:c r="B57" s="10" t="str">
        <x:v>几何分支</x:v>
      </x:c>
      <x:c r="C57" s="9" t="str">
        <x:v>NC_H0</x:v>
      </x:c>
      <x:c r="D57" s="9" t="str">
        <x:v>NCG_H0</x:v>
      </x:c>
      <x:c r="E57" s="11" t="n">
        <x:v>1167</x:v>
      </x:c>
      <x:c r="F57" s="11" t="n">
        <x:v>923</x:v>
      </x:c>
      <x:c r="G57" s="12" t="n">
        <x:f>F57/E57</x:f>
        <x:v>0.790916880891174</x:v>
      </x:c>
      <x:c r="H57" s="11" t="n">
        <x:v>296</x:v>
      </x:c>
      <x:c r="I57" s="11" t="n">
        <x:v>627</x:v>
      </x:c>
      <x:c r="J57" s="11" t="n">
        <x:v>0</x:v>
      </x:c>
      <x:c r="K57" s="11" t="n">
        <x:v>0</x:v>
      </x:c>
      <x:c r="L57" s="11" t="n">
        <x:v>0</x:v>
      </x:c>
      <x:c r="M57" s="11" t="n">
        <x:v>1167</x:v>
      </x:c>
    </x:row>
    <x:row r="58" ht="24" customHeight="1">
      <x:c r="A58" s="10" t="str">
        <x:v>d</x:v>
      </x:c>
      <x:c r="B58" s="10" t="str">
        <x:v>几何分支</x:v>
      </x:c>
      <x:c r="C58" s="9" t="str">
        <x:v>N_H1</x:v>
      </x:c>
      <x:c r="D58" s="9" t="str">
        <x:v>NG_H1</x:v>
      </x:c>
      <x:c r="E58" s="11" t="n">
        <x:v>1167</x:v>
      </x:c>
      <x:c r="F58" s="11" t="n">
        <x:v>821</x:v>
      </x:c>
      <x:c r="G58" s="12" t="n">
        <x:f>F58/E58</x:f>
        <x:v>0.7035132819194516</x:v>
      </x:c>
      <x:c r="H58" s="11" t="n">
        <x:v>175</x:v>
      </x:c>
      <x:c r="I58" s="11" t="n">
        <x:v>646</x:v>
      </x:c>
      <x:c r="J58" s="11" t="n">
        <x:v>0</x:v>
      </x:c>
      <x:c r="K58" s="11" t="n">
        <x:v>0</x:v>
      </x:c>
      <x:c r="L58" s="11" t="n">
        <x:v>0</x:v>
      </x:c>
      <x:c r="M58" s="11" t="n">
        <x:v>1167</x:v>
      </x:c>
    </x:row>
    <x:row r="59" ht="24" customHeight="1">
      <x:c r="A59" s="10" t="str">
        <x:v>d</x:v>
      </x:c>
      <x:c r="B59" s="10" t="str">
        <x:v>几何分支</x:v>
      </x:c>
      <x:c r="C59" s="9" t="str">
        <x:v>C_H1</x:v>
      </x:c>
      <x:c r="D59" s="9" t="str">
        <x:v>CG_H1</x:v>
      </x:c>
      <x:c r="E59" s="11" t="n">
        <x:v>1167</x:v>
      </x:c>
      <x:c r="F59" s="11" t="n">
        <x:v>990</x:v>
      </x:c>
      <x:c r="G59" s="12" t="n">
        <x:f>F59/E59</x:f>
        <x:v>0.8483290488431876</x:v>
      </x:c>
      <x:c r="H59" s="11" t="n">
        <x:v>257</x:v>
      </x:c>
      <x:c r="I59" s="11" t="n">
        <x:v>733</x:v>
      </x:c>
      <x:c r="J59" s="11" t="n">
        <x:v>29</x:v>
      </x:c>
      <x:c r="K59" s="11" t="n">
        <x:v>29</x:v>
      </x:c>
      <x:c r="L59" s="11" t="n">
        <x:v>29</x:v>
      </x:c>
      <x:c r="M59" s="11" t="n">
        <x:v>1167</x:v>
      </x:c>
    </x:row>
    <x:row r="60" ht="24" customHeight="1">
      <x:c r="A60" s="10" t="str">
        <x:v>d</x:v>
      </x:c>
      <x:c r="B60" s="10" t="str">
        <x:v>几何分支</x:v>
      </x:c>
      <x:c r="C60" s="9" t="str">
        <x:v>NC_H1</x:v>
      </x:c>
      <x:c r="D60" s="9" t="str">
        <x:v>NCG_H1</x:v>
      </x:c>
      <x:c r="E60" s="11" t="n">
        <x:v>1167</x:v>
      </x:c>
      <x:c r="F60" s="11" t="n">
        <x:v>922</x:v>
      </x:c>
      <x:c r="G60" s="12" t="n">
        <x:f>F60/E60</x:f>
        <x:v>0.7900599828620394</x:v>
      </x:c>
      <x:c r="H60" s="11" t="n">
        <x:v>297</x:v>
      </x:c>
      <x:c r="I60" s="11" t="n">
        <x:v>625</x:v>
      </x:c>
      <x:c r="J60" s="11" t="n">
        <x:v>26</x:v>
      </x:c>
      <x:c r="K60" s="11" t="n">
        <x:v>26</x:v>
      </x:c>
      <x:c r="L60" s="11" t="n">
        <x:v>26</x:v>
      </x:c>
      <x:c r="M60" s="11" t="n">
        <x:v>1167</x:v>
      </x:c>
    </x:row>
    <x:row r="61" ht="24" customHeight="1">
      <x:c r="A61" s="10" t="str">
        <x:v>d</x:v>
      </x:c>
      <x:c r="B61" s="10" t="str">
        <x:v>叶名称</x:v>
      </x:c>
      <x:c r="C61" s="9" t="str">
        <x:v>NCG_H1</x:v>
      </x:c>
      <x:c r="D61" s="9" t="str">
        <x:v>NCG_H1_M1</x:v>
      </x:c>
      <x:c r="E61" s="11" t="n">
        <x:v>1167</x:v>
      </x:c>
      <x:c r="F61" s="11" t="n">
        <x:v>93</x:v>
      </x:c>
      <x:c r="G61" s="12" t="n">
        <x:f>F61/E61</x:f>
        <x:v>0.07969151670951156</x:v>
      </x:c>
      <x:c r="H61" s="11" t="n">
        <x:v>89</x:v>
      </x:c>
      <x:c r="I61" s="11" t="n">
        <x:v>4</x:v>
      </x:c>
      <x:c r="J61" s="11" t="n">
        <x:v>230</x:v>
      </x:c>
      <x:c r="K61" s="11" t="n">
        <x:v>351</x:v>
      </x:c>
      <x:c r="L61" s="11" t="n">
        <x:v>358</x:v>
      </x:c>
      <x:c r="M61" s="11" t="n">
        <x:v>93</x:v>
      </x:c>
    </x:row>
    <x:row r="62" ht="24" customHeight="1">
      <x:c r="A62" s="10" t="str">
        <x:v>e</x:v>
      </x:c>
      <x:c r="B62" s="10" t="str">
        <x:v>结构树</x:v>
      </x:c>
      <x:c r="C62" s="9" t="str">
        <x:v>N_H0</x:v>
      </x:c>
      <x:c r="D62" s="9" t="str">
        <x:v>N_H1</x:v>
      </x:c>
      <x:c r="E62" s="11" t="n">
        <x:v>3347</x:v>
      </x:c>
      <x:c r="F62" s="11" t="n">
        <x:v>13</x:v>
      </x:c>
      <x:c r="G62" s="12" t="n">
        <x:f>F62/E62</x:f>
        <x:v>0.003884075291305647</x:v>
      </x:c>
      <x:c r="H62" s="11" t="n">
        <x:v>13</x:v>
      </x:c>
      <x:c r="I62" s="11" t="n">
        <x:v>0</x:v>
      </x:c>
      <x:c r="J62" s="11" t="n">
        <x:v>13</x:v>
      </x:c>
      <x:c r="K62" s="11" t="n">
        <x:v>0</x:v>
      </x:c>
      <x:c r="L62" s="11" t="n">
        <x:v>0</x:v>
      </x:c>
      <x:c r="M62" s="11" t="n">
        <x:v>13</x:v>
      </x:c>
    </x:row>
    <x:row r="63" ht="24" customHeight="1">
      <x:c r="A63" s="10" t="str">
        <x:v>e</x:v>
      </x:c>
      <x:c r="B63" s="10" t="str">
        <x:v>结构树</x:v>
      </x:c>
      <x:c r="C63" s="9" t="str">
        <x:v>C_H0</x:v>
      </x:c>
      <x:c r="D63" s="9" t="str">
        <x:v>C_H1</x:v>
      </x:c>
      <x:c r="E63" s="11" t="n">
        <x:v>3347</x:v>
      </x:c>
      <x:c r="F63" s="11" t="n">
        <x:v>1</x:v>
      </x:c>
      <x:c r="G63" s="12" t="n">
        <x:f>F63/E63</x:f>
        <x:v>0.00029877502240812666</x:v>
      </x:c>
      <x:c r="H63" s="11" t="n">
        <x:v>1</x:v>
      </x:c>
      <x:c r="I63" s="11" t="n">
        <x:v>0</x:v>
      </x:c>
      <x:c r="J63" s="11" t="n">
        <x:v>1</x:v>
      </x:c>
      <x:c r="K63" s="11" t="n">
        <x:v>0</x:v>
      </x:c>
      <x:c r="L63" s="11" t="n">
        <x:v>0</x:v>
      </x:c>
      <x:c r="M63" s="11" t="n">
        <x:v>1</x:v>
      </x:c>
    </x:row>
    <x:row r="64" ht="24" customHeight="1">
      <x:c r="A64" s="10" t="str">
        <x:v>e</x:v>
      </x:c>
      <x:c r="B64" s="10" t="str">
        <x:v>结构树</x:v>
      </x:c>
      <x:c r="C64" s="9" t="str">
        <x:v>NG_H0</x:v>
      </x:c>
      <x:c r="D64" s="9" t="str">
        <x:v>NG_H1</x:v>
      </x:c>
      <x:c r="E64" s="11" t="n">
        <x:v>3347</x:v>
      </x:c>
      <x:c r="F64" s="11" t="n">
        <x:v>294</x:v>
      </x:c>
      <x:c r="G64" s="12" t="n">
        <x:f>F64/E64</x:f>
        <x:v>0.08783985658798925</x:v>
      </x:c>
      <x:c r="H64" s="11" t="n">
        <x:v>294</x:v>
      </x:c>
      <x:c r="I64" s="11" t="n">
        <x:v>0</x:v>
      </x:c>
      <x:c r="J64" s="11" t="n">
        <x:v>13</x:v>
      </x:c>
      <x:c r="K64" s="11" t="n">
        <x:v>0</x:v>
      </x:c>
      <x:c r="L64" s="11" t="n">
        <x:v>0</x:v>
      </x:c>
      <x:c r="M64" s="11" t="n">
        <x:v>294</x:v>
      </x:c>
    </x:row>
    <x:row r="65" ht="24" customHeight="1">
      <x:c r="A65" s="10" t="str">
        <x:v>e</x:v>
      </x:c>
      <x:c r="B65" s="10" t="str">
        <x:v>结构树</x:v>
      </x:c>
      <x:c r="C65" s="9" t="str">
        <x:v>CG_H0</x:v>
      </x:c>
      <x:c r="D65" s="9" t="str">
        <x:v>CG_H1</x:v>
      </x:c>
      <x:c r="E65" s="11" t="n">
        <x:v>3347</x:v>
      </x:c>
      <x:c r="F65" s="11" t="n">
        <x:v>401</x:v>
      </x:c>
      <x:c r="G65" s="12" t="n">
        <x:f>F65/E65</x:f>
        <x:v>0.11980878398565879</x:v>
      </x:c>
      <x:c r="H65" s="11" t="n">
        <x:v>401</x:v>
      </x:c>
      <x:c r="I65" s="11" t="n">
        <x:v>0</x:v>
      </x:c>
      <x:c r="J65" s="11" t="n">
        <x:v>1</x:v>
      </x:c>
      <x:c r="K65" s="11" t="n">
        <x:v>0</x:v>
      </x:c>
      <x:c r="L65" s="11" t="n">
        <x:v>0</x:v>
      </x:c>
      <x:c r="M65" s="11" t="n">
        <x:v>401</x:v>
      </x:c>
    </x:row>
    <x:row r="66" ht="24" customHeight="1">
      <x:c r="A66" s="10" t="str">
        <x:v>e</x:v>
      </x:c>
      <x:c r="B66" s="10" t="str">
        <x:v>结构树</x:v>
      </x:c>
      <x:c r="C66" s="9" t="str">
        <x:v>NC_H0</x:v>
      </x:c>
      <x:c r="D66" s="9" t="str">
        <x:v>NC_H1</x:v>
      </x:c>
      <x:c r="E66" s="11" t="n">
        <x:v>3347</x:v>
      </x:c>
      <x:c r="F66" s="11" t="n">
        <x:v>11</x:v>
      </x:c>
      <x:c r="G66" s="12" t="n">
        <x:f>F66/E66</x:f>
        <x:v>0.0032865252464893933</x:v>
      </x:c>
      <x:c r="H66" s="11" t="n">
        <x:v>11</x:v>
      </x:c>
      <x:c r="I66" s="11" t="n">
        <x:v>0</x:v>
      </x:c>
      <x:c r="J66" s="11" t="n">
        <x:v>11</x:v>
      </x:c>
      <x:c r="K66" s="11" t="n">
        <x:v>0</x:v>
      </x:c>
      <x:c r="L66" s="11" t="n">
        <x:v>0</x:v>
      </x:c>
      <x:c r="M66" s="11" t="n">
        <x:v>11</x:v>
      </x:c>
    </x:row>
    <x:row r="67" ht="24" customHeight="1">
      <x:c r="A67" s="10" t="str">
        <x:v>e</x:v>
      </x:c>
      <x:c r="B67" s="10" t="str">
        <x:v>结构树</x:v>
      </x:c>
      <x:c r="C67" s="9" t="str">
        <x:v>NCG_H0</x:v>
      </x:c>
      <x:c r="D67" s="9" t="str">
        <x:v>NCG_H1</x:v>
      </x:c>
      <x:c r="E67" s="11" t="n">
        <x:v>3347</x:v>
      </x:c>
      <x:c r="F67" s="11" t="n">
        <x:v>287</x:v>
      </x:c>
      <x:c r="G67" s="12" t="n">
        <x:f>F67/E67</x:f>
        <x:v>0.08574843143113235</x:v>
      </x:c>
      <x:c r="H67" s="11" t="n">
        <x:v>287</x:v>
      </x:c>
      <x:c r="I67" s="11" t="n">
        <x:v>0</x:v>
      </x:c>
      <x:c r="J67" s="11" t="n">
        <x:v>11</x:v>
      </x:c>
      <x:c r="K67" s="11" t="n">
        <x:v>0</x:v>
      </x:c>
      <x:c r="L67" s="11" t="n">
        <x:v>0</x:v>
      </x:c>
      <x:c r="M67" s="11" t="n">
        <x:v>287</x:v>
      </x:c>
    </x:row>
    <x:row r="68" ht="24" customHeight="1">
      <x:c r="A68" s="10" t="str">
        <x:v>e</x:v>
      </x:c>
      <x:c r="B68" s="10" t="str">
        <x:v>结构树</x:v>
      </x:c>
      <x:c r="C68" s="9" t="str">
        <x:v>G_H0</x:v>
      </x:c>
      <x:c r="D68" s="9" t="str">
        <x:v>G_H1</x:v>
      </x:c>
      <x:c r="E68" s="11" t="n">
        <x:v>3347</x:v>
      </x:c>
      <x:c r="F68" s="11" t="n">
        <x:v>403</x:v>
      </x:c>
      <x:c r="G68" s="12" t="n">
        <x:f>F68/E68</x:f>
        <x:v>0.12040633403047506</x:v>
      </x:c>
      <x:c r="H68" s="11" t="n">
        <x:v>403</x:v>
      </x:c>
      <x:c r="I68" s="11" t="n">
        <x:v>0</x:v>
      </x:c>
      <x:c r="J68" s="11" t="n">
        <x:v>0</x:v>
      </x:c>
      <x:c r="K68" s="11" t="n">
        <x:v>0</x:v>
      </x:c>
      <x:c r="L68" s="11" t="n">
        <x:v>0</x:v>
      </x:c>
      <x:c r="M68" s="11" t="n">
        <x:v>403</x:v>
      </x:c>
    </x:row>
    <x:row r="69" ht="24" customHeight="1">
      <x:c r="A69" s="10" t="str">
        <x:v>e</x:v>
      </x:c>
      <x:c r="B69" s="10" t="str">
        <x:v>几何分支</x:v>
      </x:c>
      <x:c r="C69" s="9" t="str">
        <x:v>N_H0</x:v>
      </x:c>
      <x:c r="D69" s="9" t="str">
        <x:v>NG_H0</x:v>
      </x:c>
      <x:c r="E69" s="11" t="n">
        <x:v>3347</x:v>
      </x:c>
      <x:c r="F69" s="11" t="n">
        <x:v>2295</x:v>
      </x:c>
      <x:c r="G69" s="12" t="n">
        <x:f>F69/E69</x:f>
        <x:v>0.6856886764266508</x:v>
      </x:c>
      <x:c r="H69" s="11" t="n">
        <x:v>230</x:v>
      </x:c>
      <x:c r="I69" s="11" t="n">
        <x:v>2065</x:v>
      </x:c>
      <x:c r="J69" s="11" t="n">
        <x:v>0</x:v>
      </x:c>
      <x:c r="K69" s="11" t="n">
        <x:v>0</x:v>
      </x:c>
      <x:c r="L69" s="11" t="n">
        <x:v>0</x:v>
      </x:c>
      <x:c r="M69" s="11" t="n">
        <x:v>3347</x:v>
      </x:c>
    </x:row>
    <x:row r="70" ht="24" customHeight="1">
      <x:c r="A70" s="10" t="str">
        <x:v>e</x:v>
      </x:c>
      <x:c r="B70" s="10" t="str">
        <x:v>几何分支</x:v>
      </x:c>
      <x:c r="C70" s="9" t="str">
        <x:v>C_H0</x:v>
      </x:c>
      <x:c r="D70" s="9" t="str">
        <x:v>CG_H0</x:v>
      </x:c>
      <x:c r="E70" s="11" t="n">
        <x:v>3347</x:v>
      </x:c>
      <x:c r="F70" s="11" t="n">
        <x:v>2890</x:v>
      </x:c>
      <x:c r="G70" s="12" t="n">
        <x:f>F70/E70</x:f>
        <x:v>0.8634598147594861</x:v>
      </x:c>
      <x:c r="H70" s="11" t="n">
        <x:v>728</x:v>
      </x:c>
      <x:c r="I70" s="11" t="n">
        <x:v>2162</x:v>
      </x:c>
      <x:c r="J70" s="11" t="n">
        <x:v>1</x:v>
      </x:c>
      <x:c r="K70" s="11" t="n">
        <x:v>1</x:v>
      </x:c>
      <x:c r="L70" s="11" t="n">
        <x:v>1</x:v>
      </x:c>
      <x:c r="M70" s="11" t="n">
        <x:v>3347</x:v>
      </x:c>
    </x:row>
    <x:row r="71" ht="24" customHeight="1">
      <x:c r="A71" s="10" t="str">
        <x:v>e</x:v>
      </x:c>
      <x:c r="B71" s="10" t="str">
        <x:v>几何分支</x:v>
      </x:c>
      <x:c r="C71" s="9" t="str">
        <x:v>NC_H0</x:v>
      </x:c>
      <x:c r="D71" s="9" t="str">
        <x:v>NCG_H0</x:v>
      </x:c>
      <x:c r="E71" s="11" t="n">
        <x:v>3347</x:v>
      </x:c>
      <x:c r="F71" s="11" t="n">
        <x:v>2460</x:v>
      </x:c>
      <x:c r="G71" s="12" t="n">
        <x:f>F71/E71</x:f>
        <x:v>0.7349865551239916</x:v>
      </x:c>
      <x:c r="H71" s="11" t="n">
        <x:v>758</x:v>
      </x:c>
      <x:c r="I71" s="11" t="n">
        <x:v>1702</x:v>
      </x:c>
      <x:c r="J71" s="11" t="n">
        <x:v>1</x:v>
      </x:c>
      <x:c r="K71" s="11" t="n">
        <x:v>1</x:v>
      </x:c>
      <x:c r="L71" s="11" t="n">
        <x:v>1</x:v>
      </x:c>
      <x:c r="M71" s="11" t="n">
        <x:v>3347</x:v>
      </x:c>
    </x:row>
    <x:row r="72" ht="24" customHeight="1">
      <x:c r="A72" s="10" t="str">
        <x:v>e</x:v>
      </x:c>
      <x:c r="B72" s="10" t="str">
        <x:v>几何分支</x:v>
      </x:c>
      <x:c r="C72" s="9" t="str">
        <x:v>N_H1</x:v>
      </x:c>
      <x:c r="D72" s="9" t="str">
        <x:v>NG_H1</x:v>
      </x:c>
      <x:c r="E72" s="11" t="n">
        <x:v>3347</x:v>
      </x:c>
      <x:c r="F72" s="11" t="n">
        <x:v>2230</x:v>
      </x:c>
      <x:c r="G72" s="12" t="n">
        <x:f>F72/E72</x:f>
        <x:v>0.6662682999701225</x:v>
      </x:c>
      <x:c r="H72" s="11" t="n">
        <x:v>239</x:v>
      </x:c>
      <x:c r="I72" s="11" t="n">
        <x:v>1991</x:v>
      </x:c>
      <x:c r="J72" s="11" t="n">
        <x:v>0</x:v>
      </x:c>
      <x:c r="K72" s="11" t="n">
        <x:v>0</x:v>
      </x:c>
      <x:c r="L72" s="11" t="n">
        <x:v>0</x:v>
      </x:c>
      <x:c r="M72" s="11" t="n">
        <x:v>3347</x:v>
      </x:c>
    </x:row>
    <x:row r="73" ht="24" customHeight="1">
      <x:c r="A73" s="10" t="str">
        <x:v>e</x:v>
      </x:c>
      <x:c r="B73" s="10" t="str">
        <x:v>几何分支</x:v>
      </x:c>
      <x:c r="C73" s="9" t="str">
        <x:v>C_H1</x:v>
      </x:c>
      <x:c r="D73" s="9" t="str">
        <x:v>CG_H1</x:v>
      </x:c>
      <x:c r="E73" s="11" t="n">
        <x:v>3347</x:v>
      </x:c>
      <x:c r="F73" s="11" t="n">
        <x:v>2946</x:v>
      </x:c>
      <x:c r="G73" s="12" t="n">
        <x:f>F73/E73</x:f>
        <x:v>0.8801912160143412</x:v>
      </x:c>
      <x:c r="H73" s="11" t="n">
        <x:v>791</x:v>
      </x:c>
      <x:c r="I73" s="11" t="n">
        <x:v>2155</x:v>
      </x:c>
      <x:c r="J73" s="11" t="n">
        <x:v>1</x:v>
      </x:c>
      <x:c r="K73" s="11" t="n">
        <x:v>1</x:v>
      </x:c>
      <x:c r="L73" s="11" t="n">
        <x:v>1</x:v>
      </x:c>
      <x:c r="M73" s="11" t="n">
        <x:v>3347</x:v>
      </x:c>
    </x:row>
    <x:row r="74" ht="24" customHeight="1">
      <x:c r="A74" s="10" t="str">
        <x:v>e</x:v>
      </x:c>
      <x:c r="B74" s="10" t="str">
        <x:v>几何分支</x:v>
      </x:c>
      <x:c r="C74" s="9" t="str">
        <x:v>NC_H1</x:v>
      </x:c>
      <x:c r="D74" s="9" t="str">
        <x:v>NCG_H1</x:v>
      </x:c>
      <x:c r="E74" s="11" t="n">
        <x:v>3347</x:v>
      </x:c>
      <x:c r="F74" s="11" t="n">
        <x:v>2485</x:v>
      </x:c>
      <x:c r="G74" s="12" t="n">
        <x:f>F74/E74</x:f>
        <x:v>0.7424559306841948</x:v>
      </x:c>
      <x:c r="H74" s="11" t="n">
        <x:v>796</x:v>
      </x:c>
      <x:c r="I74" s="11" t="n">
        <x:v>1689</x:v>
      </x:c>
      <x:c r="J74" s="11" t="n">
        <x:v>1</x:v>
      </x:c>
      <x:c r="K74" s="11" t="n">
        <x:v>1</x:v>
      </x:c>
      <x:c r="L74" s="11" t="n">
        <x:v>1</x:v>
      </x:c>
      <x:c r="M74" s="11" t="n">
        <x:v>3347</x:v>
      </x:c>
    </x:row>
    <x:row r="75" ht="24" customHeight="1">
      <x:c r="A75" s="10" t="str">
        <x:v>e</x:v>
      </x:c>
      <x:c r="B75" s="10" t="str">
        <x:v>叶名称</x:v>
      </x:c>
      <x:c r="C75" s="9" t="str">
        <x:v>NCG_H1</x:v>
      </x:c>
      <x:c r="D75" s="9" t="str">
        <x:v>NCG_H1_M1</x:v>
      </x:c>
      <x:c r="E75" s="11" t="n">
        <x:v>3347</x:v>
      </x:c>
      <x:c r="F75" s="11" t="n">
        <x:v>73</x:v>
      </x:c>
      <x:c r="G75" s="12" t="n">
        <x:f>F75/E75</x:f>
        <x:v>0.021810576635793246</x:v>
      </x:c>
      <x:c r="H75" s="11" t="n">
        <x:v>57</x:v>
      </x:c>
      <x:c r="I75" s="11" t="n">
        <x:v>16</x:v>
      </x:c>
      <x:c r="J75" s="11" t="n">
        <x:v>158</x:v>
      </x:c>
      <x:c r="K75" s="11" t="n">
        <x:v>243</x:v>
      </x:c>
      <x:c r="L75" s="11" t="n">
        <x:v>244</x:v>
      </x:c>
      <x:c r="M75" s="11" t="n">
        <x:v>73</x:v>
      </x:c>
    </x:row>
    <x:row r="76" ht="24" customHeight="1">
      <x:c r="A76" s="10" t="str">
        <x:v>f</x:v>
      </x:c>
      <x:c r="B76" s="10" t="str">
        <x:v>结构树</x:v>
      </x:c>
      <x:c r="C76" s="9" t="str">
        <x:v>N_H0</x:v>
      </x:c>
      <x:c r="D76" s="9" t="str">
        <x:v>N_H1</x:v>
      </x:c>
      <x:c r="E76" s="11" t="n">
        <x:v>1480</x:v>
      </x:c>
      <x:c r="F76" s="11" t="n">
        <x:v>117</x:v>
      </x:c>
      <x:c r="G76" s="12" t="n">
        <x:f>F76/E76</x:f>
        <x:v>0.07905405405405405</x:v>
      </x:c>
      <x:c r="H76" s="11" t="n">
        <x:v>117</x:v>
      </x:c>
      <x:c r="I76" s="11" t="n">
        <x:v>0</x:v>
      </x:c>
      <x:c r="J76" s="11" t="n">
        <x:v>117</x:v>
      </x:c>
      <x:c r="K76" s="11" t="n">
        <x:v>0</x:v>
      </x:c>
      <x:c r="L76" s="11" t="n">
        <x:v>0</x:v>
      </x:c>
      <x:c r="M76" s="11" t="n">
        <x:v>117</x:v>
      </x:c>
    </x:row>
    <x:row r="77" ht="24" customHeight="1">
      <x:c r="A77" s="10" t="str">
        <x:v>f</x:v>
      </x:c>
      <x:c r="B77" s="10" t="str">
        <x:v>结构树</x:v>
      </x:c>
      <x:c r="C77" s="9" t="str">
        <x:v>C_H0</x:v>
      </x:c>
      <x:c r="D77" s="9" t="str">
        <x:v>C_H1</x:v>
      </x:c>
      <x:c r="E77" s="11" t="n">
        <x:v>1480</x:v>
      </x:c>
      <x:c r="F77" s="11" t="n">
        <x:v>104</x:v>
      </x:c>
      <x:c r="G77" s="12" t="n">
        <x:f>F77/E77</x:f>
        <x:v>0.07027027027027027</x:v>
      </x:c>
      <x:c r="H77" s="11" t="n">
        <x:v>104</x:v>
      </x:c>
      <x:c r="I77" s="11" t="n">
        <x:v>0</x:v>
      </x:c>
      <x:c r="J77" s="11" t="n">
        <x:v>104</x:v>
      </x:c>
      <x:c r="K77" s="11" t="n">
        <x:v>0</x:v>
      </x:c>
      <x:c r="L77" s="11" t="n">
        <x:v>0</x:v>
      </x:c>
      <x:c r="M77" s="11" t="n">
        <x:v>104</x:v>
      </x:c>
    </x:row>
    <x:row r="78" ht="24" customHeight="1">
      <x:c r="A78" s="10" t="str">
        <x:v>f</x:v>
      </x:c>
      <x:c r="B78" s="10" t="str">
        <x:v>结构树</x:v>
      </x:c>
      <x:c r="C78" s="9" t="str">
        <x:v>NG_H0</x:v>
      </x:c>
      <x:c r="D78" s="9" t="str">
        <x:v>NG_H1</x:v>
      </x:c>
      <x:c r="E78" s="11" t="n">
        <x:v>1480</x:v>
      </x:c>
      <x:c r="F78" s="11" t="n">
        <x:v>215</x:v>
      </x:c>
      <x:c r="G78" s="12" t="n">
        <x:f>F78/E78</x:f>
        <x:v>0.14527027027027026</x:v>
      </x:c>
      <x:c r="H78" s="11" t="n">
        <x:v>215</x:v>
      </x:c>
      <x:c r="I78" s="11" t="n">
        <x:v>0</x:v>
      </x:c>
      <x:c r="J78" s="11" t="n">
        <x:v>117</x:v>
      </x:c>
      <x:c r="K78" s="11" t="n">
        <x:v>0</x:v>
      </x:c>
      <x:c r="L78" s="11" t="n">
        <x:v>0</x:v>
      </x:c>
      <x:c r="M78" s="11" t="n">
        <x:v>215</x:v>
      </x:c>
    </x:row>
    <x:row r="79" ht="24" customHeight="1">
      <x:c r="A79" s="10" t="str">
        <x:v>f</x:v>
      </x:c>
      <x:c r="B79" s="10" t="str">
        <x:v>结构树</x:v>
      </x:c>
      <x:c r="C79" s="9" t="str">
        <x:v>CG_H0</x:v>
      </x:c>
      <x:c r="D79" s="9" t="str">
        <x:v>CG_H1</x:v>
      </x:c>
      <x:c r="E79" s="11" t="n">
        <x:v>1480</x:v>
      </x:c>
      <x:c r="F79" s="11" t="n">
        <x:v>255</x:v>
      </x:c>
      <x:c r="G79" s="12" t="n">
        <x:f>F79/E79</x:f>
        <x:v>0.17229729729729729</x:v>
      </x:c>
      <x:c r="H79" s="11" t="n">
        <x:v>255</x:v>
      </x:c>
      <x:c r="I79" s="11" t="n">
        <x:v>0</x:v>
      </x:c>
      <x:c r="J79" s="11" t="n">
        <x:v>116</x:v>
      </x:c>
      <x:c r="K79" s="11" t="n">
        <x:v>12</x:v>
      </x:c>
      <x:c r="L79" s="11" t="n">
        <x:v>12</x:v>
      </x:c>
      <x:c r="M79" s="11" t="n">
        <x:v>258</x:v>
      </x:c>
    </x:row>
    <x:row r="80" ht="24" customHeight="1">
      <x:c r="A80" s="10" t="str">
        <x:v>f</x:v>
      </x:c>
      <x:c r="B80" s="10" t="str">
        <x:v>结构树</x:v>
      </x:c>
      <x:c r="C80" s="9" t="str">
        <x:v>NC_H0</x:v>
      </x:c>
      <x:c r="D80" s="9" t="str">
        <x:v>NC_H1</x:v>
      </x:c>
      <x:c r="E80" s="11" t="n">
        <x:v>1480</x:v>
      </x:c>
      <x:c r="F80" s="11" t="n">
        <x:v>120</x:v>
      </x:c>
      <x:c r="G80" s="12" t="n">
        <x:f>F80/E80</x:f>
        <x:v>0.08108108108108109</x:v>
      </x:c>
      <x:c r="H80" s="11" t="n">
        <x:v>120</x:v>
      </x:c>
      <x:c r="I80" s="11" t="n">
        <x:v>0</x:v>
      </x:c>
      <x:c r="J80" s="11" t="n">
        <x:v>120</x:v>
      </x:c>
      <x:c r="K80" s="11" t="n">
        <x:v>0</x:v>
      </x:c>
      <x:c r="L80" s="11" t="n">
        <x:v>0</x:v>
      </x:c>
      <x:c r="M80" s="11" t="n">
        <x:v>120</x:v>
      </x:c>
    </x:row>
    <x:row r="81" ht="24" customHeight="1">
      <x:c r="A81" s="10" t="str">
        <x:v>f</x:v>
      </x:c>
      <x:c r="B81" s="10" t="str">
        <x:v>结构树</x:v>
      </x:c>
      <x:c r="C81" s="9" t="str">
        <x:v>NCG_H0</x:v>
      </x:c>
      <x:c r="D81" s="9" t="str">
        <x:v>NCG_H1</x:v>
      </x:c>
      <x:c r="E81" s="11" t="n">
        <x:v>1480</x:v>
      </x:c>
      <x:c r="F81" s="11" t="n">
        <x:v>283</x:v>
      </x:c>
      <x:c r="G81" s="12" t="n">
        <x:f>F81/E81</x:f>
        <x:v>0.1912162162162162</x:v>
      </x:c>
      <x:c r="H81" s="11" t="n">
        <x:v>283</x:v>
      </x:c>
      <x:c r="I81" s="11" t="n">
        <x:v>0</x:v>
      </x:c>
      <x:c r="J81" s="11" t="n">
        <x:v>132</x:v>
      </x:c>
      <x:c r="K81" s="11" t="n">
        <x:v>12</x:v>
      </x:c>
      <x:c r="L81" s="11" t="n">
        <x:v>12</x:v>
      </x:c>
      <x:c r="M81" s="11" t="n">
        <x:v>284</x:v>
      </x:c>
    </x:row>
    <x:row r="82" ht="24" customHeight="1">
      <x:c r="A82" s="10" t="str">
        <x:v>f</x:v>
      </x:c>
      <x:c r="B82" s="10" t="str">
        <x:v>结构树</x:v>
      </x:c>
      <x:c r="C82" s="9" t="str">
        <x:v>G_H0</x:v>
      </x:c>
      <x:c r="D82" s="9" t="str">
        <x:v>G_H1</x:v>
      </x:c>
      <x:c r="E82" s="11" t="n">
        <x:v>1480</x:v>
      </x:c>
      <x:c r="F82" s="11" t="n">
        <x:v>157</x:v>
      </x:c>
      <x:c r="G82" s="12" t="n">
        <x:f>F82/E82</x:f>
        <x:v>0.10608108108108108</x:v>
      </x:c>
      <x:c r="H82" s="11" t="n">
        <x:v>157</x:v>
      </x:c>
      <x:c r="I82" s="11" t="n">
        <x:v>0</x:v>
      </x:c>
      <x:c r="J82" s="11" t="n">
        <x:v>0</x:v>
      </x:c>
      <x:c r="K82" s="11" t="n">
        <x:v>0</x:v>
      </x:c>
      <x:c r="L82" s="11" t="n">
        <x:v>0</x:v>
      </x:c>
      <x:c r="M82" s="11" t="n">
        <x:v>157</x:v>
      </x:c>
    </x:row>
    <x:row r="83" ht="24" customHeight="1">
      <x:c r="A83" s="10" t="str">
        <x:v>f</x:v>
      </x:c>
      <x:c r="B83" s="10" t="str">
        <x:v>几何分支</x:v>
      </x:c>
      <x:c r="C83" s="9" t="str">
        <x:v>N_H0</x:v>
      </x:c>
      <x:c r="D83" s="9" t="str">
        <x:v>NG_H0</x:v>
      </x:c>
      <x:c r="E83" s="11" t="n">
        <x:v>1480</x:v>
      </x:c>
      <x:c r="F83" s="11" t="n">
        <x:v>1077</x:v>
      </x:c>
      <x:c r="G83" s="12" t="n">
        <x:f>F83/E83</x:f>
        <x:v>0.7277027027027027</x:v>
      </x:c>
      <x:c r="H83" s="11" t="n">
        <x:v>140</x:v>
      </x:c>
      <x:c r="I83" s="11" t="n">
        <x:v>937</x:v>
      </x:c>
      <x:c r="J83" s="11" t="n">
        <x:v>0</x:v>
      </x:c>
      <x:c r="K83" s="11" t="n">
        <x:v>0</x:v>
      </x:c>
      <x:c r="L83" s="11" t="n">
        <x:v>0</x:v>
      </x:c>
      <x:c r="M83" s="11" t="n">
        <x:v>1480</x:v>
      </x:c>
    </x:row>
    <x:row r="84" ht="24" customHeight="1">
      <x:c r="A84" s="10" t="str">
        <x:v>f</x:v>
      </x:c>
      <x:c r="B84" s="10" t="str">
        <x:v>几何分支</x:v>
      </x:c>
      <x:c r="C84" s="9" t="str">
        <x:v>C_H0</x:v>
      </x:c>
      <x:c r="D84" s="9" t="str">
        <x:v>CG_H0</x:v>
      </x:c>
      <x:c r="E84" s="11" t="n">
        <x:v>1480</x:v>
      </x:c>
      <x:c r="F84" s="11" t="n">
        <x:v>1340</x:v>
      </x:c>
      <x:c r="G84" s="12" t="n">
        <x:f>F84/E84</x:f>
        <x:v>0.9054054054054054</x:v>
      </x:c>
      <x:c r="H84" s="11" t="n">
        <x:v>446</x:v>
      </x:c>
      <x:c r="I84" s="11" t="n">
        <x:v>894</x:v>
      </x:c>
      <x:c r="J84" s="11" t="n">
        <x:v>0</x:v>
      </x:c>
      <x:c r="K84" s="11" t="n">
        <x:v>0</x:v>
      </x:c>
      <x:c r="L84" s="11" t="n">
        <x:v>0</x:v>
      </x:c>
      <x:c r="M84" s="11" t="n">
        <x:v>1480</x:v>
      </x:c>
    </x:row>
    <x:row r="85" ht="24" customHeight="1">
      <x:c r="A85" s="10" t="str">
        <x:v>f</x:v>
      </x:c>
      <x:c r="B85" s="10" t="str">
        <x:v>几何分支</x:v>
      </x:c>
      <x:c r="C85" s="9" t="str">
        <x:v>NC_H0</x:v>
      </x:c>
      <x:c r="D85" s="9" t="str">
        <x:v>NCG_H0</x:v>
      </x:c>
      <x:c r="E85" s="11" t="n">
        <x:v>1480</x:v>
      </x:c>
      <x:c r="F85" s="11" t="n">
        <x:v>1280</x:v>
      </x:c>
      <x:c r="G85" s="12" t="n">
        <x:f>F85/E85</x:f>
        <x:v>0.8648648648648649</x:v>
      </x:c>
      <x:c r="H85" s="11" t="n">
        <x:v>427</x:v>
      </x:c>
      <x:c r="I85" s="11" t="n">
        <x:v>853</x:v>
      </x:c>
      <x:c r="J85" s="11" t="n">
        <x:v>0</x:v>
      </x:c>
      <x:c r="K85" s="11" t="n">
        <x:v>0</x:v>
      </x:c>
      <x:c r="L85" s="11" t="n">
        <x:v>0</x:v>
      </x:c>
      <x:c r="M85" s="11" t="n">
        <x:v>1480</x:v>
      </x:c>
    </x:row>
    <x:row r="86" ht="24" customHeight="1">
      <x:c r="A86" s="10" t="str">
        <x:v>f</x:v>
      </x:c>
      <x:c r="B86" s="10" t="str">
        <x:v>几何分支</x:v>
      </x:c>
      <x:c r="C86" s="9" t="str">
        <x:v>N_H1</x:v>
      </x:c>
      <x:c r="D86" s="9" t="str">
        <x:v>NG_H1</x:v>
      </x:c>
      <x:c r="E86" s="11" t="n">
        <x:v>1480</x:v>
      </x:c>
      <x:c r="F86" s="11" t="n">
        <x:v>1039</x:v>
      </x:c>
      <x:c r="G86" s="12" t="n">
        <x:f>F86/E86</x:f>
        <x:v>0.702027027027027</x:v>
      </x:c>
      <x:c r="H86" s="11" t="n">
        <x:v>119</x:v>
      </x:c>
      <x:c r="I86" s="11" t="n">
        <x:v>920</x:v>
      </x:c>
      <x:c r="J86" s="11" t="n">
        <x:v>0</x:v>
      </x:c>
      <x:c r="K86" s="11" t="n">
        <x:v>0</x:v>
      </x:c>
      <x:c r="L86" s="11" t="n">
        <x:v>0</x:v>
      </x:c>
      <x:c r="M86" s="11" t="n">
        <x:v>1480</x:v>
      </x:c>
    </x:row>
    <x:row r="87" ht="24" customHeight="1">
      <x:c r="A87" s="10" t="str">
        <x:v>f</x:v>
      </x:c>
      <x:c r="B87" s="10" t="str">
        <x:v>几何分支</x:v>
      </x:c>
      <x:c r="C87" s="9" t="str">
        <x:v>C_H1</x:v>
      </x:c>
      <x:c r="D87" s="9" t="str">
        <x:v>CG_H1</x:v>
      </x:c>
      <x:c r="E87" s="11" t="n">
        <x:v>1480</x:v>
      </x:c>
      <x:c r="F87" s="11" t="n">
        <x:v>1301</x:v>
      </x:c>
      <x:c r="G87" s="12" t="n">
        <x:f>F87/E87</x:f>
        <x:v>0.879054054054054</x:v>
      </x:c>
      <x:c r="H87" s="11" t="n">
        <x:v>407</x:v>
      </x:c>
      <x:c r="I87" s="11" t="n">
        <x:v>894</x:v>
      </x:c>
      <x:c r="J87" s="11" t="n">
        <x:v>12</x:v>
      </x:c>
      <x:c r="K87" s="11" t="n">
        <x:v>12</x:v>
      </x:c>
      <x:c r="L87" s="11" t="n">
        <x:v>12</x:v>
      </x:c>
      <x:c r="M87" s="11" t="n">
        <x:v>1480</x:v>
      </x:c>
    </x:row>
    <x:row r="88" ht="24" customHeight="1">
      <x:c r="A88" s="10" t="str">
        <x:v>f</x:v>
      </x:c>
      <x:c r="B88" s="10" t="str">
        <x:v>几何分支</x:v>
      </x:c>
      <x:c r="C88" s="9" t="str">
        <x:v>NC_H1</x:v>
      </x:c>
      <x:c r="D88" s="9" t="str">
        <x:v>NCG_H1</x:v>
      </x:c>
      <x:c r="E88" s="11" t="n">
        <x:v>1480</x:v>
      </x:c>
      <x:c r="F88" s="11" t="n">
        <x:v>1206</x:v>
      </x:c>
      <x:c r="G88" s="12" t="n">
        <x:f>F88/E88</x:f>
        <x:v>0.8148648648648649</x:v>
      </x:c>
      <x:c r="H88" s="11" t="n">
        <x:v>354</x:v>
      </x:c>
      <x:c r="I88" s="11" t="n">
        <x:v>852</x:v>
      </x:c>
      <x:c r="J88" s="11" t="n">
        <x:v>12</x:v>
      </x:c>
      <x:c r="K88" s="11" t="n">
        <x:v>12</x:v>
      </x:c>
      <x:c r="L88" s="11" t="n">
        <x:v>12</x:v>
      </x:c>
      <x:c r="M88" s="11" t="n">
        <x:v>1480</x:v>
      </x:c>
    </x:row>
    <x:row r="89" ht="24" customHeight="1">
      <x:c r="A89" s="10" t="str">
        <x:v>f</x:v>
      </x:c>
      <x:c r="B89" s="10" t="str">
        <x:v>叶名称</x:v>
      </x:c>
      <x:c r="C89" s="9" t="str">
        <x:v>NCG_H1</x:v>
      </x:c>
      <x:c r="D89" s="9" t="str">
        <x:v>NCG_H1_M1</x:v>
      </x:c>
      <x:c r="E89" s="11" t="n">
        <x:v>1480</x:v>
      </x:c>
      <x:c r="F89" s="11" t="n">
        <x:v>253</x:v>
      </x:c>
      <x:c r="G89" s="12" t="n">
        <x:f>F89/E89</x:f>
        <x:v>0.17094594594594595</x:v>
      </x:c>
      <x:c r="H89" s="11" t="n">
        <x:v>246</x:v>
      </x:c>
      <x:c r="I89" s="11" t="n">
        <x:v>7</x:v>
      </x:c>
      <x:c r="J89" s="11" t="n">
        <x:v>346</x:v>
      </x:c>
      <x:c r="K89" s="11" t="n">
        <x:v>388</x:v>
      </x:c>
      <x:c r="L89" s="11" t="n">
        <x:v>395</x:v>
      </x:c>
      <x:c r="M89" s="11" t="n">
        <x:v>253</x:v>
      </x:c>
    </x:row>
    <x:row r="90" ht="24" customHeight="1">
      <x:c r="A90" s="10" t="str">
        <x:v>ALL</x:v>
      </x:c>
      <x:c r="B90" s="10" t="str">
        <x:v>结构树</x:v>
      </x:c>
      <x:c r="C90" s="9" t="str">
        <x:v>N_H0</x:v>
      </x:c>
      <x:c r="D90" s="9" t="str">
        <x:v>N_H1</x:v>
      </x:c>
      <x:c r="E90" s="11" t="n">
        <x:v>11000</x:v>
      </x:c>
      <x:c r="F90" s="11" t="n">
        <x:v>200</x:v>
      </x:c>
      <x:c r="G90" s="12" t="n">
        <x:f>F90/E90</x:f>
        <x:v>0.01818181818181818</x:v>
      </x:c>
      <x:c r="H90" s="11" t="n">
        <x:v>200</x:v>
      </x:c>
      <x:c r="I90" s="11" t="n">
        <x:v>0</x:v>
      </x:c>
      <x:c r="J90" s="11" t="n">
        <x:v>200</x:v>
      </x:c>
      <x:c r="K90" s="11" t="n">
        <x:v>0</x:v>
      </x:c>
      <x:c r="L90" s="11" t="n">
        <x:v>0</x:v>
      </x:c>
      <x:c r="M90" s="11" t="n">
        <x:v>200</x:v>
      </x:c>
    </x:row>
    <x:row r="91" ht="24" customHeight="1">
      <x:c r="A91" s="10" t="str">
        <x:v>ALL</x:v>
      </x:c>
      <x:c r="B91" s="10" t="str">
        <x:v>结构树</x:v>
      </x:c>
      <x:c r="C91" s="9" t="str">
        <x:v>C_H0</x:v>
      </x:c>
      <x:c r="D91" s="9" t="str">
        <x:v>C_H1</x:v>
      </x:c>
      <x:c r="E91" s="11" t="n">
        <x:v>11000</x:v>
      </x:c>
      <x:c r="F91" s="11" t="n">
        <x:v>139</x:v>
      </x:c>
      <x:c r="G91" s="12" t="n">
        <x:f>F91/E91</x:f>
        <x:v>0.012636363636363637</x:v>
      </x:c>
      <x:c r="H91" s="11" t="n">
        <x:v>139</x:v>
      </x:c>
      <x:c r="I91" s="11" t="n">
        <x:v>0</x:v>
      </x:c>
      <x:c r="J91" s="11" t="n">
        <x:v>139</x:v>
      </x:c>
      <x:c r="K91" s="11" t="n">
        <x:v>0</x:v>
      </x:c>
      <x:c r="L91" s="11" t="n">
        <x:v>0</x:v>
      </x:c>
      <x:c r="M91" s="11" t="n">
        <x:v>139</x:v>
      </x:c>
    </x:row>
    <x:row r="92" ht="24" customHeight="1">
      <x:c r="A92" s="10" t="str">
        <x:v>ALL</x:v>
      </x:c>
      <x:c r="B92" s="10" t="str">
        <x:v>结构树</x:v>
      </x:c>
      <x:c r="C92" s="9" t="str">
        <x:v>NG_H0</x:v>
      </x:c>
      <x:c r="D92" s="9" t="str">
        <x:v>NG_H1</x:v>
      </x:c>
      <x:c r="E92" s="11" t="n">
        <x:v>11000</x:v>
      </x:c>
      <x:c r="F92" s="11" t="n">
        <x:v>890</x:v>
      </x:c>
      <x:c r="G92" s="12" t="n">
        <x:f>F92/E92</x:f>
        <x:v>0.0809090909090909</x:v>
      </x:c>
      <x:c r="H92" s="11" t="n">
        <x:v>890</x:v>
      </x:c>
      <x:c r="I92" s="11" t="n">
        <x:v>0</x:v>
      </x:c>
      <x:c r="J92" s="11" t="n">
        <x:v>200</x:v>
      </x:c>
      <x:c r="K92" s="11" t="n">
        <x:v>0</x:v>
      </x:c>
      <x:c r="L92" s="11" t="n">
        <x:v>0</x:v>
      </x:c>
      <x:c r="M92" s="11" t="n">
        <x:v>890</x:v>
      </x:c>
    </x:row>
    <x:row r="93" ht="24" customHeight="1">
      <x:c r="A93" s="10" t="str">
        <x:v>ALL</x:v>
      </x:c>
      <x:c r="B93" s="10" t="str">
        <x:v>结构树</x:v>
      </x:c>
      <x:c r="C93" s="9" t="str">
        <x:v>CG_H0</x:v>
      </x:c>
      <x:c r="D93" s="9" t="str">
        <x:v>CG_H1</x:v>
      </x:c>
      <x:c r="E93" s="11" t="n">
        <x:v>11000</x:v>
      </x:c>
      <x:c r="F93" s="11" t="n">
        <x:v>1052</x:v>
      </x:c>
      <x:c r="G93" s="12" t="n">
        <x:f>F93/E93</x:f>
        <x:v>0.09563636363636363</x:v>
      </x:c>
      <x:c r="H93" s="11" t="n">
        <x:v>1052</x:v>
      </x:c>
      <x:c r="I93" s="11" t="n">
        <x:v>0</x:v>
      </x:c>
      <x:c r="J93" s="11" t="n">
        <x:v>182</x:v>
      </x:c>
      <x:c r="K93" s="11" t="n">
        <x:v>43</x:v>
      </x:c>
      <x:c r="L93" s="11" t="n">
        <x:v>43</x:v>
      </x:c>
      <x:c r="M93" s="11" t="n">
        <x:v>1080</x:v>
      </x:c>
    </x:row>
    <x:row r="94" ht="24" customHeight="1">
      <x:c r="A94" s="10" t="str">
        <x:v>ALL</x:v>
      </x:c>
      <x:c r="B94" s="10" t="str">
        <x:v>结构树</x:v>
      </x:c>
      <x:c r="C94" s="9" t="str">
        <x:v>NC_H0</x:v>
      </x:c>
      <x:c r="D94" s="9" t="str">
        <x:v>NC_H1</x:v>
      </x:c>
      <x:c r="E94" s="11" t="n">
        <x:v>11000</x:v>
      </x:c>
      <x:c r="F94" s="11" t="n">
        <x:v>211</x:v>
      </x:c>
      <x:c r="G94" s="12" t="n">
        <x:f>F94/E94</x:f>
        <x:v>0.019181818181818182</x:v>
      </x:c>
      <x:c r="H94" s="11" t="n">
        <x:v>211</x:v>
      </x:c>
      <x:c r="I94" s="11" t="n">
        <x:v>0</x:v>
      </x:c>
      <x:c r="J94" s="11" t="n">
        <x:v>211</x:v>
      </x:c>
      <x:c r="K94" s="11" t="n">
        <x:v>0</x:v>
      </x:c>
      <x:c r="L94" s="11" t="n">
        <x:v>0</x:v>
      </x:c>
      <x:c r="M94" s="11" t="n">
        <x:v>211</x:v>
      </x:c>
    </x:row>
    <x:row r="95" ht="24" customHeight="1">
      <x:c r="A95" s="10" t="str">
        <x:v>ALL</x:v>
      </x:c>
      <x:c r="B95" s="10" t="str">
        <x:v>结构树</x:v>
      </x:c>
      <x:c r="C95" s="9" t="str">
        <x:v>NCG_H0</x:v>
      </x:c>
      <x:c r="D95" s="9" t="str">
        <x:v>NCG_H1</x:v>
      </x:c>
      <x:c r="E95" s="11" t="n">
        <x:v>11000</x:v>
      </x:c>
      <x:c r="F95" s="11" t="n">
        <x:v>984</x:v>
      </x:c>
      <x:c r="G95" s="12" t="n">
        <x:f>F95/E95</x:f>
        <x:v>0.08945454545454545</x:v>
      </x:c>
      <x:c r="H95" s="11" t="n">
        <x:v>984</x:v>
      </x:c>
      <x:c r="I95" s="11" t="n">
        <x:v>0</x:v>
      </x:c>
      <x:c r="J95" s="11" t="n">
        <x:v>250</x:v>
      </x:c>
      <x:c r="K95" s="11" t="n">
        <x:v>39</x:v>
      </x:c>
      <x:c r="L95" s="11" t="n">
        <x:v>39</x:v>
      </x:c>
      <x:c r="M95" s="11" t="n">
        <x:v>1006</x:v>
      </x:c>
    </x:row>
    <x:row r="96" ht="24" customHeight="1">
      <x:c r="A96" s="10" t="str">
        <x:v>ALL</x:v>
      </x:c>
      <x:c r="B96" s="10" t="str">
        <x:v>结构树</x:v>
      </x:c>
      <x:c r="C96" s="9" t="str">
        <x:v>G_H0</x:v>
      </x:c>
      <x:c r="D96" s="9" t="str">
        <x:v>G_H1</x:v>
      </x:c>
      <x:c r="E96" s="11" t="n">
        <x:v>11000</x:v>
      </x:c>
      <x:c r="F96" s="11" t="n">
        <x:v>926</x:v>
      </x:c>
      <x:c r="G96" s="12" t="n">
        <x:f>F96/E96</x:f>
        <x:v>0.08418181818181818</x:v>
      </x:c>
      <x:c r="H96" s="11" t="n">
        <x:v>926</x:v>
      </x:c>
      <x:c r="I96" s="11" t="n">
        <x:v>0</x:v>
      </x:c>
      <x:c r="J96" s="11" t="n">
        <x:v>0</x:v>
      </x:c>
      <x:c r="K96" s="11" t="n">
        <x:v>0</x:v>
      </x:c>
      <x:c r="L96" s="11" t="n">
        <x:v>0</x:v>
      </x:c>
      <x:c r="M96" s="11" t="n">
        <x:v>926</x:v>
      </x:c>
    </x:row>
    <x:row r="97" ht="24" customHeight="1">
      <x:c r="A97" s="10" t="str">
        <x:v>ALL</x:v>
      </x:c>
      <x:c r="B97" s="10" t="str">
        <x:v>几何分支</x:v>
      </x:c>
      <x:c r="C97" s="9" t="str">
        <x:v>N_H0</x:v>
      </x:c>
      <x:c r="D97" s="9" t="str">
        <x:v>NG_H0</x:v>
      </x:c>
      <x:c r="E97" s="11" t="n">
        <x:v>11000</x:v>
      </x:c>
      <x:c r="F97" s="11" t="n">
        <x:v>7827</x:v>
      </x:c>
      <x:c r="G97" s="12" t="n">
        <x:f>F97/E97</x:f>
        <x:v>0.7115454545454546</x:v>
      </x:c>
      <x:c r="H97" s="11" t="n">
        <x:v>983</x:v>
      </x:c>
      <x:c r="I97" s="11" t="n">
        <x:v>6844</x:v>
      </x:c>
      <x:c r="J97" s="11" t="n">
        <x:v>0</x:v>
      </x:c>
      <x:c r="K97" s="11" t="n">
        <x:v>0</x:v>
      </x:c>
      <x:c r="L97" s="11" t="n">
        <x:v>0</x:v>
      </x:c>
      <x:c r="M97" s="11" t="n">
        <x:v>11000</x:v>
      </x:c>
    </x:row>
    <x:row r="98" ht="24" customHeight="1">
      <x:c r="A98" s="10" t="str">
        <x:v>ALL</x:v>
      </x:c>
      <x:c r="B98" s="10" t="str">
        <x:v>几何分支</x:v>
      </x:c>
      <x:c r="C98" s="9" t="str">
        <x:v>C_H0</x:v>
      </x:c>
      <x:c r="D98" s="9" t="str">
        <x:v>CG_H0</x:v>
      </x:c>
      <x:c r="E98" s="11" t="n">
        <x:v>11000</x:v>
      </x:c>
      <x:c r="F98" s="11" t="n">
        <x:v>9383</x:v>
      </x:c>
      <x:c r="G98" s="12" t="n">
        <x:f>F98/E98</x:f>
        <x:v>0.853</x:v>
      </x:c>
      <x:c r="H98" s="11" t="n">
        <x:v>2473</x:v>
      </x:c>
      <x:c r="I98" s="11" t="n">
        <x:v>6910</x:v>
      </x:c>
      <x:c r="J98" s="11" t="n">
        <x:v>3</x:v>
      </x:c>
      <x:c r="K98" s="11" t="n">
        <x:v>3</x:v>
      </x:c>
      <x:c r="L98" s="11" t="n">
        <x:v>3</x:v>
      </x:c>
      <x:c r="M98" s="11" t="n">
        <x:v>11000</x:v>
      </x:c>
    </x:row>
    <x:row r="99" ht="24" customHeight="1">
      <x:c r="A99" s="10" t="str">
        <x:v>ALL</x:v>
      </x:c>
      <x:c r="B99" s="10" t="str">
        <x:v>几何分支</x:v>
      </x:c>
      <x:c r="C99" s="9" t="str">
        <x:v>NC_H0</x:v>
      </x:c>
      <x:c r="D99" s="9" t="str">
        <x:v>NCG_H0</x:v>
      </x:c>
      <x:c r="E99" s="11" t="n">
        <x:v>11000</x:v>
      </x:c>
      <x:c r="F99" s="11" t="n">
        <x:v>8557</x:v>
      </x:c>
      <x:c r="G99" s="12" t="n">
        <x:f>F99/E99</x:f>
        <x:v>0.7779090909090909</x:v>
      </x:c>
      <x:c r="H99" s="11" t="n">
        <x:v>2486</x:v>
      </x:c>
      <x:c r="I99" s="11" t="n">
        <x:v>6071</x:v>
      </x:c>
      <x:c r="J99" s="11" t="n">
        <x:v>3</x:v>
      </x:c>
      <x:c r="K99" s="11" t="n">
        <x:v>3</x:v>
      </x:c>
      <x:c r="L99" s="11" t="n">
        <x:v>3</x:v>
      </x:c>
      <x:c r="M99" s="11" t="n">
        <x:v>11000</x:v>
      </x:c>
    </x:row>
    <x:row r="100" ht="24" customHeight="1">
      <x:c r="A100" s="10" t="str">
        <x:v>ALL</x:v>
      </x:c>
      <x:c r="B100" s="10" t="str">
        <x:v>几何分支</x:v>
      </x:c>
      <x:c r="C100" s="9" t="str">
        <x:v>N_H1</x:v>
      </x:c>
      <x:c r="D100" s="9" t="str">
        <x:v>NG_H1</x:v>
      </x:c>
      <x:c r="E100" s="11" t="n">
        <x:v>11000</x:v>
      </x:c>
      <x:c r="F100" s="11" t="n">
        <x:v>7704</x:v>
      </x:c>
      <x:c r="G100" s="12" t="n">
        <x:f>F100/E100</x:f>
        <x:v>0.7003636363636364</x:v>
      </x:c>
      <x:c r="H100" s="11" t="n">
        <x:v>971</x:v>
      </x:c>
      <x:c r="I100" s="11" t="n">
        <x:v>6733</x:v>
      </x:c>
      <x:c r="J100" s="11" t="n">
        <x:v>0</x:v>
      </x:c>
      <x:c r="K100" s="11" t="n">
        <x:v>0</x:v>
      </x:c>
      <x:c r="L100" s="11" t="n">
        <x:v>0</x:v>
      </x:c>
      <x:c r="M100" s="11" t="n">
        <x:v>11000</x:v>
      </x:c>
    </x:row>
    <x:row r="101" ht="24" customHeight="1">
      <x:c r="A101" s="10" t="str">
        <x:v>ALL</x:v>
      </x:c>
      <x:c r="B101" s="10" t="str">
        <x:v>几何分支</x:v>
      </x:c>
      <x:c r="C101" s="9" t="str">
        <x:v>C_H1</x:v>
      </x:c>
      <x:c r="D101" s="9" t="str">
        <x:v>CG_H1</x:v>
      </x:c>
      <x:c r="E101" s="11" t="n">
        <x:v>11000</x:v>
      </x:c>
      <x:c r="F101" s="11" t="n">
        <x:v>9379</x:v>
      </x:c>
      <x:c r="G101" s="12" t="n">
        <x:f>F101/E101</x:f>
        <x:v>0.8526363636363636</x:v>
      </x:c>
      <x:c r="H101" s="11" t="n">
        <x:v>2494</x:v>
      </x:c>
      <x:c r="I101" s="11" t="n">
        <x:v>6885</x:v>
      </x:c>
      <x:c r="J101" s="11" t="n">
        <x:v>46</x:v>
      </x:c>
      <x:c r="K101" s="11" t="n">
        <x:v>46</x:v>
      </x:c>
      <x:c r="L101" s="11" t="n">
        <x:v>46</x:v>
      </x:c>
      <x:c r="M101" s="11" t="n">
        <x:v>11000</x:v>
      </x:c>
    </x:row>
    <x:row r="102" ht="24" customHeight="1">
      <x:c r="A102" s="10" t="str">
        <x:v>ALL</x:v>
      </x:c>
      <x:c r="B102" s="10" t="str">
        <x:v>几何分支</x:v>
      </x:c>
      <x:c r="C102" s="9" t="str">
        <x:v>NC_H1</x:v>
      </x:c>
      <x:c r="D102" s="9" t="str">
        <x:v>NCG_H1</x:v>
      </x:c>
      <x:c r="E102" s="11" t="n">
        <x:v>11000</x:v>
      </x:c>
      <x:c r="F102" s="11" t="n">
        <x:v>8492</x:v>
      </x:c>
      <x:c r="G102" s="12" t="n">
        <x:f>F102/E102</x:f>
        <x:v>0.772</x:v>
      </x:c>
      <x:c r="H102" s="11" t="n">
        <x:v>2445</x:v>
      </x:c>
      <x:c r="I102" s="11" t="n">
        <x:v>6047</x:v>
      </x:c>
      <x:c r="J102" s="11" t="n">
        <x:v>42</x:v>
      </x:c>
      <x:c r="K102" s="11" t="n">
        <x:v>42</x:v>
      </x:c>
      <x:c r="L102" s="11" t="n">
        <x:v>42</x:v>
      </x:c>
      <x:c r="M102" s="11" t="n">
        <x:v>11000</x:v>
      </x:c>
    </x:row>
    <x:row r="103" ht="24" customHeight="1">
      <x:c r="A103" s="10" t="str">
        <x:v>ALL</x:v>
      </x:c>
      <x:c r="B103" s="10" t="str">
        <x:v>叶名称</x:v>
      </x:c>
      <x:c r="C103" s="9" t="str">
        <x:v>NCG_H1</x:v>
      </x:c>
      <x:c r="D103" s="9" t="str">
        <x:v>NCG_H1_M1</x:v>
      </x:c>
      <x:c r="E103" s="11" t="n">
        <x:v>11000</x:v>
      </x:c>
      <x:c r="F103" s="11" t="n">
        <x:v>827</x:v>
      </x:c>
      <x:c r="G103" s="12" t="n">
        <x:f>F103/E103</x:f>
        <x:v>0.07518181818181818</x:v>
      </x:c>
      <x:c r="H103" s="11" t="n">
        <x:v>791</x:v>
      </x:c>
      <x:c r="I103" s="11" t="n">
        <x:v>36</x:v>
      </x:c>
      <x:c r="J103" s="11" t="n">
        <x:v>1212</x:v>
      </x:c>
      <x:c r="K103" s="11" t="n">
        <x:v>1487</x:v>
      </x:c>
      <x:c r="L103" s="11" t="n">
        <x:v>1520</x:v>
      </x:c>
      <x:c r="M103" s="11" t="n">
        <x:v>827</x:v>
      </x:c>
    </x:row>
  </x:sheetData>
  <x:pageMargins left="0.7" right="0.7" top="0.75" bottom="0.75" header="0.3" footer="0.3"/>
  <x:tableParts count="1">
    <x:tablePart xmlns:r="http://schemas.openxmlformats.org/officeDocument/2006/relationships" r:id="R6ceca5b12f4b48d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21" hidden="0" customWidth="1"/>
    <x:col min="3" max="3" width="21" hidden="0" customWidth="1"/>
    <x:col min="4" max="4" width="18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4" customHeight="1">
      <x:c r="A2" s="3" t="str">
        <x:v>完整辅助融合中的未知功能件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4" customHeight="1">
      <x:c r="A3" s="4" t="str">
        <x:v>使用NCG H1+M1。形态描述不等于对象识别；计数保留，分型占比按当前模型的未知功能件总数计算。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2" customHeight="1">
      <x:c r="A5" s="8" t="str">
        <x:v>模型</x:v>
      </x:c>
      <x:c r="B5" s="8" t="str">
        <x:v>几何分型</x:v>
      </x:c>
      <x:c r="C5" s="8" t="str">
        <x:v>未知功能总数</x:v>
      </x:c>
      <x:c r="D5" s="8" t="str">
        <x:v>该型节点数</x:v>
      </x:c>
      <x:c r="E5" s="8" t="str">
        <x:v>该型占比</x:v>
      </x:c>
      <x:c r="F5" s="8" t="str">
        <x:v>P1节点</x:v>
      </x:c>
      <x:c r="G5" s="8" t="str">
        <x:v>P2节点</x:v>
      </x:c>
      <x:c r="H5" s="8" t="str">
        <x:v>P3节点</x:v>
      </x:c>
      <x:c r="I5" s="8" t="str">
        <x:v>P4节点</x:v>
      </x:c>
      <x:c r="J5" s="8" t="str">
        <x:v>P5节点</x:v>
      </x:c>
      <x:c r="K5" s="8" t="str">
        <x:v>P6节点</x:v>
      </x:c>
      <x:c r="L5" s="8" t="str">
        <x:v>P7节点</x:v>
      </x:c>
      <x:c r="M5" s="8" t="str">
        <x:v>P8节点</x:v>
      </x:c>
      <x:c r="N5" s="8" t="str">
        <x:v>P9节点</x:v>
      </x:c>
      <x:c r="O5" s="8" t="str">
        <x:v>P10节点</x:v>
      </x:c>
    </x:row>
    <x:row r="6" ht="24" customHeight="1">
      <x:c r="A6" s="10" t="str">
        <x:v>a</x:v>
      </x:c>
      <x:c r="B6" s="10" t="str">
        <x:v>紧凑简单体</x:v>
      </x:c>
      <x:c r="C6" s="11" t="n">
        <x:f>SUMIF($A$6:$A$50,A6,$D$6:$D$50)</x:f>
        <x:v>1054</x:v>
      </x:c>
      <x:c r="D6" s="11" t="n">
        <x:v>341</x:v>
      </x:c>
      <x:c r="E6" s="12" t="n">
        <x:f>D6/C6</x:f>
        <x:v>0.3235294117647059</x:v>
      </x:c>
      <x:c r="F6" s="11" t="n">
        <x:v>0</x:v>
      </x:c>
      <x:c r="G6" s="11" t="n">
        <x:v>21</x:v>
      </x:c>
      <x:c r="H6" s="11" t="n">
        <x:v>281</x:v>
      </x:c>
      <x:c r="I6" s="11" t="n">
        <x:v>39</x:v>
      </x:c>
      <x:c r="J6" s="11" t="n">
        <x:v>0</x:v>
      </x:c>
      <x:c r="K6" s="11" t="n">
        <x:v>0</x:v>
      </x:c>
      <x:c r="L6" s="11" t="n">
        <x:v>0</x:v>
      </x:c>
      <x:c r="M6" s="11" t="n">
        <x:v>0</x:v>
      </x:c>
      <x:c r="N6" s="11" t="n">
        <x:v>0</x:v>
      </x:c>
      <x:c r="O6" s="11" t="n">
        <x:v>0</x:v>
      </x:c>
    </x:row>
    <x:row r="7" ht="24" customHeight="1">
      <x:c r="A7" s="10" t="str">
        <x:v>a</x:v>
      </x:c>
      <x:c r="B7" s="10" t="str">
        <x:v>紧凑曲面体</x:v>
      </x:c>
      <x:c r="C7" s="11" t="n">
        <x:f>SUMIF($A$6:$A$50,A7,$D$6:$D$50)</x:f>
        <x:v>1054</x:v>
      </x:c>
      <x:c r="D7" s="11" t="n">
        <x:v>354</x:v>
      </x:c>
      <x:c r="E7" s="12" t="n">
        <x:f>D7/C7</x:f>
        <x:v>0.33586337760910817</x:v>
      </x:c>
      <x:c r="F7" s="11" t="n">
        <x:v>0</x:v>
      </x:c>
      <x:c r="G7" s="11" t="n">
        <x:v>49</x:v>
      </x:c>
      <x:c r="H7" s="11" t="n">
        <x:v>153</x:v>
      </x:c>
      <x:c r="I7" s="11" t="n">
        <x:v>150</x:v>
      </x:c>
      <x:c r="J7" s="11" t="n">
        <x:v>2</x:v>
      </x:c>
      <x:c r="K7" s="11" t="n">
        <x:v>0</x:v>
      </x:c>
      <x:c r="L7" s="11" t="n">
        <x:v>0</x:v>
      </x:c>
      <x:c r="M7" s="11" t="n">
        <x:v>0</x:v>
      </x:c>
      <x:c r="N7" s="11" t="n">
        <x:v>0</x:v>
      </x:c>
      <x:c r="O7" s="11" t="n">
        <x:v>0</x:v>
      </x:c>
    </x:row>
    <x:row r="8" ht="24" customHeight="1">
      <x:c r="A8" s="10" t="str">
        <x:v>a</x:v>
      </x:c>
      <x:c r="B8" s="10" t="str">
        <x:v>紧凑细节体</x:v>
      </x:c>
      <x:c r="C8" s="11" t="n">
        <x:f>SUMIF($A$6:$A$50,A8,$D$6:$D$50)</x:f>
        <x:v>1054</x:v>
      </x:c>
      <x:c r="D8" s="11" t="n">
        <x:v>53</x:v>
      </x:c>
      <x:c r="E8" s="12" t="n">
        <x:f>D8/C8</x:f>
        <x:v>0.05028462998102467</x:v>
      </x:c>
      <x:c r="F8" s="11" t="n">
        <x:v>0</x:v>
      </x:c>
      <x:c r="G8" s="11" t="n">
        <x:v>0</x:v>
      </x:c>
      <x:c r="H8" s="11" t="n">
        <x:v>35</x:v>
      </x:c>
      <x:c r="I8" s="11" t="n">
        <x:v>18</x:v>
      </x:c>
      <x:c r="J8" s="11" t="n">
        <x:v>0</x:v>
      </x:c>
      <x:c r="K8" s="11" t="n">
        <x:v>0</x:v>
      </x:c>
      <x:c r="L8" s="11" t="n">
        <x:v>0</x:v>
      </x:c>
      <x:c r="M8" s="11" t="n">
        <x:v>0</x:v>
      </x:c>
      <x:c r="N8" s="11" t="n">
        <x:v>0</x:v>
      </x:c>
      <x:c r="O8" s="11" t="n">
        <x:v>0</x:v>
      </x:c>
    </x:row>
    <x:row r="9" ht="24" customHeight="1">
      <x:c r="A9" s="10" t="str">
        <x:v>a</x:v>
      </x:c>
      <x:c r="B9" s="10" t="str">
        <x:v>板状</x:v>
      </x:c>
      <x:c r="C9" s="11" t="n">
        <x:f>SUMIF($A$6:$A$50,A9,$D$6:$D$50)</x:f>
        <x:v>1054</x:v>
      </x:c>
      <x:c r="D9" s="11" t="n">
        <x:v>143</x:v>
      </x:c>
      <x:c r="E9" s="12" t="n">
        <x:f>D9/C9</x:f>
        <x:v>0.13567362428842505</x:v>
      </x:c>
      <x:c r="F9" s="11" t="n">
        <x:v>0</x:v>
      </x:c>
      <x:c r="G9" s="11" t="n">
        <x:v>1</x:v>
      </x:c>
      <x:c r="H9" s="11" t="n">
        <x:v>38</x:v>
      </x:c>
      <x:c r="I9" s="11" t="n">
        <x:v>75</x:v>
      </x:c>
      <x:c r="J9" s="11" t="n">
        <x:v>29</x:v>
      </x:c>
      <x:c r="K9" s="11" t="n">
        <x:v>0</x:v>
      </x:c>
      <x:c r="L9" s="11" t="n">
        <x:v>0</x:v>
      </x:c>
      <x:c r="M9" s="11" t="n">
        <x:v>0</x:v>
      </x:c>
      <x:c r="N9" s="11" t="n">
        <x:v>0</x:v>
      </x:c>
      <x:c r="O9" s="11" t="n">
        <x:v>0</x:v>
      </x:c>
    </x:row>
    <x:row r="10" ht="24" customHeight="1">
      <x:c r="A10" s="10" t="str">
        <x:v>a</x:v>
      </x:c>
      <x:c r="B10" s="10" t="str">
        <x:v>杆状</x:v>
      </x:c>
      <x:c r="C10" s="11" t="n">
        <x:f>SUMIF($A$6:$A$50,A10,$D$6:$D$50)</x:f>
        <x:v>1054</x:v>
      </x:c>
      <x:c r="D10" s="11" t="n">
        <x:v>153</x:v>
      </x:c>
      <x:c r="E10" s="12" t="n">
        <x:f>D10/C10</x:f>
        <x:v>0.14516129032258066</x:v>
      </x:c>
      <x:c r="F10" s="11" t="n">
        <x:v>0</x:v>
      </x:c>
      <x:c r="G10" s="11" t="n">
        <x:v>0</x:v>
      </x:c>
      <x:c r="H10" s="11" t="n">
        <x:v>4</x:v>
      </x:c>
      <x:c r="I10" s="11" t="n">
        <x:v>49</x:v>
      </x:c>
      <x:c r="J10" s="11" t="n">
        <x:v>93</x:v>
      </x:c>
      <x:c r="K10" s="11" t="n">
        <x:v>7</x:v>
      </x:c>
      <x:c r="L10" s="11" t="n">
        <x:v>0</x:v>
      </x:c>
      <x:c r="M10" s="11" t="n">
        <x:v>0</x:v>
      </x:c>
      <x:c r="N10" s="11" t="n">
        <x:v>0</x:v>
      </x:c>
      <x:c r="O10" s="11" t="n">
        <x:v>0</x:v>
      </x:c>
    </x:row>
    <x:row r="11" ht="24" customHeight="1">
      <x:c r="A11" s="10" t="str">
        <x:v>a</x:v>
      </x:c>
      <x:c r="B11" s="10" t="str">
        <x:v>细长扁平</x:v>
      </x:c>
      <x:c r="C11" s="11" t="n">
        <x:f>SUMIF($A$6:$A$50,A11,$D$6:$D$50)</x:f>
        <x:v>1054</x:v>
      </x:c>
      <x:c r="D11" s="11" t="n">
        <x:v>10</x:v>
      </x:c>
      <x:c r="E11" s="12" t="n">
        <x:f>D11/C11</x:f>
        <x:v>0.009487666034155597</x:v>
      </x:c>
      <x:c r="F11" s="11" t="n">
        <x:v>0</x:v>
      </x:c>
      <x:c r="G11" s="11" t="n">
        <x:v>0</x:v>
      </x:c>
      <x:c r="H11" s="11" t="n">
        <x:v>0</x:v>
      </x:c>
      <x:c r="I11" s="11" t="n">
        <x:v>3</x:v>
      </x:c>
      <x:c r="J11" s="11" t="n">
        <x:v>7</x:v>
      </x:c>
      <x:c r="K11" s="11" t="n">
        <x:v>0</x:v>
      </x:c>
      <x:c r="L11" s="11" t="n">
        <x:v>0</x:v>
      </x:c>
      <x:c r="M11" s="11" t="n">
        <x:v>0</x:v>
      </x:c>
      <x:c r="N11" s="11" t="n">
        <x:v>0</x:v>
      </x:c>
      <x:c r="O11" s="11" t="n">
        <x:v>0</x:v>
      </x:c>
    </x:row>
    <x:row r="12" ht="24" customHeight="1">
      <x:c r="A12" s="10" t="str">
        <x:v>b</x:v>
      </x:c>
      <x:c r="B12" s="10" t="str">
        <x:v>紧凑简单体</x:v>
      </x:c>
      <x:c r="C12" s="11" t="n">
        <x:f>SUMIF($A$6:$A$50,A12,$D$6:$D$50)</x:f>
        <x:v>888</x:v>
      </x:c>
      <x:c r="D12" s="11" t="n">
        <x:v>483</x:v>
      </x:c>
      <x:c r="E12" s="12" t="n">
        <x:f>D12/C12</x:f>
        <x:v>0.543918918918919</x:v>
      </x:c>
      <x:c r="F12" s="11" t="n">
        <x:v>0</x:v>
      </x:c>
      <x:c r="G12" s="11" t="n">
        <x:v>43</x:v>
      </x:c>
      <x:c r="H12" s="11" t="n">
        <x:v>339</x:v>
      </x:c>
      <x:c r="I12" s="11" t="n">
        <x:v>100</x:v>
      </x:c>
      <x:c r="J12" s="11" t="n">
        <x:v>1</x:v>
      </x:c>
      <x:c r="K12" s="11" t="n">
        <x:v>0</x:v>
      </x:c>
      <x:c r="L12" s="11" t="n">
        <x:v>0</x:v>
      </x:c>
      <x:c r="M12" s="11" t="n">
        <x:v>0</x:v>
      </x:c>
      <x:c r="N12" s="11" t="n">
        <x:v>0</x:v>
      </x:c>
      <x:c r="O12" s="11" t="n">
        <x:v>0</x:v>
      </x:c>
    </x:row>
    <x:row r="13" ht="24" customHeight="1">
      <x:c r="A13" s="10" t="str">
        <x:v>b</x:v>
      </x:c>
      <x:c r="B13" s="10" t="str">
        <x:v>紧凑曲面体</x:v>
      </x:c>
      <x:c r="C13" s="11" t="n">
        <x:f>SUMIF($A$6:$A$50,A13,$D$6:$D$50)</x:f>
        <x:v>888</x:v>
      </x:c>
      <x:c r="D13" s="11" t="n">
        <x:v>272</x:v>
      </x:c>
      <x:c r="E13" s="12" t="n">
        <x:f>D13/C13</x:f>
        <x:v>0.3063063063063063</x:v>
      </x:c>
      <x:c r="F13" s="11" t="n">
        <x:v>0</x:v>
      </x:c>
      <x:c r="G13" s="11" t="n">
        <x:v>6</x:v>
      </x:c>
      <x:c r="H13" s="11" t="n">
        <x:v>163</x:v>
      </x:c>
      <x:c r="I13" s="11" t="n">
        <x:v>101</x:v>
      </x:c>
      <x:c r="J13" s="11" t="n">
        <x:v>2</x:v>
      </x:c>
      <x:c r="K13" s="11" t="n">
        <x:v>0</x:v>
      </x:c>
      <x:c r="L13" s="11" t="n">
        <x:v>0</x:v>
      </x:c>
      <x:c r="M13" s="11" t="n">
        <x:v>0</x:v>
      </x:c>
      <x:c r="N13" s="11" t="n">
        <x:v>0</x:v>
      </x:c>
      <x:c r="O13" s="11" t="n">
        <x:v>0</x:v>
      </x:c>
    </x:row>
    <x:row r="14" ht="24" customHeight="1">
      <x:c r="A14" s="10" t="str">
        <x:v>b</x:v>
      </x:c>
      <x:c r="B14" s="10" t="str">
        <x:v>紧凑细节体</x:v>
      </x:c>
      <x:c r="C14" s="11" t="n">
        <x:f>SUMIF($A$6:$A$50,A14,$D$6:$D$50)</x:f>
        <x:v>888</x:v>
      </x:c>
      <x:c r="D14" s="11" t="n">
        <x:v>7</x:v>
      </x:c>
      <x:c r="E14" s="12" t="n">
        <x:f>D14/C14</x:f>
        <x:v>0.007882882882882882</x:v>
      </x:c>
      <x:c r="F14" s="11" t="n">
        <x:v>0</x:v>
      </x:c>
      <x:c r="G14" s="11" t="n">
        <x:v>0</x:v>
      </x:c>
      <x:c r="H14" s="11" t="n">
        <x:v>0</x:v>
      </x:c>
      <x:c r="I14" s="11" t="n">
        <x:v>7</x:v>
      </x:c>
      <x:c r="J14" s="11" t="n">
        <x:v>0</x:v>
      </x:c>
      <x:c r="K14" s="11" t="n">
        <x:v>0</x:v>
      </x:c>
      <x:c r="L14" s="11" t="n">
        <x:v>0</x:v>
      </x:c>
      <x:c r="M14" s="11" t="n">
        <x:v>0</x:v>
      </x:c>
      <x:c r="N14" s="11" t="n">
        <x:v>0</x:v>
      </x:c>
      <x:c r="O14" s="11" t="n">
        <x:v>0</x:v>
      </x:c>
    </x:row>
    <x:row r="15" ht="24" customHeight="1">
      <x:c r="A15" s="10" t="str">
        <x:v>b</x:v>
      </x:c>
      <x:c r="B15" s="10" t="str">
        <x:v>板状</x:v>
      </x:c>
      <x:c r="C15" s="11" t="n">
        <x:f>SUMIF($A$6:$A$50,A15,$D$6:$D$50)</x:f>
        <x:v>888</x:v>
      </x:c>
      <x:c r="D15" s="11" t="n">
        <x:v>46</x:v>
      </x:c>
      <x:c r="E15" s="12" t="n">
        <x:f>D15/C15</x:f>
        <x:v>0.0518018018018018</x:v>
      </x:c>
      <x:c r="F15" s="11" t="n">
        <x:v>0</x:v>
      </x:c>
      <x:c r="G15" s="11" t="n">
        <x:v>0</x:v>
      </x:c>
      <x:c r="H15" s="11" t="n">
        <x:v>0</x:v>
      </x:c>
      <x:c r="I15" s="11" t="n">
        <x:v>23</x:v>
      </x:c>
      <x:c r="J15" s="11" t="n">
        <x:v>23</x:v>
      </x:c>
      <x:c r="K15" s="11" t="n">
        <x:v>0</x:v>
      </x:c>
      <x:c r="L15" s="11" t="n">
        <x:v>0</x:v>
      </x:c>
      <x:c r="M15" s="11" t="n">
        <x:v>0</x:v>
      </x:c>
      <x:c r="N15" s="11" t="n">
        <x:v>0</x:v>
      </x:c>
      <x:c r="O15" s="11" t="n">
        <x:v>0</x:v>
      </x:c>
    </x:row>
    <x:row r="16" ht="24" customHeight="1">
      <x:c r="A16" s="10" t="str">
        <x:v>b</x:v>
      </x:c>
      <x:c r="B16" s="10" t="str">
        <x:v>杆状</x:v>
      </x:c>
      <x:c r="C16" s="11" t="n">
        <x:f>SUMIF($A$6:$A$50,A16,$D$6:$D$50)</x:f>
        <x:v>888</x:v>
      </x:c>
      <x:c r="D16" s="11" t="n">
        <x:v>66</x:v>
      </x:c>
      <x:c r="E16" s="12" t="n">
        <x:f>D16/C16</x:f>
        <x:v>0.07432432432432433</x:v>
      </x:c>
      <x:c r="F16" s="11" t="n">
        <x:v>0</x:v>
      </x:c>
      <x:c r="G16" s="11" t="n">
        <x:v>0</x:v>
      </x:c>
      <x:c r="H16" s="11" t="n">
        <x:v>5</x:v>
      </x:c>
      <x:c r="I16" s="11" t="n">
        <x:v>49</x:v>
      </x:c>
      <x:c r="J16" s="11" t="n">
        <x:v>11</x:v>
      </x:c>
      <x:c r="K16" s="11" t="n">
        <x:v>1</x:v>
      </x:c>
      <x:c r="L16" s="11" t="n">
        <x:v>0</x:v>
      </x:c>
      <x:c r="M16" s="11" t="n">
        <x:v>0</x:v>
      </x:c>
      <x:c r="N16" s="11" t="n">
        <x:v>0</x:v>
      </x:c>
      <x:c r="O16" s="11" t="n">
        <x:v>0</x:v>
      </x:c>
    </x:row>
    <x:row r="17" ht="24" customHeight="1">
      <x:c r="A17" s="10" t="str">
        <x:v>b</x:v>
      </x:c>
      <x:c r="B17" s="10" t="str">
        <x:v>细长扁平</x:v>
      </x:c>
      <x:c r="C17" s="11" t="n">
        <x:f>SUMIF($A$6:$A$50,A17,$D$6:$D$50)</x:f>
        <x:v>888</x:v>
      </x:c>
      <x:c r="D17" s="11" t="n">
        <x:v>2</x:v>
      </x:c>
      <x:c r="E17" s="12" t="n">
        <x:f>D17/C17</x:f>
        <x:v>0.0022522522522522522</x:v>
      </x:c>
      <x:c r="F17" s="11" t="n">
        <x:v>0</x:v>
      </x:c>
      <x:c r="G17" s="11" t="n">
        <x:v>0</x:v>
      </x:c>
      <x:c r="H17" s="11" t="n">
        <x:v>0</x:v>
      </x:c>
      <x:c r="I17" s="11" t="n">
        <x:v>0</x:v>
      </x:c>
      <x:c r="J17" s="11" t="n">
        <x:v>2</x:v>
      </x:c>
      <x:c r="K17" s="11" t="n">
        <x:v>0</x:v>
      </x:c>
      <x:c r="L17" s="11" t="n">
        <x:v>0</x:v>
      </x:c>
      <x:c r="M17" s="11" t="n">
        <x:v>0</x:v>
      </x:c>
      <x:c r="N17" s="11" t="n">
        <x:v>0</x:v>
      </x:c>
      <x:c r="O17" s="11" t="n">
        <x:v>0</x:v>
      </x:c>
    </x:row>
    <x:row r="18" ht="24" customHeight="1">
      <x:c r="A18" s="10" t="str">
        <x:v>b</x:v>
      </x:c>
      <x:c r="B18" s="10" t="str">
        <x:v>分散多分量</x:v>
      </x:c>
      <x:c r="C18" s="11" t="n">
        <x:f>SUMIF($A$6:$A$50,A18,$D$6:$D$50)</x:f>
        <x:v>888</x:v>
      </x:c>
      <x:c r="D18" s="11" t="n">
        <x:v>12</x:v>
      </x:c>
      <x:c r="E18" s="12" t="n">
        <x:f>D18/C18</x:f>
        <x:v>0.013513513513513514</x:v>
      </x:c>
      <x:c r="F18" s="11" t="n">
        <x:v>0</x:v>
      </x:c>
      <x:c r="G18" s="11" t="n">
        <x:v>0</x:v>
      </x:c>
      <x:c r="H18" s="11" t="n">
        <x:v>0</x:v>
      </x:c>
      <x:c r="I18" s="11" t="n">
        <x:v>9</x:v>
      </x:c>
      <x:c r="J18" s="11" t="n">
        <x:v>3</x:v>
      </x:c>
      <x:c r="K18" s="11" t="n">
        <x:v>0</x:v>
      </x:c>
      <x:c r="L18" s="11" t="n">
        <x:v>0</x:v>
      </x:c>
      <x:c r="M18" s="11" t="n">
        <x:v>0</x:v>
      </x:c>
      <x:c r="N18" s="11" t="n">
        <x:v>0</x:v>
      </x:c>
      <x:c r="O18" s="11" t="n">
        <x:v>0</x:v>
      </x:c>
    </x:row>
    <x:row r="19" ht="24" customHeight="1">
      <x:c r="A19" s="10" t="str">
        <x:v>c</x:v>
      </x:c>
      <x:c r="B19" s="10" t="str">
        <x:v>紧凑简单体</x:v>
      </x:c>
      <x:c r="C19" s="11" t="n">
        <x:f>SUMIF($A$6:$A$50,A19,$D$6:$D$50)</x:f>
        <x:v>927</x:v>
      </x:c>
      <x:c r="D19" s="11" t="n">
        <x:v>374</x:v>
      </x:c>
      <x:c r="E19" s="12" t="n">
        <x:f>D19/C19</x:f>
        <x:v>0.4034519956850054</x:v>
      </x:c>
      <x:c r="F19" s="11" t="n">
        <x:v>0</x:v>
      </x:c>
      <x:c r="G19" s="11" t="n">
        <x:v>75</x:v>
      </x:c>
      <x:c r="H19" s="11" t="n">
        <x:v>263</x:v>
      </x:c>
      <x:c r="I19" s="11" t="n">
        <x:v>35</x:v>
      </x:c>
      <x:c r="J19" s="11" t="n">
        <x:v>1</x:v>
      </x:c>
      <x:c r="K19" s="11" t="n">
        <x:v>0</x:v>
      </x:c>
      <x:c r="L19" s="11" t="n">
        <x:v>0</x:v>
      </x:c>
      <x:c r="M19" s="11" t="n">
        <x:v>0</x:v>
      </x:c>
      <x:c r="N19" s="11" t="n">
        <x:v>0</x:v>
      </x:c>
      <x:c r="O19" s="11" t="n">
        <x:v>0</x:v>
      </x:c>
    </x:row>
    <x:row r="20" ht="24" customHeight="1">
      <x:c r="A20" s="10" t="str">
        <x:v>c</x:v>
      </x:c>
      <x:c r="B20" s="10" t="str">
        <x:v>紧凑曲面体</x:v>
      </x:c>
      <x:c r="C20" s="11" t="n">
        <x:f>SUMIF($A$6:$A$50,A20,$D$6:$D$50)</x:f>
        <x:v>927</x:v>
      </x:c>
      <x:c r="D20" s="11" t="n">
        <x:v>300</x:v>
      </x:c>
      <x:c r="E20" s="12" t="n">
        <x:f>D20/C20</x:f>
        <x:v>0.32362459546925565</x:v>
      </x:c>
      <x:c r="F20" s="11" t="n">
        <x:v>0</x:v>
      </x:c>
      <x:c r="G20" s="11" t="n">
        <x:v>12</x:v>
      </x:c>
      <x:c r="H20" s="11" t="n">
        <x:v>217</x:v>
      </x:c>
      <x:c r="I20" s="11" t="n">
        <x:v>70</x:v>
      </x:c>
      <x:c r="J20" s="11" t="n">
        <x:v>1</x:v>
      </x:c>
      <x:c r="K20" s="11" t="n">
        <x:v>0</x:v>
      </x:c>
      <x:c r="L20" s="11" t="n">
        <x:v>0</x:v>
      </x:c>
      <x:c r="M20" s="11" t="n">
        <x:v>0</x:v>
      </x:c>
      <x:c r="N20" s="11" t="n">
        <x:v>0</x:v>
      </x:c>
      <x:c r="O20" s="11" t="n">
        <x:v>0</x:v>
      </x:c>
    </x:row>
    <x:row r="21" ht="24" customHeight="1">
      <x:c r="A21" s="10" t="str">
        <x:v>c</x:v>
      </x:c>
      <x:c r="B21" s="10" t="str">
        <x:v>紧凑细节体</x:v>
      </x:c>
      <x:c r="C21" s="11" t="n">
        <x:f>SUMIF($A$6:$A$50,A21,$D$6:$D$50)</x:f>
        <x:v>927</x:v>
      </x:c>
      <x:c r="D21" s="11" t="n">
        <x:v>74</x:v>
      </x:c>
      <x:c r="E21" s="12" t="n">
        <x:f>D21/C21</x:f>
        <x:v>0.07982740021574973</x:v>
      </x:c>
      <x:c r="F21" s="11" t="n">
        <x:v>0</x:v>
      </x:c>
      <x:c r="G21" s="11" t="n">
        <x:v>0</x:v>
      </x:c>
      <x:c r="H21" s="11" t="n">
        <x:v>32</x:v>
      </x:c>
      <x:c r="I21" s="11" t="n">
        <x:v>41</x:v>
      </x:c>
      <x:c r="J21" s="11" t="n">
        <x:v>1</x:v>
      </x:c>
      <x:c r="K21" s="11" t="n">
        <x:v>0</x:v>
      </x:c>
      <x:c r="L21" s="11" t="n">
        <x:v>0</x:v>
      </x:c>
      <x:c r="M21" s="11" t="n">
        <x:v>0</x:v>
      </x:c>
      <x:c r="N21" s="11" t="n">
        <x:v>0</x:v>
      </x:c>
      <x:c r="O21" s="11" t="n">
        <x:v>0</x:v>
      </x:c>
    </x:row>
    <x:row r="22" ht="24" customHeight="1">
      <x:c r="A22" s="10" t="str">
        <x:v>c</x:v>
      </x:c>
      <x:c r="B22" s="10" t="str">
        <x:v>板状</x:v>
      </x:c>
      <x:c r="C22" s="11" t="n">
        <x:f>SUMIF($A$6:$A$50,A22,$D$6:$D$50)</x:f>
        <x:v>927</x:v>
      </x:c>
      <x:c r="D22" s="11" t="n">
        <x:v>83</x:v>
      </x:c>
      <x:c r="E22" s="12" t="n">
        <x:f>D22/C22</x:f>
        <x:v>0.0895361380798274</x:v>
      </x:c>
      <x:c r="F22" s="11" t="n">
        <x:v>0</x:v>
      </x:c>
      <x:c r="G22" s="11" t="n">
        <x:v>1</x:v>
      </x:c>
      <x:c r="H22" s="11" t="n">
        <x:v>6</x:v>
      </x:c>
      <x:c r="I22" s="11" t="n">
        <x:v>54</x:v>
      </x:c>
      <x:c r="J22" s="11" t="n">
        <x:v>22</x:v>
      </x:c>
      <x:c r="K22" s="11" t="n">
        <x:v>0</x:v>
      </x:c>
      <x:c r="L22" s="11" t="n">
        <x:v>0</x:v>
      </x:c>
      <x:c r="M22" s="11" t="n">
        <x:v>0</x:v>
      </x:c>
      <x:c r="N22" s="11" t="n">
        <x:v>0</x:v>
      </x:c>
      <x:c r="O22" s="11" t="n">
        <x:v>0</x:v>
      </x:c>
    </x:row>
    <x:row r="23" ht="24" customHeight="1">
      <x:c r="A23" s="10" t="str">
        <x:v>c</x:v>
      </x:c>
      <x:c r="B23" s="10" t="str">
        <x:v>杆状</x:v>
      </x:c>
      <x:c r="C23" s="11" t="n">
        <x:f>SUMIF($A$6:$A$50,A23,$D$6:$D$50)</x:f>
        <x:v>927</x:v>
      </x:c>
      <x:c r="D23" s="11" t="n">
        <x:v>67</x:v>
      </x:c>
      <x:c r="E23" s="12" t="n">
        <x:f>D23/C23</x:f>
        <x:v>0.07227615965480043</x:v>
      </x:c>
      <x:c r="F23" s="11" t="n">
        <x:v>0</x:v>
      </x:c>
      <x:c r="G23" s="11" t="n">
        <x:v>0</x:v>
      </x:c>
      <x:c r="H23" s="11" t="n">
        <x:v>19</x:v>
      </x:c>
      <x:c r="I23" s="11" t="n">
        <x:v>39</x:v>
      </x:c>
      <x:c r="J23" s="11" t="n">
        <x:v>9</x:v>
      </x:c>
      <x:c r="K23" s="11" t="n">
        <x:v>0</x:v>
      </x:c>
      <x:c r="L23" s="11" t="n">
        <x:v>0</x:v>
      </x:c>
      <x:c r="M23" s="11" t="n">
        <x:v>0</x:v>
      </x:c>
      <x:c r="N23" s="11" t="n">
        <x:v>0</x:v>
      </x:c>
      <x:c r="O23" s="11" t="n">
        <x:v>0</x:v>
      </x:c>
    </x:row>
    <x:row r="24" ht="24" customHeight="1">
      <x:c r="A24" s="10" t="str">
        <x:v>c</x:v>
      </x:c>
      <x:c r="B24" s="10" t="str">
        <x:v>细长扁平</x:v>
      </x:c>
      <x:c r="C24" s="11" t="n">
        <x:f>SUMIF($A$6:$A$50,A24,$D$6:$D$50)</x:f>
        <x:v>927</x:v>
      </x:c>
      <x:c r="D24" s="11" t="n">
        <x:v>3</x:v>
      </x:c>
      <x:c r="E24" s="12" t="n">
        <x:f>D24/C24</x:f>
        <x:v>0.003236245954692557</x:v>
      </x:c>
      <x:c r="F24" s="11" t="n">
        <x:v>0</x:v>
      </x:c>
      <x:c r="G24" s="11" t="n">
        <x:v>0</x:v>
      </x:c>
      <x:c r="H24" s="11" t="n">
        <x:v>0</x:v>
      </x:c>
      <x:c r="I24" s="11" t="n">
        <x:v>1</x:v>
      </x:c>
      <x:c r="J24" s="11" t="n">
        <x:v>2</x:v>
      </x:c>
      <x:c r="K24" s="11" t="n">
        <x:v>0</x:v>
      </x:c>
      <x:c r="L24" s="11" t="n">
        <x:v>0</x:v>
      </x:c>
      <x:c r="M24" s="11" t="n">
        <x:v>0</x:v>
      </x:c>
      <x:c r="N24" s="11" t="n">
        <x:v>0</x:v>
      </x:c>
      <x:c r="O24" s="11" t="n">
        <x:v>0</x:v>
      </x:c>
    </x:row>
    <x:row r="25" ht="24" customHeight="1">
      <x:c r="A25" s="10" t="str">
        <x:v>c</x:v>
      </x:c>
      <x:c r="B25" s="10" t="str">
        <x:v>分散多分量</x:v>
      </x:c>
      <x:c r="C25" s="11" t="n">
        <x:f>SUMIF($A$6:$A$50,A25,$D$6:$D$50)</x:f>
        <x:v>927</x:v>
      </x:c>
      <x:c r="D25" s="11" t="n">
        <x:v>26</x:v>
      </x:c>
      <x:c r="E25" s="12" t="n">
        <x:f>D25/C25</x:f>
        <x:v>0.028047464940668825</x:v>
      </x:c>
      <x:c r="F25" s="11" t="n">
        <x:v>0</x:v>
      </x:c>
      <x:c r="G25" s="11" t="n">
        <x:v>0</x:v>
      </x:c>
      <x:c r="H25" s="11" t="n">
        <x:v>1</x:v>
      </x:c>
      <x:c r="I25" s="11" t="n">
        <x:v>12</x:v>
      </x:c>
      <x:c r="J25" s="11" t="n">
        <x:v>13</x:v>
      </x:c>
      <x:c r="K25" s="11" t="n">
        <x:v>0</x:v>
      </x:c>
      <x:c r="L25" s="11" t="n">
        <x:v>0</x:v>
      </x:c>
      <x:c r="M25" s="11" t="n">
        <x:v>0</x:v>
      </x:c>
      <x:c r="N25" s="11" t="n">
        <x:v>0</x:v>
      </x:c>
      <x:c r="O25" s="11" t="n">
        <x:v>0</x:v>
      </x:c>
    </x:row>
    <x:row r="26" ht="24" customHeight="1">
      <x:c r="A26" s="10" t="str">
        <x:v>d</x:v>
      </x:c>
      <x:c r="B26" s="10" t="str">
        <x:v>紧凑简单体</x:v>
      </x:c>
      <x:c r="C26" s="11" t="n">
        <x:f>SUMIF($A$6:$A$50,A26,$D$6:$D$50)</x:f>
        <x:v>595</x:v>
      </x:c>
      <x:c r="D26" s="11" t="n">
        <x:v>243</x:v>
      </x:c>
      <x:c r="E26" s="12" t="n">
        <x:f>D26/C26</x:f>
        <x:v>0.4084033613445378</x:v>
      </x:c>
      <x:c r="F26" s="11" t="n">
        <x:v>0</x:v>
      </x:c>
      <x:c r="G26" s="11" t="n">
        <x:v>3</x:v>
      </x:c>
      <x:c r="H26" s="11" t="n">
        <x:v>204</x:v>
      </x:c>
      <x:c r="I26" s="11" t="n">
        <x:v>36</x:v>
      </x:c>
      <x:c r="J26" s="11" t="n">
        <x:v>0</x:v>
      </x:c>
      <x:c r="K26" s="11" t="n">
        <x:v>0</x:v>
      </x:c>
      <x:c r="L26" s="11" t="n">
        <x:v>0</x:v>
      </x:c>
      <x:c r="M26" s="11" t="n">
        <x:v>0</x:v>
      </x:c>
      <x:c r="N26" s="11" t="n">
        <x:v>0</x:v>
      </x:c>
      <x:c r="O26" s="11" t="n">
        <x:v>0</x:v>
      </x:c>
    </x:row>
    <x:row r="27" ht="24" customHeight="1">
      <x:c r="A27" s="10" t="str">
        <x:v>d</x:v>
      </x:c>
      <x:c r="B27" s="10" t="str">
        <x:v>紧凑曲面体</x:v>
      </x:c>
      <x:c r="C27" s="11" t="n">
        <x:f>SUMIF($A$6:$A$50,A27,$D$6:$D$50)</x:f>
        <x:v>595</x:v>
      </x:c>
      <x:c r="D27" s="11" t="n">
        <x:v>115</x:v>
      </x:c>
      <x:c r="E27" s="12" t="n">
        <x:f>D27/C27</x:f>
        <x:v>0.19327731092436976</x:v>
      </x:c>
      <x:c r="F27" s="11" t="n">
        <x:v>0</x:v>
      </x:c>
      <x:c r="G27" s="11" t="n">
        <x:v>3</x:v>
      </x:c>
      <x:c r="H27" s="11" t="n">
        <x:v>56</x:v>
      </x:c>
      <x:c r="I27" s="11" t="n">
        <x:v>54</x:v>
      </x:c>
      <x:c r="J27" s="11" t="n">
        <x:v>2</x:v>
      </x:c>
      <x:c r="K27" s="11" t="n">
        <x:v>0</x:v>
      </x:c>
      <x:c r="L27" s="11" t="n">
        <x:v>0</x:v>
      </x:c>
      <x:c r="M27" s="11" t="n">
        <x:v>0</x:v>
      </x:c>
      <x:c r="N27" s="11" t="n">
        <x:v>0</x:v>
      </x:c>
      <x:c r="O27" s="11" t="n">
        <x:v>0</x:v>
      </x:c>
    </x:row>
    <x:row r="28" ht="24" customHeight="1">
      <x:c r="A28" s="10" t="str">
        <x:v>d</x:v>
      </x:c>
      <x:c r="B28" s="10" t="str">
        <x:v>紧凑细节体</x:v>
      </x:c>
      <x:c r="C28" s="11" t="n">
        <x:f>SUMIF($A$6:$A$50,A28,$D$6:$D$50)</x:f>
        <x:v>595</x:v>
      </x:c>
      <x:c r="D28" s="11" t="n">
        <x:v>48</x:v>
      </x:c>
      <x:c r="E28" s="12" t="n">
        <x:f>D28/C28</x:f>
        <x:v>0.08067226890756303</x:v>
      </x:c>
      <x:c r="F28" s="11" t="n">
        <x:v>0</x:v>
      </x:c>
      <x:c r="G28" s="11" t="n">
        <x:v>0</x:v>
      </x:c>
      <x:c r="H28" s="11" t="n">
        <x:v>7</x:v>
      </x:c>
      <x:c r="I28" s="11" t="n">
        <x:v>40</x:v>
      </x:c>
      <x:c r="J28" s="11" t="n">
        <x:v>1</x:v>
      </x:c>
      <x:c r="K28" s="11" t="n">
        <x:v>0</x:v>
      </x:c>
      <x:c r="L28" s="11" t="n">
        <x:v>0</x:v>
      </x:c>
      <x:c r="M28" s="11" t="n">
        <x:v>0</x:v>
      </x:c>
      <x:c r="N28" s="11" t="n">
        <x:v>0</x:v>
      </x:c>
      <x:c r="O28" s="11" t="n">
        <x:v>0</x:v>
      </x:c>
    </x:row>
    <x:row r="29" ht="24" customHeight="1">
      <x:c r="A29" s="10" t="str">
        <x:v>d</x:v>
      </x:c>
      <x:c r="B29" s="10" t="str">
        <x:v>板状</x:v>
      </x:c>
      <x:c r="C29" s="11" t="n">
        <x:f>SUMIF($A$6:$A$50,A29,$D$6:$D$50)</x:f>
        <x:v>595</x:v>
      </x:c>
      <x:c r="D29" s="11" t="n">
        <x:v>93</x:v>
      </x:c>
      <x:c r="E29" s="12" t="n">
        <x:f>D29/C29</x:f>
        <x:v>0.15630252100840336</x:v>
      </x:c>
      <x:c r="F29" s="11" t="n">
        <x:v>0</x:v>
      </x:c>
      <x:c r="G29" s="11" t="n">
        <x:v>6</x:v>
      </x:c>
      <x:c r="H29" s="11" t="n">
        <x:v>4</x:v>
      </x:c>
      <x:c r="I29" s="11" t="n">
        <x:v>45</x:v>
      </x:c>
      <x:c r="J29" s="11" t="n">
        <x:v>38</x:v>
      </x:c>
      <x:c r="K29" s="11" t="n">
        <x:v>0</x:v>
      </x:c>
      <x:c r="L29" s="11" t="n">
        <x:v>0</x:v>
      </x:c>
      <x:c r="M29" s="11" t="n">
        <x:v>0</x:v>
      </x:c>
      <x:c r="N29" s="11" t="n">
        <x:v>0</x:v>
      </x:c>
      <x:c r="O29" s="11" t="n">
        <x:v>0</x:v>
      </x:c>
    </x:row>
    <x:row r="30" ht="24" customHeight="1">
      <x:c r="A30" s="10" t="str">
        <x:v>d</x:v>
      </x:c>
      <x:c r="B30" s="10" t="str">
        <x:v>杆状</x:v>
      </x:c>
      <x:c r="C30" s="11" t="n">
        <x:f>SUMIF($A$6:$A$50,A30,$D$6:$D$50)</x:f>
        <x:v>595</x:v>
      </x:c>
      <x:c r="D30" s="11" t="n">
        <x:v>96</x:v>
      </x:c>
      <x:c r="E30" s="12" t="n">
        <x:f>D30/C30</x:f>
        <x:v>0.16134453781512606</x:v>
      </x:c>
      <x:c r="F30" s="11" t="n">
        <x:v>0</x:v>
      </x:c>
      <x:c r="G30" s="11" t="n">
        <x:v>0</x:v>
      </x:c>
      <x:c r="H30" s="11" t="n">
        <x:v>14</x:v>
      </x:c>
      <x:c r="I30" s="11" t="n">
        <x:v>2</x:v>
      </x:c>
      <x:c r="J30" s="11" t="n">
        <x:v>43</x:v>
      </x:c>
      <x:c r="K30" s="11" t="n">
        <x:v>37</x:v>
      </x:c>
      <x:c r="L30" s="11" t="n">
        <x:v>0</x:v>
      </x:c>
      <x:c r="M30" s="11" t="n">
        <x:v>0</x:v>
      </x:c>
      <x:c r="N30" s="11" t="n">
        <x:v>0</x:v>
      </x:c>
      <x:c r="O30" s="11" t="n">
        <x:v>0</x:v>
      </x:c>
    </x:row>
    <x:row r="31" ht="24" customHeight="1">
      <x:c r="A31" s="10" t="str">
        <x:v>e</x:v>
      </x:c>
      <x:c r="B31" s="10" t="str">
        <x:v>紧凑简单体</x:v>
      </x:c>
      <x:c r="C31" s="11" t="n">
        <x:f>SUMIF($A$6:$A$50,A31,$D$6:$D$50)</x:f>
        <x:v>1661</x:v>
      </x:c>
      <x:c r="D31" s="11" t="n">
        <x:v>463</x:v>
      </x:c>
      <x:c r="E31" s="12" t="n">
        <x:f>D31/C31</x:f>
        <x:v>0.27874774232390126</x:v>
      </x:c>
      <x:c r="F31" s="11" t="n">
        <x:v>0</x:v>
      </x:c>
      <x:c r="G31" s="11" t="n">
        <x:v>152</x:v>
      </x:c>
      <x:c r="H31" s="11" t="n">
        <x:v>282</x:v>
      </x:c>
      <x:c r="I31" s="11" t="n">
        <x:v>29</x:v>
      </x:c>
      <x:c r="J31" s="11" t="n">
        <x:v>0</x:v>
      </x:c>
      <x:c r="K31" s="11" t="n">
        <x:v>0</x:v>
      </x:c>
      <x:c r="L31" s="11" t="n">
        <x:v>0</x:v>
      </x:c>
      <x:c r="M31" s="11" t="n">
        <x:v>0</x:v>
      </x:c>
      <x:c r="N31" s="11" t="n">
        <x:v>0</x:v>
      </x:c>
      <x:c r="O31" s="11" t="n">
        <x:v>0</x:v>
      </x:c>
    </x:row>
    <x:row r="32" ht="24" customHeight="1">
      <x:c r="A32" s="10" t="str">
        <x:v>e</x:v>
      </x:c>
      <x:c r="B32" s="10" t="str">
        <x:v>紧凑曲面体</x:v>
      </x:c>
      <x:c r="C32" s="11" t="n">
        <x:f>SUMIF($A$6:$A$50,A32,$D$6:$D$50)</x:f>
        <x:v>1661</x:v>
      </x:c>
      <x:c r="D32" s="11" t="n">
        <x:v>535</x:v>
      </x:c>
      <x:c r="E32" s="12" t="n">
        <x:f>D32/C32</x:f>
        <x:v>0.3220951234196267</x:v>
      </x:c>
      <x:c r="F32" s="11" t="n">
        <x:v>0</x:v>
      </x:c>
      <x:c r="G32" s="11" t="n">
        <x:v>106</x:v>
      </x:c>
      <x:c r="H32" s="11" t="n">
        <x:v>393</x:v>
      </x:c>
      <x:c r="I32" s="11" t="n">
        <x:v>36</x:v>
      </x:c>
      <x:c r="J32" s="11" t="n">
        <x:v>0</x:v>
      </x:c>
      <x:c r="K32" s="11" t="n">
        <x:v>0</x:v>
      </x:c>
      <x:c r="L32" s="11" t="n">
        <x:v>0</x:v>
      </x:c>
      <x:c r="M32" s="11" t="n">
        <x:v>0</x:v>
      </x:c>
      <x:c r="N32" s="11" t="n">
        <x:v>0</x:v>
      </x:c>
      <x:c r="O32" s="11" t="n">
        <x:v>0</x:v>
      </x:c>
    </x:row>
    <x:row r="33" ht="24" customHeight="1">
      <x:c r="A33" s="10" t="str">
        <x:v>e</x:v>
      </x:c>
      <x:c r="B33" s="10" t="str">
        <x:v>紧凑细节体</x:v>
      </x:c>
      <x:c r="C33" s="11" t="n">
        <x:f>SUMIF($A$6:$A$50,A33,$D$6:$D$50)</x:f>
        <x:v>1661</x:v>
      </x:c>
      <x:c r="D33" s="11" t="n">
        <x:v>133</x:v>
      </x:c>
      <x:c r="E33" s="12" t="n">
        <x:f>D33/C33</x:f>
        <x:v>0.08007224563515954</x:v>
      </x:c>
      <x:c r="F33" s="11" t="n">
        <x:v>0</x:v>
      </x:c>
      <x:c r="G33" s="11" t="n">
        <x:v>0</x:v>
      </x:c>
      <x:c r="H33" s="11" t="n">
        <x:v>98</x:v>
      </x:c>
      <x:c r="I33" s="11" t="n">
        <x:v>35</x:v>
      </x:c>
      <x:c r="J33" s="11" t="n">
        <x:v>0</x:v>
      </x:c>
      <x:c r="K33" s="11" t="n">
        <x:v>0</x:v>
      </x:c>
      <x:c r="L33" s="11" t="n">
        <x:v>0</x:v>
      </x:c>
      <x:c r="M33" s="11" t="n">
        <x:v>0</x:v>
      </x:c>
      <x:c r="N33" s="11" t="n">
        <x:v>0</x:v>
      </x:c>
      <x:c r="O33" s="11" t="n">
        <x:v>0</x:v>
      </x:c>
    </x:row>
    <x:row r="34" ht="24" customHeight="1">
      <x:c r="A34" s="10" t="str">
        <x:v>e</x:v>
      </x:c>
      <x:c r="B34" s="10" t="str">
        <x:v>板状</x:v>
      </x:c>
      <x:c r="C34" s="11" t="n">
        <x:f>SUMIF($A$6:$A$50,A34,$D$6:$D$50)</x:f>
        <x:v>1661</x:v>
      </x:c>
      <x:c r="D34" s="11" t="n">
        <x:v>330</x:v>
      </x:c>
      <x:c r="E34" s="12" t="n">
        <x:f>D34/C34</x:f>
        <x:v>0.1986754966887417</x:v>
      </x:c>
      <x:c r="F34" s="11" t="n">
        <x:v>0</x:v>
      </x:c>
      <x:c r="G34" s="11" t="n">
        <x:v>24</x:v>
      </x:c>
      <x:c r="H34" s="11" t="n">
        <x:v>110</x:v>
      </x:c>
      <x:c r="I34" s="11" t="n">
        <x:v>167</x:v>
      </x:c>
      <x:c r="J34" s="11" t="n">
        <x:v>29</x:v>
      </x:c>
      <x:c r="K34" s="11" t="n">
        <x:v>0</x:v>
      </x:c>
      <x:c r="L34" s="11" t="n">
        <x:v>0</x:v>
      </x:c>
      <x:c r="M34" s="11" t="n">
        <x:v>0</x:v>
      </x:c>
      <x:c r="N34" s="11" t="n">
        <x:v>0</x:v>
      </x:c>
      <x:c r="O34" s="11" t="n">
        <x:v>0</x:v>
      </x:c>
    </x:row>
    <x:row r="35" ht="24" customHeight="1">
      <x:c r="A35" s="10" t="str">
        <x:v>e</x:v>
      </x:c>
      <x:c r="B35" s="10" t="str">
        <x:v>杆状</x:v>
      </x:c>
      <x:c r="C35" s="11" t="n">
        <x:f>SUMIF($A$6:$A$50,A35,$D$6:$D$50)</x:f>
        <x:v>1661</x:v>
      </x:c>
      <x:c r="D35" s="11" t="n">
        <x:v>159</x:v>
      </x:c>
      <x:c r="E35" s="12" t="n">
        <x:f>D35/C35</x:f>
        <x:v>0.09572546658639373</x:v>
      </x:c>
      <x:c r="F35" s="11" t="n">
        <x:v>0</x:v>
      </x:c>
      <x:c r="G35" s="11" t="n">
        <x:v>0</x:v>
      </x:c>
      <x:c r="H35" s="11" t="n">
        <x:v>49</x:v>
      </x:c>
      <x:c r="I35" s="11" t="n">
        <x:v>88</x:v>
      </x:c>
      <x:c r="J35" s="11" t="n">
        <x:v>22</x:v>
      </x:c>
      <x:c r="K35" s="11" t="n">
        <x:v>0</x:v>
      </x:c>
      <x:c r="L35" s="11" t="n">
        <x:v>0</x:v>
      </x:c>
      <x:c r="M35" s="11" t="n">
        <x:v>0</x:v>
      </x:c>
      <x:c r="N35" s="11" t="n">
        <x:v>0</x:v>
      </x:c>
      <x:c r="O35" s="11" t="n">
        <x:v>0</x:v>
      </x:c>
    </x:row>
    <x:row r="36" ht="24" customHeight="1">
      <x:c r="A36" s="10" t="str">
        <x:v>e</x:v>
      </x:c>
      <x:c r="B36" s="10" t="str">
        <x:v>细长扁平</x:v>
      </x:c>
      <x:c r="C36" s="11" t="n">
        <x:f>SUMIF($A$6:$A$50,A36,$D$6:$D$50)</x:f>
        <x:v>1661</x:v>
      </x:c>
      <x:c r="D36" s="11" t="n">
        <x:v>1</x:v>
      </x:c>
      <x:c r="E36" s="12" t="n">
        <x:f>D36/C36</x:f>
        <x:v>0.0006020469596628537</x:v>
      </x:c>
      <x:c r="F36" s="11" t="n">
        <x:v>0</x:v>
      </x:c>
      <x:c r="G36" s="11" t="n">
        <x:v>0</x:v>
      </x:c>
      <x:c r="H36" s="11" t="n">
        <x:v>0</x:v>
      </x:c>
      <x:c r="I36" s="11" t="n">
        <x:v>0</x:v>
      </x:c>
      <x:c r="J36" s="11" t="n">
        <x:v>1</x:v>
      </x:c>
      <x:c r="K36" s="11" t="n">
        <x:v>0</x:v>
      </x:c>
      <x:c r="L36" s="11" t="n">
        <x:v>0</x:v>
      </x:c>
      <x:c r="M36" s="11" t="n">
        <x:v>0</x:v>
      </x:c>
      <x:c r="N36" s="11" t="n">
        <x:v>0</x:v>
      </x:c>
      <x:c r="O36" s="11" t="n">
        <x:v>0</x:v>
      </x:c>
    </x:row>
    <x:row r="37" ht="24" customHeight="1">
      <x:c r="A37" s="10" t="str">
        <x:v>e</x:v>
      </x:c>
      <x:c r="B37" s="10" t="str">
        <x:v>分散多分量</x:v>
      </x:c>
      <x:c r="C37" s="11" t="n">
        <x:f>SUMIF($A$6:$A$50,A37,$D$6:$D$50)</x:f>
        <x:v>1661</x:v>
      </x:c>
      <x:c r="D37" s="11" t="n">
        <x:v>40</x:v>
      </x:c>
      <x:c r="E37" s="12" t="n">
        <x:f>D37/C37</x:f>
        <x:v>0.024081878386514148</x:v>
      </x:c>
      <x:c r="F37" s="11" t="n">
        <x:v>0</x:v>
      </x:c>
      <x:c r="G37" s="11" t="n">
        <x:v>0</x:v>
      </x:c>
      <x:c r="H37" s="11" t="n">
        <x:v>7</x:v>
      </x:c>
      <x:c r="I37" s="11" t="n">
        <x:v>27</x:v>
      </x:c>
      <x:c r="J37" s="11" t="n">
        <x:v>2</x:v>
      </x:c>
      <x:c r="K37" s="11" t="n">
        <x:v>3</x:v>
      </x:c>
      <x:c r="L37" s="11" t="n">
        <x:v>1</x:v>
      </x:c>
      <x:c r="M37" s="11" t="n">
        <x:v>0</x:v>
      </x:c>
      <x:c r="N37" s="11" t="n">
        <x:v>0</x:v>
      </x:c>
      <x:c r="O37" s="11" t="n">
        <x:v>0</x:v>
      </x:c>
    </x:row>
    <x:row r="38" ht="24" customHeight="1">
      <x:c r="A38" s="10" t="str">
        <x:v>f</x:v>
      </x:c>
      <x:c r="B38" s="10" t="str">
        <x:v>紧凑简单体</x:v>
      </x:c>
      <x:c r="C38" s="11" t="n">
        <x:f>SUMIF($A$6:$A$50,A38,$D$6:$D$50)</x:f>
        <x:v>640</x:v>
      </x:c>
      <x:c r="D38" s="11" t="n">
        <x:v>454</x:v>
      </x:c>
      <x:c r="E38" s="12" t="n">
        <x:f>D38/C38</x:f>
        <x:v>0.709375</x:v>
      </x:c>
      <x:c r="F38" s="11" t="n">
        <x:v>0</x:v>
      </x:c>
      <x:c r="G38" s="11" t="n">
        <x:v>16</x:v>
      </x:c>
      <x:c r="H38" s="11" t="n">
        <x:v>335</x:v>
      </x:c>
      <x:c r="I38" s="11" t="n">
        <x:v>103</x:v>
      </x:c>
      <x:c r="J38" s="11" t="n">
        <x:v>0</x:v>
      </x:c>
      <x:c r="K38" s="11" t="n">
        <x:v>0</x:v>
      </x:c>
      <x:c r="L38" s="11" t="n">
        <x:v>0</x:v>
      </x:c>
      <x:c r="M38" s="11" t="n">
        <x:v>0</x:v>
      </x:c>
      <x:c r="N38" s="11" t="n">
        <x:v>0</x:v>
      </x:c>
      <x:c r="O38" s="11" t="n">
        <x:v>0</x:v>
      </x:c>
    </x:row>
    <x:row r="39" ht="24" customHeight="1">
      <x:c r="A39" s="10" t="str">
        <x:v>f</x:v>
      </x:c>
      <x:c r="B39" s="10" t="str">
        <x:v>紧凑曲面体</x:v>
      </x:c>
      <x:c r="C39" s="11" t="n">
        <x:f>SUMIF($A$6:$A$50,A39,$D$6:$D$50)</x:f>
        <x:v>640</x:v>
      </x:c>
      <x:c r="D39" s="11" t="n">
        <x:v>36</x:v>
      </x:c>
      <x:c r="E39" s="12" t="n">
        <x:f>D39/C39</x:f>
        <x:v>0.05625</x:v>
      </x:c>
      <x:c r="F39" s="11" t="n">
        <x:v>0</x:v>
      </x:c>
      <x:c r="G39" s="11" t="n">
        <x:v>0</x:v>
      </x:c>
      <x:c r="H39" s="11" t="n">
        <x:v>27</x:v>
      </x:c>
      <x:c r="I39" s="11" t="n">
        <x:v>9</x:v>
      </x:c>
      <x:c r="J39" s="11" t="n">
        <x:v>0</x:v>
      </x:c>
      <x:c r="K39" s="11" t="n">
        <x:v>0</x:v>
      </x:c>
      <x:c r="L39" s="11" t="n">
        <x:v>0</x:v>
      </x:c>
      <x:c r="M39" s="11" t="n">
        <x:v>0</x:v>
      </x:c>
      <x:c r="N39" s="11" t="n">
        <x:v>0</x:v>
      </x:c>
      <x:c r="O39" s="11" t="n">
        <x:v>0</x:v>
      </x:c>
    </x:row>
    <x:row r="40" ht="24" customHeight="1">
      <x:c r="A40" s="10" t="str">
        <x:v>f</x:v>
      </x:c>
      <x:c r="B40" s="10" t="str">
        <x:v>紧凑细节体</x:v>
      </x:c>
      <x:c r="C40" s="11" t="n">
        <x:f>SUMIF($A$6:$A$50,A40,$D$6:$D$50)</x:f>
        <x:v>640</x:v>
      </x:c>
      <x:c r="D40" s="11" t="n">
        <x:v>29</x:v>
      </x:c>
      <x:c r="E40" s="12" t="n">
        <x:f>D40/C40</x:f>
        <x:v>0.0453125</x:v>
      </x:c>
      <x:c r="F40" s="11" t="n">
        <x:v>0</x:v>
      </x:c>
      <x:c r="G40" s="11" t="n">
        <x:v>0</x:v>
      </x:c>
      <x:c r="H40" s="11" t="n">
        <x:v>5</x:v>
      </x:c>
      <x:c r="I40" s="11" t="n">
        <x:v>23</x:v>
      </x:c>
      <x:c r="J40" s="11" t="n">
        <x:v>1</x:v>
      </x:c>
      <x:c r="K40" s="11" t="n">
        <x:v>0</x:v>
      </x:c>
      <x:c r="L40" s="11" t="n">
        <x:v>0</x:v>
      </x:c>
      <x:c r="M40" s="11" t="n">
        <x:v>0</x:v>
      </x:c>
      <x:c r="N40" s="11" t="n">
        <x:v>0</x:v>
      </x:c>
      <x:c r="O40" s="11" t="n">
        <x:v>0</x:v>
      </x:c>
    </x:row>
    <x:row r="41" ht="24" customHeight="1">
      <x:c r="A41" s="10" t="str">
        <x:v>f</x:v>
      </x:c>
      <x:c r="B41" s="10" t="str">
        <x:v>板状</x:v>
      </x:c>
      <x:c r="C41" s="11" t="n">
        <x:f>SUMIF($A$6:$A$50,A41,$D$6:$D$50)</x:f>
        <x:v>640</x:v>
      </x:c>
      <x:c r="D41" s="11" t="n">
        <x:v>45</x:v>
      </x:c>
      <x:c r="E41" s="12" t="n">
        <x:f>D41/C41</x:f>
        <x:v>0.0703125</x:v>
      </x:c>
      <x:c r="F41" s="11" t="n">
        <x:v>0</x:v>
      </x:c>
      <x:c r="G41" s="11" t="n">
        <x:v>0</x:v>
      </x:c>
      <x:c r="H41" s="11" t="n">
        <x:v>1</x:v>
      </x:c>
      <x:c r="I41" s="11" t="n">
        <x:v>22</x:v>
      </x:c>
      <x:c r="J41" s="11" t="n">
        <x:v>22</x:v>
      </x:c>
      <x:c r="K41" s="11" t="n">
        <x:v>0</x:v>
      </x:c>
      <x:c r="L41" s="11" t="n">
        <x:v>0</x:v>
      </x:c>
      <x:c r="M41" s="11" t="n">
        <x:v>0</x:v>
      </x:c>
      <x:c r="N41" s="11" t="n">
        <x:v>0</x:v>
      </x:c>
      <x:c r="O41" s="11" t="n">
        <x:v>0</x:v>
      </x:c>
    </x:row>
    <x:row r="42" ht="24" customHeight="1">
      <x:c r="A42" s="10" t="str">
        <x:v>f</x:v>
      </x:c>
      <x:c r="B42" s="10" t="str">
        <x:v>杆状</x:v>
      </x:c>
      <x:c r="C42" s="11" t="n">
        <x:f>SUMIF($A$6:$A$50,A42,$D$6:$D$50)</x:f>
        <x:v>640</x:v>
      </x:c>
      <x:c r="D42" s="11" t="n">
        <x:v>75</x:v>
      </x:c>
      <x:c r="E42" s="12" t="n">
        <x:f>D42/C42</x:f>
        <x:v>0.1171875</x:v>
      </x:c>
      <x:c r="F42" s="11" t="n">
        <x:v>0</x:v>
      </x:c>
      <x:c r="G42" s="11" t="n">
        <x:v>0</x:v>
      </x:c>
      <x:c r="H42" s="11" t="n">
        <x:v>3</x:v>
      </x:c>
      <x:c r="I42" s="11" t="n">
        <x:v>44</x:v>
      </x:c>
      <x:c r="J42" s="11" t="n">
        <x:v>17</x:v>
      </x:c>
      <x:c r="K42" s="11" t="n">
        <x:v>11</x:v>
      </x:c>
      <x:c r="L42" s="11" t="n">
        <x:v>0</x:v>
      </x:c>
      <x:c r="M42" s="11" t="n">
        <x:v>0</x:v>
      </x:c>
      <x:c r="N42" s="11" t="n">
        <x:v>0</x:v>
      </x:c>
      <x:c r="O42" s="11" t="n">
        <x:v>0</x:v>
      </x:c>
    </x:row>
    <x:row r="43" ht="24" customHeight="1">
      <x:c r="A43" s="10" t="str">
        <x:v>f</x:v>
      </x:c>
      <x:c r="B43" s="10" t="str">
        <x:v>分散多分量</x:v>
      </x:c>
      <x:c r="C43" s="11" t="n">
        <x:f>SUMIF($A$6:$A$50,A43,$D$6:$D$50)</x:f>
        <x:v>640</x:v>
      </x:c>
      <x:c r="D43" s="11" t="n">
        <x:v>1</x:v>
      </x:c>
      <x:c r="E43" s="12" t="n">
        <x:f>D43/C43</x:f>
        <x:v>0.0015625</x:v>
      </x:c>
      <x:c r="F43" s="11" t="n">
        <x:v>0</x:v>
      </x:c>
      <x:c r="G43" s="11" t="n">
        <x:v>0</x:v>
      </x:c>
      <x:c r="H43" s="11" t="n">
        <x:v>0</x:v>
      </x:c>
      <x:c r="I43" s="11" t="n">
        <x:v>0</x:v>
      </x:c>
      <x:c r="J43" s="11" t="n">
        <x:v>1</x:v>
      </x:c>
      <x:c r="K43" s="11" t="n">
        <x:v>0</x:v>
      </x:c>
      <x:c r="L43" s="11" t="n">
        <x:v>0</x:v>
      </x:c>
      <x:c r="M43" s="11" t="n">
        <x:v>0</x:v>
      </x:c>
      <x:c r="N43" s="11" t="n">
        <x:v>0</x:v>
      </x:c>
      <x:c r="O43" s="11" t="n">
        <x:v>0</x:v>
      </x:c>
    </x:row>
    <x:row r="44" ht="24" customHeight="1">
      <x:c r="A44" s="10" t="str">
        <x:v>ALL</x:v>
      </x:c>
      <x:c r="B44" s="10" t="str">
        <x:v>紧凑简单体</x:v>
      </x:c>
      <x:c r="C44" s="11" t="n">
        <x:f>SUMIF($A$6:$A$50,A44,$D$6:$D$50)</x:f>
        <x:v>5765</x:v>
      </x:c>
      <x:c r="D44" s="11" t="n">
        <x:v>2358</x:v>
      </x:c>
      <x:c r="E44" s="12" t="n">
        <x:f>D44/C44</x:f>
        <x:v>0.40901994796183866</x:v>
      </x:c>
      <x:c r="F44" s="11" t="n">
        <x:v>0</x:v>
      </x:c>
      <x:c r="G44" s="11" t="n">
        <x:v>310</x:v>
      </x:c>
      <x:c r="H44" s="11" t="n">
        <x:v>1704</x:v>
      </x:c>
      <x:c r="I44" s="11" t="n">
        <x:v>342</x:v>
      </x:c>
      <x:c r="J44" s="11" t="n">
        <x:v>2</x:v>
      </x:c>
      <x:c r="K44" s="11" t="n">
        <x:v>0</x:v>
      </x:c>
      <x:c r="L44" s="11" t="n">
        <x:v>0</x:v>
      </x:c>
      <x:c r="M44" s="11" t="n">
        <x:v>0</x:v>
      </x:c>
      <x:c r="N44" s="11" t="n">
        <x:v>0</x:v>
      </x:c>
      <x:c r="O44" s="11" t="n">
        <x:v>0</x:v>
      </x:c>
    </x:row>
    <x:row r="45" ht="24" customHeight="1">
      <x:c r="A45" s="10" t="str">
        <x:v>ALL</x:v>
      </x:c>
      <x:c r="B45" s="10" t="str">
        <x:v>紧凑曲面体</x:v>
      </x:c>
      <x:c r="C45" s="11" t="n">
        <x:f>SUMIF($A$6:$A$50,A45,$D$6:$D$50)</x:f>
        <x:v>5765</x:v>
      </x:c>
      <x:c r="D45" s="11" t="n">
        <x:v>1612</x:v>
      </x:c>
      <x:c r="E45" s="12" t="n">
        <x:f>D45/C45</x:f>
        <x:v>0.27961838681699913</x:v>
      </x:c>
      <x:c r="F45" s="11" t="n">
        <x:v>0</x:v>
      </x:c>
      <x:c r="G45" s="11" t="n">
        <x:v>176</x:v>
      </x:c>
      <x:c r="H45" s="11" t="n">
        <x:v>1009</x:v>
      </x:c>
      <x:c r="I45" s="11" t="n">
        <x:v>420</x:v>
      </x:c>
      <x:c r="J45" s="11" t="n">
        <x:v>7</x:v>
      </x:c>
      <x:c r="K45" s="11" t="n">
        <x:v>0</x:v>
      </x:c>
      <x:c r="L45" s="11" t="n">
        <x:v>0</x:v>
      </x:c>
      <x:c r="M45" s="11" t="n">
        <x:v>0</x:v>
      </x:c>
      <x:c r="N45" s="11" t="n">
        <x:v>0</x:v>
      </x:c>
      <x:c r="O45" s="11" t="n">
        <x:v>0</x:v>
      </x:c>
    </x:row>
    <x:row r="46" ht="24" customHeight="1">
      <x:c r="A46" s="10" t="str">
        <x:v>ALL</x:v>
      </x:c>
      <x:c r="B46" s="10" t="str">
        <x:v>紧凑细节体</x:v>
      </x:c>
      <x:c r="C46" s="11" t="n">
        <x:f>SUMIF($A$6:$A$50,A46,$D$6:$D$50)</x:f>
        <x:v>5765</x:v>
      </x:c>
      <x:c r="D46" s="11" t="n">
        <x:v>344</x:v>
      </x:c>
      <x:c r="E46" s="12" t="n">
        <x:f>D46/C46</x:f>
        <x:v>0.059670424978317434</x:v>
      </x:c>
      <x:c r="F46" s="11" t="n">
        <x:v>0</x:v>
      </x:c>
      <x:c r="G46" s="11" t="n">
        <x:v>0</x:v>
      </x:c>
      <x:c r="H46" s="11" t="n">
        <x:v>177</x:v>
      </x:c>
      <x:c r="I46" s="11" t="n">
        <x:v>164</x:v>
      </x:c>
      <x:c r="J46" s="11" t="n">
        <x:v>3</x:v>
      </x:c>
      <x:c r="K46" s="11" t="n">
        <x:v>0</x:v>
      </x:c>
      <x:c r="L46" s="11" t="n">
        <x:v>0</x:v>
      </x:c>
      <x:c r="M46" s="11" t="n">
        <x:v>0</x:v>
      </x:c>
      <x:c r="N46" s="11" t="n">
        <x:v>0</x:v>
      </x:c>
      <x:c r="O46" s="11" t="n">
        <x:v>0</x:v>
      </x:c>
    </x:row>
    <x:row r="47" ht="24" customHeight="1">
      <x:c r="A47" s="10" t="str">
        <x:v>ALL</x:v>
      </x:c>
      <x:c r="B47" s="10" t="str">
        <x:v>板状</x:v>
      </x:c>
      <x:c r="C47" s="11" t="n">
        <x:f>SUMIF($A$6:$A$50,A47,$D$6:$D$50)</x:f>
        <x:v>5765</x:v>
      </x:c>
      <x:c r="D47" s="11" t="n">
        <x:v>740</x:v>
      </x:c>
      <x:c r="E47" s="12" t="n">
        <x:f>D47/C47</x:f>
        <x:v>0.12836079791847355</x:v>
      </x:c>
      <x:c r="F47" s="11" t="n">
        <x:v>0</x:v>
      </x:c>
      <x:c r="G47" s="11" t="n">
        <x:v>32</x:v>
      </x:c>
      <x:c r="H47" s="11" t="n">
        <x:v>159</x:v>
      </x:c>
      <x:c r="I47" s="11" t="n">
        <x:v>386</x:v>
      </x:c>
      <x:c r="J47" s="11" t="n">
        <x:v>163</x:v>
      </x:c>
      <x:c r="K47" s="11" t="n">
        <x:v>0</x:v>
      </x:c>
      <x:c r="L47" s="11" t="n">
        <x:v>0</x:v>
      </x:c>
      <x:c r="M47" s="11" t="n">
        <x:v>0</x:v>
      </x:c>
      <x:c r="N47" s="11" t="n">
        <x:v>0</x:v>
      </x:c>
      <x:c r="O47" s="11" t="n">
        <x:v>0</x:v>
      </x:c>
    </x:row>
    <x:row r="48" ht="24" customHeight="1">
      <x:c r="A48" s="10" t="str">
        <x:v>ALL</x:v>
      </x:c>
      <x:c r="B48" s="10" t="str">
        <x:v>杆状</x:v>
      </x:c>
      <x:c r="C48" s="11" t="n">
        <x:f>SUMIF($A$6:$A$50,A48,$D$6:$D$50)</x:f>
        <x:v>5765</x:v>
      </x:c>
      <x:c r="D48" s="11" t="n">
        <x:v>616</x:v>
      </x:c>
      <x:c r="E48" s="12" t="n">
        <x:f>D48/C48</x:f>
        <x:v>0.10685169124024284</x:v>
      </x:c>
      <x:c r="F48" s="11" t="n">
        <x:v>0</x:v>
      </x:c>
      <x:c r="G48" s="11" t="n">
        <x:v>0</x:v>
      </x:c>
      <x:c r="H48" s="11" t="n">
        <x:v>94</x:v>
      </x:c>
      <x:c r="I48" s="11" t="n">
        <x:v>271</x:v>
      </x:c>
      <x:c r="J48" s="11" t="n">
        <x:v>195</x:v>
      </x:c>
      <x:c r="K48" s="11" t="n">
        <x:v>56</x:v>
      </x:c>
      <x:c r="L48" s="11" t="n">
        <x:v>0</x:v>
      </x:c>
      <x:c r="M48" s="11" t="n">
        <x:v>0</x:v>
      </x:c>
      <x:c r="N48" s="11" t="n">
        <x:v>0</x:v>
      </x:c>
      <x:c r="O48" s="11" t="n">
        <x:v>0</x:v>
      </x:c>
    </x:row>
    <x:row r="49" ht="24" customHeight="1">
      <x:c r="A49" s="10" t="str">
        <x:v>ALL</x:v>
      </x:c>
      <x:c r="B49" s="10" t="str">
        <x:v>细长扁平</x:v>
      </x:c>
      <x:c r="C49" s="11" t="n">
        <x:f>SUMIF($A$6:$A$50,A49,$D$6:$D$50)</x:f>
        <x:v>5765</x:v>
      </x:c>
      <x:c r="D49" s="11" t="n">
        <x:v>16</x:v>
      </x:c>
      <x:c r="E49" s="12" t="n">
        <x:f>D49/C49</x:f>
        <x:v>0.0027753686036426713</x:v>
      </x:c>
      <x:c r="F49" s="11" t="n">
        <x:v>0</x:v>
      </x:c>
      <x:c r="G49" s="11" t="n">
        <x:v>0</x:v>
      </x:c>
      <x:c r="H49" s="11" t="n">
        <x:v>0</x:v>
      </x:c>
      <x:c r="I49" s="11" t="n">
        <x:v>4</x:v>
      </x:c>
      <x:c r="J49" s="11" t="n">
        <x:v>12</x:v>
      </x:c>
      <x:c r="K49" s="11" t="n">
        <x:v>0</x:v>
      </x:c>
      <x:c r="L49" s="11" t="n">
        <x:v>0</x:v>
      </x:c>
      <x:c r="M49" s="11" t="n">
        <x:v>0</x:v>
      </x:c>
      <x:c r="N49" s="11" t="n">
        <x:v>0</x:v>
      </x:c>
      <x:c r="O49" s="11" t="n">
        <x:v>0</x:v>
      </x:c>
    </x:row>
    <x:row r="50" ht="24" customHeight="1">
      <x:c r="A50" s="10" t="str">
        <x:v>ALL</x:v>
      </x:c>
      <x:c r="B50" s="10" t="str">
        <x:v>分散多分量</x:v>
      </x:c>
      <x:c r="C50" s="11" t="n">
        <x:f>SUMIF($A$6:$A$50,A50,$D$6:$D$50)</x:f>
        <x:v>5765</x:v>
      </x:c>
      <x:c r="D50" s="11" t="n">
        <x:v>79</x:v>
      </x:c>
      <x:c r="E50" s="12" t="n">
        <x:f>D50/C50</x:f>
        <x:v>0.01370338248048569</x:v>
      </x:c>
      <x:c r="F50" s="11" t="n">
        <x:v>0</x:v>
      </x:c>
      <x:c r="G50" s="11" t="n">
        <x:v>0</x:v>
      </x:c>
      <x:c r="H50" s="11" t="n">
        <x:v>8</x:v>
      </x:c>
      <x:c r="I50" s="11" t="n">
        <x:v>48</x:v>
      </x:c>
      <x:c r="J50" s="11" t="n">
        <x:v>19</x:v>
      </x:c>
      <x:c r="K50" s="11" t="n">
        <x:v>3</x:v>
      </x:c>
      <x:c r="L50" s="11" t="n">
        <x:v>1</x:v>
      </x:c>
      <x:c r="M50" s="11" t="n">
        <x:v>0</x:v>
      </x:c>
      <x:c r="N50" s="11" t="n">
        <x:v>0</x:v>
      </x:c>
      <x:c r="O50" s="1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2d8b25a4034457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19" hidden="0" customWidth="1"/>
    <x:col min="3" max="3" width="14" hidden="0" customWidth="1"/>
    <x:col min="4" max="4" width="23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1" max="31" width="3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24" customHeight="1">
      <x:c r="A2" s="3" t="str">
        <x:v>V5逐节点策略的统计计数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 ht="24" customHeight="1">
      <x:c r="A3" s="4" t="str">
        <x:v>来源：V5全量策略CSV；90组、165,000行。每行是一个模型的一个配置，未包含汇总行。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ht="32" customHeight="1">
      <x:c r="A5" s="8" t="str">
        <x:v>模型</x:v>
      </x:c>
      <x:c r="B5" s="8" t="str">
        <x:v>配置</x:v>
      </x:c>
      <x:c r="C5" s="8" t="str">
        <x:v>节点数</x:v>
      </x:c>
      <x:c r="D5" s="8" t="str">
        <x:v>原始三角形实例</x:v>
      </x:c>
      <x:c r="E5" s="8" t="str">
        <x:v>P1节点</x:v>
      </x:c>
      <x:c r="F5" s="8" t="str">
        <x:v>P2节点</x:v>
      </x:c>
      <x:c r="G5" s="8" t="str">
        <x:v>P3节点</x:v>
      </x:c>
      <x:c r="H5" s="8" t="str">
        <x:v>P4节点</x:v>
      </x:c>
      <x:c r="I5" s="8" t="str">
        <x:v>P5节点</x:v>
      </x:c>
      <x:c r="J5" s="8" t="str">
        <x:v>P6节点</x:v>
      </x:c>
      <x:c r="K5" s="8" t="str">
        <x:v>P7节点</x:v>
      </x:c>
      <x:c r="L5" s="8" t="str">
        <x:v>P8节点</x:v>
      </x:c>
      <x:c r="M5" s="8" t="str">
        <x:v>P9节点</x:v>
      </x:c>
      <x:c r="N5" s="8" t="str">
        <x:v>P10节点</x:v>
      </x:c>
      <x:c r="O5" s="8" t="str">
        <x:v>P1源三角形</x:v>
      </x:c>
      <x:c r="P5" s="8" t="str">
        <x:v>P2源三角形</x:v>
      </x:c>
      <x:c r="Q5" s="8" t="str">
        <x:v>P3源三角形</x:v>
      </x:c>
      <x:c r="R5" s="8" t="str">
        <x:v>P4源三角形</x:v>
      </x:c>
      <x:c r="S5" s="8" t="str">
        <x:v>P5源三角形</x:v>
      </x:c>
      <x:c r="T5" s="8" t="str">
        <x:v>P6源三角形</x:v>
      </x:c>
      <x:c r="U5" s="8" t="str">
        <x:v>P7源三角形</x:v>
      </x:c>
      <x:c r="V5" s="8" t="str">
        <x:v>P8源三角形</x:v>
      </x:c>
      <x:c r="W5" s="8" t="str">
        <x:v>P9源三角形</x:v>
      </x:c>
      <x:c r="X5" s="8" t="str">
        <x:v>P10源三角形</x:v>
      </x:c>
      <x:c r="Y5" s="8" t="str">
        <x:v>功能未知</x:v>
      </x:c>
      <x:c r="Z5" s="8" t="str">
        <x:v>对象未决</x:v>
      </x:c>
      <x:c r="AA5" s="8" t="str">
        <x:v>N/C冲突</x:v>
      </x:c>
      <x:c r="AB5" s="8" t="str">
        <x:v>形状冲突</x:v>
      </x:c>
      <x:c r="AC5" s="8" t="str">
        <x:v>需复核</x:v>
      </x:c>
      <x:c r="AE5" t="str">
        <x:v>源策略文件（相对V5目录）</x:v>
      </x:c>
    </x:row>
    <x:row r="6" ht="24" customHeight="1">
      <x:c r="A6" s="10" t="str">
        <x:v>a</x:v>
      </x:c>
      <x:c r="B6" s="10" t="str">
        <x:v>N_H0</x:v>
      </x:c>
      <x:c r="C6" s="11" t="n">
        <x:v>1778</x:v>
      </x:c>
      <x:c r="D6" s="11" t="n">
        <x:v>5469879</x:v>
      </x:c>
      <x:c r="E6" s="11" t="n">
        <x:v>0</x:v>
      </x:c>
      <x:c r="F6" s="11" t="n">
        <x:v>246</x:v>
      </x:c>
      <x:c r="G6" s="11" t="n">
        <x:v>84</x:v>
      </x:c>
      <x:c r="H6" s="11" t="n">
        <x:v>0</x:v>
      </x:c>
      <x:c r="I6" s="11" t="n">
        <x:v>1345</x:v>
      </x:c>
      <x:c r="J6" s="11" t="n">
        <x:v>7</x:v>
      </x:c>
      <x:c r="K6" s="11" t="n">
        <x:v>19</x:v>
      </x:c>
      <x:c r="L6" s="11" t="n">
        <x:v>23</x:v>
      </x:c>
      <x:c r="M6" s="11" t="n">
        <x:v>54</x:v>
      </x:c>
      <x:c r="N6" s="11" t="n">
        <x:v>0</x:v>
      </x:c>
      <x:c r="O6" s="11" t="n">
        <x:v>0</x:v>
      </x:c>
      <x:c r="P6" s="11" t="n">
        <x:v>173030</x:v>
      </x:c>
      <x:c r="Q6" s="11" t="n">
        <x:v>111726</x:v>
      </x:c>
      <x:c r="R6" s="11" t="n">
        <x:v>0</x:v>
      </x:c>
      <x:c r="S6" s="11" t="n">
        <x:v>4742339</x:v>
      </x:c>
      <x:c r="T6" s="11" t="n">
        <x:v>13280</x:v>
      </x:c>
      <x:c r="U6" s="11" t="n">
        <x:v>167890</x:v>
      </x:c>
      <x:c r="V6" s="11" t="n">
        <x:v>78590</x:v>
      </x:c>
      <x:c r="W6" s="11" t="n">
        <x:v>183024</x:v>
      </x:c>
      <x:c r="X6" s="11" t="n">
        <x:v>0</x:v>
      </x:c>
      <x:c r="Y6" s="11" t="n">
        <x:v>1345</x:v>
      </x:c>
      <x:c r="Z6" s="11" t="n">
        <x:v>1136</x:v>
      </x:c>
      <x:c r="AA6" s="11" t="n">
        <x:v>0</x:v>
      </x:c>
      <x:c r="AB6" s="11" t="n">
        <x:v>0</x:v>
      </x:c>
      <x:c r="AC6" s="11" t="n">
        <x:v>1136</x:v>
      </x:c>
      <x:c r="AE6" t="str">
        <x:v>a/N_H0.csv</x:v>
      </x:c>
    </x:row>
    <x:row r="7" ht="24" customHeight="1">
      <x:c r="A7" s="10" t="str">
        <x:v>a</x:v>
      </x:c>
      <x:c r="B7" s="10" t="str">
        <x:v>N_H1</x:v>
      </x:c>
      <x:c r="C7" s="11" t="n">
        <x:v>1778</x:v>
      </x:c>
      <x:c r="D7" s="11" t="n">
        <x:v>5469879</x:v>
      </x:c>
      <x:c r="E7" s="11" t="n">
        <x:v>0</x:v>
      </x:c>
      <x:c r="F7" s="11" t="n">
        <x:v>246</x:v>
      </x:c>
      <x:c r="G7" s="11" t="n">
        <x:v>84</x:v>
      </x:c>
      <x:c r="H7" s="11" t="n">
        <x:v>0</x:v>
      </x:c>
      <x:c r="I7" s="11" t="n">
        <x:v>1345</x:v>
      </x:c>
      <x:c r="J7" s="11" t="n">
        <x:v>7</x:v>
      </x:c>
      <x:c r="K7" s="11" t="n">
        <x:v>19</x:v>
      </x:c>
      <x:c r="L7" s="11" t="n">
        <x:v>23</x:v>
      </x:c>
      <x:c r="M7" s="11" t="n">
        <x:v>54</x:v>
      </x:c>
      <x:c r="N7" s="11" t="n">
        <x:v>0</x:v>
      </x:c>
      <x:c r="O7" s="11" t="n">
        <x:v>0</x:v>
      </x:c>
      <x:c r="P7" s="11" t="n">
        <x:v>173030</x:v>
      </x:c>
      <x:c r="Q7" s="11" t="n">
        <x:v>111726</x:v>
      </x:c>
      <x:c r="R7" s="11" t="n">
        <x:v>0</x:v>
      </x:c>
      <x:c r="S7" s="11" t="n">
        <x:v>4742339</x:v>
      </x:c>
      <x:c r="T7" s="11" t="n">
        <x:v>13280</x:v>
      </x:c>
      <x:c r="U7" s="11" t="n">
        <x:v>167890</x:v>
      </x:c>
      <x:c r="V7" s="11" t="n">
        <x:v>78590</x:v>
      </x:c>
      <x:c r="W7" s="11" t="n">
        <x:v>183024</x:v>
      </x:c>
      <x:c r="X7" s="11" t="n">
        <x:v>0</x:v>
      </x:c>
      <x:c r="Y7" s="11" t="n">
        <x:v>1345</x:v>
      </x:c>
      <x:c r="Z7" s="11" t="n">
        <x:v>1136</x:v>
      </x:c>
      <x:c r="AA7" s="11" t="n">
        <x:v>0</x:v>
      </x:c>
      <x:c r="AB7" s="11" t="n">
        <x:v>0</x:v>
      </x:c>
      <x:c r="AC7" s="11" t="n">
        <x:v>1136</x:v>
      </x:c>
      <x:c r="AE7" t="str">
        <x:v>a/N_H1.csv</x:v>
      </x:c>
    </x:row>
    <x:row r="8" ht="24" customHeight="1">
      <x:c r="A8" s="10" t="str">
        <x:v>a</x:v>
      </x:c>
      <x:c r="B8" s="10" t="str">
        <x:v>C_H0</x:v>
      </x:c>
      <x:c r="C8" s="11" t="n">
        <x:v>1778</x:v>
      </x:c>
      <x:c r="D8" s="11" t="n">
        <x:v>5469879</x:v>
      </x:c>
      <x:c r="E8" s="11" t="n">
        <x:v>0</x:v>
      </x:c>
      <x:c r="F8" s="11" t="n">
        <x:v>682</x:v>
      </x:c>
      <x:c r="G8" s="11" t="n">
        <x:v>0</x:v>
      </x:c>
      <x:c r="H8" s="11" t="n">
        <x:v>0</x:v>
      </x:c>
      <x:c r="I8" s="11" t="n">
        <x:v>1074</x:v>
      </x:c>
      <x:c r="J8" s="11" t="n">
        <x:v>0</x:v>
      </x:c>
      <x:c r="K8" s="11" t="n">
        <x:v>0</x:v>
      </x:c>
      <x:c r="L8" s="11" t="n">
        <x:v>0</x:v>
      </x:c>
      <x:c r="M8" s="11" t="n">
        <x:v>22</x:v>
      </x:c>
      <x:c r="N8" s="11" t="n">
        <x:v>0</x:v>
      </x:c>
      <x:c r="O8" s="11" t="n">
        <x:v>0</x:v>
      </x:c>
      <x:c r="P8" s="11" t="n">
        <x:v>927706</x:v>
      </x:c>
      <x:c r="Q8" s="11" t="n">
        <x:v>0</x:v>
      </x:c>
      <x:c r="R8" s="11" t="n">
        <x:v>0</x:v>
      </x:c>
      <x:c r="S8" s="11" t="n">
        <x:v>4533329</x:v>
      </x:c>
      <x:c r="T8" s="11" t="n">
        <x:v>0</x:v>
      </x:c>
      <x:c r="U8" s="11" t="n">
        <x:v>0</x:v>
      </x:c>
      <x:c r="V8" s="11" t="n">
        <x:v>0</x:v>
      </x:c>
      <x:c r="W8" s="11" t="n">
        <x:v>8844</x:v>
      </x:c>
      <x:c r="X8" s="11" t="n">
        <x:v>0</x:v>
      </x:c>
      <x:c r="Y8" s="11" t="n">
        <x:v>1074</x:v>
      </x:c>
      <x:c r="Z8" s="11" t="n">
        <x:v>1074</x:v>
      </x:c>
      <x:c r="AA8" s="11" t="n">
        <x:v>0</x:v>
      </x:c>
      <x:c r="AB8" s="11" t="n">
        <x:v>0</x:v>
      </x:c>
      <x:c r="AC8" s="11" t="n">
        <x:v>869</x:v>
      </x:c>
      <x:c r="AE8" t="str">
        <x:v>a/C_H0.csv</x:v>
      </x:c>
    </x:row>
    <x:row r="9" ht="24" customHeight="1">
      <x:c r="A9" s="10" t="str">
        <x:v>a</x:v>
      </x:c>
      <x:c r="B9" s="10" t="str">
        <x:v>C_H1</x:v>
      </x:c>
      <x:c r="C9" s="11" t="n">
        <x:v>1778</x:v>
      </x:c>
      <x:c r="D9" s="11" t="n">
        <x:v>5469879</x:v>
      </x:c>
      <x:c r="E9" s="11" t="n">
        <x:v>0</x:v>
      </x:c>
      <x:c r="F9" s="11" t="n">
        <x:v>682</x:v>
      </x:c>
      <x:c r="G9" s="11" t="n">
        <x:v>0</x:v>
      </x:c>
      <x:c r="H9" s="11" t="n">
        <x:v>0</x:v>
      </x:c>
      <x:c r="I9" s="11" t="n">
        <x:v>1074</x:v>
      </x:c>
      <x:c r="J9" s="11" t="n">
        <x:v>0</x:v>
      </x:c>
      <x:c r="K9" s="11" t="n">
        <x:v>0</x:v>
      </x:c>
      <x:c r="L9" s="11" t="n">
        <x:v>0</x:v>
      </x:c>
      <x:c r="M9" s="11" t="n">
        <x:v>22</x:v>
      </x:c>
      <x:c r="N9" s="11" t="n">
        <x:v>0</x:v>
      </x:c>
      <x:c r="O9" s="11" t="n">
        <x:v>0</x:v>
      </x:c>
      <x:c r="P9" s="11" t="n">
        <x:v>927706</x:v>
      </x:c>
      <x:c r="Q9" s="11" t="n">
        <x:v>0</x:v>
      </x:c>
      <x:c r="R9" s="11" t="n">
        <x:v>0</x:v>
      </x:c>
      <x:c r="S9" s="11" t="n">
        <x:v>4533329</x:v>
      </x:c>
      <x:c r="T9" s="11" t="n">
        <x:v>0</x:v>
      </x:c>
      <x:c r="U9" s="11" t="n">
        <x:v>0</x:v>
      </x:c>
      <x:c r="V9" s="11" t="n">
        <x:v>0</x:v>
      </x:c>
      <x:c r="W9" s="11" t="n">
        <x:v>8844</x:v>
      </x:c>
      <x:c r="X9" s="11" t="n">
        <x:v>0</x:v>
      </x:c>
      <x:c r="Y9" s="11" t="n">
        <x:v>1074</x:v>
      </x:c>
      <x:c r="Z9" s="11" t="n">
        <x:v>1074</x:v>
      </x:c>
      <x:c r="AA9" s="11" t="n">
        <x:v>0</x:v>
      </x:c>
      <x:c r="AB9" s="11" t="n">
        <x:v>0</x:v>
      </x:c>
      <x:c r="AC9" s="11" t="n">
        <x:v>869</x:v>
      </x:c>
      <x:c r="AE9" t="str">
        <x:v>a/C_H1.csv</x:v>
      </x:c>
    </x:row>
    <x:row r="10" ht="24" customHeight="1">
      <x:c r="A10" s="10" t="str">
        <x:v>a</x:v>
      </x:c>
      <x:c r="B10" s="10" t="str">
        <x:v>NG_H0</x:v>
      </x:c>
      <x:c r="C10" s="11" t="n">
        <x:v>1778</x:v>
      </x:c>
      <x:c r="D10" s="11" t="n">
        <x:v>5469879</x:v>
      </x:c>
      <x:c r="E10" s="11" t="n">
        <x:v>0</x:v>
      </x:c>
      <x:c r="F10" s="11" t="n">
        <x:v>172</x:v>
      </x:c>
      <x:c r="G10" s="11" t="n">
        <x:v>711</x:v>
      </x:c>
      <x:c r="H10" s="11" t="n">
        <x:v>370</x:v>
      </x:c>
      <x:c r="I10" s="11" t="n">
        <x:v>273</x:v>
      </x:c>
      <x:c r="J10" s="11" t="n">
        <x:v>156</x:v>
      </x:c>
      <x:c r="K10" s="11" t="n">
        <x:v>19</x:v>
      </x:c>
      <x:c r="L10" s="11" t="n">
        <x:v>23</x:v>
      </x:c>
      <x:c r="M10" s="11" t="n">
        <x:v>47</x:v>
      </x:c>
      <x:c r="N10" s="11" t="n">
        <x:v>7</x:v>
      </x:c>
      <x:c r="O10" s="11" t="n">
        <x:v>0</x:v>
      </x:c>
      <x:c r="P10" s="11" t="n">
        <x:v>76038</x:v>
      </x:c>
      <x:c r="Q10" s="11" t="n">
        <x:v>975864</x:v>
      </x:c>
      <x:c r="R10" s="11" t="n">
        <x:v>1027366</x:v>
      </x:c>
      <x:c r="S10" s="11" t="n">
        <x:v>2651131</x:v>
      </x:c>
      <x:c r="T10" s="11" t="n">
        <x:v>309976</x:v>
      </x:c>
      <x:c r="U10" s="11" t="n">
        <x:v>167890</x:v>
      </x:c>
      <x:c r="V10" s="11" t="n">
        <x:v>78590</x:v>
      </x:c>
      <x:c r="W10" s="11" t="n">
        <x:v>181988</x:v>
      </x:c>
      <x:c r="X10" s="11" t="n">
        <x:v>1036</x:v>
      </x:c>
      <x:c r="Y10" s="11" t="n">
        <x:v>1345</x:v>
      </x:c>
      <x:c r="Z10" s="11" t="n">
        <x:v>1136</x:v>
      </x:c>
      <x:c r="AA10" s="11" t="n">
        <x:v>0</x:v>
      </x:c>
      <x:c r="AB10" s="11" t="n">
        <x:v>0</x:v>
      </x:c>
      <x:c r="AC10" s="11" t="n">
        <x:v>1136</x:v>
      </x:c>
      <x:c r="AE10" t="str">
        <x:v>a/NG_H0.csv</x:v>
      </x:c>
    </x:row>
    <x:row r="11" ht="24" customHeight="1">
      <x:c r="A11" s="10" t="str">
        <x:v>a</x:v>
      </x:c>
      <x:c r="B11" s="10" t="str">
        <x:v>NG_H1</x:v>
      </x:c>
      <x:c r="C11" s="11" t="n">
        <x:v>1778</x:v>
      </x:c>
      <x:c r="D11" s="11" t="n">
        <x:v>5469879</x:v>
      </x:c>
      <x:c r="E11" s="11" t="n">
        <x:v>0</x:v>
      </x:c>
      <x:c r="F11" s="11" t="n">
        <x:v>172</x:v>
      </x:c>
      <x:c r="G11" s="11" t="n">
        <x:v>711</x:v>
      </x:c>
      <x:c r="H11" s="11" t="n">
        <x:v>370</x:v>
      </x:c>
      <x:c r="I11" s="11" t="n">
        <x:v>273</x:v>
      </x:c>
      <x:c r="J11" s="11" t="n">
        <x:v>156</x:v>
      </x:c>
      <x:c r="K11" s="11" t="n">
        <x:v>19</x:v>
      </x:c>
      <x:c r="L11" s="11" t="n">
        <x:v>23</x:v>
      </x:c>
      <x:c r="M11" s="11" t="n">
        <x:v>47</x:v>
      </x:c>
      <x:c r="N11" s="11" t="n">
        <x:v>7</x:v>
      </x:c>
      <x:c r="O11" s="11" t="n">
        <x:v>0</x:v>
      </x:c>
      <x:c r="P11" s="11" t="n">
        <x:v>76038</x:v>
      </x:c>
      <x:c r="Q11" s="11" t="n">
        <x:v>975864</x:v>
      </x:c>
      <x:c r="R11" s="11" t="n">
        <x:v>1027366</x:v>
      </x:c>
      <x:c r="S11" s="11" t="n">
        <x:v>2651131</x:v>
      </x:c>
      <x:c r="T11" s="11" t="n">
        <x:v>309976</x:v>
      </x:c>
      <x:c r="U11" s="11" t="n">
        <x:v>167890</x:v>
      </x:c>
      <x:c r="V11" s="11" t="n">
        <x:v>78590</x:v>
      </x:c>
      <x:c r="W11" s="11" t="n">
        <x:v>181988</x:v>
      </x:c>
      <x:c r="X11" s="11" t="n">
        <x:v>1036</x:v>
      </x:c>
      <x:c r="Y11" s="11" t="n">
        <x:v>1345</x:v>
      </x:c>
      <x:c r="Z11" s="11" t="n">
        <x:v>1136</x:v>
      </x:c>
      <x:c r="AA11" s="11" t="n">
        <x:v>0</x:v>
      </x:c>
      <x:c r="AB11" s="11" t="n">
        <x:v>0</x:v>
      </x:c>
      <x:c r="AC11" s="11" t="n">
        <x:v>1136</x:v>
      </x:c>
      <x:c r="AE11" t="str">
        <x:v>a/NG_H1.csv</x:v>
      </x:c>
    </x:row>
    <x:row r="12" ht="24" customHeight="1">
      <x:c r="A12" s="10" t="str">
        <x:v>a</x:v>
      </x:c>
      <x:c r="B12" s="10" t="str">
        <x:v>CG_H0</x:v>
      </x:c>
      <x:c r="C12" s="11" t="n">
        <x:v>1778</x:v>
      </x:c>
      <x:c r="D12" s="11" t="n">
        <x:v>5469879</x:v>
      </x:c>
      <x:c r="E12" s="11" t="n">
        <x:v>0</x:v>
      </x:c>
      <x:c r="F12" s="11" t="n">
        <x:v>177</x:v>
      </x:c>
      <x:c r="G12" s="11" t="n">
        <x:v>774</x:v>
      </x:c>
      <x:c r="H12" s="11" t="n">
        <x:v>383</x:v>
      </x:c>
      <x:c r="I12" s="11" t="n">
        <x:v>273</x:v>
      </x:c>
      <x:c r="J12" s="11" t="n">
        <x:v>149</x:v>
      </x:c>
      <x:c r="K12" s="11" t="n">
        <x:v>0</x:v>
      </x:c>
      <x:c r="L12" s="11" t="n">
        <x:v>0</x:v>
      </x:c>
      <x:c r="M12" s="11" t="n">
        <x:v>22</x:v>
      </x:c>
      <x:c r="N12" s="11" t="n">
        <x:v>0</x:v>
      </x:c>
      <x:c r="O12" s="11" t="n">
        <x:v>0</x:v>
      </x:c>
      <x:c r="P12" s="11" t="n">
        <x:v>92690</x:v>
      </x:c>
      <x:c r="Q12" s="11" t="n">
        <x:v>1338222</x:v>
      </x:c>
      <x:c r="R12" s="11" t="n">
        <x:v>1082296</x:v>
      </x:c>
      <x:c r="S12" s="11" t="n">
        <x:v>2651131</x:v>
      </x:c>
      <x:c r="T12" s="11" t="n">
        <x:v>296696</x:v>
      </x:c>
      <x:c r="U12" s="11" t="n">
        <x:v>0</x:v>
      </x:c>
      <x:c r="V12" s="11" t="n">
        <x:v>0</x:v>
      </x:c>
      <x:c r="W12" s="11" t="n">
        <x:v>8844</x:v>
      </x:c>
      <x:c r="X12" s="11" t="n">
        <x:v>0</x:v>
      </x:c>
      <x:c r="Y12" s="11" t="n">
        <x:v>1076</x:v>
      </x:c>
      <x:c r="Z12" s="11" t="n">
        <x:v>1076</x:v>
      </x:c>
      <x:c r="AA12" s="11" t="n">
        <x:v>0</x:v>
      </x:c>
      <x:c r="AB12" s="11" t="n">
        <x:v>2</x:v>
      </x:c>
      <x:c r="AC12" s="11" t="n">
        <x:v>871</x:v>
      </x:c>
      <x:c r="AE12" t="str">
        <x:v>a/CG_H0.csv</x:v>
      </x:c>
    </x:row>
    <x:row r="13" ht="24" customHeight="1">
      <x:c r="A13" s="10" t="str">
        <x:v>a</x:v>
      </x:c>
      <x:c r="B13" s="10" t="str">
        <x:v>CG_H1</x:v>
      </x:c>
      <x:c r="C13" s="11" t="n">
        <x:v>1778</x:v>
      </x:c>
      <x:c r="D13" s="11" t="n">
        <x:v>5469879</x:v>
      </x:c>
      <x:c r="E13" s="11" t="n">
        <x:v>0</x:v>
      </x:c>
      <x:c r="F13" s="11" t="n">
        <x:v>177</x:v>
      </x:c>
      <x:c r="G13" s="11" t="n">
        <x:v>774</x:v>
      </x:c>
      <x:c r="H13" s="11" t="n">
        <x:v>383</x:v>
      </x:c>
      <x:c r="I13" s="11" t="n">
        <x:v>273</x:v>
      </x:c>
      <x:c r="J13" s="11" t="n">
        <x:v>149</x:v>
      </x:c>
      <x:c r="K13" s="11" t="n">
        <x:v>0</x:v>
      </x:c>
      <x:c r="L13" s="11" t="n">
        <x:v>0</x:v>
      </x:c>
      <x:c r="M13" s="11" t="n">
        <x:v>22</x:v>
      </x:c>
      <x:c r="N13" s="11" t="n">
        <x:v>0</x:v>
      </x:c>
      <x:c r="O13" s="11" t="n">
        <x:v>0</x:v>
      </x:c>
      <x:c r="P13" s="11" t="n">
        <x:v>92690</x:v>
      </x:c>
      <x:c r="Q13" s="11" t="n">
        <x:v>1338222</x:v>
      </x:c>
      <x:c r="R13" s="11" t="n">
        <x:v>1082296</x:v>
      </x:c>
      <x:c r="S13" s="11" t="n">
        <x:v>2651131</x:v>
      </x:c>
      <x:c r="T13" s="11" t="n">
        <x:v>296696</x:v>
      </x:c>
      <x:c r="U13" s="11" t="n">
        <x:v>0</x:v>
      </x:c>
      <x:c r="V13" s="11" t="n">
        <x:v>0</x:v>
      </x:c>
      <x:c r="W13" s="11" t="n">
        <x:v>8844</x:v>
      </x:c>
      <x:c r="X13" s="11" t="n">
        <x:v>0</x:v>
      </x:c>
      <x:c r="Y13" s="11" t="n">
        <x:v>1076</x:v>
      </x:c>
      <x:c r="Z13" s="11" t="n">
        <x:v>1076</x:v>
      </x:c>
      <x:c r="AA13" s="11" t="n">
        <x:v>0</x:v>
      </x:c>
      <x:c r="AB13" s="11" t="n">
        <x:v>2</x:v>
      </x:c>
      <x:c r="AC13" s="11" t="n">
        <x:v>871</x:v>
      </x:c>
      <x:c r="AE13" t="str">
        <x:v>a/CG_H1.csv</x:v>
      </x:c>
    </x:row>
    <x:row r="14" ht="24" customHeight="1">
      <x:c r="A14" s="10" t="str">
        <x:v>a</x:v>
      </x:c>
      <x:c r="B14" s="10" t="str">
        <x:v>NC_H0</x:v>
      </x:c>
      <x:c r="C14" s="11" t="n">
        <x:v>1778</x:v>
      </x:c>
      <x:c r="D14" s="11" t="n">
        <x:v>5469879</x:v>
      </x:c>
      <x:c r="E14" s="11" t="n">
        <x:v>0</x:v>
      </x:c>
      <x:c r="F14" s="11" t="n">
        <x:v>575</x:v>
      </x:c>
      <x:c r="G14" s="11" t="n">
        <x:v>66</x:v>
      </x:c>
      <x:c r="H14" s="11" t="n">
        <x:v>0</x:v>
      </x:c>
      <x:c r="I14" s="11" t="n">
        <x:v>1052</x:v>
      </x:c>
      <x:c r="J14" s="11" t="n">
        <x:v>0</x:v>
      </x:c>
      <x:c r="K14" s="11" t="n">
        <x:v>19</x:v>
      </x:c>
      <x:c r="L14" s="11" t="n">
        <x:v>19</x:v>
      </x:c>
      <x:c r="M14" s="11" t="n">
        <x:v>47</x:v>
      </x:c>
      <x:c r="N14" s="11" t="n">
        <x:v>0</x:v>
      </x:c>
      <x:c r="O14" s="11" t="n">
        <x:v>0</x:v>
      </x:c>
      <x:c r="P14" s="11" t="n">
        <x:v>829182</x:v>
      </x:c>
      <x:c r="Q14" s="11" t="n">
        <x:v>88244</x:v>
      </x:c>
      <x:c r="R14" s="11" t="n">
        <x:v>0</x:v>
      </x:c>
      <x:c r="S14" s="11" t="n">
        <x:v>4250783</x:v>
      </x:c>
      <x:c r="T14" s="11" t="n">
        <x:v>0</x:v>
      </x:c>
      <x:c r="U14" s="11" t="n">
        <x:v>167890</x:v>
      </x:c>
      <x:c r="V14" s="11" t="n">
        <x:v>72538</x:v>
      </x:c>
      <x:c r="W14" s="11" t="n">
        <x:v>61242</x:v>
      </x:c>
      <x:c r="X14" s="11" t="n">
        <x:v>0</x:v>
      </x:c>
      <x:c r="Y14" s="11" t="n">
        <x:v>1052</x:v>
      </x:c>
      <x:c r="Z14" s="11" t="n">
        <x:v>864</x:v>
      </x:c>
      <x:c r="AA14" s="11" t="n">
        <x:v>343</x:v>
      </x:c>
      <x:c r="AB14" s="11" t="n">
        <x:v>0</x:v>
      </x:c>
      <x:c r="AC14" s="11" t="n">
        <x:v>875</x:v>
      </x:c>
      <x:c r="AE14" t="str">
        <x:v>a/NC_H0.csv</x:v>
      </x:c>
    </x:row>
    <x:row r="15" ht="24" customHeight="1">
      <x:c r="A15" s="10" t="str">
        <x:v>a</x:v>
      </x:c>
      <x:c r="B15" s="10" t="str">
        <x:v>NC_H1</x:v>
      </x:c>
      <x:c r="C15" s="11" t="n">
        <x:v>1778</x:v>
      </x:c>
      <x:c r="D15" s="11" t="n">
        <x:v>5469879</x:v>
      </x:c>
      <x:c r="E15" s="11" t="n">
        <x:v>0</x:v>
      </x:c>
      <x:c r="F15" s="11" t="n">
        <x:v>575</x:v>
      </x:c>
      <x:c r="G15" s="11" t="n">
        <x:v>66</x:v>
      </x:c>
      <x:c r="H15" s="11" t="n">
        <x:v>0</x:v>
      </x:c>
      <x:c r="I15" s="11" t="n">
        <x:v>1052</x:v>
      </x:c>
      <x:c r="J15" s="11" t="n">
        <x:v>0</x:v>
      </x:c>
      <x:c r="K15" s="11" t="n">
        <x:v>19</x:v>
      </x:c>
      <x:c r="L15" s="11" t="n">
        <x:v>19</x:v>
      </x:c>
      <x:c r="M15" s="11" t="n">
        <x:v>47</x:v>
      </x:c>
      <x:c r="N15" s="11" t="n">
        <x:v>0</x:v>
      </x:c>
      <x:c r="O15" s="11" t="n">
        <x:v>0</x:v>
      </x:c>
      <x:c r="P15" s="11" t="n">
        <x:v>829182</x:v>
      </x:c>
      <x:c r="Q15" s="11" t="n">
        <x:v>88244</x:v>
      </x:c>
      <x:c r="R15" s="11" t="n">
        <x:v>0</x:v>
      </x:c>
      <x:c r="S15" s="11" t="n">
        <x:v>4250783</x:v>
      </x:c>
      <x:c r="T15" s="11" t="n">
        <x:v>0</x:v>
      </x:c>
      <x:c r="U15" s="11" t="n">
        <x:v>167890</x:v>
      </x:c>
      <x:c r="V15" s="11" t="n">
        <x:v>72538</x:v>
      </x:c>
      <x:c r="W15" s="11" t="n">
        <x:v>61242</x:v>
      </x:c>
      <x:c r="X15" s="11" t="n">
        <x:v>0</x:v>
      </x:c>
      <x:c r="Y15" s="11" t="n">
        <x:v>1052</x:v>
      </x:c>
      <x:c r="Z15" s="11" t="n">
        <x:v>864</x:v>
      </x:c>
      <x:c r="AA15" s="11" t="n">
        <x:v>343</x:v>
      </x:c>
      <x:c r="AB15" s="11" t="n">
        <x:v>0</x:v>
      </x:c>
      <x:c r="AC15" s="11" t="n">
        <x:v>875</x:v>
      </x:c>
      <x:c r="AE15" t="str">
        <x:v>a/NC_H1.csv</x:v>
      </x:c>
    </x:row>
    <x:row r="16" ht="24" customHeight="1">
      <x:c r="A16" s="10" t="str">
        <x:v>a</x:v>
      </x:c>
      <x:c r="B16" s="10" t="str">
        <x:v>NCG_H0</x:v>
      </x:c>
      <x:c r="C16" s="11" t="n">
        <x:v>1778</x:v>
      </x:c>
      <x:c r="D16" s="11" t="n">
        <x:v>5469879</x:v>
      </x:c>
      <x:c r="E16" s="11" t="n">
        <x:v>0</x:v>
      </x:c>
      <x:c r="F16" s="11" t="n">
        <x:v>155</x:v>
      </x:c>
      <x:c r="G16" s="11" t="n">
        <x:v>651</x:v>
      </x:c>
      <x:c r="H16" s="11" t="n">
        <x:v>460</x:v>
      </x:c>
      <x:c r="I16" s="11" t="n">
        <x:v>263</x:v>
      </x:c>
      <x:c r="J16" s="11" t="n">
        <x:v>164</x:v>
      </x:c>
      <x:c r="K16" s="11" t="n">
        <x:v>19</x:v>
      </x:c>
      <x:c r="L16" s="11" t="n">
        <x:v>19</x:v>
      </x:c>
      <x:c r="M16" s="11" t="n">
        <x:v>40</x:v>
      </x:c>
      <x:c r="N16" s="11" t="n">
        <x:v>7</x:v>
      </x:c>
      <x:c r="O16" s="11" t="n">
        <x:v>0</x:v>
      </x:c>
      <x:c r="P16" s="11" t="n">
        <x:v>79186</x:v>
      </x:c>
      <x:c r="Q16" s="11" t="n">
        <x:v>946612</x:v>
      </x:c>
      <x:c r="R16" s="11" t="n">
        <x:v>1192812</x:v>
      </x:c>
      <x:c r="S16" s="11" t="n">
        <x:v>2641787</x:v>
      </x:c>
      <x:c r="T16" s="11" t="n">
        <x:v>307812</x:v>
      </x:c>
      <x:c r="U16" s="11" t="n">
        <x:v>167890</x:v>
      </x:c>
      <x:c r="V16" s="11" t="n">
        <x:v>72538</x:v>
      </x:c>
      <x:c r="W16" s="11" t="n">
        <x:v>60206</x:v>
      </x:c>
      <x:c r="X16" s="11" t="n">
        <x:v>1036</x:v>
      </x:c>
      <x:c r="Y16" s="11" t="n">
        <x:v>1054</x:v>
      </x:c>
      <x:c r="Z16" s="11" t="n">
        <x:v>866</x:v>
      </x:c>
      <x:c r="AA16" s="11" t="n">
        <x:v>343</x:v>
      </x:c>
      <x:c r="AB16" s="11" t="n">
        <x:v>2</x:v>
      </x:c>
      <x:c r="AC16" s="11" t="n">
        <x:v>876</x:v>
      </x:c>
      <x:c r="AE16" t="str">
        <x:v>a/NCG_H0.csv</x:v>
      </x:c>
    </x:row>
    <x:row r="17" ht="24" customHeight="1">
      <x:c r="A17" s="10" t="str">
        <x:v>a</x:v>
      </x:c>
      <x:c r="B17" s="10" t="str">
        <x:v>NCG_H1</x:v>
      </x:c>
      <x:c r="C17" s="11" t="n">
        <x:v>1778</x:v>
      </x:c>
      <x:c r="D17" s="11" t="n">
        <x:v>5469879</x:v>
      </x:c>
      <x:c r="E17" s="11" t="n">
        <x:v>0</x:v>
      </x:c>
      <x:c r="F17" s="11" t="n">
        <x:v>155</x:v>
      </x:c>
      <x:c r="G17" s="11" t="n">
        <x:v>651</x:v>
      </x:c>
      <x:c r="H17" s="11" t="n">
        <x:v>460</x:v>
      </x:c>
      <x:c r="I17" s="11" t="n">
        <x:v>263</x:v>
      </x:c>
      <x:c r="J17" s="11" t="n">
        <x:v>164</x:v>
      </x:c>
      <x:c r="K17" s="11" t="n">
        <x:v>19</x:v>
      </x:c>
      <x:c r="L17" s="11" t="n">
        <x:v>19</x:v>
      </x:c>
      <x:c r="M17" s="11" t="n">
        <x:v>40</x:v>
      </x:c>
      <x:c r="N17" s="11" t="n">
        <x:v>7</x:v>
      </x:c>
      <x:c r="O17" s="11" t="n">
        <x:v>0</x:v>
      </x:c>
      <x:c r="P17" s="11" t="n">
        <x:v>79186</x:v>
      </x:c>
      <x:c r="Q17" s="11" t="n">
        <x:v>946612</x:v>
      </x:c>
      <x:c r="R17" s="11" t="n">
        <x:v>1192812</x:v>
      </x:c>
      <x:c r="S17" s="11" t="n">
        <x:v>2641787</x:v>
      </x:c>
      <x:c r="T17" s="11" t="n">
        <x:v>307812</x:v>
      </x:c>
      <x:c r="U17" s="11" t="n">
        <x:v>167890</x:v>
      </x:c>
      <x:c r="V17" s="11" t="n">
        <x:v>72538</x:v>
      </x:c>
      <x:c r="W17" s="11" t="n">
        <x:v>60206</x:v>
      </x:c>
      <x:c r="X17" s="11" t="n">
        <x:v>1036</x:v>
      </x:c>
      <x:c r="Y17" s="11" t="n">
        <x:v>1054</x:v>
      </x:c>
      <x:c r="Z17" s="11" t="n">
        <x:v>866</x:v>
      </x:c>
      <x:c r="AA17" s="11" t="n">
        <x:v>343</x:v>
      </x:c>
      <x:c r="AB17" s="11" t="n">
        <x:v>2</x:v>
      </x:c>
      <x:c r="AC17" s="11" t="n">
        <x:v>876</x:v>
      </x:c>
      <x:c r="AE17" t="str">
        <x:v>a/NCG_H1.csv</x:v>
      </x:c>
    </x:row>
    <x:row r="18" ht="24" customHeight="1">
      <x:c r="A18" s="10" t="str">
        <x:v>a</x:v>
      </x:c>
      <x:c r="B18" s="10" t="str">
        <x:v>G_H0</x:v>
      </x:c>
      <x:c r="C18" s="11" t="n">
        <x:v>1778</x:v>
      </x:c>
      <x:c r="D18" s="11" t="n">
        <x:v>5469879</x:v>
      </x:c>
      <x:c r="E18" s="11" t="n">
        <x:v>0</x:v>
      </x:c>
      <x:c r="F18" s="11" t="n">
        <x:v>91</x:v>
      </x:c>
      <x:c r="G18" s="11" t="n">
        <x:v>878</x:v>
      </x:c>
      <x:c r="H18" s="11" t="n">
        <x:v>387</x:v>
      </x:c>
      <x:c r="I18" s="11" t="n">
        <x:v>273</x:v>
      </x:c>
      <x:c r="J18" s="11" t="n">
        <x:v>149</x:v>
      </x:c>
      <x:c r="K18" s="11" t="n">
        <x:v>0</x:v>
      </x:c>
      <x:c r="L18" s="11" t="n">
        <x:v>0</x:v>
      </x:c>
      <x:c r="M18" s="11" t="n">
        <x:v>0</x:v>
      </x:c>
      <x:c r="N18" s="11" t="n">
        <x:v>0</x:v>
      </x:c>
      <x:c r="O18" s="11" t="n">
        <x:v>0</x:v>
      </x:c>
      <x:c r="P18" s="11" t="n">
        <x:v>38566</x:v>
      </x:c>
      <x:c r="Q18" s="11" t="n">
        <x:v>1397686</x:v>
      </x:c>
      <x:c r="R18" s="11" t="n">
        <x:v>1085800</x:v>
      </x:c>
      <x:c r="S18" s="11" t="n">
        <x:v>2651131</x:v>
      </x:c>
      <x:c r="T18" s="11" t="n">
        <x:v>296696</x:v>
      </x:c>
      <x:c r="U18" s="11" t="n">
        <x:v>0</x:v>
      </x:c>
      <x:c r="V18" s="11" t="n">
        <x:v>0</x:v>
      </x:c>
      <x:c r="W18" s="11" t="n">
        <x:v>0</x:v>
      </x:c>
      <x:c r="X18" s="11" t="n">
        <x:v>0</x:v>
      </x:c>
      <x:c r="Y18" s="11" t="n">
        <x:v>1778</x:v>
      </x:c>
      <x:c r="Z18" s="11" t="n">
        <x:v>1778</x:v>
      </x:c>
      <x:c r="AA18" s="11" t="n">
        <x:v>0</x:v>
      </x:c>
      <x:c r="AB18" s="11" t="n">
        <x:v>0</x:v>
      </x:c>
      <x:c r="AC18" s="11" t="n">
        <x:v>1778</x:v>
      </x:c>
      <x:c r="AE18" t="str">
        <x:v>a/G_H0.csv</x:v>
      </x:c>
    </x:row>
    <x:row r="19" ht="24" customHeight="1">
      <x:c r="A19" s="10" t="str">
        <x:v>a</x:v>
      </x:c>
      <x:c r="B19" s="10" t="str">
        <x:v>G_H1</x:v>
      </x:c>
      <x:c r="C19" s="11" t="n">
        <x:v>1778</x:v>
      </x:c>
      <x:c r="D19" s="11" t="n">
        <x:v>5469879</x:v>
      </x:c>
      <x:c r="E19" s="11" t="n">
        <x:v>0</x:v>
      </x:c>
      <x:c r="F19" s="11" t="n">
        <x:v>91</x:v>
      </x:c>
      <x:c r="G19" s="11" t="n">
        <x:v>878</x:v>
      </x:c>
      <x:c r="H19" s="11" t="n">
        <x:v>387</x:v>
      </x:c>
      <x:c r="I19" s="11" t="n">
        <x:v>273</x:v>
      </x:c>
      <x:c r="J19" s="11" t="n">
        <x:v>149</x:v>
      </x:c>
      <x:c r="K19" s="11" t="n">
        <x:v>0</x:v>
      </x:c>
      <x:c r="L19" s="11" t="n">
        <x:v>0</x:v>
      </x:c>
      <x:c r="M19" s="11" t="n">
        <x:v>0</x:v>
      </x:c>
      <x:c r="N19" s="11" t="n">
        <x:v>0</x:v>
      </x:c>
      <x:c r="O19" s="11" t="n">
        <x:v>0</x:v>
      </x:c>
      <x:c r="P19" s="11" t="n">
        <x:v>38566</x:v>
      </x:c>
      <x:c r="Q19" s="11" t="n">
        <x:v>1397686</x:v>
      </x:c>
      <x:c r="R19" s="11" t="n">
        <x:v>1085800</x:v>
      </x:c>
      <x:c r="S19" s="11" t="n">
        <x:v>2651131</x:v>
      </x:c>
      <x:c r="T19" s="11" t="n">
        <x:v>296696</x:v>
      </x:c>
      <x:c r="U19" s="11" t="n">
        <x:v>0</x:v>
      </x:c>
      <x:c r="V19" s="11" t="n">
        <x:v>0</x:v>
      </x:c>
      <x:c r="W19" s="11" t="n">
        <x:v>0</x:v>
      </x:c>
      <x:c r="X19" s="11" t="n">
        <x:v>0</x:v>
      </x:c>
      <x:c r="Y19" s="11" t="n">
        <x:v>1778</x:v>
      </x:c>
      <x:c r="Z19" s="11" t="n">
        <x:v>1778</x:v>
      </x:c>
      <x:c r="AA19" s="11" t="n">
        <x:v>0</x:v>
      </x:c>
      <x:c r="AB19" s="11" t="n">
        <x:v>0</x:v>
      </x:c>
      <x:c r="AC19" s="11" t="n">
        <x:v>1778</x:v>
      </x:c>
      <x:c r="AE19" t="str">
        <x:v>a/G_H1.csv</x:v>
      </x:c>
    </x:row>
    <x:row r="20" ht="24" customHeight="1">
      <x:c r="A20" s="10" t="str">
        <x:v>a</x:v>
      </x:c>
      <x:c r="B20" s="10" t="str">
        <x:v>NCG_H1_M1</x:v>
      </x:c>
      <x:c r="C20" s="11" t="n">
        <x:v>1778</x:v>
      </x:c>
      <x:c r="D20" s="11" t="n">
        <x:v>5469879</x:v>
      </x:c>
      <x:c r="E20" s="11" t="n">
        <x:v>0</x:v>
      </x:c>
      <x:c r="F20" s="11" t="n">
        <x:v>155</x:v>
      </x:c>
      <x:c r="G20" s="11" t="n">
        <x:v>651</x:v>
      </x:c>
      <x:c r="H20" s="11" t="n">
        <x:v>460</x:v>
      </x:c>
      <x:c r="I20" s="11" t="n">
        <x:v>263</x:v>
      </x:c>
      <x:c r="J20" s="11" t="n">
        <x:v>164</x:v>
      </x:c>
      <x:c r="K20" s="11" t="n">
        <x:v>19</x:v>
      </x:c>
      <x:c r="L20" s="11" t="n">
        <x:v>19</x:v>
      </x:c>
      <x:c r="M20" s="11" t="n">
        <x:v>40</x:v>
      </x:c>
      <x:c r="N20" s="11" t="n">
        <x:v>7</x:v>
      </x:c>
      <x:c r="O20" s="11" t="n">
        <x:v>0</x:v>
      </x:c>
      <x:c r="P20" s="11" t="n">
        <x:v>79186</x:v>
      </x:c>
      <x:c r="Q20" s="11" t="n">
        <x:v>946612</x:v>
      </x:c>
      <x:c r="R20" s="11" t="n">
        <x:v>1192812</x:v>
      </x:c>
      <x:c r="S20" s="11" t="n">
        <x:v>2641787</x:v>
      </x:c>
      <x:c r="T20" s="11" t="n">
        <x:v>307812</x:v>
      </x:c>
      <x:c r="U20" s="11" t="n">
        <x:v>167890</x:v>
      </x:c>
      <x:c r="V20" s="11" t="n">
        <x:v>72538</x:v>
      </x:c>
      <x:c r="W20" s="11" t="n">
        <x:v>60206</x:v>
      </x:c>
      <x:c r="X20" s="11" t="n">
        <x:v>1036</x:v>
      </x:c>
      <x:c r="Y20" s="11" t="n">
        <x:v>1054</x:v>
      </x:c>
      <x:c r="Z20" s="11" t="n">
        <x:v>866</x:v>
      </x:c>
      <x:c r="AA20" s="11" t="n">
        <x:v>343</x:v>
      </x:c>
      <x:c r="AB20" s="11" t="n">
        <x:v>2</x:v>
      </x:c>
      <x:c r="AC20" s="11" t="n">
        <x:v>876</x:v>
      </x:c>
      <x:c r="AE20" t="str">
        <x:v>a/NCG_H1_M1.csv</x:v>
      </x:c>
    </x:row>
    <x:row r="21" ht="24" customHeight="1">
      <x:c r="A21" s="10" t="str">
        <x:v>b</x:v>
      </x:c>
      <x:c r="B21" s="10" t="str">
        <x:v>N_H0</x:v>
      </x:c>
      <x:c r="C21" s="11" t="n">
        <x:v>1481</x:v>
      </x:c>
      <x:c r="D21" s="11" t="n">
        <x:v>3433060</x:v>
      </x:c>
      <x:c r="E21" s="11" t="n">
        <x:v>0</x:v>
      </x:c>
      <x:c r="F21" s="11" t="n">
        <x:v>123</x:v>
      </x:c>
      <x:c r="G21" s="11" t="n">
        <x:v>25</x:v>
      </x:c>
      <x:c r="H21" s="11" t="n">
        <x:v>0</x:v>
      </x:c>
      <x:c r="I21" s="11" t="n">
        <x:v>1174</x:v>
      </x:c>
      <x:c r="J21" s="11" t="n">
        <x:v>6</x:v>
      </x:c>
      <x:c r="K21" s="11" t="n">
        <x:v>6</x:v>
      </x:c>
      <x:c r="L21" s="11" t="n">
        <x:v>41</x:v>
      </x:c>
      <x:c r="M21" s="11" t="n">
        <x:v>106</x:v>
      </x:c>
      <x:c r="N21" s="11" t="n">
        <x:v>0</x:v>
      </x:c>
      <x:c r="O21" s="11" t="n">
        <x:v>0</x:v>
      </x:c>
      <x:c r="P21" s="11" t="n">
        <x:v>80292</x:v>
      </x:c>
      <x:c r="Q21" s="11" t="n">
        <x:v>28964</x:v>
      </x:c>
      <x:c r="R21" s="11" t="n">
        <x:v>0</x:v>
      </x:c>
      <x:c r="S21" s="11" t="n">
        <x:v>2373856</x:v>
      </x:c>
      <x:c r="T21" s="11" t="n">
        <x:v>66678</x:v>
      </x:c>
      <x:c r="U21" s="11" t="n">
        <x:v>33516</x:v>
      </x:c>
      <x:c r="V21" s="11" t="n">
        <x:v>248912</x:v>
      </x:c>
      <x:c r="W21" s="11" t="n">
        <x:v>600842</x:v>
      </x:c>
      <x:c r="X21" s="11" t="n">
        <x:v>0</x:v>
      </x:c>
      <x:c r="Y21" s="11" t="n">
        <x:v>1174</x:v>
      </x:c>
      <x:c r="Z21" s="11" t="n">
        <x:v>1006</x:v>
      </x:c>
      <x:c r="AA21" s="11" t="n">
        <x:v>0</x:v>
      </x:c>
      <x:c r="AB21" s="11" t="n">
        <x:v>0</x:v>
      </x:c>
      <x:c r="AC21" s="11" t="n">
        <x:v>1006</x:v>
      </x:c>
      <x:c r="AE21" t="str">
        <x:v>b/N_H0.csv</x:v>
      </x:c>
    </x:row>
    <x:row r="22" ht="24" customHeight="1">
      <x:c r="A22" s="10" t="str">
        <x:v>b</x:v>
      </x:c>
      <x:c r="B22" s="10" t="str">
        <x:v>N_H1</x:v>
      </x:c>
      <x:c r="C22" s="11" t="n">
        <x:v>1481</x:v>
      </x:c>
      <x:c r="D22" s="11" t="n">
        <x:v>3433060</x:v>
      </x:c>
      <x:c r="E22" s="11" t="n">
        <x:v>0</x:v>
      </x:c>
      <x:c r="F22" s="11" t="n">
        <x:v>113</x:v>
      </x:c>
      <x:c r="G22" s="11" t="n">
        <x:v>11</x:v>
      </x:c>
      <x:c r="H22" s="11" t="n">
        <x:v>0</x:v>
      </x:c>
      <x:c r="I22" s="11" t="n">
        <x:v>1174</x:v>
      </x:c>
      <x:c r="J22" s="11" t="n">
        <x:v>20</x:v>
      </x:c>
      <x:c r="K22" s="11" t="n">
        <x:v>16</x:v>
      </x:c>
      <x:c r="L22" s="11" t="n">
        <x:v>41</x:v>
      </x:c>
      <x:c r="M22" s="11" t="n">
        <x:v>106</x:v>
      </x:c>
      <x:c r="N22" s="11" t="n">
        <x:v>0</x:v>
      </x:c>
      <x:c r="O22" s="11" t="n">
        <x:v>0</x:v>
      </x:c>
      <x:c r="P22" s="11" t="n">
        <x:v>75588</x:v>
      </x:c>
      <x:c r="Q22" s="11" t="n">
        <x:v>14744</x:v>
      </x:c>
      <x:c r="R22" s="11" t="n">
        <x:v>0</x:v>
      </x:c>
      <x:c r="S22" s="11" t="n">
        <x:v>2373856</x:v>
      </x:c>
      <x:c r="T22" s="11" t="n">
        <x:v>80898</x:v>
      </x:c>
      <x:c r="U22" s="11" t="n">
        <x:v>38220</x:v>
      </x:c>
      <x:c r="V22" s="11" t="n">
        <x:v>248912</x:v>
      </x:c>
      <x:c r="W22" s="11" t="n">
        <x:v>600842</x:v>
      </x:c>
      <x:c r="X22" s="11" t="n">
        <x:v>0</x:v>
      </x:c>
      <x:c r="Y22" s="11" t="n">
        <x:v>1174</x:v>
      </x:c>
      <x:c r="Z22" s="11" t="n">
        <x:v>1006</x:v>
      </x:c>
      <x:c r="AA22" s="11" t="n">
        <x:v>0</x:v>
      </x:c>
      <x:c r="AB22" s="11" t="n">
        <x:v>0</x:v>
      </x:c>
      <x:c r="AC22" s="11" t="n">
        <x:v>1129</x:v>
      </x:c>
      <x:c r="AE22" t="str">
        <x:v>b/N_H1.csv</x:v>
      </x:c>
    </x:row>
    <x:row r="23" ht="24" customHeight="1">
      <x:c r="A23" s="10" t="str">
        <x:v>b</x:v>
      </x:c>
      <x:c r="B23" s="10" t="str">
        <x:v>C_H0</x:v>
      </x:c>
      <x:c r="C23" s="11" t="n">
        <x:v>1481</x:v>
      </x:c>
      <x:c r="D23" s="11" t="n">
        <x:v>3433060</x:v>
      </x:c>
      <x:c r="E23" s="11" t="n">
        <x:v>0</x:v>
      </x:c>
      <x:c r="F23" s="11" t="n">
        <x:v>353</x:v>
      </x:c>
      <x:c r="G23" s="11" t="n">
        <x:v>0</x:v>
      </x:c>
      <x:c r="H23" s="11" t="n">
        <x:v>0</x:v>
      </x:c>
      <x:c r="I23" s="11" t="n">
        <x:v>1128</x:v>
      </x:c>
      <x:c r="J23" s="11" t="n">
        <x:v>0</x:v>
      </x:c>
      <x:c r="K23" s="11" t="n">
        <x:v>0</x:v>
      </x:c>
      <x:c r="L23" s="11" t="n">
        <x:v>0</x:v>
      </x:c>
      <x:c r="M23" s="11" t="n">
        <x:v>0</x:v>
      </x:c>
      <x:c r="N23" s="11" t="n">
        <x:v>0</x:v>
      </x:c>
      <x:c r="O23" s="11" t="n">
        <x:v>0</x:v>
      </x:c>
      <x:c r="P23" s="11" t="n">
        <x:v>741390</x:v>
      </x:c>
      <x:c r="Q23" s="11" t="n">
        <x:v>0</x:v>
      </x:c>
      <x:c r="R23" s="11" t="n">
        <x:v>0</x:v>
      </x:c>
      <x:c r="S23" s="11" t="n">
        <x:v>2691670</x:v>
      </x:c>
      <x:c r="T23" s="11" t="n">
        <x:v>0</x:v>
      </x:c>
      <x:c r="U23" s="11" t="n">
        <x:v>0</x:v>
      </x:c>
      <x:c r="V23" s="11" t="n">
        <x:v>0</x:v>
      </x:c>
      <x:c r="W23" s="11" t="n">
        <x:v>0</x:v>
      </x:c>
      <x:c r="X23" s="11" t="n">
        <x:v>0</x:v>
      </x:c>
      <x:c r="Y23" s="11" t="n">
        <x:v>1128</x:v>
      </x:c>
      <x:c r="Z23" s="11" t="n">
        <x:v>1128</x:v>
      </x:c>
      <x:c r="AA23" s="11" t="n">
        <x:v>0</x:v>
      </x:c>
      <x:c r="AB23" s="11" t="n">
        <x:v>0</x:v>
      </x:c>
      <x:c r="AC23" s="11" t="n">
        <x:v>976</x:v>
      </x:c>
      <x:c r="AE23" t="str">
        <x:v>b/C_H0.csv</x:v>
      </x:c>
    </x:row>
    <x:row r="24" ht="24" customHeight="1">
      <x:c r="A24" s="10" t="str">
        <x:v>b</x:v>
      </x:c>
      <x:c r="B24" s="10" t="str">
        <x:v>C_H1</x:v>
      </x:c>
      <x:c r="C24" s="11" t="n">
        <x:v>1481</x:v>
      </x:c>
      <x:c r="D24" s="11" t="n">
        <x:v>3433060</x:v>
      </x:c>
      <x:c r="E24" s="11" t="n">
        <x:v>0</x:v>
      </x:c>
      <x:c r="F24" s="11" t="n">
        <x:v>323</x:v>
      </x:c>
      <x:c r="G24" s="11" t="n">
        <x:v>0</x:v>
      </x:c>
      <x:c r="H24" s="11" t="n">
        <x:v>0</x:v>
      </x:c>
      <x:c r="I24" s="11" t="n">
        <x:v>1128</x:v>
      </x:c>
      <x:c r="J24" s="11" t="n">
        <x:v>0</x:v>
      </x:c>
      <x:c r="K24" s="11" t="n">
        <x:v>30</x:v>
      </x:c>
      <x:c r="L24" s="11" t="n">
        <x:v>0</x:v>
      </x:c>
      <x:c r="M24" s="11" t="n">
        <x:v>0</x:v>
      </x:c>
      <x:c r="N24" s="11" t="n">
        <x:v>0</x:v>
      </x:c>
      <x:c r="O24" s="11" t="n">
        <x:v>0</x:v>
      </x:c>
      <x:c r="P24" s="11" t="n">
        <x:v>724530</x:v>
      </x:c>
      <x:c r="Q24" s="11" t="n">
        <x:v>0</x:v>
      </x:c>
      <x:c r="R24" s="11" t="n">
        <x:v>0</x:v>
      </x:c>
      <x:c r="S24" s="11" t="n">
        <x:v>2691670</x:v>
      </x:c>
      <x:c r="T24" s="11" t="n">
        <x:v>0</x:v>
      </x:c>
      <x:c r="U24" s="11" t="n">
        <x:v>16860</x:v>
      </x:c>
      <x:c r="V24" s="11" t="n">
        <x:v>0</x:v>
      </x:c>
      <x:c r="W24" s="11" t="n">
        <x:v>0</x:v>
      </x:c>
      <x:c r="X24" s="11" t="n">
        <x:v>0</x:v>
      </x:c>
      <x:c r="Y24" s="11" t="n">
        <x:v>1128</x:v>
      </x:c>
      <x:c r="Z24" s="11" t="n">
        <x:v>1128</x:v>
      </x:c>
      <x:c r="AA24" s="11" t="n">
        <x:v>0</x:v>
      </x:c>
      <x:c r="AB24" s="11" t="n">
        <x:v>0</x:v>
      </x:c>
      <x:c r="AC24" s="11" t="n">
        <x:v>1006</x:v>
      </x:c>
      <x:c r="AE24" t="str">
        <x:v>b/C_H1.csv</x:v>
      </x:c>
    </x:row>
    <x:row r="25" ht="24" customHeight="1">
      <x:c r="A25" s="10" t="str">
        <x:v>b</x:v>
      </x:c>
      <x:c r="B25" s="10" t="str">
        <x:v>NG_H0</x:v>
      </x:c>
      <x:c r="C25" s="11" t="n">
        <x:v>1481</x:v>
      </x:c>
      <x:c r="D25" s="11" t="n">
        <x:v>3433060</x:v>
      </x:c>
      <x:c r="E25" s="11" t="n">
        <x:v>0</x:v>
      </x:c>
      <x:c r="F25" s="11" t="n">
        <x:v>190</x:v>
      </x:c>
      <x:c r="G25" s="11" t="n">
        <x:v>648</x:v>
      </x:c>
      <x:c r="H25" s="11" t="n">
        <x:v>390</x:v>
      </x:c>
      <x:c r="I25" s="11" t="n">
        <x:v>88</x:v>
      </x:c>
      <x:c r="J25" s="11" t="n">
        <x:v>12</x:v>
      </x:c>
      <x:c r="K25" s="11" t="n">
        <x:v>6</x:v>
      </x:c>
      <x:c r="L25" s="11" t="n">
        <x:v>41</x:v>
      </x:c>
      <x:c r="M25" s="11" t="n">
        <x:v>106</x:v>
      </x:c>
      <x:c r="N25" s="11" t="n">
        <x:v>0</x:v>
      </x:c>
      <x:c r="O25" s="11" t="n">
        <x:v>0</x:v>
      </x:c>
      <x:c r="P25" s="11" t="n">
        <x:v>291808</x:v>
      </x:c>
      <x:c r="Q25" s="11" t="n">
        <x:v>836526</x:v>
      </x:c>
      <x:c r="R25" s="11" t="n">
        <x:v>770292</x:v>
      </x:c>
      <x:c r="S25" s="11" t="n">
        <x:v>470854</x:v>
      </x:c>
      <x:c r="T25" s="11" t="n">
        <x:v>180310</x:v>
      </x:c>
      <x:c r="U25" s="11" t="n">
        <x:v>33516</x:v>
      </x:c>
      <x:c r="V25" s="11" t="n">
        <x:v>248912</x:v>
      </x:c>
      <x:c r="W25" s="11" t="n">
        <x:v>600842</x:v>
      </x:c>
      <x:c r="X25" s="11" t="n">
        <x:v>0</x:v>
      </x:c>
      <x:c r="Y25" s="11" t="n">
        <x:v>1174</x:v>
      </x:c>
      <x:c r="Z25" s="11" t="n">
        <x:v>1006</x:v>
      </x:c>
      <x:c r="AA25" s="11" t="n">
        <x:v>0</x:v>
      </x:c>
      <x:c r="AB25" s="11" t="n">
        <x:v>0</x:v>
      </x:c>
      <x:c r="AC25" s="11" t="n">
        <x:v>1006</x:v>
      </x:c>
      <x:c r="AE25" t="str">
        <x:v>b/NG_H0.csv</x:v>
      </x:c>
    </x:row>
    <x:row r="26" ht="24" customHeight="1">
      <x:c r="A26" s="10" t="str">
        <x:v>b</x:v>
      </x:c>
      <x:c r="B26" s="10" t="str">
        <x:v>NG_H1</x:v>
      </x:c>
      <x:c r="C26" s="11" t="n">
        <x:v>1481</x:v>
      </x:c>
      <x:c r="D26" s="11" t="n">
        <x:v>3433060</x:v>
      </x:c>
      <x:c r="E26" s="11" t="n">
        <x:v>0</x:v>
      </x:c>
      <x:c r="F26" s="11" t="n">
        <x:v>154</x:v>
      </x:c>
      <x:c r="G26" s="11" t="n">
        <x:v>572</x:v>
      </x:c>
      <x:c r="H26" s="11" t="n">
        <x:v>471</x:v>
      </x:c>
      <x:c r="I26" s="11" t="n">
        <x:v>93</x:v>
      </x:c>
      <x:c r="J26" s="11" t="n">
        <x:v>28</x:v>
      </x:c>
      <x:c r="K26" s="11" t="n">
        <x:v>16</x:v>
      </x:c>
      <x:c r="L26" s="11" t="n">
        <x:v>41</x:v>
      </x:c>
      <x:c r="M26" s="11" t="n">
        <x:v>106</x:v>
      </x:c>
      <x:c r="N26" s="11" t="n">
        <x:v>0</x:v>
      </x:c>
      <x:c r="O26" s="11" t="n">
        <x:v>0</x:v>
      </x:c>
      <x:c r="P26" s="11" t="n">
        <x:v>277868</x:v>
      </x:c>
      <x:c r="Q26" s="11" t="n">
        <x:v>625234</x:v>
      </x:c>
      <x:c r="R26" s="11" t="n">
        <x:v>957786</x:v>
      </x:c>
      <x:c r="S26" s="11" t="n">
        <x:v>483652</x:v>
      </x:c>
      <x:c r="T26" s="11" t="n">
        <x:v>200546</x:v>
      </x:c>
      <x:c r="U26" s="11" t="n">
        <x:v>38220</x:v>
      </x:c>
      <x:c r="V26" s="11" t="n">
        <x:v>248912</x:v>
      </x:c>
      <x:c r="W26" s="11" t="n">
        <x:v>600842</x:v>
      </x:c>
      <x:c r="X26" s="11" t="n">
        <x:v>0</x:v>
      </x:c>
      <x:c r="Y26" s="11" t="n">
        <x:v>1174</x:v>
      </x:c>
      <x:c r="Z26" s="11" t="n">
        <x:v>1006</x:v>
      </x:c>
      <x:c r="AA26" s="11" t="n">
        <x:v>0</x:v>
      </x:c>
      <x:c r="AB26" s="11" t="n">
        <x:v>0</x:v>
      </x:c>
      <x:c r="AC26" s="11" t="n">
        <x:v>1129</x:v>
      </x:c>
      <x:c r="AE26" t="str">
        <x:v>b/NG_H1.csv</x:v>
      </x:c>
    </x:row>
    <x:row r="27" ht="24" customHeight="1">
      <x:c r="A27" s="10" t="str">
        <x:v>b</x:v>
      </x:c>
      <x:c r="B27" s="10" t="str">
        <x:v>CG_H0</x:v>
      </x:c>
      <x:c r="C27" s="11" t="n">
        <x:v>1481</x:v>
      </x:c>
      <x:c r="D27" s="11" t="n">
        <x:v>3433060</x:v>
      </x:c>
      <x:c r="E27" s="11" t="n">
        <x:v>0</x:v>
      </x:c>
      <x:c r="F27" s="11" t="n">
        <x:v>254</x:v>
      </x:c>
      <x:c r="G27" s="11" t="n">
        <x:v>698</x:v>
      </x:c>
      <x:c r="H27" s="11" t="n">
        <x:v>428</x:v>
      </x:c>
      <x:c r="I27" s="11" t="n">
        <x:v>95</x:v>
      </x:c>
      <x:c r="J27" s="11" t="n">
        <x:v>6</x:v>
      </x:c>
      <x:c r="K27" s="11" t="n">
        <x:v>0</x:v>
      </x:c>
      <x:c r="L27" s="11" t="n">
        <x:v>0</x:v>
      </x:c>
      <x:c r="M27" s="11" t="n">
        <x:v>0</x:v>
      </x:c>
      <x:c r="N27" s="11" t="n">
        <x:v>0</x:v>
      </x:c>
      <x:c r="O27" s="11" t="n">
        <x:v>0</x:v>
      </x:c>
      <x:c r="P27" s="11" t="n">
        <x:v>454986</x:v>
      </x:c>
      <x:c r="Q27" s="11" t="n">
        <x:v>1314562</x:v>
      </x:c>
      <x:c r="R27" s="11" t="n">
        <x:v>1028442</x:v>
      </x:c>
      <x:c r="S27" s="11" t="n">
        <x:v>521438</x:v>
      </x:c>
      <x:c r="T27" s="11" t="n">
        <x:v>113632</x:v>
      </x:c>
      <x:c r="U27" s="11" t="n">
        <x:v>0</x:v>
      </x:c>
      <x:c r="V27" s="11" t="n">
        <x:v>0</x:v>
      </x:c>
      <x:c r="W27" s="11" t="n">
        <x:v>0</x:v>
      </x:c>
      <x:c r="X27" s="11" t="n">
        <x:v>0</x:v>
      </x:c>
      <x:c r="Y27" s="11" t="n">
        <x:v>1128</x:v>
      </x:c>
      <x:c r="Z27" s="11" t="n">
        <x:v>1128</x:v>
      </x:c>
      <x:c r="AA27" s="11" t="n">
        <x:v>0</x:v>
      </x:c>
      <x:c r="AB27" s="11" t="n">
        <x:v>0</x:v>
      </x:c>
      <x:c r="AC27" s="11" t="n">
        <x:v>976</x:v>
      </x:c>
      <x:c r="AE27" t="str">
        <x:v>b/CG_H0.csv</x:v>
      </x:c>
    </x:row>
    <x:row r="28" ht="24" customHeight="1">
      <x:c r="A28" s="10" t="str">
        <x:v>b</x:v>
      </x:c>
      <x:c r="B28" s="10" t="str">
        <x:v>CG_H1</x:v>
      </x:c>
      <x:c r="C28" s="11" t="n">
        <x:v>1481</x:v>
      </x:c>
      <x:c r="D28" s="11" t="n">
        <x:v>3433060</x:v>
      </x:c>
      <x:c r="E28" s="11" t="n">
        <x:v>0</x:v>
      </x:c>
      <x:c r="F28" s="11" t="n">
        <x:v>188</x:v>
      </x:c>
      <x:c r="G28" s="11" t="n">
        <x:v>658</x:v>
      </x:c>
      <x:c r="H28" s="11" t="n">
        <x:v>490</x:v>
      </x:c>
      <x:c r="I28" s="11" t="n">
        <x:v>106</x:v>
      </x:c>
      <x:c r="J28" s="11" t="n">
        <x:v>9</x:v>
      </x:c>
      <x:c r="K28" s="11" t="n">
        <x:v>30</x:v>
      </x:c>
      <x:c r="L28" s="11" t="n">
        <x:v>0</x:v>
      </x:c>
      <x:c r="M28" s="11" t="n">
        <x:v>0</x:v>
      </x:c>
      <x:c r="N28" s="11" t="n">
        <x:v>0</x:v>
      </x:c>
      <x:c r="O28" s="11" t="n">
        <x:v>0</x:v>
      </x:c>
      <x:c r="P28" s="11" t="n">
        <x:v>424034</x:v>
      </x:c>
      <x:c r="Q28" s="11" t="n">
        <x:v>1126902</x:v>
      </x:c>
      <x:c r="R28" s="11" t="n">
        <x:v>1131386</x:v>
      </x:c>
      <x:c r="S28" s="11" t="n">
        <x:v>611686</x:v>
      </x:c>
      <x:c r="T28" s="11" t="n">
        <x:v>122192</x:v>
      </x:c>
      <x:c r="U28" s="11" t="n">
        <x:v>16860</x:v>
      </x:c>
      <x:c r="V28" s="11" t="n">
        <x:v>0</x:v>
      </x:c>
      <x:c r="W28" s="11" t="n">
        <x:v>0</x:v>
      </x:c>
      <x:c r="X28" s="11" t="n">
        <x:v>0</x:v>
      </x:c>
      <x:c r="Y28" s="11" t="n">
        <x:v>1130</x:v>
      </x:c>
      <x:c r="Z28" s="11" t="n">
        <x:v>1130</x:v>
      </x:c>
      <x:c r="AA28" s="11" t="n">
        <x:v>0</x:v>
      </x:c>
      <x:c r="AB28" s="11" t="n">
        <x:v>2</x:v>
      </x:c>
      <x:c r="AC28" s="11" t="n">
        <x:v>1008</x:v>
      </x:c>
      <x:c r="AE28" t="str">
        <x:v>b/CG_H1.csv</x:v>
      </x:c>
    </x:row>
    <x:row r="29" ht="24" customHeight="1">
      <x:c r="A29" s="10" t="str">
        <x:v>b</x:v>
      </x:c>
      <x:c r="B29" s="10" t="str">
        <x:v>NC_H0</x:v>
      </x:c>
      <x:c r="C29" s="11" t="n">
        <x:v>1481</x:v>
      </x:c>
      <x:c r="D29" s="11" t="n">
        <x:v>3433060</x:v>
      </x:c>
      <x:c r="E29" s="11" t="n">
        <x:v>0</x:v>
      </x:c>
      <x:c r="F29" s="11" t="n">
        <x:v>315</x:v>
      </x:c>
      <x:c r="G29" s="11" t="n">
        <x:v>20</x:v>
      </x:c>
      <x:c r="H29" s="11" t="n">
        <x:v>0</x:v>
      </x:c>
      <x:c r="I29" s="11" t="n">
        <x:v>1060</x:v>
      </x:c>
      <x:c r="J29" s="11" t="n">
        <x:v>6</x:v>
      </x:c>
      <x:c r="K29" s="11" t="n">
        <x:v>6</x:v>
      </x:c>
      <x:c r="L29" s="11" t="n">
        <x:v>35</x:v>
      </x:c>
      <x:c r="M29" s="11" t="n">
        <x:v>39</x:v>
      </x:c>
      <x:c r="N29" s="11" t="n">
        <x:v>0</x:v>
      </x:c>
      <x:c r="O29" s="11" t="n">
        <x:v>0</x:v>
      </x:c>
      <x:c r="P29" s="11" t="n">
        <x:v>586152</x:v>
      </x:c>
      <x:c r="Q29" s="11" t="n">
        <x:v>24446</x:v>
      </x:c>
      <x:c r="R29" s="11" t="n">
        <x:v>0</x:v>
      </x:c>
      <x:c r="S29" s="11" t="n">
        <x:v>2144842</x:v>
      </x:c>
      <x:c r="T29" s="11" t="n">
        <x:v>66678</x:v>
      </x:c>
      <x:c r="U29" s="11" t="n">
        <x:v>33516</x:v>
      </x:c>
      <x:c r="V29" s="11" t="n">
        <x:v>201026</x:v>
      </x:c>
      <x:c r="W29" s="11" t="n">
        <x:v>376400</x:v>
      </x:c>
      <x:c r="X29" s="11" t="n">
        <x:v>0</x:v>
      </x:c>
      <x:c r="Y29" s="11" t="n">
        <x:v>1060</x:v>
      </x:c>
      <x:c r="Z29" s="11" t="n">
        <x:v>899</x:v>
      </x:c>
      <x:c r="AA29" s="11" t="n">
        <x:v>135</x:v>
      </x:c>
      <x:c r="AB29" s="11" t="n">
        <x:v>0</x:v>
      </x:c>
      <x:c r="AC29" s="11" t="n">
        <x:v>804</x:v>
      </x:c>
      <x:c r="AE29" t="str">
        <x:v>b/NC_H0.csv</x:v>
      </x:c>
    </x:row>
    <x:row r="30" ht="24" customHeight="1">
      <x:c r="A30" s="10" t="str">
        <x:v>b</x:v>
      </x:c>
      <x:c r="B30" s="10" t="str">
        <x:v>NC_H1</x:v>
      </x:c>
      <x:c r="C30" s="11" t="n">
        <x:v>1481</x:v>
      </x:c>
      <x:c r="D30" s="11" t="n">
        <x:v>3433060</x:v>
      </x:c>
      <x:c r="E30" s="11" t="n">
        <x:v>0</x:v>
      </x:c>
      <x:c r="F30" s="11" t="n">
        <x:v>289</x:v>
      </x:c>
      <x:c r="G30" s="11" t="n">
        <x:v>11</x:v>
      </x:c>
      <x:c r="H30" s="11" t="n">
        <x:v>0</x:v>
      </x:c>
      <x:c r="I30" s="11" t="n">
        <x:v>1060</x:v>
      </x:c>
      <x:c r="J30" s="11" t="n">
        <x:v>15</x:v>
      </x:c>
      <x:c r="K30" s="11" t="n">
        <x:v>32</x:v>
      </x:c>
      <x:c r="L30" s="11" t="n">
        <x:v>35</x:v>
      </x:c>
      <x:c r="M30" s="11" t="n">
        <x:v>39</x:v>
      </x:c>
      <x:c r="N30" s="11" t="n">
        <x:v>0</x:v>
      </x:c>
      <x:c r="O30" s="11" t="n">
        <x:v>0</x:v>
      </x:c>
      <x:c r="P30" s="11" t="n">
        <x:v>571208</x:v>
      </x:c>
      <x:c r="Q30" s="11" t="n">
        <x:v>14744</x:v>
      </x:c>
      <x:c r="R30" s="11" t="n">
        <x:v>0</x:v>
      </x:c>
      <x:c r="S30" s="11" t="n">
        <x:v>2144842</x:v>
      </x:c>
      <x:c r="T30" s="11" t="n">
        <x:v>76380</x:v>
      </x:c>
      <x:c r="U30" s="11" t="n">
        <x:v>48460</x:v>
      </x:c>
      <x:c r="V30" s="11" t="n">
        <x:v>201026</x:v>
      </x:c>
      <x:c r="W30" s="11" t="n">
        <x:v>376400</x:v>
      </x:c>
      <x:c r="X30" s="11" t="n">
        <x:v>0</x:v>
      </x:c>
      <x:c r="Y30" s="11" t="n">
        <x:v>1060</x:v>
      </x:c>
      <x:c r="Z30" s="11" t="n">
        <x:v>899</x:v>
      </x:c>
      <x:c r="AA30" s="11" t="n">
        <x:v>135</x:v>
      </x:c>
      <x:c r="AB30" s="11" t="n">
        <x:v>0</x:v>
      </x:c>
      <x:c r="AC30" s="11" t="n">
        <x:v>879</x:v>
      </x:c>
      <x:c r="AE30" t="str">
        <x:v>b/NC_H1.csv</x:v>
      </x:c>
    </x:row>
    <x:row r="31" ht="24" customHeight="1">
      <x:c r="A31" s="10" t="str">
        <x:v>b</x:v>
      </x:c>
      <x:c r="B31" s="10" t="str">
        <x:v>NCG_H0</x:v>
      </x:c>
      <x:c r="C31" s="11" t="n">
        <x:v>1481</x:v>
      </x:c>
      <x:c r="D31" s="11" t="n">
        <x:v>3433060</x:v>
      </x:c>
      <x:c r="E31" s="11" t="n">
        <x:v>0</x:v>
      </x:c>
      <x:c r="F31" s="11" t="n">
        <x:v>204</x:v>
      </x:c>
      <x:c r="G31" s="11" t="n">
        <x:v>695</x:v>
      </x:c>
      <x:c r="H31" s="11" t="n">
        <x:v>384</x:v>
      </x:c>
      <x:c r="I31" s="11" t="n">
        <x:v>102</x:v>
      </x:c>
      <x:c r="J31" s="11" t="n">
        <x:v>16</x:v>
      </x:c>
      <x:c r="K31" s="11" t="n">
        <x:v>6</x:v>
      </x:c>
      <x:c r="L31" s="11" t="n">
        <x:v>35</x:v>
      </x:c>
      <x:c r="M31" s="11" t="n">
        <x:v>39</x:v>
      </x:c>
      <x:c r="N31" s="11" t="n">
        <x:v>0</x:v>
      </x:c>
      <x:c r="O31" s="11" t="n">
        <x:v>0</x:v>
      </x:c>
      <x:c r="P31" s="11" t="n">
        <x:v>290304</x:v>
      </x:c>
      <x:c r="Q31" s="11" t="n">
        <x:v>995056</x:v>
      </x:c>
      <x:c r="R31" s="11" t="n">
        <x:v>819028</x:v>
      </x:c>
      <x:c r="S31" s="11" t="n">
        <x:v>516556</x:v>
      </x:c>
      <x:c r="T31" s="11" t="n">
        <x:v>201174</x:v>
      </x:c>
      <x:c r="U31" s="11" t="n">
        <x:v>33516</x:v>
      </x:c>
      <x:c r="V31" s="11" t="n">
        <x:v>201026</x:v>
      </x:c>
      <x:c r="W31" s="11" t="n">
        <x:v>376400</x:v>
      </x:c>
      <x:c r="X31" s="11" t="n">
        <x:v>0</x:v>
      </x:c>
      <x:c r="Y31" s="11" t="n">
        <x:v>1060</x:v>
      </x:c>
      <x:c r="Z31" s="11" t="n">
        <x:v>899</x:v>
      </x:c>
      <x:c r="AA31" s="11" t="n">
        <x:v>135</x:v>
      </x:c>
      <x:c r="AB31" s="11" t="n">
        <x:v>0</x:v>
      </x:c>
      <x:c r="AC31" s="11" t="n">
        <x:v>804</x:v>
      </x:c>
      <x:c r="AE31" t="str">
        <x:v>b/NCG_H0.csv</x:v>
      </x:c>
    </x:row>
    <x:row r="32" ht="24" customHeight="1">
      <x:c r="A32" s="10" t="str">
        <x:v>b</x:v>
      </x:c>
      <x:c r="B32" s="10" t="str">
        <x:v>NCG_H1</x:v>
      </x:c>
      <x:c r="C32" s="11" t="n">
        <x:v>1481</x:v>
      </x:c>
      <x:c r="D32" s="11" t="n">
        <x:v>3433060</x:v>
      </x:c>
      <x:c r="E32" s="11" t="n">
        <x:v>0</x:v>
      </x:c>
      <x:c r="F32" s="11" t="n">
        <x:v>144</x:v>
      </x:c>
      <x:c r="G32" s="11" t="n">
        <x:v>643</x:v>
      </x:c>
      <x:c r="H32" s="11" t="n">
        <x:v>456</x:v>
      </x:c>
      <x:c r="I32" s="11" t="n">
        <x:v>104</x:v>
      </x:c>
      <x:c r="J32" s="11" t="n">
        <x:v>28</x:v>
      </x:c>
      <x:c r="K32" s="11" t="n">
        <x:v>32</x:v>
      </x:c>
      <x:c r="L32" s="11" t="n">
        <x:v>35</x:v>
      </x:c>
      <x:c r="M32" s="11" t="n">
        <x:v>39</x:v>
      </x:c>
      <x:c r="N32" s="11" t="n">
        <x:v>0</x:v>
      </x:c>
      <x:c r="O32" s="11" t="n">
        <x:v>0</x:v>
      </x:c>
      <x:c r="P32" s="11" t="n">
        <x:v>262624</x:v>
      </x:c>
      <x:c r="Q32" s="11" t="n">
        <x:v>799400</x:v>
      </x:c>
      <x:c r="R32" s="11" t="n">
        <x:v>1003020</x:v>
      </x:c>
      <x:c r="S32" s="11" t="n">
        <x:v>522694</x:v>
      </x:c>
      <x:c r="T32" s="11" t="n">
        <x:v>219436</x:v>
      </x:c>
      <x:c r="U32" s="11" t="n">
        <x:v>48460</x:v>
      </x:c>
      <x:c r="V32" s="11" t="n">
        <x:v>201026</x:v>
      </x:c>
      <x:c r="W32" s="11" t="n">
        <x:v>376400</x:v>
      </x:c>
      <x:c r="X32" s="11" t="n">
        <x:v>0</x:v>
      </x:c>
      <x:c r="Y32" s="11" t="n">
        <x:v>1061</x:v>
      </x:c>
      <x:c r="Z32" s="11" t="n">
        <x:v>900</x:v>
      </x:c>
      <x:c r="AA32" s="11" t="n">
        <x:v>135</x:v>
      </x:c>
      <x:c r="AB32" s="11" t="n">
        <x:v>1</x:v>
      </x:c>
      <x:c r="AC32" s="11" t="n">
        <x:v>880</x:v>
      </x:c>
      <x:c r="AE32" t="str">
        <x:v>b/NCG_H1.csv</x:v>
      </x:c>
    </x:row>
    <x:row r="33" ht="24" customHeight="1">
      <x:c r="A33" s="10" t="str">
        <x:v>b</x:v>
      </x:c>
      <x:c r="B33" s="10" t="str">
        <x:v>G_H0</x:v>
      </x:c>
      <x:c r="C33" s="11" t="n">
        <x:v>1481</x:v>
      </x:c>
      <x:c r="D33" s="11" t="n">
        <x:v>3433060</x:v>
      </x:c>
      <x:c r="E33" s="11" t="n">
        <x:v>0</x:v>
      </x:c>
      <x:c r="F33" s="11" t="n">
        <x:v>223</x:v>
      </x:c>
      <x:c r="G33" s="11" t="n">
        <x:v>729</x:v>
      </x:c>
      <x:c r="H33" s="11" t="n">
        <x:v>428</x:v>
      </x:c>
      <x:c r="I33" s="11" t="n">
        <x:v>95</x:v>
      </x:c>
      <x:c r="J33" s="11" t="n">
        <x:v>6</x:v>
      </x:c>
      <x:c r="K33" s="11" t="n">
        <x:v>0</x:v>
      </x:c>
      <x:c r="L33" s="11" t="n">
        <x:v>0</x:v>
      </x:c>
      <x:c r="M33" s="11" t="n">
        <x:v>0</x:v>
      </x:c>
      <x:c r="N33" s="11" t="n">
        <x:v>0</x:v>
      </x:c>
      <x:c r="O33" s="11" t="n">
        <x:v>0</x:v>
      </x:c>
      <x:c r="P33" s="11" t="n">
        <x:v>437826</x:v>
      </x:c>
      <x:c r="Q33" s="11" t="n">
        <x:v>1331722</x:v>
      </x:c>
      <x:c r="R33" s="11" t="n">
        <x:v>1028442</x:v>
      </x:c>
      <x:c r="S33" s="11" t="n">
        <x:v>521438</x:v>
      </x:c>
      <x:c r="T33" s="11" t="n">
        <x:v>113632</x:v>
      </x:c>
      <x:c r="U33" s="11" t="n">
        <x:v>0</x:v>
      </x:c>
      <x:c r="V33" s="11" t="n">
        <x:v>0</x:v>
      </x:c>
      <x:c r="W33" s="11" t="n">
        <x:v>0</x:v>
      </x:c>
      <x:c r="X33" s="11" t="n">
        <x:v>0</x:v>
      </x:c>
      <x:c r="Y33" s="11" t="n">
        <x:v>1481</x:v>
      </x:c>
      <x:c r="Z33" s="11" t="n">
        <x:v>1481</x:v>
      </x:c>
      <x:c r="AA33" s="11" t="n">
        <x:v>0</x:v>
      </x:c>
      <x:c r="AB33" s="11" t="n">
        <x:v>0</x:v>
      </x:c>
      <x:c r="AC33" s="11" t="n">
        <x:v>1481</x:v>
      </x:c>
      <x:c r="AE33" t="str">
        <x:v>b/G_H0.csv</x:v>
      </x:c>
    </x:row>
    <x:row r="34" ht="24" customHeight="1">
      <x:c r="A34" s="10" t="str">
        <x:v>b</x:v>
      </x:c>
      <x:c r="B34" s="10" t="str">
        <x:v>G_H1</x:v>
      </x:c>
      <x:c r="C34" s="11" t="n">
        <x:v>1481</x:v>
      </x:c>
      <x:c r="D34" s="11" t="n">
        <x:v>3433060</x:v>
      </x:c>
      <x:c r="E34" s="11" t="n">
        <x:v>0</x:v>
      </x:c>
      <x:c r="F34" s="11" t="n">
        <x:v>167</x:v>
      </x:c>
      <x:c r="G34" s="11" t="n">
        <x:v>691</x:v>
      </x:c>
      <x:c r="H34" s="11" t="n">
        <x:v>507</x:v>
      </x:c>
      <x:c r="I34" s="11" t="n">
        <x:v>108</x:v>
      </x:c>
      <x:c r="J34" s="11" t="n">
        <x:v>8</x:v>
      </x:c>
      <x:c r="K34" s="11" t="n">
        <x:v>0</x:v>
      </x:c>
      <x:c r="L34" s="11" t="n">
        <x:v>0</x:v>
      </x:c>
      <x:c r="M34" s="11" t="n">
        <x:v>0</x:v>
      </x:c>
      <x:c r="N34" s="11" t="n">
        <x:v>0</x:v>
      </x:c>
      <x:c r="O34" s="11" t="n">
        <x:v>0</x:v>
      </x:c>
      <x:c r="P34" s="11" t="n">
        <x:v>409122</x:v>
      </x:c>
      <x:c r="Q34" s="11" t="n">
        <x:v>1146342</x:v>
      </x:c>
      <x:c r="R34" s="11" t="n">
        <x:v>1140066</x:v>
      </x:c>
      <x:c r="S34" s="11" t="n">
        <x:v>617882</x:v>
      </x:c>
      <x:c r="T34" s="11" t="n">
        <x:v>119648</x:v>
      </x:c>
      <x:c r="U34" s="11" t="n">
        <x:v>0</x:v>
      </x:c>
      <x:c r="V34" s="11" t="n">
        <x:v>0</x:v>
      </x:c>
      <x:c r="W34" s="11" t="n">
        <x:v>0</x:v>
      </x:c>
      <x:c r="X34" s="11" t="n">
        <x:v>0</x:v>
      </x:c>
      <x:c r="Y34" s="11" t="n">
        <x:v>1481</x:v>
      </x:c>
      <x:c r="Z34" s="11" t="n">
        <x:v>1481</x:v>
      </x:c>
      <x:c r="AA34" s="11" t="n">
        <x:v>0</x:v>
      </x:c>
      <x:c r="AB34" s="11" t="n">
        <x:v>0</x:v>
      </x:c>
      <x:c r="AC34" s="11" t="n">
        <x:v>1481</x:v>
      </x:c>
      <x:c r="AE34" t="str">
        <x:v>b/G_H1.csv</x:v>
      </x:c>
    </x:row>
    <x:row r="35" ht="24" customHeight="1">
      <x:c r="A35" s="10" t="str">
        <x:v>b</x:v>
      </x:c>
      <x:c r="B35" s="10" t="str">
        <x:v>NCG_H1_M1</x:v>
      </x:c>
      <x:c r="C35" s="11" t="n">
        <x:v>1481</x:v>
      </x:c>
      <x:c r="D35" s="11" t="n">
        <x:v>3433060</x:v>
      </x:c>
      <x:c r="E35" s="11" t="n">
        <x:v>0</x:v>
      </x:c>
      <x:c r="F35" s="11" t="n">
        <x:v>144</x:v>
      </x:c>
      <x:c r="G35" s="11" t="n">
        <x:v>526</x:v>
      </x:c>
      <x:c r="H35" s="11" t="n">
        <x:v>416</x:v>
      </x:c>
      <x:c r="I35" s="11" t="n">
        <x:v>80</x:v>
      </x:c>
      <x:c r="J35" s="11" t="n">
        <x:v>21</x:v>
      </x:c>
      <x:c r="K35" s="11" t="n">
        <x:v>86</x:v>
      </x:c>
      <x:c r="L35" s="11" t="n">
        <x:v>72</x:v>
      </x:c>
      <x:c r="M35" s="11" t="n">
        <x:v>129</x:v>
      </x:c>
      <x:c r="N35" s="11" t="n">
        <x:v>7</x:v>
      </x:c>
      <x:c r="O35" s="11" t="n">
        <x:v>0</x:v>
      </x:c>
      <x:c r="P35" s="11" t="n">
        <x:v>262624</x:v>
      </x:c>
      <x:c r="Q35" s="11" t="n">
        <x:v>428044</x:v>
      </x:c>
      <x:c r="R35" s="11" t="n">
        <x:v>759386</x:v>
      </x:c>
      <x:c r="S35" s="11" t="n">
        <x:v>396846</x:v>
      </x:c>
      <x:c r="T35" s="11" t="n">
        <x:v>188056</x:v>
      </x:c>
      <x:c r="U35" s="11" t="n">
        <x:v>181064</x:v>
      </x:c>
      <x:c r="V35" s="11" t="n">
        <x:v>487628</x:v>
      </x:c>
      <x:c r="W35" s="11" t="n">
        <x:v>712416</x:v>
      </x:c>
      <x:c r="X35" s="11" t="n">
        <x:v>16996</x:v>
      </x:c>
      <x:c r="Y35" s="11" t="n">
        <x:v>888</x:v>
      </x:c>
      <x:c r="Z35" s="11" t="n">
        <x:v>739</x:v>
      </x:c>
      <x:c r="AA35" s="11" t="n">
        <x:v>135</x:v>
      </x:c>
      <x:c r="AB35" s="11" t="n">
        <x:v>1</x:v>
      </x:c>
      <x:c r="AC35" s="11" t="n">
        <x:v>943</x:v>
      </x:c>
      <x:c r="AE35" t="str">
        <x:v>b/NCG_H1_M1.csv</x:v>
      </x:c>
    </x:row>
    <x:row r="36" ht="24" customHeight="1">
      <x:c r="A36" s="10" t="str">
        <x:v>c</x:v>
      </x:c>
      <x:c r="B36" s="10" t="str">
        <x:v>N_H0</x:v>
      </x:c>
      <x:c r="C36" s="11" t="n">
        <x:v>1747</x:v>
      </x:c>
      <x:c r="D36" s="11" t="n">
        <x:v>11760345</x:v>
      </x:c>
      <x:c r="E36" s="11" t="n">
        <x:v>0</x:v>
      </x:c>
      <x:c r="F36" s="11" t="n">
        <x:v>185</x:v>
      </x:c>
      <x:c r="G36" s="11" t="n">
        <x:v>56</x:v>
      </x:c>
      <x:c r="H36" s="11" t="n">
        <x:v>0</x:v>
      </x:c>
      <x:c r="I36" s="11" t="n">
        <x:v>1343</x:v>
      </x:c>
      <x:c r="J36" s="11" t="n">
        <x:v>0</x:v>
      </x:c>
      <x:c r="K36" s="11" t="n">
        <x:v>55</x:v>
      </x:c>
      <x:c r="L36" s="11" t="n">
        <x:v>33</x:v>
      </x:c>
      <x:c r="M36" s="11" t="n">
        <x:v>75</x:v>
      </x:c>
      <x:c r="N36" s="11" t="n">
        <x:v>0</x:v>
      </x:c>
      <x:c r="O36" s="11" t="n">
        <x:v>0</x:v>
      </x:c>
      <x:c r="P36" s="11" t="n">
        <x:v>463012</x:v>
      </x:c>
      <x:c r="Q36" s="11" t="n">
        <x:v>115308</x:v>
      </x:c>
      <x:c r="R36" s="11" t="n">
        <x:v>0</x:v>
      </x:c>
      <x:c r="S36" s="11" t="n">
        <x:v>8612567</x:v>
      </x:c>
      <x:c r="T36" s="11" t="n">
        <x:v>0</x:v>
      </x:c>
      <x:c r="U36" s="11" t="n">
        <x:v>369870</x:v>
      </x:c>
      <x:c r="V36" s="11" t="n">
        <x:v>793838</x:v>
      </x:c>
      <x:c r="W36" s="11" t="n">
        <x:v>1405750</x:v>
      </x:c>
      <x:c r="X36" s="11" t="n">
        <x:v>0</x:v>
      </x:c>
      <x:c r="Y36" s="11" t="n">
        <x:v>1343</x:v>
      </x:c>
      <x:c r="Z36" s="11" t="n">
        <x:v>1133</x:v>
      </x:c>
      <x:c r="AA36" s="11" t="n">
        <x:v>0</x:v>
      </x:c>
      <x:c r="AB36" s="11" t="n">
        <x:v>0</x:v>
      </x:c>
      <x:c r="AC36" s="11" t="n">
        <x:v>1133</x:v>
      </x:c>
      <x:c r="AE36" t="str">
        <x:v>c/N_H0.csv</x:v>
      </x:c>
    </x:row>
    <x:row r="37" ht="24" customHeight="1">
      <x:c r="A37" s="10" t="str">
        <x:v>c</x:v>
      </x:c>
      <x:c r="B37" s="10" t="str">
        <x:v>N_H1</x:v>
      </x:c>
      <x:c r="C37" s="11" t="n">
        <x:v>1747</x:v>
      </x:c>
      <x:c r="D37" s="11" t="n">
        <x:v>11760345</x:v>
      </x:c>
      <x:c r="E37" s="11" t="n">
        <x:v>0</x:v>
      </x:c>
      <x:c r="F37" s="11" t="n">
        <x:v>185</x:v>
      </x:c>
      <x:c r="G37" s="11" t="n">
        <x:v>22</x:v>
      </x:c>
      <x:c r="H37" s="11" t="n">
        <x:v>0</x:v>
      </x:c>
      <x:c r="I37" s="11" t="n">
        <x:v>1343</x:v>
      </x:c>
      <x:c r="J37" s="11" t="n">
        <x:v>34</x:v>
      </x:c>
      <x:c r="K37" s="11" t="n">
        <x:v>55</x:v>
      </x:c>
      <x:c r="L37" s="11" t="n">
        <x:v>33</x:v>
      </x:c>
      <x:c r="M37" s="11" t="n">
        <x:v>75</x:v>
      </x:c>
      <x:c r="N37" s="11" t="n">
        <x:v>0</x:v>
      </x:c>
      <x:c r="O37" s="11" t="n">
        <x:v>0</x:v>
      </x:c>
      <x:c r="P37" s="11" t="n">
        <x:v>463012</x:v>
      </x:c>
      <x:c r="Q37" s="11" t="n">
        <x:v>23612</x:v>
      </x:c>
      <x:c r="R37" s="11" t="n">
        <x:v>0</x:v>
      </x:c>
      <x:c r="S37" s="11" t="n">
        <x:v>8612567</x:v>
      </x:c>
      <x:c r="T37" s="11" t="n">
        <x:v>91696</x:v>
      </x:c>
      <x:c r="U37" s="11" t="n">
        <x:v>369870</x:v>
      </x:c>
      <x:c r="V37" s="11" t="n">
        <x:v>793838</x:v>
      </x:c>
      <x:c r="W37" s="11" t="n">
        <x:v>1405750</x:v>
      </x:c>
      <x:c r="X37" s="11" t="n">
        <x:v>0</x:v>
      </x:c>
      <x:c r="Y37" s="11" t="n">
        <x:v>1343</x:v>
      </x:c>
      <x:c r="Z37" s="11" t="n">
        <x:v>1133</x:v>
      </x:c>
      <x:c r="AA37" s="11" t="n">
        <x:v>0</x:v>
      </x:c>
      <x:c r="AB37" s="11" t="n">
        <x:v>0</x:v>
      </x:c>
      <x:c r="AC37" s="11" t="n">
        <x:v>1248</x:v>
      </x:c>
      <x:c r="AE37" t="str">
        <x:v>c/N_H1.csv</x:v>
      </x:c>
    </x:row>
    <x:row r="38" ht="24" customHeight="1">
      <x:c r="A38" s="10" t="str">
        <x:v>c</x:v>
      </x:c>
      <x:c r="B38" s="10" t="str">
        <x:v>C_H0</x:v>
      </x:c>
      <x:c r="C38" s="11" t="n">
        <x:v>1747</x:v>
      </x:c>
      <x:c r="D38" s="11" t="n">
        <x:v>11760345</x:v>
      </x:c>
      <x:c r="E38" s="11" t="n">
        <x:v>0</x:v>
      </x:c>
      <x:c r="F38" s="11" t="n">
        <x:v>495</x:v>
      </x:c>
      <x:c r="G38" s="11" t="n">
        <x:v>0</x:v>
      </x:c>
      <x:c r="H38" s="11" t="n">
        <x:v>0</x:v>
      </x:c>
      <x:c r="I38" s="11" t="n">
        <x:v>1252</x:v>
      </x:c>
      <x:c r="J38" s="11" t="n">
        <x:v>0</x:v>
      </x:c>
      <x:c r="K38" s="11" t="n">
        <x:v>0</x:v>
      </x:c>
      <x:c r="L38" s="11" t="n">
        <x:v>0</x:v>
      </x:c>
      <x:c r="M38" s="11" t="n">
        <x:v>0</x:v>
      </x:c>
      <x:c r="N38" s="11" t="n">
        <x:v>0</x:v>
      </x:c>
      <x:c r="O38" s="11" t="n">
        <x:v>0</x:v>
      </x:c>
      <x:c r="P38" s="11" t="n">
        <x:v>1254214</x:v>
      </x:c>
      <x:c r="Q38" s="11" t="n">
        <x:v>0</x:v>
      </x:c>
      <x:c r="R38" s="11" t="n">
        <x:v>0</x:v>
      </x:c>
      <x:c r="S38" s="11" t="n">
        <x:v>10506131</x:v>
      </x:c>
      <x:c r="T38" s="11" t="n">
        <x:v>0</x:v>
      </x:c>
      <x:c r="U38" s="11" t="n">
        <x:v>0</x:v>
      </x:c>
      <x:c r="V38" s="11" t="n">
        <x:v>0</x:v>
      </x:c>
      <x:c r="W38" s="11" t="n">
        <x:v>0</x:v>
      </x:c>
      <x:c r="X38" s="11" t="n">
        <x:v>0</x:v>
      </x:c>
      <x:c r="Y38" s="11" t="n">
        <x:v>1252</x:v>
      </x:c>
      <x:c r="Z38" s="11" t="n">
        <x:v>1252</x:v>
      </x:c>
      <x:c r="AA38" s="11" t="n">
        <x:v>0</x:v>
      </x:c>
      <x:c r="AB38" s="11" t="n">
        <x:v>0</x:v>
      </x:c>
      <x:c r="AC38" s="11" t="n">
        <x:v>1135</x:v>
      </x:c>
      <x:c r="AE38" t="str">
        <x:v>c/C_H0.csv</x:v>
      </x:c>
    </x:row>
    <x:row r="39" ht="24" customHeight="1">
      <x:c r="A39" s="10" t="str">
        <x:v>c</x:v>
      </x:c>
      <x:c r="B39" s="10" t="str">
        <x:v>C_H1</x:v>
      </x:c>
      <x:c r="C39" s="11" t="n">
        <x:v>1747</x:v>
      </x:c>
      <x:c r="D39" s="11" t="n">
        <x:v>11760345</x:v>
      </x:c>
      <x:c r="E39" s="11" t="n">
        <x:v>0</x:v>
      </x:c>
      <x:c r="F39" s="11" t="n">
        <x:v>491</x:v>
      </x:c>
      <x:c r="G39" s="11" t="n">
        <x:v>0</x:v>
      </x:c>
      <x:c r="H39" s="11" t="n">
        <x:v>0</x:v>
      </x:c>
      <x:c r="I39" s="11" t="n">
        <x:v>1252</x:v>
      </x:c>
      <x:c r="J39" s="11" t="n">
        <x:v>0</x:v>
      </x:c>
      <x:c r="K39" s="11" t="n">
        <x:v>4</x:v>
      </x:c>
      <x:c r="L39" s="11" t="n">
        <x:v>0</x:v>
      </x:c>
      <x:c r="M39" s="11" t="n">
        <x:v>0</x:v>
      </x:c>
      <x:c r="N39" s="11" t="n">
        <x:v>0</x:v>
      </x:c>
      <x:c r="O39" s="11" t="n">
        <x:v>0</x:v>
      </x:c>
      <x:c r="P39" s="11" t="n">
        <x:v>1248866</x:v>
      </x:c>
      <x:c r="Q39" s="11" t="n">
        <x:v>0</x:v>
      </x:c>
      <x:c r="R39" s="11" t="n">
        <x:v>0</x:v>
      </x:c>
      <x:c r="S39" s="11" t="n">
        <x:v>10506131</x:v>
      </x:c>
      <x:c r="T39" s="11" t="n">
        <x:v>0</x:v>
      </x:c>
      <x:c r="U39" s="11" t="n">
        <x:v>5348</x:v>
      </x:c>
      <x:c r="V39" s="11" t="n">
        <x:v>0</x:v>
      </x:c>
      <x:c r="W39" s="11" t="n">
        <x:v>0</x:v>
      </x:c>
      <x:c r="X39" s="11" t="n">
        <x:v>0</x:v>
      </x:c>
      <x:c r="Y39" s="11" t="n">
        <x:v>1252</x:v>
      </x:c>
      <x:c r="Z39" s="11" t="n">
        <x:v>1252</x:v>
      </x:c>
      <x:c r="AA39" s="11" t="n">
        <x:v>0</x:v>
      </x:c>
      <x:c r="AB39" s="11" t="n">
        <x:v>0</x:v>
      </x:c>
      <x:c r="AC39" s="11" t="n">
        <x:v>1139</x:v>
      </x:c>
      <x:c r="AE39" t="str">
        <x:v>c/C_H1.csv</x:v>
      </x:c>
    </x:row>
    <x:row r="40" ht="24" customHeight="1">
      <x:c r="A40" s="10" t="str">
        <x:v>c</x:v>
      </x:c>
      <x:c r="B40" s="10" t="str">
        <x:v>NG_H0</x:v>
      </x:c>
      <x:c r="C40" s="11" t="n">
        <x:v>1747</x:v>
      </x:c>
      <x:c r="D40" s="11" t="n">
        <x:v>11760345</x:v>
      </x:c>
      <x:c r="E40" s="11" t="n">
        <x:v>0</x:v>
      </x:c>
      <x:c r="F40" s="11" t="n">
        <x:v>291</x:v>
      </x:c>
      <x:c r="G40" s="11" t="n">
        <x:v>772</x:v>
      </x:c>
      <x:c r="H40" s="11" t="n">
        <x:v>342</x:v>
      </x:c>
      <x:c r="I40" s="11" t="n">
        <x:v>173</x:v>
      </x:c>
      <x:c r="J40" s="11" t="n">
        <x:v>6</x:v>
      </x:c>
      <x:c r="K40" s="11" t="n">
        <x:v>55</x:v>
      </x:c>
      <x:c r="L40" s="11" t="n">
        <x:v>33</x:v>
      </x:c>
      <x:c r="M40" s="11" t="n">
        <x:v>73</x:v>
      </x:c>
      <x:c r="N40" s="11" t="n">
        <x:v>2</x:v>
      </x:c>
      <x:c r="O40" s="11" t="n">
        <x:v>0</x:v>
      </x:c>
      <x:c r="P40" s="11" t="n">
        <x:v>327532</x:v>
      </x:c>
      <x:c r="Q40" s="11" t="n">
        <x:v>3016256</x:v>
      </x:c>
      <x:c r="R40" s="11" t="n">
        <x:v>2086060</x:v>
      </x:c>
      <x:c r="S40" s="11" t="n">
        <x:v>3752263</x:v>
      </x:c>
      <x:c r="T40" s="11" t="n">
        <x:v>8776</x:v>
      </x:c>
      <x:c r="U40" s="11" t="n">
        <x:v>369870</x:v>
      </x:c>
      <x:c r="V40" s="11" t="n">
        <x:v>793838</x:v>
      </x:c>
      <x:c r="W40" s="11" t="n">
        <x:v>1389452</x:v>
      </x:c>
      <x:c r="X40" s="11" t="n">
        <x:v>16298</x:v>
      </x:c>
      <x:c r="Y40" s="11" t="n">
        <x:v>1343</x:v>
      </x:c>
      <x:c r="Z40" s="11" t="n">
        <x:v>1133</x:v>
      </x:c>
      <x:c r="AA40" s="11" t="n">
        <x:v>0</x:v>
      </x:c>
      <x:c r="AB40" s="11" t="n">
        <x:v>0</x:v>
      </x:c>
      <x:c r="AC40" s="11" t="n">
        <x:v>1133</x:v>
      </x:c>
      <x:c r="AE40" t="str">
        <x:v>c/NG_H0.csv</x:v>
      </x:c>
    </x:row>
    <x:row r="41" ht="24" customHeight="1">
      <x:c r="A41" s="10" t="str">
        <x:v>c</x:v>
      </x:c>
      <x:c r="B41" s="10" t="str">
        <x:v>NG_H1</x:v>
      </x:c>
      <x:c r="C41" s="11" t="n">
        <x:v>1747</x:v>
      </x:c>
      <x:c r="D41" s="11" t="n">
        <x:v>11760345</x:v>
      </x:c>
      <x:c r="E41" s="11" t="n">
        <x:v>0</x:v>
      </x:c>
      <x:c r="F41" s="11" t="n">
        <x:v>270</x:v>
      </x:c>
      <x:c r="G41" s="11" t="n">
        <x:v>691</x:v>
      </x:c>
      <x:c r="H41" s="11" t="n">
        <x:v>401</x:v>
      </x:c>
      <x:c r="I41" s="11" t="n">
        <x:v>182</x:v>
      </x:c>
      <x:c r="J41" s="11" t="n">
        <x:v>40</x:v>
      </x:c>
      <x:c r="K41" s="11" t="n">
        <x:v>55</x:v>
      </x:c>
      <x:c r="L41" s="11" t="n">
        <x:v>33</x:v>
      </x:c>
      <x:c r="M41" s="11" t="n">
        <x:v>73</x:v>
      </x:c>
      <x:c r="N41" s="11" t="n">
        <x:v>2</x:v>
      </x:c>
      <x:c r="O41" s="11" t="n">
        <x:v>0</x:v>
      </x:c>
      <x:c r="P41" s="11" t="n">
        <x:v>311730</x:v>
      </x:c>
      <x:c r="Q41" s="11" t="n">
        <x:v>2822676</x:v>
      </x:c>
      <x:c r="R41" s="11" t="n">
        <x:v>2190984</x:v>
      </x:c>
      <x:c r="S41" s="11" t="n">
        <x:v>3765025</x:v>
      </x:c>
      <x:c r="T41" s="11" t="n">
        <x:v>100472</x:v>
      </x:c>
      <x:c r="U41" s="11" t="n">
        <x:v>369870</x:v>
      </x:c>
      <x:c r="V41" s="11" t="n">
        <x:v>793838</x:v>
      </x:c>
      <x:c r="W41" s="11" t="n">
        <x:v>1389452</x:v>
      </x:c>
      <x:c r="X41" s="11" t="n">
        <x:v>16298</x:v>
      </x:c>
      <x:c r="Y41" s="11" t="n">
        <x:v>1343</x:v>
      </x:c>
      <x:c r="Z41" s="11" t="n">
        <x:v>1133</x:v>
      </x:c>
      <x:c r="AA41" s="11" t="n">
        <x:v>0</x:v>
      </x:c>
      <x:c r="AB41" s="11" t="n">
        <x:v>0</x:v>
      </x:c>
      <x:c r="AC41" s="11" t="n">
        <x:v>1248</x:v>
      </x:c>
      <x:c r="AE41" t="str">
        <x:v>c/NG_H1.csv</x:v>
      </x:c>
    </x:row>
    <x:row r="42" ht="24" customHeight="1">
      <x:c r="A42" s="10" t="str">
        <x:v>c</x:v>
      </x:c>
      <x:c r="B42" s="10" t="str">
        <x:v>CG_H0</x:v>
      </x:c>
      <x:c r="C42" s="11" t="n">
        <x:v>1747</x:v>
      </x:c>
      <x:c r="D42" s="11" t="n">
        <x:v>11760345</x:v>
      </x:c>
      <x:c r="E42" s="11" t="n">
        <x:v>6</x:v>
      </x:c>
      <x:c r="F42" s="11" t="n">
        <x:v>394</x:v>
      </x:c>
      <x:c r="G42" s="11" t="n">
        <x:v>837</x:v>
      </x:c>
      <x:c r="H42" s="11" t="n">
        <x:v>327</x:v>
      </x:c>
      <x:c r="I42" s="11" t="n">
        <x:v>177</x:v>
      </x:c>
      <x:c r="J42" s="11" t="n">
        <x:v>6</x:v>
      </x:c>
      <x:c r="K42" s="11" t="n">
        <x:v>0</x:v>
      </x:c>
      <x:c r="L42" s="11" t="n">
        <x:v>0</x:v>
      </x:c>
      <x:c r="M42" s="11" t="n">
        <x:v>0</x:v>
      </x:c>
      <x:c r="N42" s="11" t="n">
        <x:v>0</x:v>
      </x:c>
      <x:c r="O42" s="11" t="n">
        <x:v>2568</x:v>
      </x:c>
      <x:c r="P42" s="11" t="n">
        <x:v>617882</x:v>
      </x:c>
      <x:c r="Q42" s="11" t="n">
        <x:v>4451230</x:v>
      </x:c>
      <x:c r="R42" s="11" t="n">
        <x:v>2350804</x:v>
      </x:c>
      <x:c r="S42" s="11" t="n">
        <x:v>4329085</x:v>
      </x:c>
      <x:c r="T42" s="11" t="n">
        <x:v>8776</x:v>
      </x:c>
      <x:c r="U42" s="11" t="n">
        <x:v>0</x:v>
      </x:c>
      <x:c r="V42" s="11" t="n">
        <x:v>0</x:v>
      </x:c>
      <x:c r="W42" s="11" t="n">
        <x:v>0</x:v>
      </x:c>
      <x:c r="X42" s="11" t="n">
        <x:v>0</x:v>
      </x:c>
      <x:c r="Y42" s="11" t="n">
        <x:v>1252</x:v>
      </x:c>
      <x:c r="Z42" s="11" t="n">
        <x:v>1252</x:v>
      </x:c>
      <x:c r="AA42" s="11" t="n">
        <x:v>0</x:v>
      </x:c>
      <x:c r="AB42" s="11" t="n">
        <x:v>0</x:v>
      </x:c>
      <x:c r="AC42" s="11" t="n">
        <x:v>1135</x:v>
      </x:c>
      <x:c r="AE42" t="str">
        <x:v>c/CG_H0.csv</x:v>
      </x:c>
    </x:row>
    <x:row r="43" ht="24" customHeight="1">
      <x:c r="A43" s="10" t="str">
        <x:v>c</x:v>
      </x:c>
      <x:c r="B43" s="10" t="str">
        <x:v>CG_H1</x:v>
      </x:c>
      <x:c r="C43" s="11" t="n">
        <x:v>1747</x:v>
      </x:c>
      <x:c r="D43" s="11" t="n">
        <x:v>11760345</x:v>
      </x:c>
      <x:c r="E43" s="11" t="n">
        <x:v>6</x:v>
      </x:c>
      <x:c r="F43" s="11" t="n">
        <x:v>346</x:v>
      </x:c>
      <x:c r="G43" s="11" t="n">
        <x:v>827</x:v>
      </x:c>
      <x:c r="H43" s="11" t="n">
        <x:v>371</x:v>
      </x:c>
      <x:c r="I43" s="11" t="n">
        <x:v>187</x:v>
      </x:c>
      <x:c r="J43" s="11" t="n">
        <x:v>6</x:v>
      </x:c>
      <x:c r="K43" s="11" t="n">
        <x:v>4</x:v>
      </x:c>
      <x:c r="L43" s="11" t="n">
        <x:v>0</x:v>
      </x:c>
      <x:c r="M43" s="11" t="n">
        <x:v>0</x:v>
      </x:c>
      <x:c r="N43" s="11" t="n">
        <x:v>0</x:v>
      </x:c>
      <x:c r="O43" s="11" t="n">
        <x:v>2568</x:v>
      </x:c>
      <x:c r="P43" s="11" t="n">
        <x:v>377116</x:v>
      </x:c>
      <x:c r="Q43" s="11" t="n">
        <x:v>4532410</x:v>
      </x:c>
      <x:c r="R43" s="11" t="n">
        <x:v>2450352</x:v>
      </x:c>
      <x:c r="S43" s="11" t="n">
        <x:v>4383775</x:v>
      </x:c>
      <x:c r="T43" s="11" t="n">
        <x:v>8776</x:v>
      </x:c>
      <x:c r="U43" s="11" t="n">
        <x:v>5348</x:v>
      </x:c>
      <x:c r="V43" s="11" t="n">
        <x:v>0</x:v>
      </x:c>
      <x:c r="W43" s="11" t="n">
        <x:v>0</x:v>
      </x:c>
      <x:c r="X43" s="11" t="n">
        <x:v>0</x:v>
      </x:c>
      <x:c r="Y43" s="11" t="n">
        <x:v>1252</x:v>
      </x:c>
      <x:c r="Z43" s="11" t="n">
        <x:v>1252</x:v>
      </x:c>
      <x:c r="AA43" s="11" t="n">
        <x:v>0</x:v>
      </x:c>
      <x:c r="AB43" s="11" t="n">
        <x:v>0</x:v>
      </x:c>
      <x:c r="AC43" s="11" t="n">
        <x:v>1139</x:v>
      </x:c>
      <x:c r="AE43" t="str">
        <x:v>c/CG_H1.csv</x:v>
      </x:c>
    </x:row>
    <x:row r="44" ht="24" customHeight="1">
      <x:c r="A44" s="10" t="str">
        <x:v>c</x:v>
      </x:c>
      <x:c r="B44" s="10" t="str">
        <x:v>NC_H0</x:v>
      </x:c>
      <x:c r="C44" s="11" t="n">
        <x:v>1747</x:v>
      </x:c>
      <x:c r="D44" s="11" t="n">
        <x:v>11760345</x:v>
      </x:c>
      <x:c r="E44" s="11" t="n">
        <x:v>0</x:v>
      </x:c>
      <x:c r="F44" s="11" t="n">
        <x:v>440</x:v>
      </x:c>
      <x:c r="G44" s="11" t="n">
        <x:v>54</x:v>
      </x:c>
      <x:c r="H44" s="11" t="n">
        <x:v>0</x:v>
      </x:c>
      <x:c r="I44" s="11" t="n">
        <x:v>1131</x:v>
      </x:c>
      <x:c r="J44" s="11" t="n">
        <x:v>0</x:v>
      </x:c>
      <x:c r="K44" s="11" t="n">
        <x:v>49</x:v>
      </x:c>
      <x:c r="L44" s="11" t="n">
        <x:v>33</x:v>
      </x:c>
      <x:c r="M44" s="11" t="n">
        <x:v>40</x:v>
      </x:c>
      <x:c r="N44" s="11" t="n">
        <x:v>0</x:v>
      </x:c>
      <x:c r="O44" s="11" t="n">
        <x:v>0</x:v>
      </x:c>
      <x:c r="P44" s="11" t="n">
        <x:v>1041218</x:v>
      </x:c>
      <x:c r="Q44" s="11" t="n">
        <x:v>72494</x:v>
      </x:c>
      <x:c r="R44" s="11" t="n">
        <x:v>0</x:v>
      </x:c>
      <x:c r="S44" s="11" t="n">
        <x:v>8692697</x:v>
      </x:c>
      <x:c r="T44" s="11" t="n">
        <x:v>0</x:v>
      </x:c>
      <x:c r="U44" s="11" t="n">
        <x:v>362568</x:v>
      </x:c>
      <x:c r="V44" s="11" t="n">
        <x:v>793838</x:v>
      </x:c>
      <x:c r="W44" s="11" t="n">
        <x:v>797530</x:v>
      </x:c>
      <x:c r="X44" s="11" t="n">
        <x:v>0</x:v>
      </x:c>
      <x:c r="Y44" s="11" t="n">
        <x:v>1131</x:v>
      </x:c>
      <x:c r="Z44" s="11" t="n">
        <x:v>937</x:v>
      </x:c>
      <x:c r="AA44" s="11" t="n">
        <x:v>265</x:v>
      </x:c>
      <x:c r="AB44" s="11" t="n">
        <x:v>0</x:v>
      </x:c>
      <x:c r="AC44" s="11" t="n">
        <x:v>1001</x:v>
      </x:c>
      <x:c r="AE44" t="str">
        <x:v>c/NC_H0.csv</x:v>
      </x:c>
    </x:row>
    <x:row r="45" ht="24" customHeight="1">
      <x:c r="A45" s="10" t="str">
        <x:v>c</x:v>
      </x:c>
      <x:c r="B45" s="10" t="str">
        <x:v>NC_H1</x:v>
      </x:c>
      <x:c r="C45" s="11" t="n">
        <x:v>1747</x:v>
      </x:c>
      <x:c r="D45" s="11" t="n">
        <x:v>11760345</x:v>
      </x:c>
      <x:c r="E45" s="11" t="n">
        <x:v>0</x:v>
      </x:c>
      <x:c r="F45" s="11" t="n">
        <x:v>434</x:v>
      </x:c>
      <x:c r="G45" s="11" t="n">
        <x:v>21</x:v>
      </x:c>
      <x:c r="H45" s="11" t="n">
        <x:v>0</x:v>
      </x:c>
      <x:c r="I45" s="11" t="n">
        <x:v>1131</x:v>
      </x:c>
      <x:c r="J45" s="11" t="n">
        <x:v>33</x:v>
      </x:c>
      <x:c r="K45" s="11" t="n">
        <x:v>55</x:v>
      </x:c>
      <x:c r="L45" s="11" t="n">
        <x:v>33</x:v>
      </x:c>
      <x:c r="M45" s="11" t="n">
        <x:v>40</x:v>
      </x:c>
      <x:c r="N45" s="11" t="n">
        <x:v>0</x:v>
      </x:c>
      <x:c r="O45" s="11" t="n">
        <x:v>0</x:v>
      </x:c>
      <x:c r="P45" s="11" t="n">
        <x:v>1032958</x:v>
      </x:c>
      <x:c r="Q45" s="11" t="n">
        <x:v>22726</x:v>
      </x:c>
      <x:c r="R45" s="11" t="n">
        <x:v>0</x:v>
      </x:c>
      <x:c r="S45" s="11" t="n">
        <x:v>8692697</x:v>
      </x:c>
      <x:c r="T45" s="11" t="n">
        <x:v>49768</x:v>
      </x:c>
      <x:c r="U45" s="11" t="n">
        <x:v>370828</x:v>
      </x:c>
      <x:c r="V45" s="11" t="n">
        <x:v>793838</x:v>
      </x:c>
      <x:c r="W45" s="11" t="n">
        <x:v>797530</x:v>
      </x:c>
      <x:c r="X45" s="11" t="n">
        <x:v>0</x:v>
      </x:c>
      <x:c r="Y45" s="11" t="n">
        <x:v>1131</x:v>
      </x:c>
      <x:c r="Z45" s="11" t="n">
        <x:v>937</x:v>
      </x:c>
      <x:c r="AA45" s="11" t="n">
        <x:v>265</x:v>
      </x:c>
      <x:c r="AB45" s="11" t="n">
        <x:v>0</x:v>
      </x:c>
      <x:c r="AC45" s="11" t="n">
        <x:v>1088</x:v>
      </x:c>
      <x:c r="AE45" t="str">
        <x:v>c/NC_H1.csv</x:v>
      </x:c>
    </x:row>
    <x:row r="46" ht="24" customHeight="1">
      <x:c r="A46" s="10" t="str">
        <x:v>c</x:v>
      </x:c>
      <x:c r="B46" s="10" t="str">
        <x:v>NCG_H0</x:v>
      </x:c>
      <x:c r="C46" s="11" t="n">
        <x:v>1747</x:v>
      </x:c>
      <x:c r="D46" s="11" t="n">
        <x:v>11760345</x:v>
      </x:c>
      <x:c r="E46" s="11" t="n">
        <x:v>2</x:v>
      </x:c>
      <x:c r="F46" s="11" t="n">
        <x:v>301</x:v>
      </x:c>
      <x:c r="G46" s="11" t="n">
        <x:v>743</x:v>
      </x:c>
      <x:c r="H46" s="11" t="n">
        <x:v>383</x:v>
      </x:c>
      <x:c r="I46" s="11" t="n">
        <x:v>188</x:v>
      </x:c>
      <x:c r="J46" s="11" t="n">
        <x:v>8</x:v>
      </x:c>
      <x:c r="K46" s="11" t="n">
        <x:v>49</x:v>
      </x:c>
      <x:c r="L46" s="11" t="n">
        <x:v>33</x:v>
      </x:c>
      <x:c r="M46" s="11" t="n">
        <x:v>40</x:v>
      </x:c>
      <x:c r="N46" s="11" t="n">
        <x:v>0</x:v>
      </x:c>
      <x:c r="O46" s="11" t="n">
        <x:v>856</x:v>
      </x:c>
      <x:c r="P46" s="11" t="n">
        <x:v>532904</x:v>
      </x:c>
      <x:c r="Q46" s="11" t="n">
        <x:v>3205206</x:v>
      </x:c>
      <x:c r="R46" s="11" t="n">
        <x:v>2178726</x:v>
      </x:c>
      <x:c r="S46" s="11" t="n">
        <x:v>3879201</x:v>
      </x:c>
      <x:c r="T46" s="11" t="n">
        <x:v>9516</x:v>
      </x:c>
      <x:c r="U46" s="11" t="n">
        <x:v>362568</x:v>
      </x:c>
      <x:c r="V46" s="11" t="n">
        <x:v>793838</x:v>
      </x:c>
      <x:c r="W46" s="11" t="n">
        <x:v>797530</x:v>
      </x:c>
      <x:c r="X46" s="11" t="n">
        <x:v>0</x:v>
      </x:c>
      <x:c r="Y46" s="11" t="n">
        <x:v>1131</x:v>
      </x:c>
      <x:c r="Z46" s="11" t="n">
        <x:v>937</x:v>
      </x:c>
      <x:c r="AA46" s="11" t="n">
        <x:v>265</x:v>
      </x:c>
      <x:c r="AB46" s="11" t="n">
        <x:v>0</x:v>
      </x:c>
      <x:c r="AC46" s="11" t="n">
        <x:v>1001</x:v>
      </x:c>
      <x:c r="AE46" t="str">
        <x:v>c/NCG_H0.csv</x:v>
      </x:c>
    </x:row>
    <x:row r="47" ht="24" customHeight="1">
      <x:c r="A47" s="10" t="str">
        <x:v>c</x:v>
      </x:c>
      <x:c r="B47" s="10" t="str">
        <x:v>NCG_H1</x:v>
      </x:c>
      <x:c r="C47" s="11" t="n">
        <x:v>1747</x:v>
      </x:c>
      <x:c r="D47" s="11" t="n">
        <x:v>11760345</x:v>
      </x:c>
      <x:c r="E47" s="11" t="n">
        <x:v>2</x:v>
      </x:c>
      <x:c r="F47" s="11" t="n">
        <x:v>256</x:v>
      </x:c>
      <x:c r="G47" s="11" t="n">
        <x:v>693</x:v>
      </x:c>
      <x:c r="H47" s="11" t="n">
        <x:v>433</x:v>
      </x:c>
      <x:c r="I47" s="11" t="n">
        <x:v>194</x:v>
      </x:c>
      <x:c r="J47" s="11" t="n">
        <x:v>41</x:v>
      </x:c>
      <x:c r="K47" s="11" t="n">
        <x:v>55</x:v>
      </x:c>
      <x:c r="L47" s="11" t="n">
        <x:v>33</x:v>
      </x:c>
      <x:c r="M47" s="11" t="n">
        <x:v>40</x:v>
      </x:c>
      <x:c r="N47" s="11" t="n">
        <x:v>0</x:v>
      </x:c>
      <x:c r="O47" s="11" t="n">
        <x:v>856</x:v>
      </x:c>
      <x:c r="P47" s="11" t="n">
        <x:v>292494</x:v>
      </x:c>
      <x:c r="Q47" s="11" t="n">
        <x:v>3246676</x:v>
      </x:c>
      <x:c r="R47" s="11" t="n">
        <x:v>2265460</x:v>
      </x:c>
      <x:c r="S47" s="11" t="n">
        <x:v>3933379</x:v>
      </x:c>
      <x:c r="T47" s="11" t="n">
        <x:v>59284</x:v>
      </x:c>
      <x:c r="U47" s="11" t="n">
        <x:v>370828</x:v>
      </x:c>
      <x:c r="V47" s="11" t="n">
        <x:v>793838</x:v>
      </x:c>
      <x:c r="W47" s="11" t="n">
        <x:v>797530</x:v>
      </x:c>
      <x:c r="X47" s="11" t="n">
        <x:v>0</x:v>
      </x:c>
      <x:c r="Y47" s="11" t="n">
        <x:v>1131</x:v>
      </x:c>
      <x:c r="Z47" s="11" t="n">
        <x:v>937</x:v>
      </x:c>
      <x:c r="AA47" s="11" t="n">
        <x:v>265</x:v>
      </x:c>
      <x:c r="AB47" s="11" t="n">
        <x:v>0</x:v>
      </x:c>
      <x:c r="AC47" s="11" t="n">
        <x:v>1088</x:v>
      </x:c>
      <x:c r="AE47" t="str">
        <x:v>c/NCG_H1.csv</x:v>
      </x:c>
    </x:row>
    <x:row r="48" ht="24" customHeight="1">
      <x:c r="A48" s="10" t="str">
        <x:v>c</x:v>
      </x:c>
      <x:c r="B48" s="10" t="str">
        <x:v>G_H0</x:v>
      </x:c>
      <x:c r="C48" s="11" t="n">
        <x:v>1747</x:v>
      </x:c>
      <x:c r="D48" s="11" t="n">
        <x:v>11760345</x:v>
      </x:c>
      <x:c r="E48" s="11" t="n">
        <x:v>0</x:v>
      </x:c>
      <x:c r="F48" s="11" t="n">
        <x:v>232</x:v>
      </x:c>
      <x:c r="G48" s="11" t="n">
        <x:v>969</x:v>
      </x:c>
      <x:c r="H48" s="11" t="n">
        <x:v>363</x:v>
      </x:c>
      <x:c r="I48" s="11" t="n">
        <x:v>177</x:v>
      </x:c>
      <x:c r="J48" s="11" t="n">
        <x:v>6</x:v>
      </x:c>
      <x:c r="K48" s="11" t="n">
        <x:v>0</x:v>
      </x:c>
      <x:c r="L48" s="11" t="n">
        <x:v>0</x:v>
      </x:c>
      <x:c r="M48" s="11" t="n">
        <x:v>0</x:v>
      </x:c>
      <x:c r="N48" s="11" t="n">
        <x:v>0</x:v>
      </x:c>
      <x:c r="O48" s="11" t="n">
        <x:v>0</x:v>
      </x:c>
      <x:c r="P48" s="11" t="n">
        <x:v>485856</x:v>
      </x:c>
      <x:c r="Q48" s="11" t="n">
        <x:v>4479344</x:v>
      </x:c>
      <x:c r="R48" s="11" t="n">
        <x:v>2457284</x:v>
      </x:c>
      <x:c r="S48" s="11" t="n">
        <x:v>4329085</x:v>
      </x:c>
      <x:c r="T48" s="11" t="n">
        <x:v>8776</x:v>
      </x:c>
      <x:c r="U48" s="11" t="n">
        <x:v>0</x:v>
      </x:c>
      <x:c r="V48" s="11" t="n">
        <x:v>0</x:v>
      </x:c>
      <x:c r="W48" s="11" t="n">
        <x:v>0</x:v>
      </x:c>
      <x:c r="X48" s="11" t="n">
        <x:v>0</x:v>
      </x:c>
      <x:c r="Y48" s="11" t="n">
        <x:v>1747</x:v>
      </x:c>
      <x:c r="Z48" s="11" t="n">
        <x:v>1747</x:v>
      </x:c>
      <x:c r="AA48" s="11" t="n">
        <x:v>0</x:v>
      </x:c>
      <x:c r="AB48" s="11" t="n">
        <x:v>0</x:v>
      </x:c>
      <x:c r="AC48" s="11" t="n">
        <x:v>1747</x:v>
      </x:c>
      <x:c r="AE48" t="str">
        <x:v>c/G_H0.csv</x:v>
      </x:c>
    </x:row>
    <x:row r="49" ht="24" customHeight="1">
      <x:c r="A49" s="10" t="str">
        <x:v>c</x:v>
      </x:c>
      <x:c r="B49" s="10" t="str">
        <x:v>G_H1</x:v>
      </x:c>
      <x:c r="C49" s="11" t="n">
        <x:v>1747</x:v>
      </x:c>
      <x:c r="D49" s="11" t="n">
        <x:v>11760345</x:v>
      </x:c>
      <x:c r="E49" s="11" t="n">
        <x:v>0</x:v>
      </x:c>
      <x:c r="F49" s="11" t="n">
        <x:v>197</x:v>
      </x:c>
      <x:c r="G49" s="11" t="n">
        <x:v>931</x:v>
      </x:c>
      <x:c r="H49" s="11" t="n">
        <x:v>426</x:v>
      </x:c>
      <x:c r="I49" s="11" t="n">
        <x:v>187</x:v>
      </x:c>
      <x:c r="J49" s="11" t="n">
        <x:v>6</x:v>
      </x:c>
      <x:c r="K49" s="11" t="n">
        <x:v>0</x:v>
      </x:c>
      <x:c r="L49" s="11" t="n">
        <x:v>0</x:v>
      </x:c>
      <x:c r="M49" s="11" t="n">
        <x:v>0</x:v>
      </x:c>
      <x:c r="N49" s="11" t="n">
        <x:v>0</x:v>
      </x:c>
      <x:c r="O49" s="11" t="n">
        <x:v>0</x:v>
      </x:c>
      <x:c r="P49" s="11" t="n">
        <x:v>252730</x:v>
      </x:c>
      <x:c r="Q49" s="11" t="n">
        <x:v>4541684</x:v>
      </x:c>
      <x:c r="R49" s="11" t="n">
        <x:v>2573380</x:v>
      </x:c>
      <x:c r="S49" s="11" t="n">
        <x:v>4383775</x:v>
      </x:c>
      <x:c r="T49" s="11" t="n">
        <x:v>8776</x:v>
      </x:c>
      <x:c r="U49" s="11" t="n">
        <x:v>0</x:v>
      </x:c>
      <x:c r="V49" s="11" t="n">
        <x:v>0</x:v>
      </x:c>
      <x:c r="W49" s="11" t="n">
        <x:v>0</x:v>
      </x:c>
      <x:c r="X49" s="11" t="n">
        <x:v>0</x:v>
      </x:c>
      <x:c r="Y49" s="11" t="n">
        <x:v>1747</x:v>
      </x:c>
      <x:c r="Z49" s="11" t="n">
        <x:v>1747</x:v>
      </x:c>
      <x:c r="AA49" s="11" t="n">
        <x:v>0</x:v>
      </x:c>
      <x:c r="AB49" s="11" t="n">
        <x:v>0</x:v>
      </x:c>
      <x:c r="AC49" s="11" t="n">
        <x:v>1747</x:v>
      </x:c>
      <x:c r="AE49" t="str">
        <x:v>c/G_H1.csv</x:v>
      </x:c>
    </x:row>
    <x:row r="50" ht="24" customHeight="1">
      <x:c r="A50" s="10" t="str">
        <x:v>c</x:v>
      </x:c>
      <x:c r="B50" s="10" t="str">
        <x:v>NCG_H1_M1</x:v>
      </x:c>
      <x:c r="C50" s="11" t="n">
        <x:v>1747</x:v>
      </x:c>
      <x:c r="D50" s="11" t="n">
        <x:v>11760345</x:v>
      </x:c>
      <x:c r="E50" s="11" t="n">
        <x:v>2</x:v>
      </x:c>
      <x:c r="F50" s="11" t="n">
        <x:v>225</x:v>
      </x:c>
      <x:c r="G50" s="11" t="n">
        <x:v>648</x:v>
      </x:c>
      <x:c r="H50" s="11" t="n">
        <x:v>411</x:v>
      </x:c>
      <x:c r="I50" s="11" t="n">
        <x:v>87</x:v>
      </x:c>
      <x:c r="J50" s="11" t="n">
        <x:v>40</x:v>
      </x:c>
      <x:c r="K50" s="11" t="n">
        <x:v>71</x:v>
      </x:c>
      <x:c r="L50" s="11" t="n">
        <x:v>168</x:v>
      </x:c>
      <x:c r="M50" s="11" t="n">
        <x:v>68</x:v>
      </x:c>
      <x:c r="N50" s="11" t="n">
        <x:v>27</x:v>
      </x:c>
      <x:c r="O50" s="11" t="n">
        <x:v>856</x:v>
      </x:c>
      <x:c r="P50" s="11" t="n">
        <x:v>233310</x:v>
      </x:c>
      <x:c r="Q50" s="11" t="n">
        <x:v>2724266</x:v>
      </x:c>
      <x:c r="R50" s="11" t="n">
        <x:v>2162364</x:v>
      </x:c>
      <x:c r="S50" s="11" t="n">
        <x:v>2334233</x:v>
      </x:c>
      <x:c r="T50" s="11" t="n">
        <x:v>54352</x:v>
      </x:c>
      <x:c r="U50" s="11" t="n">
        <x:v>423692</x:v>
      </x:c>
      <x:c r="V50" s="11" t="n">
        <x:v>1219512</x:v>
      </x:c>
      <x:c r="W50" s="11" t="n">
        <x:v>1304698</x:v>
      </x:c>
      <x:c r="X50" s="11" t="n">
        <x:v>1303062</x:v>
      </x:c>
      <x:c r="Y50" s="11" t="n">
        <x:v>927</x:v>
      </x:c>
      <x:c r="Z50" s="11" t="n">
        <x:v>790</x:v>
      </x:c>
      <x:c r="AA50" s="11" t="n">
        <x:v>265</x:v>
      </x:c>
      <x:c r="AB50" s="11" t="n">
        <x:v>0</x:v>
      </x:c>
      <x:c r="AC50" s="11" t="n">
        <x:v>1153</x:v>
      </x:c>
      <x:c r="AE50" t="str">
        <x:v>c/NCG_H1_M1.csv</x:v>
      </x:c>
    </x:row>
    <x:row r="51" ht="24" customHeight="1">
      <x:c r="A51" s="10" t="str">
        <x:v>d</x:v>
      </x:c>
      <x:c r="B51" s="10" t="str">
        <x:v>N_H0</x:v>
      </x:c>
      <x:c r="C51" s="11" t="n">
        <x:v>1167</x:v>
      </x:c>
      <x:c r="D51" s="11" t="n">
        <x:v>1723934</x:v>
      </x:c>
      <x:c r="E51" s="11" t="n">
        <x:v>0</x:v>
      </x:c>
      <x:c r="F51" s="11" t="n">
        <x:v>156</x:v>
      </x:c>
      <x:c r="G51" s="11" t="n">
        <x:v>62</x:v>
      </x:c>
      <x:c r="H51" s="11" t="n">
        <x:v>0</x:v>
      </x:c>
      <x:c r="I51" s="11" t="n">
        <x:v>925</x:v>
      </x:c>
      <x:c r="J51" s="11" t="n">
        <x:v>0</x:v>
      </x:c>
      <x:c r="K51" s="11" t="n">
        <x:v>4</x:v>
      </x:c>
      <x:c r="L51" s="11" t="n">
        <x:v>12</x:v>
      </x:c>
      <x:c r="M51" s="11" t="n">
        <x:v>8</x:v>
      </x:c>
      <x:c r="N51" s="11" t="n">
        <x:v>0</x:v>
      </x:c>
      <x:c r="O51" s="11" t="n">
        <x:v>0</x:v>
      </x:c>
      <x:c r="P51" s="11" t="n">
        <x:v>113092</x:v>
      </x:c>
      <x:c r="Q51" s="11" t="n">
        <x:v>135032</x:v>
      </x:c>
      <x:c r="R51" s="11" t="n">
        <x:v>0</x:v>
      </x:c>
      <x:c r="S51" s="11" t="n">
        <x:v>1412628</x:v>
      </x:c>
      <x:c r="T51" s="11" t="n">
        <x:v>0</x:v>
      </x:c>
      <x:c r="U51" s="11" t="n">
        <x:v>6112</x:v>
      </x:c>
      <x:c r="V51" s="11" t="n">
        <x:v>44386</x:v>
      </x:c>
      <x:c r="W51" s="11" t="n">
        <x:v>12684</x:v>
      </x:c>
      <x:c r="X51" s="11" t="n">
        <x:v>0</x:v>
      </x:c>
      <x:c r="Y51" s="11" t="n">
        <x:v>925</x:v>
      </x:c>
      <x:c r="Z51" s="11" t="n">
        <x:v>725</x:v>
      </x:c>
      <x:c r="AA51" s="11" t="n">
        <x:v>0</x:v>
      </x:c>
      <x:c r="AB51" s="11" t="n">
        <x:v>0</x:v>
      </x:c>
      <x:c r="AC51" s="11" t="n">
        <x:v>725</x:v>
      </x:c>
      <x:c r="AE51" t="str">
        <x:v>d/N_H0.csv</x:v>
      </x:c>
    </x:row>
    <x:row r="52" ht="24" customHeight="1">
      <x:c r="A52" s="10" t="str">
        <x:v>d</x:v>
      </x:c>
      <x:c r="B52" s="10" t="str">
        <x:v>N_H1</x:v>
      </x:c>
      <x:c r="C52" s="11" t="n">
        <x:v>1167</x:v>
      </x:c>
      <x:c r="D52" s="11" t="n">
        <x:v>1723934</x:v>
      </x:c>
      <x:c r="E52" s="11" t="n">
        <x:v>0</x:v>
      </x:c>
      <x:c r="F52" s="11" t="n">
        <x:v>156</x:v>
      </x:c>
      <x:c r="G52" s="11" t="n">
        <x:v>50</x:v>
      </x:c>
      <x:c r="H52" s="11" t="n">
        <x:v>0</x:v>
      </x:c>
      <x:c r="I52" s="11" t="n">
        <x:v>925</x:v>
      </x:c>
      <x:c r="J52" s="11" t="n">
        <x:v>11</x:v>
      </x:c>
      <x:c r="K52" s="11" t="n">
        <x:v>5</x:v>
      </x:c>
      <x:c r="L52" s="11" t="n">
        <x:v>12</x:v>
      </x:c>
      <x:c r="M52" s="11" t="n">
        <x:v>8</x:v>
      </x:c>
      <x:c r="N52" s="11" t="n">
        <x:v>0</x:v>
      </x:c>
      <x:c r="O52" s="11" t="n">
        <x:v>0</x:v>
      </x:c>
      <x:c r="P52" s="11" t="n">
        <x:v>113092</x:v>
      </x:c>
      <x:c r="Q52" s="11" t="n">
        <x:v>128582</x:v>
      </x:c>
      <x:c r="R52" s="11" t="n">
        <x:v>0</x:v>
      </x:c>
      <x:c r="S52" s="11" t="n">
        <x:v>1412628</x:v>
      </x:c>
      <x:c r="T52" s="11" t="n">
        <x:v>5558</x:v>
      </x:c>
      <x:c r="U52" s="11" t="n">
        <x:v>7004</x:v>
      </x:c>
      <x:c r="V52" s="11" t="n">
        <x:v>44386</x:v>
      </x:c>
      <x:c r="W52" s="11" t="n">
        <x:v>12684</x:v>
      </x:c>
      <x:c r="X52" s="11" t="n">
        <x:v>0</x:v>
      </x:c>
      <x:c r="Y52" s="11" t="n">
        <x:v>925</x:v>
      </x:c>
      <x:c r="Z52" s="11" t="n">
        <x:v>725</x:v>
      </x:c>
      <x:c r="AA52" s="11" t="n">
        <x:v>0</x:v>
      </x:c>
      <x:c r="AB52" s="11" t="n">
        <x:v>0</x:v>
      </x:c>
      <x:c r="AC52" s="11" t="n">
        <x:v>740</x:v>
      </x:c>
      <x:c r="AE52" t="str">
        <x:v>d/N_H1.csv</x:v>
      </x:c>
    </x:row>
    <x:row r="53" ht="24" customHeight="1">
      <x:c r="A53" s="10" t="str">
        <x:v>d</x:v>
      </x:c>
      <x:c r="B53" s="10" t="str">
        <x:v>C_H0</x:v>
      </x:c>
      <x:c r="C53" s="11" t="n">
        <x:v>1167</x:v>
      </x:c>
      <x:c r="D53" s="11" t="n">
        <x:v>1723934</x:v>
      </x:c>
      <x:c r="E53" s="11" t="n">
        <x:v>0</x:v>
      </x:c>
      <x:c r="F53" s="11" t="n">
        <x:v>301</x:v>
      </x:c>
      <x:c r="G53" s="11" t="n">
        <x:v>0</x:v>
      </x:c>
      <x:c r="H53" s="11" t="n">
        <x:v>0</x:v>
      </x:c>
      <x:c r="I53" s="11" t="n">
        <x:v>866</x:v>
      </x:c>
      <x:c r="J53" s="11" t="n">
        <x:v>0</x:v>
      </x:c>
      <x:c r="K53" s="11" t="n">
        <x:v>0</x:v>
      </x:c>
      <x:c r="L53" s="11" t="n">
        <x:v>0</x:v>
      </x:c>
      <x:c r="M53" s="11" t="n">
        <x:v>0</x:v>
      </x:c>
      <x:c r="N53" s="11" t="n">
        <x:v>0</x:v>
      </x:c>
      <x:c r="O53" s="11" t="n">
        <x:v>0</x:v>
      </x:c>
      <x:c r="P53" s="11" t="n">
        <x:v>260850</x:v>
      </x:c>
      <x:c r="Q53" s="11" t="n">
        <x:v>0</x:v>
      </x:c>
      <x:c r="R53" s="11" t="n">
        <x:v>0</x:v>
      </x:c>
      <x:c r="S53" s="11" t="n">
        <x:v>1463084</x:v>
      </x:c>
      <x:c r="T53" s="11" t="n">
        <x:v>0</x:v>
      </x:c>
      <x:c r="U53" s="11" t="n">
        <x:v>0</x:v>
      </x:c>
      <x:c r="V53" s="11" t="n">
        <x:v>0</x:v>
      </x:c>
      <x:c r="W53" s="11" t="n">
        <x:v>0</x:v>
      </x:c>
      <x:c r="X53" s="11" t="n">
        <x:v>0</x:v>
      </x:c>
      <x:c r="Y53" s="11" t="n">
        <x:v>866</x:v>
      </x:c>
      <x:c r="Z53" s="11" t="n">
        <x:v>861</x:v>
      </x:c>
      <x:c r="AA53" s="11" t="n">
        <x:v>0</x:v>
      </x:c>
      <x:c r="AB53" s="11" t="n">
        <x:v>0</x:v>
      </x:c>
      <x:c r="AC53" s="11" t="n">
        <x:v>720</x:v>
      </x:c>
      <x:c r="AE53" t="str">
        <x:v>d/C_H0.csv</x:v>
      </x:c>
    </x:row>
    <x:row r="54" ht="24" customHeight="1">
      <x:c r="A54" s="10" t="str">
        <x:v>d</x:v>
      </x:c>
      <x:c r="B54" s="10" t="str">
        <x:v>C_H1</x:v>
      </x:c>
      <x:c r="C54" s="11" t="n">
        <x:v>1167</x:v>
      </x:c>
      <x:c r="D54" s="11" t="n">
        <x:v>1723934</x:v>
      </x:c>
      <x:c r="E54" s="11" t="n">
        <x:v>0</x:v>
      </x:c>
      <x:c r="F54" s="11" t="n">
        <x:v>301</x:v>
      </x:c>
      <x:c r="G54" s="11" t="n">
        <x:v>0</x:v>
      </x:c>
      <x:c r="H54" s="11" t="n">
        <x:v>0</x:v>
      </x:c>
      <x:c r="I54" s="11" t="n">
        <x:v>866</x:v>
      </x:c>
      <x:c r="J54" s="11" t="n">
        <x:v>0</x:v>
      </x:c>
      <x:c r="K54" s="11" t="n">
        <x:v>0</x:v>
      </x:c>
      <x:c r="L54" s="11" t="n">
        <x:v>0</x:v>
      </x:c>
      <x:c r="M54" s="11" t="n">
        <x:v>0</x:v>
      </x:c>
      <x:c r="N54" s="11" t="n">
        <x:v>0</x:v>
      </x:c>
      <x:c r="O54" s="11" t="n">
        <x:v>0</x:v>
      </x:c>
      <x:c r="P54" s="11" t="n">
        <x:v>260850</x:v>
      </x:c>
      <x:c r="Q54" s="11" t="n">
        <x:v>0</x:v>
      </x:c>
      <x:c r="R54" s="11" t="n">
        <x:v>0</x:v>
      </x:c>
      <x:c r="S54" s="11" t="n">
        <x:v>1463084</x:v>
      </x:c>
      <x:c r="T54" s="11" t="n">
        <x:v>0</x:v>
      </x:c>
      <x:c r="U54" s="11" t="n">
        <x:v>0</x:v>
      </x:c>
      <x:c r="V54" s="11" t="n">
        <x:v>0</x:v>
      </x:c>
      <x:c r="W54" s="11" t="n">
        <x:v>0</x:v>
      </x:c>
      <x:c r="X54" s="11" t="n">
        <x:v>0</x:v>
      </x:c>
      <x:c r="Y54" s="11" t="n">
        <x:v>866</x:v>
      </x:c>
      <x:c r="Z54" s="11" t="n">
        <x:v>861</x:v>
      </x:c>
      <x:c r="AA54" s="11" t="n">
        <x:v>0</x:v>
      </x:c>
      <x:c r="AB54" s="11" t="n">
        <x:v>0</x:v>
      </x:c>
      <x:c r="AC54" s="11" t="n">
        <x:v>720</x:v>
      </x:c>
      <x:c r="AE54" t="str">
        <x:v>d/C_H1.csv</x:v>
      </x:c>
    </x:row>
    <x:row r="55" ht="24" customHeight="1">
      <x:c r="A55" s="10" t="str">
        <x:v>d</x:v>
      </x:c>
      <x:c r="B55" s="10" t="str">
        <x:v>NG_H0</x:v>
      </x:c>
      <x:c r="C55" s="11" t="n">
        <x:v>1167</x:v>
      </x:c>
      <x:c r="D55" s="11" t="n">
        <x:v>1723934</x:v>
      </x:c>
      <x:c r="E55" s="11" t="n">
        <x:v>0</x:v>
      </x:c>
      <x:c r="F55" s="11" t="n">
        <x:v>111</x:v>
      </x:c>
      <x:c r="G55" s="11" t="n">
        <x:v>503</x:v>
      </x:c>
      <x:c r="H55" s="11" t="n">
        <x:v>248</x:v>
      </x:c>
      <x:c r="I55" s="11" t="n">
        <x:v>209</x:v>
      </x:c>
      <x:c r="J55" s="11" t="n">
        <x:v>72</x:v>
      </x:c>
      <x:c r="K55" s="11" t="n">
        <x:v>4</x:v>
      </x:c>
      <x:c r="L55" s="11" t="n">
        <x:v>12</x:v>
      </x:c>
      <x:c r="M55" s="11" t="n">
        <x:v>8</x:v>
      </x:c>
      <x:c r="N55" s="11" t="n">
        <x:v>0</x:v>
      </x:c>
      <x:c r="O55" s="11" t="n">
        <x:v>0</x:v>
      </x:c>
      <x:c r="P55" s="11" t="n">
        <x:v>60752</x:v>
      </x:c>
      <x:c r="Q55" s="11" t="n">
        <x:v>571774</x:v>
      </x:c>
      <x:c r="R55" s="11" t="n">
        <x:v>496876</x:v>
      </x:c>
      <x:c r="S55" s="11" t="n">
        <x:v>392830</x:v>
      </x:c>
      <x:c r="T55" s="11" t="n">
        <x:v>138520</x:v>
      </x:c>
      <x:c r="U55" s="11" t="n">
        <x:v>6112</x:v>
      </x:c>
      <x:c r="V55" s="11" t="n">
        <x:v>44386</x:v>
      </x:c>
      <x:c r="W55" s="11" t="n">
        <x:v>12684</x:v>
      </x:c>
      <x:c r="X55" s="11" t="n">
        <x:v>0</x:v>
      </x:c>
      <x:c r="Y55" s="11" t="n">
        <x:v>925</x:v>
      </x:c>
      <x:c r="Z55" s="11" t="n">
        <x:v>725</x:v>
      </x:c>
      <x:c r="AA55" s="11" t="n">
        <x:v>0</x:v>
      </x:c>
      <x:c r="AB55" s="11" t="n">
        <x:v>0</x:v>
      </x:c>
      <x:c r="AC55" s="11" t="n">
        <x:v>725</x:v>
      </x:c>
      <x:c r="AE55" t="str">
        <x:v>d/NG_H0.csv</x:v>
      </x:c>
    </x:row>
    <x:row r="56" ht="24" customHeight="1">
      <x:c r="A56" s="10" t="str">
        <x:v>d</x:v>
      </x:c>
      <x:c r="B56" s="10" t="str">
        <x:v>NG_H1</x:v>
      </x:c>
      <x:c r="C56" s="11" t="n">
        <x:v>1167</x:v>
      </x:c>
      <x:c r="D56" s="11" t="n">
        <x:v>1723934</x:v>
      </x:c>
      <x:c r="E56" s="11" t="n">
        <x:v>0</x:v>
      </x:c>
      <x:c r="F56" s="11" t="n">
        <x:v>111</x:v>
      </x:c>
      <x:c r="G56" s="11" t="n">
        <x:v>414</x:v>
      </x:c>
      <x:c r="H56" s="11" t="n">
        <x:v>321</x:v>
      </x:c>
      <x:c r="I56" s="11" t="n">
        <x:v>213</x:v>
      </x:c>
      <x:c r="J56" s="11" t="n">
        <x:v>83</x:v>
      </x:c>
      <x:c r="K56" s="11" t="n">
        <x:v>5</x:v>
      </x:c>
      <x:c r="L56" s="11" t="n">
        <x:v>12</x:v>
      </x:c>
      <x:c r="M56" s="11" t="n">
        <x:v>8</x:v>
      </x:c>
      <x:c r="N56" s="11" t="n">
        <x:v>0</x:v>
      </x:c>
      <x:c r="O56" s="11" t="n">
        <x:v>0</x:v>
      </x:c>
      <x:c r="P56" s="11" t="n">
        <x:v>60752</x:v>
      </x:c>
      <x:c r="Q56" s="11" t="n">
        <x:v>476028</x:v>
      </x:c>
      <x:c r="R56" s="11" t="n">
        <x:v>581668</x:v>
      </x:c>
      <x:c r="S56" s="11" t="n">
        <x:v>397334</x:v>
      </x:c>
      <x:c r="T56" s="11" t="n">
        <x:v>144078</x:v>
      </x:c>
      <x:c r="U56" s="11" t="n">
        <x:v>7004</x:v>
      </x:c>
      <x:c r="V56" s="11" t="n">
        <x:v>44386</x:v>
      </x:c>
      <x:c r="W56" s="11" t="n">
        <x:v>12684</x:v>
      </x:c>
      <x:c r="X56" s="11" t="n">
        <x:v>0</x:v>
      </x:c>
      <x:c r="Y56" s="11" t="n">
        <x:v>925</x:v>
      </x:c>
      <x:c r="Z56" s="11" t="n">
        <x:v>725</x:v>
      </x:c>
      <x:c r="AA56" s="11" t="n">
        <x:v>0</x:v>
      </x:c>
      <x:c r="AB56" s="11" t="n">
        <x:v>0</x:v>
      </x:c>
      <x:c r="AC56" s="11" t="n">
        <x:v>740</x:v>
      </x:c>
      <x:c r="AE56" t="str">
        <x:v>d/NG_H1.csv</x:v>
      </x:c>
    </x:row>
    <x:row r="57" ht="24" customHeight="1">
      <x:c r="A57" s="10" t="str">
        <x:v>d</x:v>
      </x:c>
      <x:c r="B57" s="10" t="str">
        <x:v>CG_H0</x:v>
      </x:c>
      <x:c r="C57" s="11" t="n">
        <x:v>1167</x:v>
      </x:c>
      <x:c r="D57" s="11" t="n">
        <x:v>1723934</x:v>
      </x:c>
      <x:c r="E57" s="11" t="n">
        <x:v>0</x:v>
      </x:c>
      <x:c r="F57" s="11" t="n">
        <x:v>128</x:v>
      </x:c>
      <x:c r="G57" s="11" t="n">
        <x:v>503</x:v>
      </x:c>
      <x:c r="H57" s="11" t="n">
        <x:v>255</x:v>
      </x:c>
      <x:c r="I57" s="11" t="n">
        <x:v>209</x:v>
      </x:c>
      <x:c r="J57" s="11" t="n">
        <x:v>72</x:v>
      </x:c>
      <x:c r="K57" s="11" t="n">
        <x:v>0</x:v>
      </x:c>
      <x:c r="L57" s="11" t="n">
        <x:v>0</x:v>
      </x:c>
      <x:c r="M57" s="11" t="n">
        <x:v>0</x:v>
      </x:c>
      <x:c r="N57" s="11" t="n">
        <x:v>0</x:v>
      </x:c>
      <x:c r="O57" s="11" t="n">
        <x:v>0</x:v>
      </x:c>
      <x:c r="P57" s="11" t="n">
        <x:v>56336</x:v>
      </x:c>
      <x:c r="Q57" s="11" t="n">
        <x:v>605266</x:v>
      </x:c>
      <x:c r="R57" s="11" t="n">
        <x:v>530982</x:v>
      </x:c>
      <x:c r="S57" s="11" t="n">
        <x:v>392830</x:v>
      </x:c>
      <x:c r="T57" s="11" t="n">
        <x:v>138520</x:v>
      </x:c>
      <x:c r="U57" s="11" t="n">
        <x:v>0</x:v>
      </x:c>
      <x:c r="V57" s="11" t="n">
        <x:v>0</x:v>
      </x:c>
      <x:c r="W57" s="11" t="n">
        <x:v>0</x:v>
      </x:c>
      <x:c r="X57" s="11" t="n">
        <x:v>0</x:v>
      </x:c>
      <x:c r="Y57" s="11" t="n">
        <x:v>866</x:v>
      </x:c>
      <x:c r="Z57" s="11" t="n">
        <x:v>861</x:v>
      </x:c>
      <x:c r="AA57" s="11" t="n">
        <x:v>0</x:v>
      </x:c>
      <x:c r="AB57" s="11" t="n">
        <x:v>0</x:v>
      </x:c>
      <x:c r="AC57" s="11" t="n">
        <x:v>720</x:v>
      </x:c>
      <x:c r="AE57" t="str">
        <x:v>d/CG_H0.csv</x:v>
      </x:c>
    </x:row>
    <x:row r="58" ht="24" customHeight="1">
      <x:c r="A58" s="10" t="str">
        <x:v>d</x:v>
      </x:c>
      <x:c r="B58" s="10" t="str">
        <x:v>CG_H1</x:v>
      </x:c>
      <x:c r="C58" s="11" t="n">
        <x:v>1167</x:v>
      </x:c>
      <x:c r="D58" s="11" t="n">
        <x:v>1723934</x:v>
      </x:c>
      <x:c r="E58" s="11" t="n">
        <x:v>0</x:v>
      </x:c>
      <x:c r="F58" s="11" t="n">
        <x:v>128</x:v>
      </x:c>
      <x:c r="G58" s="11" t="n">
        <x:v>426</x:v>
      </x:c>
      <x:c r="H58" s="11" t="n">
        <x:v>328</x:v>
      </x:c>
      <x:c r="I58" s="11" t="n">
        <x:v>209</x:v>
      </x:c>
      <x:c r="J58" s="11" t="n">
        <x:v>76</x:v>
      </x:c>
      <x:c r="K58" s="11" t="n">
        <x:v>0</x:v>
      </x:c>
      <x:c r="L58" s="11" t="n">
        <x:v>0</x:v>
      </x:c>
      <x:c r="M58" s="11" t="n">
        <x:v>0</x:v>
      </x:c>
      <x:c r="N58" s="11" t="n">
        <x:v>0</x:v>
      </x:c>
      <x:c r="O58" s="11" t="n">
        <x:v>0</x:v>
      </x:c>
      <x:c r="P58" s="11" t="n">
        <x:v>56336</x:v>
      </x:c>
      <x:c r="Q58" s="11" t="n">
        <x:v>515970</x:v>
      </x:c>
      <x:c r="R58" s="11" t="n">
        <x:v>615774</x:v>
      </x:c>
      <x:c r="S58" s="11" t="n">
        <x:v>393566</x:v>
      </x:c>
      <x:c r="T58" s="11" t="n">
        <x:v>142288</x:v>
      </x:c>
      <x:c r="U58" s="11" t="n">
        <x:v>0</x:v>
      </x:c>
      <x:c r="V58" s="11" t="n">
        <x:v>0</x:v>
      </x:c>
      <x:c r="W58" s="11" t="n">
        <x:v>0</x:v>
      </x:c>
      <x:c r="X58" s="11" t="n">
        <x:v>0</x:v>
      </x:c>
      <x:c r="Y58" s="11" t="n">
        <x:v>895</x:v>
      </x:c>
      <x:c r="Z58" s="11" t="n">
        <x:v>890</x:v>
      </x:c>
      <x:c r="AA58" s="11" t="n">
        <x:v>0</x:v>
      </x:c>
      <x:c r="AB58" s="11" t="n">
        <x:v>29</x:v>
      </x:c>
      <x:c r="AC58" s="11" t="n">
        <x:v>749</x:v>
      </x:c>
      <x:c r="AE58" t="str">
        <x:v>d/CG_H1.csv</x:v>
      </x:c>
    </x:row>
    <x:row r="59" ht="24" customHeight="1">
      <x:c r="A59" s="10" t="str">
        <x:v>d</x:v>
      </x:c>
      <x:c r="B59" s="10" t="str">
        <x:v>NC_H0</x:v>
      </x:c>
      <x:c r="C59" s="11" t="n">
        <x:v>1167</x:v>
      </x:c>
      <x:c r="D59" s="11" t="n">
        <x:v>1723934</x:v>
      </x:c>
      <x:c r="E59" s="11" t="n">
        <x:v>0</x:v>
      </x:c>
      <x:c r="F59" s="11" t="n">
        <x:v>330</x:v>
      </x:c>
      <x:c r="G59" s="11" t="n">
        <x:v>56</x:v>
      </x:c>
      <x:c r="H59" s="11" t="n">
        <x:v>0</x:v>
      </x:c>
      <x:c r="I59" s="11" t="n">
        <x:v>757</x:v>
      </x:c>
      <x:c r="J59" s="11" t="n">
        <x:v>0</x:v>
      </x:c>
      <x:c r="K59" s="11" t="n">
        <x:v>4</x:v>
      </x:c>
      <x:c r="L59" s="11" t="n">
        <x:v>12</x:v>
      </x:c>
      <x:c r="M59" s="11" t="n">
        <x:v>8</x:v>
      </x:c>
      <x:c r="N59" s="11" t="n">
        <x:v>0</x:v>
      </x:c>
      <x:c r="O59" s="11" t="n">
        <x:v>0</x:v>
      </x:c>
      <x:c r="P59" s="11" t="n">
        <x:v>285916</x:v>
      </x:c>
      <x:c r="Q59" s="11" t="n">
        <x:v>131310</x:v>
      </x:c>
      <x:c r="R59" s="11" t="n">
        <x:v>0</x:v>
      </x:c>
      <x:c r="S59" s="11" t="n">
        <x:v>1243526</x:v>
      </x:c>
      <x:c r="T59" s="11" t="n">
        <x:v>0</x:v>
      </x:c>
      <x:c r="U59" s="11" t="n">
        <x:v>6112</x:v>
      </x:c>
      <x:c r="V59" s="11" t="n">
        <x:v>44386</x:v>
      </x:c>
      <x:c r="W59" s="11" t="n">
        <x:v>12684</x:v>
      </x:c>
      <x:c r="X59" s="11" t="n">
        <x:v>0</x:v>
      </x:c>
      <x:c r="Y59" s="11" t="n">
        <x:v>757</x:v>
      </x:c>
      <x:c r="Z59" s="11" t="n">
        <x:v>576</x:v>
      </x:c>
      <x:c r="AA59" s="11" t="n">
        <x:v>94</x:v>
      </x:c>
      <x:c r="AB59" s="11" t="n">
        <x:v>0</x:v>
      </x:c>
      <x:c r="AC59" s="11" t="n">
        <x:v>489</x:v>
      </x:c>
      <x:c r="AE59" t="str">
        <x:v>d/NC_H0.csv</x:v>
      </x:c>
    </x:row>
    <x:row r="60" ht="24" customHeight="1">
      <x:c r="A60" s="10" t="str">
        <x:v>d</x:v>
      </x:c>
      <x:c r="B60" s="10" t="str">
        <x:v>NC_H1</x:v>
      </x:c>
      <x:c r="C60" s="11" t="n">
        <x:v>1167</x:v>
      </x:c>
      <x:c r="D60" s="11" t="n">
        <x:v>1723934</x:v>
      </x:c>
      <x:c r="E60" s="11" t="n">
        <x:v>0</x:v>
      </x:c>
      <x:c r="F60" s="11" t="n">
        <x:v>330</x:v>
      </x:c>
      <x:c r="G60" s="11" t="n">
        <x:v>50</x:v>
      </x:c>
      <x:c r="H60" s="11" t="n">
        <x:v>0</x:v>
      </x:c>
      <x:c r="I60" s="11" t="n">
        <x:v>757</x:v>
      </x:c>
      <x:c r="J60" s="11" t="n">
        <x:v>5</x:v>
      </x:c>
      <x:c r="K60" s="11" t="n">
        <x:v>5</x:v>
      </x:c>
      <x:c r="L60" s="11" t="n">
        <x:v>12</x:v>
      </x:c>
      <x:c r="M60" s="11" t="n">
        <x:v>8</x:v>
      </x:c>
      <x:c r="N60" s="11" t="n">
        <x:v>0</x:v>
      </x:c>
      <x:c r="O60" s="11" t="n">
        <x:v>0</x:v>
      </x:c>
      <x:c r="P60" s="11" t="n">
        <x:v>285916</x:v>
      </x:c>
      <x:c r="Q60" s="11" t="n">
        <x:v>128582</x:v>
      </x:c>
      <x:c r="R60" s="11" t="n">
        <x:v>0</x:v>
      </x:c>
      <x:c r="S60" s="11" t="n">
        <x:v>1243526</x:v>
      </x:c>
      <x:c r="T60" s="11" t="n">
        <x:v>1836</x:v>
      </x:c>
      <x:c r="U60" s="11" t="n">
        <x:v>7004</x:v>
      </x:c>
      <x:c r="V60" s="11" t="n">
        <x:v>44386</x:v>
      </x:c>
      <x:c r="W60" s="11" t="n">
        <x:v>12684</x:v>
      </x:c>
      <x:c r="X60" s="11" t="n">
        <x:v>0</x:v>
      </x:c>
      <x:c r="Y60" s="11" t="n">
        <x:v>757</x:v>
      </x:c>
      <x:c r="Z60" s="11" t="n">
        <x:v>576</x:v>
      </x:c>
      <x:c r="AA60" s="11" t="n">
        <x:v>94</x:v>
      </x:c>
      <x:c r="AB60" s="11" t="n">
        <x:v>0</x:v>
      </x:c>
      <x:c r="AC60" s="11" t="n">
        <x:v>498</x:v>
      </x:c>
      <x:c r="AE60" t="str">
        <x:v>d/NC_H1.csv</x:v>
      </x:c>
    </x:row>
    <x:row r="61" ht="24" customHeight="1">
      <x:c r="A61" s="10" t="str">
        <x:v>d</x:v>
      </x:c>
      <x:c r="B61" s="10" t="str">
        <x:v>NCG_H0</x:v>
      </x:c>
      <x:c r="C61" s="11" t="n">
        <x:v>1167</x:v>
      </x:c>
      <x:c r="D61" s="11" t="n">
        <x:v>1723934</x:v>
      </x:c>
      <x:c r="E61" s="11" t="n">
        <x:v>0</x:v>
      </x:c>
      <x:c r="F61" s="11" t="n">
        <x:v>95</x:v>
      </x:c>
      <x:c r="G61" s="11" t="n">
        <x:v>486</x:v>
      </x:c>
      <x:c r="H61" s="11" t="n">
        <x:v>277</x:v>
      </x:c>
      <x:c r="I61" s="11" t="n">
        <x:v>207</x:v>
      </x:c>
      <x:c r="J61" s="11" t="n">
        <x:v>78</x:v>
      </x:c>
      <x:c r="K61" s="11" t="n">
        <x:v>4</x:v>
      </x:c>
      <x:c r="L61" s="11" t="n">
        <x:v>12</x:v>
      </x:c>
      <x:c r="M61" s="11" t="n">
        <x:v>8</x:v>
      </x:c>
      <x:c r="N61" s="11" t="n">
        <x:v>0</x:v>
      </x:c>
      <x:c r="O61" s="11" t="n">
        <x:v>0</x:v>
      </x:c>
      <x:c r="P61" s="11" t="n">
        <x:v>49086</x:v>
      </x:c>
      <x:c r="Q61" s="11" t="n">
        <x:v>552608</x:v>
      </x:c>
      <x:c r="R61" s="11" t="n">
        <x:v>520848</x:v>
      </x:c>
      <x:c r="S61" s="11" t="n">
        <x:v>397162</x:v>
      </x:c>
      <x:c r="T61" s="11" t="n">
        <x:v>141048</x:v>
      </x:c>
      <x:c r="U61" s="11" t="n">
        <x:v>6112</x:v>
      </x:c>
      <x:c r="V61" s="11" t="n">
        <x:v>44386</x:v>
      </x:c>
      <x:c r="W61" s="11" t="n">
        <x:v>12684</x:v>
      </x:c>
      <x:c r="X61" s="11" t="n">
        <x:v>0</x:v>
      </x:c>
      <x:c r="Y61" s="11" t="n">
        <x:v>757</x:v>
      </x:c>
      <x:c r="Z61" s="11" t="n">
        <x:v>576</x:v>
      </x:c>
      <x:c r="AA61" s="11" t="n">
        <x:v>94</x:v>
      </x:c>
      <x:c r="AB61" s="11" t="n">
        <x:v>0</x:v>
      </x:c>
      <x:c r="AC61" s="11" t="n">
        <x:v>489</x:v>
      </x:c>
      <x:c r="AE61" t="str">
        <x:v>d/NCG_H0.csv</x:v>
      </x:c>
    </x:row>
    <x:row r="62" ht="24" customHeight="1">
      <x:c r="A62" s="10" t="str">
        <x:v>d</x:v>
      </x:c>
      <x:c r="B62" s="10" t="str">
        <x:v>NCG_H1</x:v>
      </x:c>
      <x:c r="C62" s="11" t="n">
        <x:v>1167</x:v>
      </x:c>
      <x:c r="D62" s="11" t="n">
        <x:v>1723934</x:v>
      </x:c>
      <x:c r="E62" s="11" t="n">
        <x:v>0</x:v>
      </x:c>
      <x:c r="F62" s="11" t="n">
        <x:v>95</x:v>
      </x:c>
      <x:c r="G62" s="11" t="n">
        <x:v>413</x:v>
      </x:c>
      <x:c r="H62" s="11" t="n">
        <x:v>341</x:v>
      </x:c>
      <x:c r="I62" s="11" t="n">
        <x:v>207</x:v>
      </x:c>
      <x:c r="J62" s="11" t="n">
        <x:v>86</x:v>
      </x:c>
      <x:c r="K62" s="11" t="n">
        <x:v>5</x:v>
      </x:c>
      <x:c r="L62" s="11" t="n">
        <x:v>12</x:v>
      </x:c>
      <x:c r="M62" s="11" t="n">
        <x:v>8</x:v>
      </x:c>
      <x:c r="N62" s="11" t="n">
        <x:v>0</x:v>
      </x:c>
      <x:c r="O62" s="11" t="n">
        <x:v>0</x:v>
      </x:c>
      <x:c r="P62" s="11" t="n">
        <x:v>49086</x:v>
      </x:c>
      <x:c r="Q62" s="11" t="n">
        <x:v>469250</x:v>
      </x:c>
      <x:c r="R62" s="11" t="n">
        <x:v>597954</x:v>
      </x:c>
      <x:c r="S62" s="11" t="n">
        <x:v>397182</x:v>
      </x:c>
      <x:c r="T62" s="11" t="n">
        <x:v>146388</x:v>
      </x:c>
      <x:c r="U62" s="11" t="n">
        <x:v>7004</x:v>
      </x:c>
      <x:c r="V62" s="11" t="n">
        <x:v>44386</x:v>
      </x:c>
      <x:c r="W62" s="11" t="n">
        <x:v>12684</x:v>
      </x:c>
      <x:c r="X62" s="11" t="n">
        <x:v>0</x:v>
      </x:c>
      <x:c r="Y62" s="11" t="n">
        <x:v>783</x:v>
      </x:c>
      <x:c r="Z62" s="11" t="n">
        <x:v>602</x:v>
      </x:c>
      <x:c r="AA62" s="11" t="n">
        <x:v>94</x:v>
      </x:c>
      <x:c r="AB62" s="11" t="n">
        <x:v>26</x:v>
      </x:c>
      <x:c r="AC62" s="11" t="n">
        <x:v>522</x:v>
      </x:c>
      <x:c r="AE62" t="str">
        <x:v>d/NCG_H1.csv</x:v>
      </x:c>
    </x:row>
    <x:row r="63" ht="24" customHeight="1">
      <x:c r="A63" s="10" t="str">
        <x:v>d</x:v>
      </x:c>
      <x:c r="B63" s="10" t="str">
        <x:v>G_H0</x:v>
      </x:c>
      <x:c r="C63" s="11" t="n">
        <x:v>1167</x:v>
      </x:c>
      <x:c r="D63" s="11" t="n">
        <x:v>1723934</x:v>
      </x:c>
      <x:c r="E63" s="11" t="n">
        <x:v>0</x:v>
      </x:c>
      <x:c r="F63" s="11" t="n">
        <x:v>89</x:v>
      </x:c>
      <x:c r="G63" s="11" t="n">
        <x:v>542</x:v>
      </x:c>
      <x:c r="H63" s="11" t="n">
        <x:v>255</x:v>
      </x:c>
      <x:c r="I63" s="11" t="n">
        <x:v>209</x:v>
      </x:c>
      <x:c r="J63" s="11" t="n">
        <x:v>72</x:v>
      </x:c>
      <x:c r="K63" s="11" t="n">
        <x:v>0</x:v>
      </x:c>
      <x:c r="L63" s="11" t="n">
        <x:v>0</x:v>
      </x:c>
      <x:c r="M63" s="11" t="n">
        <x:v>0</x:v>
      </x:c>
      <x:c r="N63" s="11" t="n">
        <x:v>0</x:v>
      </x:c>
      <x:c r="O63" s="11" t="n">
        <x:v>0</x:v>
      </x:c>
      <x:c r="P63" s="11" t="n">
        <x:v>42346</x:v>
      </x:c>
      <x:c r="Q63" s="11" t="n">
        <x:v>619256</x:v>
      </x:c>
      <x:c r="R63" s="11" t="n">
        <x:v>530982</x:v>
      </x:c>
      <x:c r="S63" s="11" t="n">
        <x:v>392830</x:v>
      </x:c>
      <x:c r="T63" s="11" t="n">
        <x:v>138520</x:v>
      </x:c>
      <x:c r="U63" s="11" t="n">
        <x:v>0</x:v>
      </x:c>
      <x:c r="V63" s="11" t="n">
        <x:v>0</x:v>
      </x:c>
      <x:c r="W63" s="11" t="n">
        <x:v>0</x:v>
      </x:c>
      <x:c r="X63" s="11" t="n">
        <x:v>0</x:v>
      </x:c>
      <x:c r="Y63" s="11" t="n">
        <x:v>1167</x:v>
      </x:c>
      <x:c r="Z63" s="11" t="n">
        <x:v>1167</x:v>
      </x:c>
      <x:c r="AA63" s="11" t="n">
        <x:v>0</x:v>
      </x:c>
      <x:c r="AB63" s="11" t="n">
        <x:v>0</x:v>
      </x:c>
      <x:c r="AC63" s="11" t="n">
        <x:v>1167</x:v>
      </x:c>
      <x:c r="AE63" t="str">
        <x:v>d/G_H0.csv</x:v>
      </x:c>
    </x:row>
    <x:row r="64" ht="24" customHeight="1">
      <x:c r="A64" s="10" t="str">
        <x:v>d</x:v>
      </x:c>
      <x:c r="B64" s="10" t="str">
        <x:v>G_H1</x:v>
      </x:c>
      <x:c r="C64" s="11" t="n">
        <x:v>1167</x:v>
      </x:c>
      <x:c r="D64" s="11" t="n">
        <x:v>1723934</x:v>
      </x:c>
      <x:c r="E64" s="11" t="n">
        <x:v>0</x:v>
      </x:c>
      <x:c r="F64" s="11" t="n">
        <x:v>89</x:v>
      </x:c>
      <x:c r="G64" s="11" t="n">
        <x:v>465</x:v>
      </x:c>
      <x:c r="H64" s="11" t="n">
        <x:v>328</x:v>
      </x:c>
      <x:c r="I64" s="11" t="n">
        <x:v>213</x:v>
      </x:c>
      <x:c r="J64" s="11" t="n">
        <x:v>72</x:v>
      </x:c>
      <x:c r="K64" s="11" t="n">
        <x:v>0</x:v>
      </x:c>
      <x:c r="L64" s="11" t="n">
        <x:v>0</x:v>
      </x:c>
      <x:c r="M64" s="11" t="n">
        <x:v>0</x:v>
      </x:c>
      <x:c r="N64" s="11" t="n">
        <x:v>0</x:v>
      </x:c>
      <x:c r="O64" s="11" t="n">
        <x:v>0</x:v>
      </x:c>
      <x:c r="P64" s="11" t="n">
        <x:v>42346</x:v>
      </x:c>
      <x:c r="Q64" s="11" t="n">
        <x:v>529960</x:v>
      </x:c>
      <x:c r="R64" s="11" t="n">
        <x:v>615774</x:v>
      </x:c>
      <x:c r="S64" s="11" t="n">
        <x:v>397334</x:v>
      </x:c>
      <x:c r="T64" s="11" t="n">
        <x:v>138520</x:v>
      </x:c>
      <x:c r="U64" s="11" t="n">
        <x:v>0</x:v>
      </x:c>
      <x:c r="V64" s="11" t="n">
        <x:v>0</x:v>
      </x:c>
      <x:c r="W64" s="11" t="n">
        <x:v>0</x:v>
      </x:c>
      <x:c r="X64" s="11" t="n">
        <x:v>0</x:v>
      </x:c>
      <x:c r="Y64" s="11" t="n">
        <x:v>1167</x:v>
      </x:c>
      <x:c r="Z64" s="11" t="n">
        <x:v>1167</x:v>
      </x:c>
      <x:c r="AA64" s="11" t="n">
        <x:v>0</x:v>
      </x:c>
      <x:c r="AB64" s="11" t="n">
        <x:v>0</x:v>
      </x:c>
      <x:c r="AC64" s="11" t="n">
        <x:v>1167</x:v>
      </x:c>
      <x:c r="AE64" t="str">
        <x:v>d/G_H1.csv</x:v>
      </x:c>
    </x:row>
    <x:row r="65" ht="24" customHeight="1">
      <x:c r="A65" s="10" t="str">
        <x:v>d</x:v>
      </x:c>
      <x:c r="B65" s="10" t="str">
        <x:v>NCG_H1_M1</x:v>
      </x:c>
      <x:c r="C65" s="11" t="n">
        <x:v>1167</x:v>
      </x:c>
      <x:c r="D65" s="11" t="n">
        <x:v>1723934</x:v>
      </x:c>
      <x:c r="E65" s="11" t="n">
        <x:v>0</x:v>
      </x:c>
      <x:c r="F65" s="11" t="n">
        <x:v>91</x:v>
      </x:c>
      <x:c r="G65" s="11" t="n">
        <x:v>362</x:v>
      </x:c>
      <x:c r="H65" s="11" t="n">
        <x:v>316</x:v>
      </x:c>
      <x:c r="I65" s="11" t="n">
        <x:v>205</x:v>
      </x:c>
      <x:c r="J65" s="11" t="n">
        <x:v>102</x:v>
      </x:c>
      <x:c r="K65" s="11" t="n">
        <x:v>12</x:v>
      </x:c>
      <x:c r="L65" s="11" t="n">
        <x:v>26</x:v>
      </x:c>
      <x:c r="M65" s="11" t="n">
        <x:v>49</x:v>
      </x:c>
      <x:c r="N65" s="11" t="n">
        <x:v>4</x:v>
      </x:c>
      <x:c r="O65" s="11" t="n">
        <x:v>0</x:v>
      </x:c>
      <x:c r="P65" s="11" t="n">
        <x:v>46678</x:v>
      </x:c>
      <x:c r="Q65" s="11" t="n">
        <x:v>377518</x:v>
      </x:c>
      <x:c r="R65" s="11" t="n">
        <x:v>569566</x:v>
      </x:c>
      <x:c r="S65" s="11" t="n">
        <x:v>396930</x:v>
      </x:c>
      <x:c r="T65" s="11" t="n">
        <x:v>163012</x:v>
      </x:c>
      <x:c r="U65" s="11" t="n">
        <x:v>12604</x:v>
      </x:c>
      <x:c r="V65" s="11" t="n">
        <x:v>63626</x:v>
      </x:c>
      <x:c r="W65" s="11" t="n">
        <x:v>87360</x:v>
      </x:c>
      <x:c r="X65" s="11" t="n">
        <x:v>6640</x:v>
      </x:c>
      <x:c r="Y65" s="11" t="n">
        <x:v>595</x:v>
      </x:c>
      <x:c r="Z65" s="11" t="n">
        <x:v>464</x:v>
      </x:c>
      <x:c r="AA65" s="11" t="n">
        <x:v>94</x:v>
      </x:c>
      <x:c r="AB65" s="11" t="n">
        <x:v>20</x:v>
      </x:c>
      <x:c r="AC65" s="11" t="n">
        <x:v>737</x:v>
      </x:c>
      <x:c r="AE65" t="str">
        <x:v>d/NCG_H1_M1.csv</x:v>
      </x:c>
    </x:row>
    <x:row r="66" ht="24" customHeight="1">
      <x:c r="A66" s="10" t="str">
        <x:v>e</x:v>
      </x:c>
      <x:c r="B66" s="10" t="str">
        <x:v>N_H0</x:v>
      </x:c>
      <x:c r="C66" s="11" t="n">
        <x:v>3347</x:v>
      </x:c>
      <x:c r="D66" s="11" t="n">
        <x:v>15496224</x:v>
      </x:c>
      <x:c r="E66" s="11" t="n">
        <x:v>0</x:v>
      </x:c>
      <x:c r="F66" s="11" t="n">
        <x:v>572</x:v>
      </x:c>
      <x:c r="G66" s="11" t="n">
        <x:v>115</x:v>
      </x:c>
      <x:c r="H66" s="11" t="n">
        <x:v>0</x:v>
      </x:c>
      <x:c r="I66" s="11" t="n">
        <x:v>2198</x:v>
      </x:c>
      <x:c r="J66" s="11" t="n">
        <x:v>0</x:v>
      </x:c>
      <x:c r="K66" s="11" t="n">
        <x:v>168</x:v>
      </x:c>
      <x:c r="L66" s="11" t="n">
        <x:v>33</x:v>
      </x:c>
      <x:c r="M66" s="11" t="n">
        <x:v>261</x:v>
      </x:c>
      <x:c r="N66" s="11" t="n">
        <x:v>0</x:v>
      </x:c>
      <x:c r="O66" s="11" t="n">
        <x:v>0</x:v>
      </x:c>
      <x:c r="P66" s="11" t="n">
        <x:v>1461706</x:v>
      </x:c>
      <x:c r="Q66" s="11" t="n">
        <x:v>274426</x:v>
      </x:c>
      <x:c r="R66" s="11" t="n">
        <x:v>0</x:v>
      </x:c>
      <x:c r="S66" s="11" t="n">
        <x:v>9519658</x:v>
      </x:c>
      <x:c r="T66" s="11" t="n">
        <x:v>0</x:v>
      </x:c>
      <x:c r="U66" s="11" t="n">
        <x:v>1380358</x:v>
      </x:c>
      <x:c r="V66" s="11" t="n">
        <x:v>919250</x:v>
      </x:c>
      <x:c r="W66" s="11" t="n">
        <x:v>1940826</x:v>
      </x:c>
      <x:c r="X66" s="11" t="n">
        <x:v>0</x:v>
      </x:c>
      <x:c r="Y66" s="11" t="n">
        <x:v>2198</x:v>
      </x:c>
      <x:c r="Z66" s="11" t="n">
        <x:v>1696</x:v>
      </x:c>
      <x:c r="AA66" s="11" t="n">
        <x:v>0</x:v>
      </x:c>
      <x:c r="AB66" s="11" t="n">
        <x:v>0</x:v>
      </x:c>
      <x:c r="AC66" s="11" t="n">
        <x:v>1696</x:v>
      </x:c>
      <x:c r="AE66" t="str">
        <x:v>e/N_H0.csv</x:v>
      </x:c>
    </x:row>
    <x:row r="67" ht="24" customHeight="1">
      <x:c r="A67" s="10" t="str">
        <x:v>e</x:v>
      </x:c>
      <x:c r="B67" s="10" t="str">
        <x:v>N_H1</x:v>
      </x:c>
      <x:c r="C67" s="11" t="n">
        <x:v>3347</x:v>
      </x:c>
      <x:c r="D67" s="11" t="n">
        <x:v>15496224</x:v>
      </x:c>
      <x:c r="E67" s="11" t="n">
        <x:v>0</x:v>
      </x:c>
      <x:c r="F67" s="11" t="n">
        <x:v>572</x:v>
      </x:c>
      <x:c r="G67" s="11" t="n">
        <x:v>102</x:v>
      </x:c>
      <x:c r="H67" s="11" t="n">
        <x:v>0</x:v>
      </x:c>
      <x:c r="I67" s="11" t="n">
        <x:v>2198</x:v>
      </x:c>
      <x:c r="J67" s="11" t="n">
        <x:v>13</x:v>
      </x:c>
      <x:c r="K67" s="11" t="n">
        <x:v>168</x:v>
      </x:c>
      <x:c r="L67" s="11" t="n">
        <x:v>33</x:v>
      </x:c>
      <x:c r="M67" s="11" t="n">
        <x:v>261</x:v>
      </x:c>
      <x:c r="N67" s="11" t="n">
        <x:v>0</x:v>
      </x:c>
      <x:c r="O67" s="11" t="n">
        <x:v>0</x:v>
      </x:c>
      <x:c r="P67" s="11" t="n">
        <x:v>1461706</x:v>
      </x:c>
      <x:c r="Q67" s="11" t="n">
        <x:v>250596</x:v>
      </x:c>
      <x:c r="R67" s="11" t="n">
        <x:v>0</x:v>
      </x:c>
      <x:c r="S67" s="11" t="n">
        <x:v>9519658</x:v>
      </x:c>
      <x:c r="T67" s="11" t="n">
        <x:v>23830</x:v>
      </x:c>
      <x:c r="U67" s="11" t="n">
        <x:v>1380358</x:v>
      </x:c>
      <x:c r="V67" s="11" t="n">
        <x:v>919250</x:v>
      </x:c>
      <x:c r="W67" s="11" t="n">
        <x:v>1940826</x:v>
      </x:c>
      <x:c r="X67" s="11" t="n">
        <x:v>0</x:v>
      </x:c>
      <x:c r="Y67" s="11" t="n">
        <x:v>2198</x:v>
      </x:c>
      <x:c r="Z67" s="11" t="n">
        <x:v>1696</x:v>
      </x:c>
      <x:c r="AA67" s="11" t="n">
        <x:v>0</x:v>
      </x:c>
      <x:c r="AB67" s="11" t="n">
        <x:v>0</x:v>
      </x:c>
      <x:c r="AC67" s="11" t="n">
        <x:v>1891</x:v>
      </x:c>
      <x:c r="AE67" t="str">
        <x:v>e/N_H1.csv</x:v>
      </x:c>
    </x:row>
    <x:row r="68" ht="24" customHeight="1">
      <x:c r="A68" s="10" t="str">
        <x:v>e</x:v>
      </x:c>
      <x:c r="B68" s="10" t="str">
        <x:v>C_H0</x:v>
      </x:c>
      <x:c r="C68" s="11" t="n">
        <x:v>3347</x:v>
      </x:c>
      <x:c r="D68" s="11" t="n">
        <x:v>15496224</x:v>
      </x:c>
      <x:c r="E68" s="11" t="n">
        <x:v>0</x:v>
      </x:c>
      <x:c r="F68" s="11" t="n">
        <x:v>1122</x:v>
      </x:c>
      <x:c r="G68" s="11" t="n">
        <x:v>0</x:v>
      </x:c>
      <x:c r="H68" s="11" t="n">
        <x:v>0</x:v>
      </x:c>
      <x:c r="I68" s="11" t="n">
        <x:v>2223</x:v>
      </x:c>
      <x:c r="J68" s="11" t="n">
        <x:v>0</x:v>
      </x:c>
      <x:c r="K68" s="11" t="n">
        <x:v>2</x:v>
      </x:c>
      <x:c r="L68" s="11" t="n">
        <x:v>0</x:v>
      </x:c>
      <x:c r="M68" s="11" t="n">
        <x:v>0</x:v>
      </x:c>
      <x:c r="N68" s="11" t="n">
        <x:v>0</x:v>
      </x:c>
      <x:c r="O68" s="11" t="n">
        <x:v>0</x:v>
      </x:c>
      <x:c r="P68" s="11" t="n">
        <x:v>2813742</x:v>
      </x:c>
      <x:c r="Q68" s="11" t="n">
        <x:v>0</x:v>
      </x:c>
      <x:c r="R68" s="11" t="n">
        <x:v>0</x:v>
      </x:c>
      <x:c r="S68" s="11" t="n">
        <x:v>12667152</x:v>
      </x:c>
      <x:c r="T68" s="11" t="n">
        <x:v>0</x:v>
      </x:c>
      <x:c r="U68" s="11" t="n">
        <x:v>15330</x:v>
      </x:c>
      <x:c r="V68" s="11" t="n">
        <x:v>0</x:v>
      </x:c>
      <x:c r="W68" s="11" t="n">
        <x:v>0</x:v>
      </x:c>
      <x:c r="X68" s="11" t="n">
        <x:v>0</x:v>
      </x:c>
      <x:c r="Y68" s="11" t="n">
        <x:v>2223</x:v>
      </x:c>
      <x:c r="Z68" s="11" t="n">
        <x:v>2204</x:v>
      </x:c>
      <x:c r="AA68" s="11" t="n">
        <x:v>0</x:v>
      </x:c>
      <x:c r="AB68" s="11" t="n">
        <x:v>0</x:v>
      </x:c>
      <x:c r="AC68" s="11" t="n">
        <x:v>1858</x:v>
      </x:c>
      <x:c r="AE68" t="str">
        <x:v>e/C_H0.csv</x:v>
      </x:c>
    </x:row>
    <x:row r="69" ht="24" customHeight="1">
      <x:c r="A69" s="10" t="str">
        <x:v>e</x:v>
      </x:c>
      <x:c r="B69" s="10" t="str">
        <x:v>C_H1</x:v>
      </x:c>
      <x:c r="C69" s="11" t="n">
        <x:v>3347</x:v>
      </x:c>
      <x:c r="D69" s="11" t="n">
        <x:v>15496224</x:v>
      </x:c>
      <x:c r="E69" s="11" t="n">
        <x:v>0</x:v>
      </x:c>
      <x:c r="F69" s="11" t="n">
        <x:v>1121</x:v>
      </x:c>
      <x:c r="G69" s="11" t="n">
        <x:v>0</x:v>
      </x:c>
      <x:c r="H69" s="11" t="n">
        <x:v>0</x:v>
      </x:c>
      <x:c r="I69" s="11" t="n">
        <x:v>2223</x:v>
      </x:c>
      <x:c r="J69" s="11" t="n">
        <x:v>0</x:v>
      </x:c>
      <x:c r="K69" s="11" t="n">
        <x:v>3</x:v>
      </x:c>
      <x:c r="L69" s="11" t="n">
        <x:v>0</x:v>
      </x:c>
      <x:c r="M69" s="11" t="n">
        <x:v>0</x:v>
      </x:c>
      <x:c r="N69" s="11" t="n">
        <x:v>0</x:v>
      </x:c>
      <x:c r="O69" s="11" t="n">
        <x:v>0</x:v>
      </x:c>
      <x:c r="P69" s="11" t="n">
        <x:v>2812758</x:v>
      </x:c>
      <x:c r="Q69" s="11" t="n">
        <x:v>0</x:v>
      </x:c>
      <x:c r="R69" s="11" t="n">
        <x:v>0</x:v>
      </x:c>
      <x:c r="S69" s="11" t="n">
        <x:v>12667152</x:v>
      </x:c>
      <x:c r="T69" s="11" t="n">
        <x:v>0</x:v>
      </x:c>
      <x:c r="U69" s="11" t="n">
        <x:v>16314</x:v>
      </x:c>
      <x:c r="V69" s="11" t="n">
        <x:v>0</x:v>
      </x:c>
      <x:c r="W69" s="11" t="n">
        <x:v>0</x:v>
      </x:c>
      <x:c r="X69" s="11" t="n">
        <x:v>0</x:v>
      </x:c>
      <x:c r="Y69" s="11" t="n">
        <x:v>2223</x:v>
      </x:c>
      <x:c r="Z69" s="11" t="n">
        <x:v>2204</x:v>
      </x:c>
      <x:c r="AA69" s="11" t="n">
        <x:v>0</x:v>
      </x:c>
      <x:c r="AB69" s="11" t="n">
        <x:v>0</x:v>
      </x:c>
      <x:c r="AC69" s="11" t="n">
        <x:v>1859</x:v>
      </x:c>
      <x:c r="AE69" t="str">
        <x:v>e/C_H1.csv</x:v>
      </x:c>
    </x:row>
    <x:row r="70" ht="24" customHeight="1">
      <x:c r="A70" s="10" t="str">
        <x:v>e</x:v>
      </x:c>
      <x:c r="B70" s="10" t="str">
        <x:v>NG_H0</x:v>
      </x:c>
      <x:c r="C70" s="11" t="n">
        <x:v>3347</x:v>
      </x:c>
      <x:c r="D70" s="11" t="n">
        <x:v>15496224</x:v>
      </x:c>
      <x:c r="E70" s="11" t="n">
        <x:v>19</x:v>
      </x:c>
      <x:c r="F70" s="11" t="n">
        <x:v>668</x:v>
      </x:c>
      <x:c r="G70" s="11" t="n">
        <x:v>1103</x:v>
      </x:c>
      <x:c r="H70" s="11" t="n">
        <x:v>932</x:v>
      </x:c>
      <x:c r="I70" s="11" t="n">
        <x:v>128</x:v>
      </x:c>
      <x:c r="J70" s="11" t="n">
        <x:v>34</x:v>
      </x:c>
      <x:c r="K70" s="11" t="n">
        <x:v>169</x:v>
      </x:c>
      <x:c r="L70" s="11" t="n">
        <x:v>33</x:v>
      </x:c>
      <x:c r="M70" s="11" t="n">
        <x:v>257</x:v>
      </x:c>
      <x:c r="N70" s="11" t="n">
        <x:v>4</x:v>
      </x:c>
      <x:c r="O70" s="11" t="n">
        <x:v>9136</x:v>
      </x:c>
      <x:c r="P70" s="11" t="n">
        <x:v>2197104</x:v>
      </x:c>
      <x:c r="Q70" s="11" t="n">
        <x:v>2373804</x:v>
      </x:c>
      <x:c r="R70" s="11" t="n">
        <x:v>5081724</x:v>
      </x:c>
      <x:c r="S70" s="11" t="n">
        <x:v>652572</x:v>
      </x:c>
      <x:c r="T70" s="11" t="n">
        <x:v>576950</x:v>
      </x:c>
      <x:c r="U70" s="11" t="n">
        <x:v>1744858</x:v>
      </x:c>
      <x:c r="V70" s="11" t="n">
        <x:v>919250</x:v>
      </x:c>
      <x:c r="W70" s="11" t="n">
        <x:v>1938234</x:v>
      </x:c>
      <x:c r="X70" s="11" t="n">
        <x:v>2592</x:v>
      </x:c>
      <x:c r="Y70" s="11" t="n">
        <x:v>2198</x:v>
      </x:c>
      <x:c r="Z70" s="11" t="n">
        <x:v>1696</x:v>
      </x:c>
      <x:c r="AA70" s="11" t="n">
        <x:v>0</x:v>
      </x:c>
      <x:c r="AB70" s="11" t="n">
        <x:v>0</x:v>
      </x:c>
      <x:c r="AC70" s="11" t="n">
        <x:v>1696</x:v>
      </x:c>
      <x:c r="AE70" t="str">
        <x:v>e/NG_H0.csv</x:v>
      </x:c>
    </x:row>
    <x:row r="71" ht="24" customHeight="1">
      <x:c r="A71" s="10" t="str">
        <x:v>e</x:v>
      </x:c>
      <x:c r="B71" s="10" t="str">
        <x:v>NG_H1</x:v>
      </x:c>
      <x:c r="C71" s="11" t="n">
        <x:v>3347</x:v>
      </x:c>
      <x:c r="D71" s="11" t="n">
        <x:v>15496224</x:v>
      </x:c>
      <x:c r="E71" s="11" t="n">
        <x:v>19</x:v>
      </x:c>
      <x:c r="F71" s="11" t="n">
        <x:v>590</x:v>
      </x:c>
      <x:c r="G71" s="11" t="n">
        <x:v>1041</x:v>
      </x:c>
      <x:c r="H71" s="11" t="n">
        <x:v>983</x:v>
      </x:c>
      <x:c r="I71" s="11" t="n">
        <x:v>204</x:v>
      </x:c>
      <x:c r="J71" s="11" t="n">
        <x:v>47</x:v>
      </x:c>
      <x:c r="K71" s="11" t="n">
        <x:v>169</x:v>
      </x:c>
      <x:c r="L71" s="11" t="n">
        <x:v>33</x:v>
      </x:c>
      <x:c r="M71" s="11" t="n">
        <x:v>257</x:v>
      </x:c>
      <x:c r="N71" s="11" t="n">
        <x:v>4</x:v>
      </x:c>
      <x:c r="O71" s="11" t="n">
        <x:v>9136</x:v>
      </x:c>
      <x:c r="P71" s="11" t="n">
        <x:v>2121564</x:v>
      </x:c>
      <x:c r="Q71" s="11" t="n">
        <x:v>2137350</x:v>
      </x:c>
      <x:c r="R71" s="11" t="n">
        <x:v>5314812</x:v>
      </x:c>
      <x:c r="S71" s="11" t="n">
        <x:v>707648</x:v>
      </x:c>
      <x:c r="T71" s="11" t="n">
        <x:v>600780</x:v>
      </x:c>
      <x:c r="U71" s="11" t="n">
        <x:v>1744858</x:v>
      </x:c>
      <x:c r="V71" s="11" t="n">
        <x:v>919250</x:v>
      </x:c>
      <x:c r="W71" s="11" t="n">
        <x:v>1938234</x:v>
      </x:c>
      <x:c r="X71" s="11" t="n">
        <x:v>2592</x:v>
      </x:c>
      <x:c r="Y71" s="11" t="n">
        <x:v>2198</x:v>
      </x:c>
      <x:c r="Z71" s="11" t="n">
        <x:v>1696</x:v>
      </x:c>
      <x:c r="AA71" s="11" t="n">
        <x:v>0</x:v>
      </x:c>
      <x:c r="AB71" s="11" t="n">
        <x:v>0</x:v>
      </x:c>
      <x:c r="AC71" s="11" t="n">
        <x:v>1891</x:v>
      </x:c>
      <x:c r="AE71" t="str">
        <x:v>e/NG_H1.csv</x:v>
      </x:c>
    </x:row>
    <x:row r="72" ht="24" customHeight="1">
      <x:c r="A72" s="10" t="str">
        <x:v>e</x:v>
      </x:c>
      <x:c r="B72" s="10" t="str">
        <x:v>CG_H0</x:v>
      </x:c>
      <x:c r="C72" s="11" t="n">
        <x:v>3347</x:v>
      </x:c>
      <x:c r="D72" s="11" t="n">
        <x:v>15496224</x:v>
      </x:c>
      <x:c r="E72" s="11" t="n">
        <x:v>20</x:v>
      </x:c>
      <x:c r="F72" s="11" t="n">
        <x:v>914</x:v>
      </x:c>
      <x:c r="G72" s="11" t="n">
        <x:v>1398</x:v>
      </x:c>
      <x:c r="H72" s="11" t="n">
        <x:v>850</x:v>
      </x:c>
      <x:c r="I72" s="11" t="n">
        <x:v>128</x:v>
      </x:c>
      <x:c r="J72" s="11" t="n">
        <x:v>34</x:v>
      </x:c>
      <x:c r="K72" s="11" t="n">
        <x:v>3</x:v>
      </x:c>
      <x:c r="L72" s="11" t="n">
        <x:v>0</x:v>
      </x:c>
      <x:c r="M72" s="11" t="n">
        <x:v>0</x:v>
      </x:c>
      <x:c r="N72" s="11" t="n">
        <x:v>0</x:v>
      </x:c>
      <x:c r="O72" s="11" t="n">
        <x:v>9620</x:v>
      </x:c>
      <x:c r="P72" s="11" t="n">
        <x:v>3046398</x:v>
      </x:c>
      <x:c r="Q72" s="11" t="n">
        <x:v>4779404</x:v>
      </x:c>
      <x:c r="R72" s="11" t="n">
        <x:v>6051450</x:v>
      </x:c>
      <x:c r="S72" s="11" t="n">
        <x:v>652572</x:v>
      </x:c>
      <x:c r="T72" s="11" t="n">
        <x:v>576950</x:v>
      </x:c>
      <x:c r="U72" s="11" t="n">
        <x:v>379830</x:v>
      </x:c>
      <x:c r="V72" s="11" t="n">
        <x:v>0</x:v>
      </x:c>
      <x:c r="W72" s="11" t="n">
        <x:v>0</x:v>
      </x:c>
      <x:c r="X72" s="11" t="n">
        <x:v>0</x:v>
      </x:c>
      <x:c r="Y72" s="11" t="n">
        <x:v>2224</x:v>
      </x:c>
      <x:c r="Z72" s="11" t="n">
        <x:v>2205</x:v>
      </x:c>
      <x:c r="AA72" s="11" t="n">
        <x:v>0</x:v>
      </x:c>
      <x:c r="AB72" s="11" t="n">
        <x:v>1</x:v>
      </x:c>
      <x:c r="AC72" s="11" t="n">
        <x:v>1859</x:v>
      </x:c>
      <x:c r="AE72" t="str">
        <x:v>e/CG_H0.csv</x:v>
      </x:c>
    </x:row>
    <x:row r="73" ht="24" customHeight="1">
      <x:c r="A73" s="10" t="str">
        <x:v>e</x:v>
      </x:c>
      <x:c r="B73" s="10" t="str">
        <x:v>CG_H1</x:v>
      </x:c>
      <x:c r="C73" s="11" t="n">
        <x:v>3347</x:v>
      </x:c>
      <x:c r="D73" s="11" t="n">
        <x:v>15496224</x:v>
      </x:c>
      <x:c r="E73" s="11" t="n">
        <x:v>20</x:v>
      </x:c>
      <x:c r="F73" s="11" t="n">
        <x:v>662</x:v>
      </x:c>
      <x:c r="G73" s="11" t="n">
        <x:v>1577</x:v>
      </x:c>
      <x:c r="H73" s="11" t="n">
        <x:v>846</x:v>
      </x:c>
      <x:c r="I73" s="11" t="n">
        <x:v>204</x:v>
      </x:c>
      <x:c r="J73" s="11" t="n">
        <x:v>34</x:v>
      </x:c>
      <x:c r="K73" s="11" t="n">
        <x:v>4</x:v>
      </x:c>
      <x:c r="L73" s="11" t="n">
        <x:v>0</x:v>
      </x:c>
      <x:c r="M73" s="11" t="n">
        <x:v>0</x:v>
      </x:c>
      <x:c r="N73" s="11" t="n">
        <x:v>0</x:v>
      </x:c>
      <x:c r="O73" s="11" t="n">
        <x:v>9620</x:v>
      </x:c>
      <x:c r="P73" s="11" t="n">
        <x:v>2438006</x:v>
      </x:c>
      <x:c r="Q73" s="11" t="n">
        <x:v>5183712</x:v>
      </x:c>
      <x:c r="R73" s="11" t="n">
        <x:v>6199474</x:v>
      </x:c>
      <x:c r="S73" s="11" t="n">
        <x:v>707648</x:v>
      </x:c>
      <x:c r="T73" s="11" t="n">
        <x:v>576950</x:v>
      </x:c>
      <x:c r="U73" s="11" t="n">
        <x:v>380814</x:v>
      </x:c>
      <x:c r="V73" s="11" t="n">
        <x:v>0</x:v>
      </x:c>
      <x:c r="W73" s="11" t="n">
        <x:v>0</x:v>
      </x:c>
      <x:c r="X73" s="11" t="n">
        <x:v>0</x:v>
      </x:c>
      <x:c r="Y73" s="11" t="n">
        <x:v>2224</x:v>
      </x:c>
      <x:c r="Z73" s="11" t="n">
        <x:v>2205</x:v>
      </x:c>
      <x:c r="AA73" s="11" t="n">
        <x:v>0</x:v>
      </x:c>
      <x:c r="AB73" s="11" t="n">
        <x:v>1</x:v>
      </x:c>
      <x:c r="AC73" s="11" t="n">
        <x:v>1860</x:v>
      </x:c>
      <x:c r="AE73" t="str">
        <x:v>e/CG_H1.csv</x:v>
      </x:c>
    </x:row>
    <x:row r="74" ht="24" customHeight="1">
      <x:c r="A74" s="10" t="str">
        <x:v>e</x:v>
      </x:c>
      <x:c r="B74" s="10" t="str">
        <x:v>NC_H0</x:v>
      </x:c>
      <x:c r="C74" s="11" t="n">
        <x:v>3347</x:v>
      </x:c>
      <x:c r="D74" s="11" t="n">
        <x:v>15496224</x:v>
      </x:c>
      <x:c r="E74" s="11" t="n">
        <x:v>0</x:v>
      </x:c>
      <x:c r="F74" s="11" t="n">
        <x:v>1078</x:v>
      </x:c>
      <x:c r="G74" s="11" t="n">
        <x:v>83</x:v>
      </x:c>
      <x:c r="H74" s="11" t="n">
        <x:v>0</x:v>
      </x:c>
      <x:c r="I74" s="11" t="n">
        <x:v>1798</x:v>
      </x:c>
      <x:c r="J74" s="11" t="n">
        <x:v>0</x:v>
      </x:c>
      <x:c r="K74" s="11" t="n">
        <x:v>168</x:v>
      </x:c>
      <x:c r="L74" s="11" t="n">
        <x:v>32</x:v>
      </x:c>
      <x:c r="M74" s="11" t="n">
        <x:v>188</x:v>
      </x:c>
      <x:c r="N74" s="11" t="n">
        <x:v>0</x:v>
      </x:c>
      <x:c r="O74" s="11" t="n">
        <x:v>0</x:v>
      </x:c>
      <x:c r="P74" s="11" t="n">
        <x:v>2740308</x:v>
      </x:c>
      <x:c r="Q74" s="11" t="n">
        <x:v>245120</x:v>
      </x:c>
      <x:c r="R74" s="11" t="n">
        <x:v>0</x:v>
      </x:c>
      <x:c r="S74" s="11" t="n">
        <x:v>9233352</x:v>
      </x:c>
      <x:c r="T74" s="11" t="n">
        <x:v>0</x:v>
      </x:c>
      <x:c r="U74" s="11" t="n">
        <x:v>1380358</x:v>
      </x:c>
      <x:c r="V74" s="11" t="n">
        <x:v>918672</x:v>
      </x:c>
      <x:c r="W74" s="11" t="n">
        <x:v>978414</x:v>
      </x:c>
      <x:c r="X74" s="11" t="n">
        <x:v>0</x:v>
      </x:c>
      <x:c r="Y74" s="11" t="n">
        <x:v>1798</x:v>
      </x:c>
      <x:c r="Z74" s="11" t="n">
        <x:v>1305</x:v>
      </x:c>
      <x:c r="AA74" s="11" t="n">
        <x:v>396</x:v>
      </x:c>
      <x:c r="AB74" s="11" t="n">
        <x:v>0</x:v>
      </x:c>
      <x:c r="AC74" s="11" t="n">
        <x:v>1221</x:v>
      </x:c>
      <x:c r="AE74" t="str">
        <x:v>e/NC_H0.csv</x:v>
      </x:c>
    </x:row>
    <x:row r="75" ht="24" customHeight="1">
      <x:c r="A75" s="10" t="str">
        <x:v>e</x:v>
      </x:c>
      <x:c r="B75" s="10" t="str">
        <x:v>NC_H1</x:v>
      </x:c>
      <x:c r="C75" s="11" t="n">
        <x:v>3347</x:v>
      </x:c>
      <x:c r="D75" s="11" t="n">
        <x:v>15496224</x:v>
      </x:c>
      <x:c r="E75" s="11" t="n">
        <x:v>0</x:v>
      </x:c>
      <x:c r="F75" s="11" t="n">
        <x:v>1077</x:v>
      </x:c>
      <x:c r="G75" s="11" t="n">
        <x:v>73</x:v>
      </x:c>
      <x:c r="H75" s="11" t="n">
        <x:v>0</x:v>
      </x:c>
      <x:c r="I75" s="11" t="n">
        <x:v>1798</x:v>
      </x:c>
      <x:c r="J75" s="11" t="n">
        <x:v>10</x:v>
      </x:c>
      <x:c r="K75" s="11" t="n">
        <x:v>169</x:v>
      </x:c>
      <x:c r="L75" s="11" t="n">
        <x:v>32</x:v>
      </x:c>
      <x:c r="M75" s="11" t="n">
        <x:v>188</x:v>
      </x:c>
      <x:c r="N75" s="11" t="n">
        <x:v>0</x:v>
      </x:c>
      <x:c r="O75" s="11" t="n">
        <x:v>0</x:v>
      </x:c>
      <x:c r="P75" s="11" t="n">
        <x:v>2739324</x:v>
      </x:c>
      <x:c r="Q75" s="11" t="n">
        <x:v>224476</x:v>
      </x:c>
      <x:c r="R75" s="11" t="n">
        <x:v>0</x:v>
      </x:c>
      <x:c r="S75" s="11" t="n">
        <x:v>9233352</x:v>
      </x:c>
      <x:c r="T75" s="11" t="n">
        <x:v>20644</x:v>
      </x:c>
      <x:c r="U75" s="11" t="n">
        <x:v>1381342</x:v>
      </x:c>
      <x:c r="V75" s="11" t="n">
        <x:v>918672</x:v>
      </x:c>
      <x:c r="W75" s="11" t="n">
        <x:v>978414</x:v>
      </x:c>
      <x:c r="X75" s="11" t="n">
        <x:v>0</x:v>
      </x:c>
      <x:c r="Y75" s="11" t="n">
        <x:v>1798</x:v>
      </x:c>
      <x:c r="Z75" s="11" t="n">
        <x:v>1305</x:v>
      </x:c>
      <x:c r="AA75" s="11" t="n">
        <x:v>396</x:v>
      </x:c>
      <x:c r="AB75" s="11" t="n">
        <x:v>0</x:v>
      </x:c>
      <x:c r="AC75" s="11" t="n">
        <x:v>1352</x:v>
      </x:c>
      <x:c r="AE75" t="str">
        <x:v>e/NC_H1.csv</x:v>
      </x:c>
    </x:row>
    <x:row r="76" ht="24" customHeight="1">
      <x:c r="A76" s="10" t="str">
        <x:v>e</x:v>
      </x:c>
      <x:c r="B76" s="10" t="str">
        <x:v>NCG_H0</x:v>
      </x:c>
      <x:c r="C76" s="11" t="n">
        <x:v>3347</x:v>
      </x:c>
      <x:c r="D76" s="11" t="n">
        <x:v>15496224</x:v>
      </x:c>
      <x:c r="E76" s="11" t="n">
        <x:v>0</x:v>
      </x:c>
      <x:c r="F76" s="11" t="n">
        <x:v>714</x:v>
      </x:c>
      <x:c r="G76" s="11" t="n">
        <x:v>1187</x:v>
      </x:c>
      <x:c r="H76" s="11" t="n">
        <x:v>885</x:v>
      </x:c>
      <x:c r="I76" s="11" t="n">
        <x:v>134</x:v>
      </x:c>
      <x:c r="J76" s="11" t="n">
        <x:v>38</x:v>
      </x:c>
      <x:c r="K76" s="11" t="n">
        <x:v>169</x:v>
      </x:c>
      <x:c r="L76" s="11" t="n">
        <x:v>32</x:v>
      </x:c>
      <x:c r="M76" s="11" t="n">
        <x:v>187</x:v>
      </x:c>
      <x:c r="N76" s="11" t="n">
        <x:v>1</x:v>
      </x:c>
      <x:c r="O76" s="11" t="n">
        <x:v>0</x:v>
      </x:c>
      <x:c r="P76" s="11" t="n">
        <x:v>2235094</x:v>
      </x:c>
      <x:c r="Q76" s="11" t="n">
        <x:v>3278166</x:v>
      </x:c>
      <x:c r="R76" s="11" t="n">
        <x:v>5105050</x:v>
      </x:c>
      <x:c r="S76" s="11" t="n">
        <x:v>601440</x:v>
      </x:c>
      <x:c r="T76" s="11" t="n">
        <x:v>634530</x:v>
      </x:c>
      <x:c r="U76" s="11" t="n">
        <x:v>1744858</x:v>
      </x:c>
      <x:c r="V76" s="11" t="n">
        <x:v>918672</x:v>
      </x:c>
      <x:c r="W76" s="11" t="n">
        <x:v>977766</x:v>
      </x:c>
      <x:c r="X76" s="11" t="n">
        <x:v>648</x:v>
      </x:c>
      <x:c r="Y76" s="11" t="n">
        <x:v>1799</x:v>
      </x:c>
      <x:c r="Z76" s="11" t="n">
        <x:v>1306</x:v>
      </x:c>
      <x:c r="AA76" s="11" t="n">
        <x:v>396</x:v>
      </x:c>
      <x:c r="AB76" s="11" t="n">
        <x:v>1</x:v>
      </x:c>
      <x:c r="AC76" s="11" t="n">
        <x:v>1222</x:v>
      </x:c>
      <x:c r="AE76" t="str">
        <x:v>e/NCG_H0.csv</x:v>
      </x:c>
    </x:row>
    <x:row r="77" ht="24" customHeight="1">
      <x:c r="A77" s="10" t="str">
        <x:v>e</x:v>
      </x:c>
      <x:c r="B77" s="10" t="str">
        <x:v>NCG_H1</x:v>
      </x:c>
      <x:c r="C77" s="11" t="n">
        <x:v>3347</x:v>
      </x:c>
      <x:c r="D77" s="11" t="n">
        <x:v>15496224</x:v>
      </x:c>
      <x:c r="E77" s="11" t="n">
        <x:v>0</x:v>
      </x:c>
      <x:c r="F77" s="11" t="n">
        <x:v>601</x:v>
      </x:c>
      <x:c r="G77" s="11" t="n">
        <x:v>1219</x:v>
      </x:c>
      <x:c r="H77" s="11" t="n">
        <x:v>862</x:v>
      </x:c>
      <x:c r="I77" s="11" t="n">
        <x:v>227</x:v>
      </x:c>
      <x:c r="J77" s="11" t="n">
        <x:v>48</x:v>
      </x:c>
      <x:c r="K77" s="11" t="n">
        <x:v>170</x:v>
      </x:c>
      <x:c r="L77" s="11" t="n">
        <x:v>32</x:v>
      </x:c>
      <x:c r="M77" s="11" t="n">
        <x:v>187</x:v>
      </x:c>
      <x:c r="N77" s="11" t="n">
        <x:v>1</x:v>
      </x:c>
      <x:c r="O77" s="11" t="n">
        <x:v>0</x:v>
      </x:c>
      <x:c r="P77" s="11" t="n">
        <x:v>2104034</x:v>
      </x:c>
      <x:c r="Q77" s="11" t="n">
        <x:v>3197652</x:v>
      </x:c>
      <x:c r="R77" s="11" t="n">
        <x:v>5186820</x:v>
      </x:c>
      <x:c r="S77" s="11" t="n">
        <x:v>709616</x:v>
      </x:c>
      <x:c r="T77" s="11" t="n">
        <x:v>655174</x:v>
      </x:c>
      <x:c r="U77" s="11" t="n">
        <x:v>1745842</x:v>
      </x:c>
      <x:c r="V77" s="11" t="n">
        <x:v>918672</x:v>
      </x:c>
      <x:c r="W77" s="11" t="n">
        <x:v>977766</x:v>
      </x:c>
      <x:c r="X77" s="11" t="n">
        <x:v>648</x:v>
      </x:c>
      <x:c r="Y77" s="11" t="n">
        <x:v>1799</x:v>
      </x:c>
      <x:c r="Z77" s="11" t="n">
        <x:v>1306</x:v>
      </x:c>
      <x:c r="AA77" s="11" t="n">
        <x:v>396</x:v>
      </x:c>
      <x:c r="AB77" s="11" t="n">
        <x:v>1</x:v>
      </x:c>
      <x:c r="AC77" s="11" t="n">
        <x:v>1353</x:v>
      </x:c>
      <x:c r="AE77" t="str">
        <x:v>e/NCG_H1.csv</x:v>
      </x:c>
    </x:row>
    <x:row r="78" ht="24" customHeight="1">
      <x:c r="A78" s="10" t="str">
        <x:v>e</x:v>
      </x:c>
      <x:c r="B78" s="10" t="str">
        <x:v>G_H0</x:v>
      </x:c>
      <x:c r="C78" s="11" t="n">
        <x:v>3347</x:v>
      </x:c>
      <x:c r="D78" s="11" t="n">
        <x:v>15496224</x:v>
      </x:c>
      <x:c r="E78" s="11" t="n">
        <x:v>0</x:v>
      </x:c>
      <x:c r="F78" s="11" t="n">
        <x:v>558</x:v>
      </x:c>
      <x:c r="G78" s="11" t="n">
        <x:v>1647</x:v>
      </x:c>
      <x:c r="H78" s="11" t="n">
        <x:v>979</x:v>
      </x:c>
      <x:c r="I78" s="11" t="n">
        <x:v>128</x:v>
      </x:c>
      <x:c r="J78" s="11" t="n">
        <x:v>34</x:v>
      </x:c>
      <x:c r="K78" s="11" t="n">
        <x:v>1</x:v>
      </x:c>
      <x:c r="L78" s="11" t="n">
        <x:v>0</x:v>
      </x:c>
      <x:c r="M78" s="11" t="n">
        <x:v>0</x:v>
      </x:c>
      <x:c r="N78" s="11" t="n">
        <x:v>0</x:v>
      </x:c>
      <x:c r="O78" s="11" t="n">
        <x:v>0</x:v>
      </x:c>
      <x:c r="P78" s="11" t="n">
        <x:v>1828692</x:v>
      </x:c>
      <x:c r="Q78" s="11" t="n">
        <x:v>5965108</x:v>
      </x:c>
      <x:c r="R78" s="11" t="n">
        <x:v>6108402</x:v>
      </x:c>
      <x:c r="S78" s="11" t="n">
        <x:v>652572</x:v>
      </x:c>
      <x:c r="T78" s="11" t="n">
        <x:v>576950</x:v>
      </x:c>
      <x:c r="U78" s="11" t="n">
        <x:v>364500</x:v>
      </x:c>
      <x:c r="V78" s="11" t="n">
        <x:v>0</x:v>
      </x:c>
      <x:c r="W78" s="11" t="n">
        <x:v>0</x:v>
      </x:c>
      <x:c r="X78" s="11" t="n">
        <x:v>0</x:v>
      </x:c>
      <x:c r="Y78" s="11" t="n">
        <x:v>3347</x:v>
      </x:c>
      <x:c r="Z78" s="11" t="n">
        <x:v>3347</x:v>
      </x:c>
      <x:c r="AA78" s="11" t="n">
        <x:v>0</x:v>
      </x:c>
      <x:c r="AB78" s="11" t="n">
        <x:v>0</x:v>
      </x:c>
      <x:c r="AC78" s="11" t="n">
        <x:v>3347</x:v>
      </x:c>
      <x:c r="AE78" t="str">
        <x:v>e/G_H0.csv</x:v>
      </x:c>
    </x:row>
    <x:row r="79" ht="24" customHeight="1">
      <x:c r="A79" s="10" t="str">
        <x:v>e</x:v>
      </x:c>
      <x:c r="B79" s="10" t="str">
        <x:v>G_H1</x:v>
      </x:c>
      <x:c r="C79" s="11" t="n">
        <x:v>3347</x:v>
      </x:c>
      <x:c r="D79" s="11" t="n">
        <x:v>15496224</x:v>
      </x:c>
      <x:c r="E79" s="11" t="n">
        <x:v>0</x:v>
      </x:c>
      <x:c r="F79" s="11" t="n">
        <x:v>367</x:v>
      </x:c>
      <x:c r="G79" s="11" t="n">
        <x:v>1702</x:v>
      </x:c>
      <x:c r="H79" s="11" t="n">
        <x:v>1039</x:v>
      </x:c>
      <x:c r="I79" s="11" t="n">
        <x:v>204</x:v>
      </x:c>
      <x:c r="J79" s="11" t="n">
        <x:v>34</x:v>
      </x:c>
      <x:c r="K79" s="11" t="n">
        <x:v>1</x:v>
      </x:c>
      <x:c r="L79" s="11" t="n">
        <x:v>0</x:v>
      </x:c>
      <x:c r="M79" s="11" t="n">
        <x:v>0</x:v>
      </x:c>
      <x:c r="N79" s="11" t="n">
        <x:v>0</x:v>
      </x:c>
      <x:c r="O79" s="11" t="n">
        <x:v>0</x:v>
      </x:c>
      <x:c r="P79" s="11" t="n">
        <x:v>1307740</x:v>
      </x:c>
      <x:c r="Q79" s="11" t="n">
        <x:v>6193940</x:v>
      </x:c>
      <x:c r="R79" s="11" t="n">
        <x:v>6345446</x:v>
      </x:c>
      <x:c r="S79" s="11" t="n">
        <x:v>707648</x:v>
      </x:c>
      <x:c r="T79" s="11" t="n">
        <x:v>576950</x:v>
      </x:c>
      <x:c r="U79" s="11" t="n">
        <x:v>364500</x:v>
      </x:c>
      <x:c r="V79" s="11" t="n">
        <x:v>0</x:v>
      </x:c>
      <x:c r="W79" s="11" t="n">
        <x:v>0</x:v>
      </x:c>
      <x:c r="X79" s="11" t="n">
        <x:v>0</x:v>
      </x:c>
      <x:c r="Y79" s="11" t="n">
        <x:v>3347</x:v>
      </x:c>
      <x:c r="Z79" s="11" t="n">
        <x:v>3347</x:v>
      </x:c>
      <x:c r="AA79" s="11" t="n">
        <x:v>0</x:v>
      </x:c>
      <x:c r="AB79" s="11" t="n">
        <x:v>0</x:v>
      </x:c>
      <x:c r="AC79" s="11" t="n">
        <x:v>3347</x:v>
      </x:c>
      <x:c r="AE79" t="str">
        <x:v>e/G_H1.csv</x:v>
      </x:c>
    </x:row>
    <x:row r="80" ht="24" customHeight="1">
      <x:c r="A80" s="10" t="str">
        <x:v>e</x:v>
      </x:c>
      <x:c r="B80" s="10" t="str">
        <x:v>NCG_H1_M1</x:v>
      </x:c>
      <x:c r="C80" s="11" t="n">
        <x:v>3347</x:v>
      </x:c>
      <x:c r="D80" s="11" t="n">
        <x:v>15496224</x:v>
      </x:c>
      <x:c r="E80" s="11" t="n">
        <x:v>0</x:v>
      </x:c>
      <x:c r="F80" s="11" t="n">
        <x:v>610</x:v>
      </x:c>
      <x:c r="G80" s="11" t="n">
        <x:v>1180</x:v>
      </x:c>
      <x:c r="H80" s="11" t="n">
        <x:v>839</x:v>
      </x:c>
      <x:c r="I80" s="11" t="n">
        <x:v>226</x:v>
      </x:c>
      <x:c r="J80" s="11" t="n">
        <x:v>47</x:v>
      </x:c>
      <x:c r="K80" s="11" t="n">
        <x:v>170</x:v>
      </x:c>
      <x:c r="L80" s="11" t="n">
        <x:v>57</x:v>
      </x:c>
      <x:c r="M80" s="11" t="n">
        <x:v>214</x:v>
      </x:c>
      <x:c r="N80" s="11" t="n">
        <x:v>4</x:v>
      </x:c>
      <x:c r="O80" s="11" t="n">
        <x:v>0</x:v>
      </x:c>
      <x:c r="P80" s="11" t="n">
        <x:v>2040772</x:v>
      </x:c>
      <x:c r="Q80" s="11" t="n">
        <x:v>2544112</x:v>
      </x:c>
      <x:c r="R80" s="11" t="n">
        <x:v>4867164</x:v>
      </x:c>
      <x:c r="S80" s="11" t="n">
        <x:v>708492</x:v>
      </x:c>
      <x:c r="T80" s="11" t="n">
        <x:v>654870</x:v>
      </x:c>
      <x:c r="U80" s="11" t="n">
        <x:v>1745842</x:v>
      </x:c>
      <x:c r="V80" s="11" t="n">
        <x:v>1244756</x:v>
      </x:c>
      <x:c r="W80" s="11" t="n">
        <x:v>1684080</x:v>
      </x:c>
      <x:c r="X80" s="11" t="n">
        <x:v>6136</x:v>
      </x:c>
      <x:c r="Y80" s="11" t="n">
        <x:v>1661</x:v>
      </x:c>
      <x:c r="Z80" s="11" t="n">
        <x:v>1229</x:v>
      </x:c>
      <x:c r="AA80" s="11" t="n">
        <x:v>396</x:v>
      </x:c>
      <x:c r="AB80" s="11" t="n">
        <x:v>1</x:v>
      </x:c>
      <x:c r="AC80" s="11" t="n">
        <x:v>1534</x:v>
      </x:c>
      <x:c r="AE80" t="str">
        <x:v>e/NCG_H1_M1.csv</x:v>
      </x:c>
    </x:row>
    <x:row r="81" ht="24" customHeight="1">
      <x:c r="A81" s="10" t="str">
        <x:v>f</x:v>
      </x:c>
      <x:c r="B81" s="10" t="str">
        <x:v>N_H0</x:v>
      </x:c>
      <x:c r="C81" s="11" t="n">
        <x:v>1480</x:v>
      </x:c>
      <x:c r="D81" s="11" t="n">
        <x:v>2911273</x:v>
      </x:c>
      <x:c r="E81" s="11" t="n">
        <x:v>0</x:v>
      </x:c>
      <x:c r="F81" s="11" t="n">
        <x:v>260</x:v>
      </x:c>
      <x:c r="G81" s="11" t="n">
        <x:v>64</x:v>
      </x:c>
      <x:c r="H81" s="11" t="n">
        <x:v>0</x:v>
      </x:c>
      <x:c r="I81" s="11" t="n">
        <x:v>1037</x:v>
      </x:c>
      <x:c r="J81" s="11" t="n">
        <x:v>0</x:v>
      </x:c>
      <x:c r="K81" s="11" t="n">
        <x:v>6</x:v>
      </x:c>
      <x:c r="L81" s="11" t="n">
        <x:v>12</x:v>
      </x:c>
      <x:c r="M81" s="11" t="n">
        <x:v>101</x:v>
      </x:c>
      <x:c r="N81" s="11" t="n">
        <x:v>0</x:v>
      </x:c>
      <x:c r="O81" s="11" t="n">
        <x:v>0</x:v>
      </x:c>
      <x:c r="P81" s="11" t="n">
        <x:v>76748</x:v>
      </x:c>
      <x:c r="Q81" s="11" t="n">
        <x:v>46527</x:v>
      </x:c>
      <x:c r="R81" s="11" t="n">
        <x:v>0</x:v>
      </x:c>
      <x:c r="S81" s="11" t="n">
        <x:v>651014</x:v>
      </x:c>
      <x:c r="T81" s="11" t="n">
        <x:v>0</x:v>
      </x:c>
      <x:c r="U81" s="11" t="n">
        <x:v>5326</x:v>
      </x:c>
      <x:c r="V81" s="11" t="n">
        <x:v>7532</x:v>
      </x:c>
      <x:c r="W81" s="11" t="n">
        <x:v>2124126</x:v>
      </x:c>
      <x:c r="X81" s="11" t="n">
        <x:v>0</x:v>
      </x:c>
      <x:c r="Y81" s="11" t="n">
        <x:v>1037</x:v>
      </x:c>
      <x:c r="Z81" s="11" t="n">
        <x:v>928</x:v>
      </x:c>
      <x:c r="AA81" s="11" t="n">
        <x:v>0</x:v>
      </x:c>
      <x:c r="AB81" s="11" t="n">
        <x:v>0</x:v>
      </x:c>
      <x:c r="AC81" s="11" t="n">
        <x:v>928</x:v>
      </x:c>
      <x:c r="AE81" t="str">
        <x:v>f/N_H0.csv</x:v>
      </x:c>
    </x:row>
    <x:row r="82" ht="24" customHeight="1">
      <x:c r="A82" s="10" t="str">
        <x:v>f</x:v>
      </x:c>
      <x:c r="B82" s="10" t="str">
        <x:v>N_H1</x:v>
      </x:c>
      <x:c r="C82" s="11" t="n">
        <x:v>1480</x:v>
      </x:c>
      <x:c r="D82" s="11" t="n">
        <x:v>2911273</x:v>
      </x:c>
      <x:c r="E82" s="11" t="n">
        <x:v>0</x:v>
      </x:c>
      <x:c r="F82" s="11" t="n">
        <x:v>193</x:v>
      </x:c>
      <x:c r="G82" s="11" t="n">
        <x:v>14</x:v>
      </x:c>
      <x:c r="H82" s="11" t="n">
        <x:v>0</x:v>
      </x:c>
      <x:c r="I82" s="11" t="n">
        <x:v>1037</x:v>
      </x:c>
      <x:c r="J82" s="11" t="n">
        <x:v>47</x:v>
      </x:c>
      <x:c r="K82" s="11" t="n">
        <x:v>76</x:v>
      </x:c>
      <x:c r="L82" s="11" t="n">
        <x:v>12</x:v>
      </x:c>
      <x:c r="M82" s="11" t="n">
        <x:v>101</x:v>
      </x:c>
      <x:c r="N82" s="11" t="n">
        <x:v>0</x:v>
      </x:c>
      <x:c r="O82" s="11" t="n">
        <x:v>0</x:v>
      </x:c>
      <x:c r="P82" s="11" t="n">
        <x:v>65164</x:v>
      </x:c>
      <x:c r="Q82" s="11" t="n">
        <x:v>9631</x:v>
      </x:c>
      <x:c r="R82" s="11" t="n">
        <x:v>0</x:v>
      </x:c>
      <x:c r="S82" s="11" t="n">
        <x:v>651014</x:v>
      </x:c>
      <x:c r="T82" s="11" t="n">
        <x:v>34180</x:v>
      </x:c>
      <x:c r="U82" s="11" t="n">
        <x:v>19626</x:v>
      </x:c>
      <x:c r="V82" s="11" t="n">
        <x:v>7532</x:v>
      </x:c>
      <x:c r="W82" s="11" t="n">
        <x:v>2124126</x:v>
      </x:c>
      <x:c r="X82" s="11" t="n">
        <x:v>0</x:v>
      </x:c>
      <x:c r="Y82" s="11" t="n">
        <x:v>1037</x:v>
      </x:c>
      <x:c r="Z82" s="11" t="n">
        <x:v>928</x:v>
      </x:c>
      <x:c r="AA82" s="11" t="n">
        <x:v>0</x:v>
      </x:c>
      <x:c r="AB82" s="11" t="n">
        <x:v>0</x:v>
      </x:c>
      <x:c r="AC82" s="11" t="n">
        <x:v>1115</x:v>
      </x:c>
      <x:c r="AE82" t="str">
        <x:v>f/N_H1.csv</x:v>
      </x:c>
    </x:row>
    <x:row r="83" ht="24" customHeight="1">
      <x:c r="A83" s="10" t="str">
        <x:v>f</x:v>
      </x:c>
      <x:c r="B83" s="10" t="str">
        <x:v>C_H0</x:v>
      </x:c>
      <x:c r="C83" s="11" t="n">
        <x:v>1480</x:v>
      </x:c>
      <x:c r="D83" s="11" t="n">
        <x:v>2911273</x:v>
      </x:c>
      <x:c r="E83" s="11" t="n">
        <x:v>0</x:v>
      </x:c>
      <x:c r="F83" s="11" t="n">
        <x:v>556</x:v>
      </x:c>
      <x:c r="G83" s="11" t="n">
        <x:v>0</x:v>
      </x:c>
      <x:c r="H83" s="11" t="n">
        <x:v>0</x:v>
      </x:c>
      <x:c r="I83" s="11" t="n">
        <x:v>923</x:v>
      </x:c>
      <x:c r="J83" s="11" t="n">
        <x:v>0</x:v>
      </x:c>
      <x:c r="K83" s="11" t="n">
        <x:v>0</x:v>
      </x:c>
      <x:c r="L83" s="11" t="n">
        <x:v>0</x:v>
      </x:c>
      <x:c r="M83" s="11" t="n">
        <x:v>1</x:v>
      </x:c>
      <x:c r="N83" s="11" t="n">
        <x:v>0</x:v>
      </x:c>
      <x:c r="O83" s="11" t="n">
        <x:v>0</x:v>
      </x:c>
      <x:c r="P83" s="11" t="n">
        <x:v>2250252</x:v>
      </x:c>
      <x:c r="Q83" s="11" t="n">
        <x:v>0</x:v>
      </x:c>
      <x:c r="R83" s="11" t="n">
        <x:v>0</x:v>
      </x:c>
      <x:c r="S83" s="11" t="n">
        <x:v>660189</x:v>
      </x:c>
      <x:c r="T83" s="11" t="n">
        <x:v>0</x:v>
      </x:c>
      <x:c r="U83" s="11" t="n">
        <x:v>0</x:v>
      </x:c>
      <x:c r="V83" s="11" t="n">
        <x:v>0</x:v>
      </x:c>
      <x:c r="W83" s="11" t="n">
        <x:v>832</x:v>
      </x:c>
      <x:c r="X83" s="11" t="n">
        <x:v>0</x:v>
      </x:c>
      <x:c r="Y83" s="11" t="n">
        <x:v>923</x:v>
      </x:c>
      <x:c r="Z83" s="11" t="n">
        <x:v>923</x:v>
      </x:c>
      <x:c r="AA83" s="11" t="n">
        <x:v>0</x:v>
      </x:c>
      <x:c r="AB83" s="11" t="n">
        <x:v>0</x:v>
      </x:c>
      <x:c r="AC83" s="11" t="n">
        <x:v>698</x:v>
      </x:c>
      <x:c r="AE83" t="str">
        <x:v>f/C_H0.csv</x:v>
      </x:c>
    </x:row>
    <x:row r="84" ht="24" customHeight="1">
      <x:c r="A84" s="10" t="str">
        <x:v>f</x:v>
      </x:c>
      <x:c r="B84" s="10" t="str">
        <x:v>C_H1</x:v>
      </x:c>
      <x:c r="C84" s="11" t="n">
        <x:v>1480</x:v>
      </x:c>
      <x:c r="D84" s="11" t="n">
        <x:v>2911273</x:v>
      </x:c>
      <x:c r="E84" s="11" t="n">
        <x:v>0</x:v>
      </x:c>
      <x:c r="F84" s="11" t="n">
        <x:v>452</x:v>
      </x:c>
      <x:c r="G84" s="11" t="n">
        <x:v>0</x:v>
      </x:c>
      <x:c r="H84" s="11" t="n">
        <x:v>0</x:v>
      </x:c>
      <x:c r="I84" s="11" t="n">
        <x:v>923</x:v>
      </x:c>
      <x:c r="J84" s="11" t="n">
        <x:v>0</x:v>
      </x:c>
      <x:c r="K84" s="11" t="n">
        <x:v>104</x:v>
      </x:c>
      <x:c r="L84" s="11" t="n">
        <x:v>0</x:v>
      </x:c>
      <x:c r="M84" s="11" t="n">
        <x:v>1</x:v>
      </x:c>
      <x:c r="N84" s="11" t="n">
        <x:v>0</x:v>
      </x:c>
      <x:c r="O84" s="11" t="n">
        <x:v>0</x:v>
      </x:c>
      <x:c r="P84" s="11" t="n">
        <x:v>2223258</x:v>
      </x:c>
      <x:c r="Q84" s="11" t="n">
        <x:v>0</x:v>
      </x:c>
      <x:c r="R84" s="11" t="n">
        <x:v>0</x:v>
      </x:c>
      <x:c r="S84" s="11" t="n">
        <x:v>660189</x:v>
      </x:c>
      <x:c r="T84" s="11" t="n">
        <x:v>0</x:v>
      </x:c>
      <x:c r="U84" s="11" t="n">
        <x:v>26994</x:v>
      </x:c>
      <x:c r="V84" s="11" t="n">
        <x:v>0</x:v>
      </x:c>
      <x:c r="W84" s="11" t="n">
        <x:v>832</x:v>
      </x:c>
      <x:c r="X84" s="11" t="n">
        <x:v>0</x:v>
      </x:c>
      <x:c r="Y84" s="11" t="n">
        <x:v>923</x:v>
      </x:c>
      <x:c r="Z84" s="11" t="n">
        <x:v>923</x:v>
      </x:c>
      <x:c r="AA84" s="11" t="n">
        <x:v>0</x:v>
      </x:c>
      <x:c r="AB84" s="11" t="n">
        <x:v>0</x:v>
      </x:c>
      <x:c r="AC84" s="11" t="n">
        <x:v>803</x:v>
      </x:c>
      <x:c r="AE84" t="str">
        <x:v>f/C_H1.csv</x:v>
      </x:c>
    </x:row>
    <x:row r="85" ht="24" customHeight="1">
      <x:c r="A85" s="10" t="str">
        <x:v>f</x:v>
      </x:c>
      <x:c r="B85" s="10" t="str">
        <x:v>NG_H0</x:v>
      </x:c>
      <x:c r="C85" s="11" t="n">
        <x:v>1480</x:v>
      </x:c>
      <x:c r="D85" s="11" t="n">
        <x:v>2911273</x:v>
      </x:c>
      <x:c r="E85" s="11" t="n">
        <x:v>0</x:v>
      </x:c>
      <x:c r="F85" s="11" t="n">
        <x:v>173</x:v>
      </x:c>
      <x:c r="G85" s="11" t="n">
        <x:v>688</x:v>
      </x:c>
      <x:c r="H85" s="11" t="n">
        <x:v>385</x:v>
      </x:c>
      <x:c r="I85" s="11" t="n">
        <x:v>96</x:v>
      </x:c>
      <x:c r="J85" s="11" t="n">
        <x:v>19</x:v>
      </x:c>
      <x:c r="K85" s="11" t="n">
        <x:v>6</x:v>
      </x:c>
      <x:c r="L85" s="11" t="n">
        <x:v>12</x:v>
      </x:c>
      <x:c r="M85" s="11" t="n">
        <x:v>101</x:v>
      </x:c>
      <x:c r="N85" s="11" t="n">
        <x:v>0</x:v>
      </x:c>
      <x:c r="O85" s="11" t="n">
        <x:v>0</x:v>
      </x:c>
      <x:c r="P85" s="11" t="n">
        <x:v>37040</x:v>
      </x:c>
      <x:c r="Q85" s="11" t="n">
        <x:v>309912</x:v>
      </x:c>
      <x:c r="R85" s="11" t="n">
        <x:v>299431</x:v>
      </x:c>
      <x:c r="S85" s="11" t="n">
        <x:v>103590</x:v>
      </x:c>
      <x:c r="T85" s="11" t="n">
        <x:v>24316</x:v>
      </x:c>
      <x:c r="U85" s="11" t="n">
        <x:v>5326</x:v>
      </x:c>
      <x:c r="V85" s="11" t="n">
        <x:v>7532</x:v>
      </x:c>
      <x:c r="W85" s="11" t="n">
        <x:v>2124126</x:v>
      </x:c>
      <x:c r="X85" s="11" t="n">
        <x:v>0</x:v>
      </x:c>
      <x:c r="Y85" s="11" t="n">
        <x:v>1037</x:v>
      </x:c>
      <x:c r="Z85" s="11" t="n">
        <x:v>928</x:v>
      </x:c>
      <x:c r="AA85" s="11" t="n">
        <x:v>0</x:v>
      </x:c>
      <x:c r="AB85" s="11" t="n">
        <x:v>0</x:v>
      </x:c>
      <x:c r="AC85" s="11" t="n">
        <x:v>928</x:v>
      </x:c>
      <x:c r="AE85" t="str">
        <x:v>f/NG_H0.csv</x:v>
      </x:c>
    </x:row>
    <x:row r="86" ht="24" customHeight="1">
      <x:c r="A86" s="10" t="str">
        <x:v>f</x:v>
      </x:c>
      <x:c r="B86" s="10" t="str">
        <x:v>NG_H1</x:v>
      </x:c>
      <x:c r="C86" s="11" t="n">
        <x:v>1480</x:v>
      </x:c>
      <x:c r="D86" s="11" t="n">
        <x:v>2911273</x:v>
      </x:c>
      <x:c r="E86" s="11" t="n">
        <x:v>0</x:v>
      </x:c>
      <x:c r="F86" s="11" t="n">
        <x:v>104</x:v>
      </x:c>
      <x:c r="G86" s="11" t="n">
        <x:v>585</x:v>
      </x:c>
      <x:c r="H86" s="11" t="n">
        <x:v>420</x:v>
      </x:c>
      <x:c r="I86" s="11" t="n">
        <x:v>116</x:v>
      </x:c>
      <x:c r="J86" s="11" t="n">
        <x:v>66</x:v>
      </x:c>
      <x:c r="K86" s="11" t="n">
        <x:v>76</x:v>
      </x:c>
      <x:c r="L86" s="11" t="n">
        <x:v>12</x:v>
      </x:c>
      <x:c r="M86" s="11" t="n">
        <x:v>101</x:v>
      </x:c>
      <x:c r="N86" s="11" t="n">
        <x:v>0</x:v>
      </x:c>
      <x:c r="O86" s="11" t="n">
        <x:v>0</x:v>
      </x:c>
      <x:c r="P86" s="11" t="n">
        <x:v>25572</x:v>
      </x:c>
      <x:c r="Q86" s="11" t="n">
        <x:v>253000</x:v>
      </x:c>
      <x:c r="R86" s="11" t="n">
        <x:v>307275</x:v>
      </x:c>
      <x:c r="S86" s="11" t="n">
        <x:v>115646</x:v>
      </x:c>
      <x:c r="T86" s="11" t="n">
        <x:v>58496</x:v>
      </x:c>
      <x:c r="U86" s="11" t="n">
        <x:v>19626</x:v>
      </x:c>
      <x:c r="V86" s="11" t="n">
        <x:v>7532</x:v>
      </x:c>
      <x:c r="W86" s="11" t="n">
        <x:v>2124126</x:v>
      </x:c>
      <x:c r="X86" s="11" t="n">
        <x:v>0</x:v>
      </x:c>
      <x:c r="Y86" s="11" t="n">
        <x:v>1037</x:v>
      </x:c>
      <x:c r="Z86" s="11" t="n">
        <x:v>928</x:v>
      </x:c>
      <x:c r="AA86" s="11" t="n">
        <x:v>0</x:v>
      </x:c>
      <x:c r="AB86" s="11" t="n">
        <x:v>0</x:v>
      </x:c>
      <x:c r="AC86" s="11" t="n">
        <x:v>1115</x:v>
      </x:c>
      <x:c r="AE86" t="str">
        <x:v>f/NG_H1.csv</x:v>
      </x:c>
    </x:row>
    <x:row r="87" ht="24" customHeight="1">
      <x:c r="A87" s="10" t="str">
        <x:v>f</x:v>
      </x:c>
      <x:c r="B87" s="10" t="str">
        <x:v>CG_H0</x:v>
      </x:c>
      <x:c r="C87" s="11" t="n">
        <x:v>1480</x:v>
      </x:c>
      <x:c r="D87" s="11" t="n">
        <x:v>2911273</x:v>
      </x:c>
      <x:c r="E87" s="11" t="n">
        <x:v>0</x:v>
      </x:c>
      <x:c r="F87" s="11" t="n">
        <x:v>174</x:v>
      </x:c>
      <x:c r="G87" s="11" t="n">
        <x:v>761</x:v>
      </x:c>
      <x:c r="H87" s="11" t="n">
        <x:v>429</x:v>
      </x:c>
      <x:c r="I87" s="11" t="n">
        <x:v>96</x:v>
      </x:c>
      <x:c r="J87" s="11" t="n">
        <x:v>19</x:v>
      </x:c>
      <x:c r="K87" s="11" t="n">
        <x:v>0</x:v>
      </x:c>
      <x:c r="L87" s="11" t="n">
        <x:v>0</x:v>
      </x:c>
      <x:c r="M87" s="11" t="n">
        <x:v>1</x:v>
      </x:c>
      <x:c r="N87" s="11" t="n">
        <x:v>0</x:v>
      </x:c>
      <x:c r="O87" s="11" t="n">
        <x:v>0</x:v>
      </x:c>
      <x:c r="P87" s="11" t="n">
        <x:v>42672</x:v>
      </x:c>
      <x:c r="Q87" s="11" t="n">
        <x:v>359108</x:v>
      </x:c>
      <x:c r="R87" s="11" t="n">
        <x:v>2380755</x:v>
      </x:c>
      <x:c r="S87" s="11" t="n">
        <x:v>103590</x:v>
      </x:c>
      <x:c r="T87" s="11" t="n">
        <x:v>24316</x:v>
      </x:c>
      <x:c r="U87" s="11" t="n">
        <x:v>0</x:v>
      </x:c>
      <x:c r="V87" s="11" t="n">
        <x:v>0</x:v>
      </x:c>
      <x:c r="W87" s="11" t="n">
        <x:v>832</x:v>
      </x:c>
      <x:c r="X87" s="11" t="n">
        <x:v>0</x:v>
      </x:c>
      <x:c r="Y87" s="11" t="n">
        <x:v>923</x:v>
      </x:c>
      <x:c r="Z87" s="11" t="n">
        <x:v>923</x:v>
      </x:c>
      <x:c r="AA87" s="11" t="n">
        <x:v>0</x:v>
      </x:c>
      <x:c r="AB87" s="11" t="n">
        <x:v>0</x:v>
      </x:c>
      <x:c r="AC87" s="11" t="n">
        <x:v>698</x:v>
      </x:c>
      <x:c r="AE87" t="str">
        <x:v>f/CG_H0.csv</x:v>
      </x:c>
    </x:row>
    <x:row r="88" ht="24" customHeight="1">
      <x:c r="A88" s="10" t="str">
        <x:v>f</x:v>
      </x:c>
      <x:c r="B88" s="10" t="str">
        <x:v>CG_H1</x:v>
      </x:c>
      <x:c r="C88" s="11" t="n">
        <x:v>1480</x:v>
      </x:c>
      <x:c r="D88" s="11" t="n">
        <x:v>2911273</x:v>
      </x:c>
      <x:c r="E88" s="11" t="n">
        <x:v>0</x:v>
      </x:c>
      <x:c r="F88" s="11" t="n">
        <x:v>61</x:v>
      </x:c>
      <x:c r="G88" s="11" t="n">
        <x:v>728</x:v>
      </x:c>
      <x:c r="H88" s="11" t="n">
        <x:v>443</x:v>
      </x:c>
      <x:c r="I88" s="11" t="n">
        <x:v>115</x:v>
      </x:c>
      <x:c r="J88" s="11" t="n">
        <x:v>28</x:v>
      </x:c>
      <x:c r="K88" s="11" t="n">
        <x:v>104</x:v>
      </x:c>
      <x:c r="L88" s="11" t="n">
        <x:v>0</x:v>
      </x:c>
      <x:c r="M88" s="11" t="n">
        <x:v>1</x:v>
      </x:c>
      <x:c r="N88" s="11" t="n">
        <x:v>0</x:v>
      </x:c>
      <x:c r="O88" s="11" t="n">
        <x:v>0</x:v>
      </x:c>
      <x:c r="P88" s="11" t="n">
        <x:v>19672</x:v>
      </x:c>
      <x:c r="Q88" s="11" t="n">
        <x:v>326192</x:v>
      </x:c>
      <x:c r="R88" s="11" t="n">
        <x:v>1880205</x:v>
      </x:c>
      <x:c r="S88" s="11" t="n">
        <x:v>628278</x:v>
      </x:c>
      <x:c r="T88" s="11" t="n">
        <x:v>29100</x:v>
      </x:c>
      <x:c r="U88" s="11" t="n">
        <x:v>26994</x:v>
      </x:c>
      <x:c r="V88" s="11" t="n">
        <x:v>0</x:v>
      </x:c>
      <x:c r="W88" s="11" t="n">
        <x:v>832</x:v>
      </x:c>
      <x:c r="X88" s="11" t="n">
        <x:v>0</x:v>
      </x:c>
      <x:c r="Y88" s="11" t="n">
        <x:v>935</x:v>
      </x:c>
      <x:c r="Z88" s="11" t="n">
        <x:v>935</x:v>
      </x:c>
      <x:c r="AA88" s="11" t="n">
        <x:v>0</x:v>
      </x:c>
      <x:c r="AB88" s="11" t="n">
        <x:v>12</x:v>
      </x:c>
      <x:c r="AC88" s="11" t="n">
        <x:v>815</x:v>
      </x:c>
      <x:c r="AE88" t="str">
        <x:v>f/CG_H1.csv</x:v>
      </x:c>
    </x:row>
    <x:row r="89" ht="24" customHeight="1">
      <x:c r="A89" s="10" t="str">
        <x:v>f</x:v>
      </x:c>
      <x:c r="B89" s="10" t="str">
        <x:v>NC_H0</x:v>
      </x:c>
      <x:c r="C89" s="11" t="n">
        <x:v>1480</x:v>
      </x:c>
      <x:c r="D89" s="11" t="n">
        <x:v>2911273</x:v>
      </x:c>
      <x:c r="E89" s="11" t="n">
        <x:v>0</x:v>
      </x:c>
      <x:c r="F89" s="11" t="n">
        <x:v>448</x:v>
      </x:c>
      <x:c r="G89" s="11" t="n">
        <x:v>63</x:v>
      </x:c>
      <x:c r="H89" s="11" t="n">
        <x:v>0</x:v>
      </x:c>
      <x:c r="I89" s="11" t="n">
        <x:v>901</x:v>
      </x:c>
      <x:c r="J89" s="11" t="n">
        <x:v>0</x:v>
      </x:c>
      <x:c r="K89" s="11" t="n">
        <x:v>6</x:v>
      </x:c>
      <x:c r="L89" s="11" t="n">
        <x:v>10</x:v>
      </x:c>
      <x:c r="M89" s="11" t="n">
        <x:v>52</x:v>
      </x:c>
      <x:c r="N89" s="11" t="n">
        <x:v>0</x:v>
      </x:c>
      <x:c r="O89" s="11" t="n">
        <x:v>0</x:v>
      </x:c>
      <x:c r="P89" s="11" t="n">
        <x:v>216490</x:v>
      </x:c>
      <x:c r="Q89" s="11" t="n">
        <x:v>44731</x:v>
      </x:c>
      <x:c r="R89" s="11" t="n">
        <x:v>0</x:v>
      </x:c>
      <x:c r="S89" s="11" t="n">
        <x:v>2541112</x:v>
      </x:c>
      <x:c r="T89" s="11" t="n">
        <x:v>0</x:v>
      </x:c>
      <x:c r="U89" s="11" t="n">
        <x:v>5326</x:v>
      </x:c>
      <x:c r="V89" s="11" t="n">
        <x:v>6892</x:v>
      </x:c>
      <x:c r="W89" s="11" t="n">
        <x:v>96722</x:v>
      </x:c>
      <x:c r="X89" s="11" t="n">
        <x:v>0</x:v>
      </x:c>
      <x:c r="Y89" s="11" t="n">
        <x:v>901</x:v>
      </x:c>
      <x:c r="Z89" s="11" t="n">
        <x:v>808</x:v>
      </x:c>
      <x:c r="AA89" s="11" t="n">
        <x:v>296</x:v>
      </x:c>
      <x:c r="AB89" s="11" t="n">
        <x:v>0</x:v>
      </x:c>
      <x:c r="AC89" s="11" t="n">
        <x:v>766</x:v>
      </x:c>
      <x:c r="AE89" t="str">
        <x:v>f/NC_H0.csv</x:v>
      </x:c>
    </x:row>
    <x:row r="90" ht="24" customHeight="1">
      <x:c r="A90" s="10" t="str">
        <x:v>f</x:v>
      </x:c>
      <x:c r="B90" s="10" t="str">
        <x:v>NC_H1</x:v>
      </x:c>
      <x:c r="C90" s="11" t="n">
        <x:v>1480</x:v>
      </x:c>
      <x:c r="D90" s="11" t="n">
        <x:v>2911273</x:v>
      </x:c>
      <x:c r="E90" s="11" t="n">
        <x:v>0</x:v>
      </x:c>
      <x:c r="F90" s="11" t="n">
        <x:v>377</x:v>
      </x:c>
      <x:c r="G90" s="11" t="n">
        <x:v>14</x:v>
      </x:c>
      <x:c r="H90" s="11" t="n">
        <x:v>0</x:v>
      </x:c>
      <x:c r="I90" s="11" t="n">
        <x:v>901</x:v>
      </x:c>
      <x:c r="J90" s="11" t="n">
        <x:v>47</x:v>
      </x:c>
      <x:c r="K90" s="11" t="n">
        <x:v>79</x:v>
      </x:c>
      <x:c r="L90" s="11" t="n">
        <x:v>10</x:v>
      </x:c>
      <x:c r="M90" s="11" t="n">
        <x:v>52</x:v>
      </x:c>
      <x:c r="N90" s="11" t="n">
        <x:v>0</x:v>
      </x:c>
      <x:c r="O90" s="11" t="n">
        <x:v>0</x:v>
      </x:c>
      <x:c r="P90" s="11" t="n">
        <x:v>193488</x:v>
      </x:c>
      <x:c r="Q90" s="11" t="n">
        <x:v>9631</x:v>
      </x:c>
      <x:c r="R90" s="11" t="n">
        <x:v>0</x:v>
      </x:c>
      <x:c r="S90" s="11" t="n">
        <x:v>2541112</x:v>
      </x:c>
      <x:c r="T90" s="11" t="n">
        <x:v>34180</x:v>
      </x:c>
      <x:c r="U90" s="11" t="n">
        <x:v>29248</x:v>
      </x:c>
      <x:c r="V90" s="11" t="n">
        <x:v>6892</x:v>
      </x:c>
      <x:c r="W90" s="11" t="n">
        <x:v>96722</x:v>
      </x:c>
      <x:c r="X90" s="11" t="n">
        <x:v>0</x:v>
      </x:c>
      <x:c r="Y90" s="11" t="n">
        <x:v>901</x:v>
      </x:c>
      <x:c r="Z90" s="11" t="n">
        <x:v>808</x:v>
      </x:c>
      <x:c r="AA90" s="11" t="n">
        <x:v>296</x:v>
      </x:c>
      <x:c r="AB90" s="11" t="n">
        <x:v>0</x:v>
      </x:c>
      <x:c r="AC90" s="11" t="n">
        <x:v>899</x:v>
      </x:c>
      <x:c r="AE90" t="str">
        <x:v>f/NC_H1.csv</x:v>
      </x:c>
    </x:row>
    <x:row r="91" ht="24" customHeight="1">
      <x:c r="A91" s="10" t="str">
        <x:v>f</x:v>
      </x:c>
      <x:c r="B91" s="10" t="str">
        <x:v>NCG_H0</x:v>
      </x:c>
      <x:c r="C91" s="11" t="n">
        <x:v>1480</x:v>
      </x:c>
      <x:c r="D91" s="11" t="n">
        <x:v>2911273</x:v>
      </x:c>
      <x:c r="E91" s="11" t="n">
        <x:v>0</x:v>
      </x:c>
      <x:c r="F91" s="11" t="n">
        <x:v>97</x:v>
      </x:c>
      <x:c r="G91" s="11" t="n">
        <x:v>738</x:v>
      </x:c>
      <x:c r="H91" s="11" t="n">
        <x:v>443</x:v>
      </x:c>
      <x:c r="I91" s="11" t="n">
        <x:v>115</x:v>
      </x:c>
      <x:c r="J91" s="11" t="n">
        <x:v>19</x:v>
      </x:c>
      <x:c r="K91" s="11" t="n">
        <x:v>6</x:v>
      </x:c>
      <x:c r="L91" s="11" t="n">
        <x:v>10</x:v>
      </x:c>
      <x:c r="M91" s="11" t="n">
        <x:v>52</x:v>
      </x:c>
      <x:c r="N91" s="11" t="n">
        <x:v>0</x:v>
      </x:c>
      <x:c r="O91" s="11" t="n">
        <x:v>0</x:v>
      </x:c>
      <x:c r="P91" s="11" t="n">
        <x:v>27296</x:v>
      </x:c>
      <x:c r="Q91" s="11" t="n">
        <x:v>314364</x:v>
      </x:c>
      <x:c r="R91" s="11" t="n">
        <x:v>1809897</x:v>
      </x:c>
      <x:c r="S91" s="11" t="n">
        <x:v>626460</x:v>
      </x:c>
      <x:c r="T91" s="11" t="n">
        <x:v>24316</x:v>
      </x:c>
      <x:c r="U91" s="11" t="n">
        <x:v>5326</x:v>
      </x:c>
      <x:c r="V91" s="11" t="n">
        <x:v>6892</x:v>
      </x:c>
      <x:c r="W91" s="11" t="n">
        <x:v>96722</x:v>
      </x:c>
      <x:c r="X91" s="11" t="n">
        <x:v>0</x:v>
      </x:c>
      <x:c r="Y91" s="11" t="n">
        <x:v>901</x:v>
      </x:c>
      <x:c r="Z91" s="11" t="n">
        <x:v>808</x:v>
      </x:c>
      <x:c r="AA91" s="11" t="n">
        <x:v>296</x:v>
      </x:c>
      <x:c r="AB91" s="11" t="n">
        <x:v>0</x:v>
      </x:c>
      <x:c r="AC91" s="11" t="n">
        <x:v>766</x:v>
      </x:c>
      <x:c r="AE91" t="str">
        <x:v>f/NCG_H0.csv</x:v>
      </x:c>
    </x:row>
    <x:row r="92" ht="24" customHeight="1">
      <x:c r="A92" s="10" t="str">
        <x:v>f</x:v>
      </x:c>
      <x:c r="B92" s="10" t="str">
        <x:v>NCG_H1</x:v>
      </x:c>
      <x:c r="C92" s="11" t="n">
        <x:v>1480</x:v>
      </x:c>
      <x:c r="D92" s="11" t="n">
        <x:v>2911273</x:v>
      </x:c>
      <x:c r="E92" s="11" t="n">
        <x:v>0</x:v>
      </x:c>
      <x:c r="F92" s="11" t="n">
        <x:v>48</x:v>
      </x:c>
      <x:c r="G92" s="11" t="n">
        <x:v>612</x:v>
      </x:c>
      <x:c r="H92" s="11" t="n">
        <x:v>476</x:v>
      </x:c>
      <x:c r="I92" s="11" t="n">
        <x:v>128</x:v>
      </x:c>
      <x:c r="J92" s="11" t="n">
        <x:v>75</x:v>
      </x:c>
      <x:c r="K92" s="11" t="n">
        <x:v>79</x:v>
      </x:c>
      <x:c r="L92" s="11" t="n">
        <x:v>10</x:v>
      </x:c>
      <x:c r="M92" s="11" t="n">
        <x:v>52</x:v>
      </x:c>
      <x:c r="N92" s="11" t="n">
        <x:v>0</x:v>
      </x:c>
      <x:c r="O92" s="11" t="n">
        <x:v>0</x:v>
      </x:c>
      <x:c r="P92" s="11" t="n">
        <x:v>16604</x:v>
      </x:c>
      <x:c r="Q92" s="11" t="n">
        <x:v>257154</x:v>
      </x:c>
      <x:c r="R92" s="11" t="n">
        <x:v>1807465</x:v>
      </x:c>
      <x:c r="S92" s="11" t="n">
        <x:v>633908</x:v>
      </x:c>
      <x:c r="T92" s="11" t="n">
        <x:v>63280</x:v>
      </x:c>
      <x:c r="U92" s="11" t="n">
        <x:v>29248</x:v>
      </x:c>
      <x:c r="V92" s="11" t="n">
        <x:v>6892</x:v>
      </x:c>
      <x:c r="W92" s="11" t="n">
        <x:v>96722</x:v>
      </x:c>
      <x:c r="X92" s="11" t="n">
        <x:v>0</x:v>
      </x:c>
      <x:c r="Y92" s="11" t="n">
        <x:v>913</x:v>
      </x:c>
      <x:c r="Z92" s="11" t="n">
        <x:v>820</x:v>
      </x:c>
      <x:c r="AA92" s="11" t="n">
        <x:v>296</x:v>
      </x:c>
      <x:c r="AB92" s="11" t="n">
        <x:v>12</x:v>
      </x:c>
      <x:c r="AC92" s="11" t="n">
        <x:v>909</x:v>
      </x:c>
      <x:c r="AE92" t="str">
        <x:v>f/NCG_H1.csv</x:v>
      </x:c>
    </x:row>
    <x:row r="93" ht="24" customHeight="1">
      <x:c r="A93" s="10" t="str">
        <x:v>f</x:v>
      </x:c>
      <x:c r="B93" s="10" t="str">
        <x:v>G_H0</x:v>
      </x:c>
      <x:c r="C93" s="11" t="n">
        <x:v>1480</x:v>
      </x:c>
      <x:c r="D93" s="11" t="n">
        <x:v>2911273</x:v>
      </x:c>
      <x:c r="E93" s="11" t="n">
        <x:v>0</x:v>
      </x:c>
      <x:c r="F93" s="11" t="n">
        <x:v>85</x:v>
      </x:c>
      <x:c r="G93" s="11" t="n">
        <x:v>849</x:v>
      </x:c>
      <x:c r="H93" s="11" t="n">
        <x:v>431</x:v>
      </x:c>
      <x:c r="I93" s="11" t="n">
        <x:v>96</x:v>
      </x:c>
      <x:c r="J93" s="11" t="n">
        <x:v>19</x:v>
      </x:c>
      <x:c r="K93" s="11" t="n">
        <x:v>0</x:v>
      </x:c>
      <x:c r="L93" s="11" t="n">
        <x:v>0</x:v>
      </x:c>
      <x:c r="M93" s="11" t="n">
        <x:v>0</x:v>
      </x:c>
      <x:c r="N93" s="11" t="n">
        <x:v>0</x:v>
      </x:c>
      <x:c r="O93" s="11" t="n">
        <x:v>0</x:v>
      </x:c>
      <x:c r="P93" s="11" t="n">
        <x:v>18736</x:v>
      </x:c>
      <x:c r="Q93" s="11" t="n">
        <x:v>382764</x:v>
      </x:c>
      <x:c r="R93" s="11" t="n">
        <x:v>2381867</x:v>
      </x:c>
      <x:c r="S93" s="11" t="n">
        <x:v>103590</x:v>
      </x:c>
      <x:c r="T93" s="11" t="n">
        <x:v>24316</x:v>
      </x:c>
      <x:c r="U93" s="11" t="n">
        <x:v>0</x:v>
      </x:c>
      <x:c r="V93" s="11" t="n">
        <x:v>0</x:v>
      </x:c>
      <x:c r="W93" s="11" t="n">
        <x:v>0</x:v>
      </x:c>
      <x:c r="X93" s="11" t="n">
        <x:v>0</x:v>
      </x:c>
      <x:c r="Y93" s="11" t="n">
        <x:v>1480</x:v>
      </x:c>
      <x:c r="Z93" s="11" t="n">
        <x:v>1480</x:v>
      </x:c>
      <x:c r="AA93" s="11" t="n">
        <x:v>0</x:v>
      </x:c>
      <x:c r="AB93" s="11" t="n">
        <x:v>0</x:v>
      </x:c>
      <x:c r="AC93" s="11" t="n">
        <x:v>1480</x:v>
      </x:c>
      <x:c r="AE93" t="str">
        <x:v>f/G_H0.csv</x:v>
      </x:c>
    </x:row>
    <x:row r="94" ht="24" customHeight="1">
      <x:c r="A94" s="10" t="str">
        <x:v>f</x:v>
      </x:c>
      <x:c r="B94" s="10" t="str">
        <x:v>G_H1</x:v>
      </x:c>
      <x:c r="C94" s="11" t="n">
        <x:v>1480</x:v>
      </x:c>
      <x:c r="D94" s="11" t="n">
        <x:v>2911273</x:v>
      </x:c>
      <x:c r="E94" s="11" t="n">
        <x:v>0</x:v>
      </x:c>
      <x:c r="F94" s="11" t="n">
        <x:v>30</x:v>
      </x:c>
      <x:c r="G94" s="11" t="n">
        <x:v>830</x:v>
      </x:c>
      <x:c r="H94" s="11" t="n">
        <x:v>477</x:v>
      </x:c>
      <x:c r="I94" s="11" t="n">
        <x:v>124</x:v>
      </x:c>
      <x:c r="J94" s="11" t="n">
        <x:v>19</x:v>
      </x:c>
      <x:c r="K94" s="11" t="n">
        <x:v>0</x:v>
      </x:c>
      <x:c r="L94" s="11" t="n">
        <x:v>0</x:v>
      </x:c>
      <x:c r="M94" s="11" t="n">
        <x:v>0</x:v>
      </x:c>
      <x:c r="N94" s="11" t="n">
        <x:v>0</x:v>
      </x:c>
      <x:c r="O94" s="11" t="n">
        <x:v>0</x:v>
      </x:c>
      <x:c r="P94" s="11" t="n">
        <x:v>6652</x:v>
      </x:c>
      <x:c r="Q94" s="11" t="n">
        <x:v>352998</x:v>
      </x:c>
      <x:c r="R94" s="11" t="n">
        <x:v>1894245</x:v>
      </x:c>
      <x:c r="S94" s="11" t="n">
        <x:v>633062</x:v>
      </x:c>
      <x:c r="T94" s="11" t="n">
        <x:v>24316</x:v>
      </x:c>
      <x:c r="U94" s="11" t="n">
        <x:v>0</x:v>
      </x:c>
      <x:c r="V94" s="11" t="n">
        <x:v>0</x:v>
      </x:c>
      <x:c r="W94" s="11" t="n">
        <x:v>0</x:v>
      </x:c>
      <x:c r="X94" s="11" t="n">
        <x:v>0</x:v>
      </x:c>
      <x:c r="Y94" s="11" t="n">
        <x:v>1480</x:v>
      </x:c>
      <x:c r="Z94" s="11" t="n">
        <x:v>1480</x:v>
      </x:c>
      <x:c r="AA94" s="11" t="n">
        <x:v>0</x:v>
      </x:c>
      <x:c r="AB94" s="11" t="n">
        <x:v>0</x:v>
      </x:c>
      <x:c r="AC94" s="11" t="n">
        <x:v>1480</x:v>
      </x:c>
      <x:c r="AE94" t="str">
        <x:v>f/G_H1.csv</x:v>
      </x:c>
    </x:row>
    <x:row r="95" ht="24" customHeight="1">
      <x:c r="A95" s="10" t="str">
        <x:v>f</x:v>
      </x:c>
      <x:c r="B95" s="10" t="str">
        <x:v>NCG_H1_M1</x:v>
      </x:c>
      <x:c r="C95" s="11" t="n">
        <x:v>1480</x:v>
      </x:c>
      <x:c r="D95" s="11" t="n">
        <x:v>2911273</x:v>
      </x:c>
      <x:c r="E95" s="11" t="n">
        <x:v>0</x:v>
      </x:c>
      <x:c r="F95" s="11" t="n">
        <x:v>51</x:v>
      </x:c>
      <x:c r="G95" s="11" t="n">
        <x:v>485</x:v>
      </x:c>
      <x:c r="H95" s="11" t="n">
        <x:v>374</x:v>
      </x:c>
      <x:c r="I95" s="11" t="n">
        <x:v>116</x:v>
      </x:c>
      <x:c r="J95" s="11" t="n">
        <x:v>102</x:v>
      </x:c>
      <x:c r="K95" s="11" t="n">
        <x:v>86</x:v>
      </x:c>
      <x:c r="L95" s="11" t="n">
        <x:v>30</x:v>
      </x:c>
      <x:c r="M95" s="11" t="n">
        <x:v>235</x:v>
      </x:c>
      <x:c r="N95" s="11" t="n">
        <x:v>1</x:v>
      </x:c>
      <x:c r="O95" s="11" t="n">
        <x:v>0</x:v>
      </x:c>
      <x:c r="P95" s="11" t="n">
        <x:v>17476</x:v>
      </x:c>
      <x:c r="Q95" s="11" t="n">
        <x:v>213822</x:v>
      </x:c>
      <x:c r="R95" s="11" t="n">
        <x:v>280917</x:v>
      </x:c>
      <x:c r="S95" s="11" t="n">
        <x:v>114192</x:v>
      </x:c>
      <x:c r="T95" s="11" t="n">
        <x:v>85444</x:v>
      </x:c>
      <x:c r="U95" s="11" t="n">
        <x:v>33026</x:v>
      </x:c>
      <x:c r="V95" s="11" t="n">
        <x:v>9646</x:v>
      </x:c>
      <x:c r="W95" s="11" t="n">
        <x:v>2156534</x:v>
      </x:c>
      <x:c r="X95" s="11" t="n">
        <x:v>216</x:v>
      </x:c>
      <x:c r="Y95" s="11" t="n">
        <x:v>640</x:v>
      </x:c>
      <x:c r="Z95" s="11" t="n">
        <x:v>581</x:v>
      </x:c>
      <x:c r="AA95" s="11" t="n">
        <x:v>296</x:v>
      </x:c>
      <x:c r="AB95" s="11" t="n">
        <x:v>11</x:v>
      </x:c>
      <x:c r="AC95" s="11" t="n">
        <x:v>1031</x:v>
      </x:c>
      <x:c r="AE95" t="str">
        <x:v>f/NCG_H1_M1.csv</x:v>
      </x:c>
    </x:row>
  </x:sheetData>
  <x:pageMargins left="0.7" right="0.7" top="0.75" bottom="0.75" header="0.3" footer="0.3"/>
  <x:tableParts count="1">
    <x:tablePart xmlns:r="http://schemas.openxmlformats.org/officeDocument/2006/relationships" r:id="R79258f3f84364ddd"/>
  </x:tableParts>
</x:worksheet>
</file>