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09559384414e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核验总览" sheetId="1" r:id="R4845a0bab7104671"/>
    <x:sheet xmlns:r="http://schemas.openxmlformats.org/officeDocument/2006/relationships" name="论文原表" sheetId="2" r:id="R50ac2559614a43f1"/>
    <x:sheet xmlns:r="http://schemas.openxmlformats.org/officeDocument/2006/relationships" name="场景规模" sheetId="3" r:id="Rcb27fb71d1c540de"/>
    <x:sheet xmlns:r="http://schemas.openxmlformats.org/officeDocument/2006/relationships" name="监督训练原始" sheetId="4" r:id="Rc00c166b1dda4986"/>
    <x:sheet xmlns:r="http://schemas.openxmlformats.org/officeDocument/2006/relationships" name="监督对比" sheetId="5" r:id="Rd07d593632614b44"/>
    <x:sheet xmlns:r="http://schemas.openxmlformats.org/officeDocument/2006/relationships" name="分类别F1" sheetId="6" r:id="R6659fb2afb7a4a9f"/>
    <x:sheet xmlns:r="http://schemas.openxmlformats.org/officeDocument/2006/relationships" name="分布占比原始" sheetId="7" r:id="R3aa9ef98cebf4fb2"/>
    <x:sheet xmlns:r="http://schemas.openxmlformats.org/officeDocument/2006/relationships" name="分布距离182组" sheetId="8" r:id="Ra5bb9b01617646bc"/>
    <x:sheet xmlns:r="http://schemas.openxmlformats.org/officeDocument/2006/relationships" name="融合对比" sheetId="9" r:id="R1b6d6a514dbb47c7"/>
    <x:sheet xmlns:r="http://schemas.openxmlformats.org/officeDocument/2006/relationships" name="实例准确率" sheetId="10" r:id="R1eff9c33ee224f24"/>
    <x:sheet xmlns:r="http://schemas.openxmlformats.org/officeDocument/2006/relationships" name="简化64组原始" sheetId="11" r:id="Rba4f049d4f5a4e23"/>
    <x:sheet xmlns:r="http://schemas.openxmlformats.org/officeDocument/2006/relationships" name="平均指标" sheetId="12" r:id="R685bdb3232494ef4"/>
    <x:sheet xmlns:r="http://schemas.openxmlformats.org/officeDocument/2006/relationships" name="相对A改善" sheetId="13" r:id="R85c5bc040e8d4121"/>
    <x:sheet xmlns:r="http://schemas.openxmlformats.org/officeDocument/2006/relationships" name="最佳改善" sheetId="14" r:id="R415c33d31f8a49d6"/>
    <x:sheet xmlns:r="http://schemas.openxmlformats.org/officeDocument/2006/relationships" name="对照案例" sheetId="15" r:id="Raa9296221893463c"/>
    <x:sheet xmlns:r="http://schemas.openxmlformats.org/officeDocument/2006/relationships" name="数值逐项核验" sheetId="16" r:id="Rfc6fd28bdab04cd5"/>
    <x:sheet xmlns:r="http://schemas.openxmlformats.org/officeDocument/2006/relationships" name="来源索引" sheetId="17" r:id="R338e0f9a0ee64c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#,##0"/>
    <x:numFmt numFmtId="201" formatCode="0.00"/>
    <x:numFmt numFmtId="202" formatCode="0.0000%"/>
    <x:numFmt numFmtId="203" formatCode="0.0000"/>
    <x:numFmt numFmtId="204" formatCode="0.000"/>
    <x:numFmt numFmtId="205" formatCode="0.00%"/>
    <x:numFmt numFmtId="206" formatCode="0.000000"/>
    <x:numFmt numFmtId="207" formatCode="0.0%"/>
    <x:numFmt numFmtId="208" formatCode="0.000E+00"/>
  </x:numFmts>
  <x:fonts count="8">
    <x:font>
      <x:sz val="11"/>
      <x:name val="Carlito"/>
    </x:font>
    <x:font>
      <x:sz val="10"/>
      <x:name val="SimSun"/>
    </x:font>
    <x:font>
      <x:b/>
      <x:sz val="14"/>
      <x:name val="SimSun"/>
    </x:font>
    <x:font>
      <x:sz val="9"/>
      <x:color rgb="FF495B68"/>
      <x:name val="SimSun"/>
    </x:font>
    <x:font>
      <x:b/>
      <x:sz val="10"/>
      <x:color rgb="FFFFFFFF"/>
      <x:name val="SimSun"/>
    </x:font>
    <x:font>
      <x:sz val="11"/>
      <x:name val="Times New Roman"/>
    </x:font>
    <x:font>
      <x:b/>
      <x:sz val="10"/>
      <x:name val="SimSun"/>
    </x:font>
    <x:font>
      <x:sz val="10"/>
      <x:name val="Times New Roman"/>
    </x:font>
  </x:fonts>
  <x:fills count="5">
    <x:fill>
      <x:patternFill patternType="none"/>
    </x:fill>
    <x:fill>
      <x:patternFill patternType="gray125"/>
    </x:fill>
    <x:fill>
      <x:patternFill patternType="solid">
        <x:fgColor rgb="FF24475E"/>
      </x:patternFill>
    </x:fill>
    <x:fill>
      <x:patternFill patternType="solid">
        <x:fgColor rgb="FFE8EFF4"/>
      </x:patternFill>
    </x:fill>
    <x:fill>
      <x:patternFill patternType="solid">
        <x:fgColor rgb="FFFCE7DF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8BA2B2"/>
      </x:bottom>
      <x:diagonal/>
    </x:border>
  </x:borders>
  <x:cellStyleXfs count="1">
    <x:xf numFmtId="0" fontId="0" fillId="0" borderId="0"/>
  </x:cellStyleXfs>
  <x:cellXfs count="4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vertical="center"/>
    </x:xf>
    <x:xf numFmtId="203" fontId="5" fillId="0" borderId="0" xfId="0" applyNumberFormat="1" applyFont="1" applyFill="1" applyBorder="1" applyAlignment="1">
      <x:alignment vertical="center"/>
    </x:xf>
    <x:xf numFmtId="203" fontId="5" fillId="0" borderId="0" xfId="0" applyNumberFormat="1" applyFont="1" applyFill="1" applyBorder="1" applyAlignment="1">
      <x:alignment horizontal="right" vertical="center"/>
    </x:xf>
    <x:xf numFmtId="204" fontId="1" fillId="0" borderId="0" xfId="0" applyNumberFormat="1" applyFont="1" applyFill="1" applyBorder="1" applyAlignment="1">
      <x:alignment vertical="center"/>
    </x:xf>
    <x:xf numFmtId="204" fontId="5" fillId="0" borderId="0" xfId="0" applyNumberFormat="1" applyFont="1" applyFill="1" applyBorder="1" applyAlignment="1">
      <x:alignment vertical="center"/>
    </x:xf>
    <x:xf numFmtId="204" fontId="5" fillId="0" borderId="0" xfId="0" applyNumberFormat="1" applyFont="1" applyFill="1" applyBorder="1" applyAlignment="1">
      <x:alignment horizontal="right" vertical="center"/>
    </x:xf>
    <x:xf numFmtId="205" fontId="1" fillId="0" borderId="0" xfId="0" applyNumberFormat="1" applyFont="1" applyFill="1" applyBorder="1" applyAlignment="1">
      <x:alignment vertical="center"/>
    </x:xf>
    <x:xf numFmtId="205" fontId="5" fillId="0" borderId="0" xfId="0" applyNumberFormat="1" applyFont="1" applyFill="1" applyBorder="1" applyAlignment="1">
      <x:alignment vertical="center"/>
    </x:xf>
    <x:xf numFmtId="205" fontId="5" fillId="0" borderId="0" xfId="0" applyNumberFormat="1" applyFont="1" applyFill="1" applyBorder="1" applyAlignment="1">
      <x:alignment horizontal="right" vertical="center"/>
    </x:xf>
    <x:xf numFmtId="206" fontId="1" fillId="0" borderId="0" xfId="0" applyNumberFormat="1" applyFont="1" applyFill="1" applyBorder="1" applyAlignment="1">
      <x:alignment vertical="center"/>
    </x:xf>
    <x:xf numFmtId="206" fontId="5" fillId="0" borderId="0" xfId="0" applyNumberFormat="1" applyFont="1" applyFill="1" applyBorder="1" applyAlignment="1">
      <x:alignment vertical="center"/>
    </x:xf>
    <x:xf numFmtId="206" fontId="5" fillId="0" borderId="0" xfId="0" applyNumberFormat="1" applyFont="1" applyFill="1" applyBorder="1" applyAlignment="1">
      <x:alignment horizontal="right" vertical="center"/>
    </x:xf>
    <x:xf numFmtId="207" fontId="1" fillId="0" borderId="0" xfId="0" applyNumberFormat="1" applyFont="1" applyFill="1" applyBorder="1" applyAlignment="1">
      <x:alignment vertical="center"/>
    </x:xf>
    <x:xf numFmtId="207" fontId="5" fillId="0" borderId="0" xfId="0" applyNumberFormat="1" applyFont="1" applyFill="1" applyBorder="1" applyAlignment="1">
      <x:alignment vertical="center"/>
    </x:xf>
    <x:xf numFmtId="207" fontId="5" fillId="0" borderId="0" xfId="0" applyNumberFormat="1" applyFont="1" applyFill="1" applyBorder="1" applyAlignment="1">
      <x:alignment horizontal="right" vertical="center"/>
    </x:xf>
    <x:xf numFmtId="208" fontId="5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206" fontId="5" fillId="4" borderId="0" xfId="0" applyNumberFormat="1" applyFont="1" applyFill="1" applyBorder="1" applyAlignment="1">
      <x:alignment horizontal="right" vertical="center"/>
    </x:xf>
    <x:xf numFmtId="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9579c93baf46ae" /><Relationship Type="http://schemas.openxmlformats.org/officeDocument/2006/relationships/theme" Target="/xl/theme/theme1.xml" Id="R12e10f5ea3ee45e2" /><Relationship Type="http://schemas.openxmlformats.org/officeDocument/2006/relationships/sharedStrings" Target="/xl/sharedStrings.xml" Id="R6d2d4c37e2164f42" /><Relationship Type="http://schemas.openxmlformats.org/officeDocument/2006/relationships/worksheet" Target="/xl/worksheets/sheet1.xml" Id="R4845a0bab7104671" /><Relationship Type="http://schemas.openxmlformats.org/officeDocument/2006/relationships/worksheet" Target="/xl/worksheets/sheet2.xml" Id="R50ac2559614a43f1" /><Relationship Type="http://schemas.openxmlformats.org/officeDocument/2006/relationships/worksheet" Target="/xl/worksheets/sheet3.xml" Id="Rcb27fb71d1c540de" /><Relationship Type="http://schemas.openxmlformats.org/officeDocument/2006/relationships/worksheet" Target="/xl/worksheets/sheet4.xml" Id="Rc00c166b1dda4986" /><Relationship Type="http://schemas.openxmlformats.org/officeDocument/2006/relationships/worksheet" Target="/xl/worksheets/sheet5.xml" Id="Rd07d593632614b44" /><Relationship Type="http://schemas.openxmlformats.org/officeDocument/2006/relationships/worksheet" Target="/xl/worksheets/sheet6.xml" Id="R6659fb2afb7a4a9f" /><Relationship Type="http://schemas.openxmlformats.org/officeDocument/2006/relationships/worksheet" Target="/xl/worksheets/sheet7.xml" Id="R3aa9ef98cebf4fb2" /><Relationship Type="http://schemas.openxmlformats.org/officeDocument/2006/relationships/worksheet" Target="/xl/worksheets/sheet8.xml" Id="Ra5bb9b01617646bc" /><Relationship Type="http://schemas.openxmlformats.org/officeDocument/2006/relationships/worksheet" Target="/xl/worksheets/sheet9.xml" Id="R1b6d6a514dbb47c7" /><Relationship Type="http://schemas.openxmlformats.org/officeDocument/2006/relationships/worksheet" Target="/xl/worksheets/sheet10.xml" Id="R1eff9c33ee224f24" /><Relationship Type="http://schemas.openxmlformats.org/officeDocument/2006/relationships/worksheet" Target="/xl/worksheets/sheet11.xml" Id="Rba4f049d4f5a4e23" /><Relationship Type="http://schemas.openxmlformats.org/officeDocument/2006/relationships/worksheet" Target="/xl/worksheets/sheet12.xml" Id="R685bdb3232494ef4" /><Relationship Type="http://schemas.openxmlformats.org/officeDocument/2006/relationships/worksheet" Target="/xl/worksheets/sheet13.xml" Id="R85c5bc040e8d4121" /><Relationship Type="http://schemas.openxmlformats.org/officeDocument/2006/relationships/worksheet" Target="/xl/worksheets/sheet14.xml" Id="R415c33d31f8a49d6" /><Relationship Type="http://schemas.openxmlformats.org/officeDocument/2006/relationships/worksheet" Target="/xl/worksheets/sheet15.xml" Id="Raa9296221893463c" /><Relationship Type="http://schemas.openxmlformats.org/officeDocument/2006/relationships/worksheet" Target="/xl/worksheets/sheet16.xml" Id="Rfc6fd28bdab04cd5" /><Relationship Type="http://schemas.openxmlformats.org/officeDocument/2006/relationships/worksheet" Target="/xl/worksheets/sheet17.xml" Id="R338e0f9a0ee64c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43" hidden="0" customWidth="1"/>
    <x:col min="3" max="3" width="26" hidden="0" customWidth="1"/>
    <x:col min="4" max="4" width="94" hidden="0" customWidth="1"/>
  </x:cols>
  <x:sheetData>
    <x:row r="2">
      <x:c r="A2" s="3" t="str">
        <x:v>第五章表格核验</x:v>
      </x:c>
      <x:c r="B2" s="3"/>
      <x:c r="C2" s="3"/>
      <x:c r="D2" s="3"/>
    </x:row>
    <x:row r="3">
      <x:c r="A3" s="4" t="str">
        <x:v>所有结果以本次论文与来源快照为准；算术正确不等于参考标注已核验。</x:v>
      </x:c>
      <x:c r="B3" s="4"/>
      <x:c r="C3" s="4"/>
      <x:c r="D3" s="4"/>
    </x:row>
    <x:row r="4">
      <x:c r="A4" s="1"/>
      <x:c r="B4" s="1"/>
      <x:c r="C4" s="1"/>
      <x:c r="D4" s="1"/>
    </x:row>
    <x:row r="5" ht="37" customHeight="1">
      <x:c r="A5" s="9" t="str">
        <x:v>表格</x:v>
      </x:c>
      <x:c r="B5" s="9" t="str">
        <x:v>核验范围</x:v>
      </x:c>
      <x:c r="C5" s="9" t="str">
        <x:v>结论</x:v>
      </x:c>
      <x:c r="D5" s="9" t="str">
        <x:v>需要处理的事项</x:v>
      </x:c>
    </x:row>
    <x:row r="6" ht="23" customHeight="1">
      <x:c r="A6" s="11" t="str">
        <x:v>表5-1</x:v>
      </x:c>
      <x:c r="B6" s="10" t="str">
        <x:v>实验平台</x:v>
      </x:c>
      <x:c r="C6" s="12" t="str">
        <x:v>部分项目待记录</x:v>
      </x:c>
      <x:c r="D6" s="10" t="str">
        <x:v>GPU、Python、PyTorch和CUDA可由训练日志核验；CPU/RAM/SDK需系统配置记录。</x:v>
      </x:c>
    </x:row>
    <x:row r="7" ht="23" customHeight="1">
      <x:c r="A7" s="11" t="str">
        <x:v>表5-2</x:v>
      </x:c>
      <x:c r="B7" s="10" t="str">
        <x:v>场景规模</x:v>
      </x:c>
      <x:c r="C7" s="12" t="str">
        <x:v>数值核验通过</x:v>
      </x:c>
      <x:c r="D7" s="10" t="str">
        <x:v>13场景规模与清单一致；M13排除2个空网格引用。</x:v>
      </x:c>
    </x:row>
    <x:row r="8" ht="23" customHeight="1">
      <x:c r="A8" s="11" t="str">
        <x:v>表5-3</x:v>
      </x:c>
      <x:c r="B8" s="10" t="str">
        <x:v>监督对比</x:v>
      </x:c>
      <x:c r="C8" s="12" t="str">
        <x:v>数值核验通过</x:v>
      </x:c>
      <x:c r="D8" s="10" t="str">
        <x:v>与原始数据及统计口径一致。</x:v>
      </x:c>
    </x:row>
    <x:row r="9" ht="23" customHeight="1">
      <x:c r="A9" s="11" t="str">
        <x:v>表5-4</x:v>
      </x:c>
      <x:c r="B9" s="10" t="str">
        <x:v>分类F1</x:v>
      </x:c>
      <x:c r="C9" s="12" t="str">
        <x:v>存在末位差值错误</x:v>
      </x:c>
      <x:c r="D9" s="10" t="str">
        <x:v>各类别均值正确；5项差值需由未舍入均值重算。</x:v>
      </x:c>
    </x:row>
    <x:row r="10" ht="23" customHeight="1">
      <x:c r="A10" s="11" t="str">
        <x:v>表5-5</x:v>
      </x:c>
      <x:c r="B10" s="10" t="str">
        <x:v>融合距离</x:v>
      </x:c>
      <x:c r="C10" s="12" t="str">
        <x:v>数值核验通过</x:v>
      </x:c>
      <x:c r="D10" s="10" t="str">
        <x:v>参考占比来源需交代，不能当独立人工真值。</x:v>
      </x:c>
    </x:row>
    <x:row r="11" ht="23" customHeight="1">
      <x:c r="A11" s="11" t="str">
        <x:v>表5-6</x:v>
      </x:c>
      <x:c r="B11" s="10" t="str">
        <x:v>实例准确率</x:v>
      </x:c>
      <x:c r="C11" s="12" t="str">
        <x:v>需补参考证据</x:v>
      </x:c>
      <x:c r="D11" s="10" t="str">
        <x:v>逐实例参考标签及匹配记录未找到；只确认加总与准确率公式。</x:v>
      </x:c>
    </x:row>
    <x:row r="12" ht="23" customHeight="1">
      <x:c r="A12" s="11" t="str">
        <x:v>表5-7</x:v>
      </x:c>
      <x:c r="B12" s="10" t="str">
        <x:v>实际均值</x:v>
      </x:c>
      <x:c r="C12" s="12" t="str">
        <x:v>数值核验通过</x:v>
      </x:c>
      <x:c r="D12" s="10" t="str">
        <x:v>与原始数据及统计口径一致。</x:v>
      </x:c>
    </x:row>
    <x:row r="13" ht="23" customHeight="1">
      <x:c r="A13" s="11" t="str">
        <x:v>表5-8</x:v>
      </x:c>
      <x:c r="B13" s="10" t="str">
        <x:v>最佳改善率</x:v>
      </x:c>
      <x:c r="C13" s="12" t="str">
        <x:v>数值核验通过</x:v>
      </x:c>
      <x:c r="D13" s="10" t="str">
        <x:v>75% P95最佳值仅M1/M3参与；需在表注交代。</x:v>
      </x:c>
    </x:row>
    <x:row r="14" ht="23" customHeight="1">
      <x:c r="A14" s="11" t="str">
        <x:v>表5-9</x:v>
      </x:c>
      <x:c r="B14" s="10" t="str">
        <x:v>对比案例</x:v>
      </x:c>
      <x:c r="C14" s="12" t="str">
        <x:v>数值核验通过</x:v>
      </x:c>
      <x:c r="D14" s="10" t="str">
        <x:v>仅2整景5部件的选定案例；保持局部与整景统计范围区别。 表前引导句仍引用表5-8，应改表5-9。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2" hidden="0" customWidth="1"/>
    <x:col min="2" max="2" width="42" hidden="0" customWidth="1"/>
    <x:col min="3" max="3" width="30" hidden="0" customWidth="1"/>
    <x:col min="4" max="4" width="30" hidden="0" customWidth="1"/>
    <x:col min="5" max="5" width="30" hidden="0" customWidth="1"/>
    <x:col min="6" max="6" width="25" hidden="0" customWidth="1"/>
    <x:col min="7" max="7" width="25" hidden="0" customWidth="1"/>
  </x:cols>
  <x:sheetData>
    <x:row r="2">
      <x:c r="A2" s="3" t="str">
        <x:v>论文表5-1至表5-9原文</x:v>
      </x:c>
      <x:c r="B2" s="3"/>
      <x:c r="C2" s="3"/>
      <x:c r="D2" s="3"/>
      <x:c r="E2" s="3"/>
      <x:c r="F2" s="3"/>
      <x:c r="G2" s="3"/>
    </x:row>
    <x:row r="3">
      <x:c r="A3" s="4" t="str">
        <x:v>来源S01、S02；按Word原表顺序保留显示值，合并单元格展开，图像表中的图片另由案例表追溯。</x:v>
      </x:c>
      <x:c r="B3" s="4"/>
      <x:c r="C3" s="4"/>
      <x:c r="D3" s="4"/>
      <x:c r="E3" s="4"/>
      <x:c r="F3" s="4"/>
      <x:c r="G3" s="4"/>
    </x:row>
    <x:row r="4">
      <x:c r="A4" s="1"/>
      <x:c r="B4" s="1"/>
      <x:c r="C4" s="1"/>
      <x:c r="D4" s="1"/>
      <x:c r="E4" s="1"/>
      <x:c r="F4" s="1"/>
      <x:c r="G4" s="1"/>
    </x:row>
    <x:row r="5" ht="37" customHeight="1">
      <x:c r="A5" s="9" t="str">
        <x:v>列1</x:v>
      </x:c>
      <x:c r="B5" s="9" t="str">
        <x:v>列2</x:v>
      </x:c>
      <x:c r="C5" s="9" t="str">
        <x:v>列3</x:v>
      </x:c>
      <x:c r="D5" s="9" t="str">
        <x:v>列4</x:v>
      </x:c>
      <x:c r="E5" s="9" t="str">
        <x:v>列5</x:v>
      </x:c>
      <x:c r="F5" s="9" t="str">
        <x:v>列6</x:v>
      </x:c>
      <x:c r="G5" s="9" t="str">
        <x:v>列7</x:v>
      </x:c>
    </x:row>
    <x:row r="6" ht="34" customHeight="1">
      <x:c r="A6" s="15" t="str">
        <x:v>表5-1 实验平台配置</x:v>
      </x:c>
      <x:c r="B6" s="15" t="str"/>
      <x:c r="C6" s="15" t="str"/>
      <x:c r="D6" s="15" t="str"/>
      <x:c r="E6" s="15" t="str"/>
      <x:c r="F6" s="15" t="str"/>
      <x:c r="G6" s="15" t="str"/>
    </x:row>
    <x:row r="7" ht="34" customHeight="1">
      <x:c r="A7" s="13" t="str">
        <x:v>配置项目</x:v>
      </x:c>
      <x:c r="B7" s="13" t="str">
        <x:v>具体配置</x:v>
      </x:c>
      <x:c r="C7" s="13" t="str"/>
      <x:c r="D7" s="13" t="str"/>
      <x:c r="E7" s="13" t="str"/>
      <x:c r="F7" s="13" t="str"/>
      <x:c r="G7" s="13" t="str"/>
    </x:row>
    <x:row r="8" ht="34" customHeight="1">
      <x:c r="A8" s="13" t="str">
        <x:v>处理器</x:v>
      </x:c>
      <x:c r="B8" s="13" t="str">
        <x:v>Intel Core i5-10400F，主频2.90 GHz</x:v>
      </x:c>
      <x:c r="C8" s="13" t="str"/>
      <x:c r="D8" s="13" t="str"/>
      <x:c r="E8" s="13" t="str"/>
      <x:c r="F8" s="13" t="str"/>
      <x:c r="G8" s="13" t="str"/>
    </x:row>
    <x:row r="9" ht="34" customHeight="1">
      <x:c r="A9" s="13" t="str">
        <x:v>运行内存</x:v>
      </x:c>
      <x:c r="B9" s="13" t="str">
        <x:v>32GB</x:v>
      </x:c>
      <x:c r="C9" s="13" t="str"/>
      <x:c r="D9" s="13" t="str"/>
      <x:c r="E9" s="13" t="str"/>
      <x:c r="F9" s="13" t="str"/>
      <x:c r="G9" s="13" t="str"/>
    </x:row>
    <x:row r="10" ht="34" customHeight="1">
      <x:c r="A10" s="13" t="str">
        <x:v>显卡</x:v>
      </x:c>
      <x:c r="B10" s="13" t="str">
        <x:v>NVIDIA GeForce RTX 3060，显存12 GB</x:v>
      </x:c>
      <x:c r="C10" s="13" t="str"/>
      <x:c r="D10" s="13" t="str"/>
      <x:c r="E10" s="13" t="str"/>
      <x:c r="F10" s="13" t="str"/>
      <x:c r="G10" s="13" t="str"/>
    </x:row>
    <x:row r="11" ht="34" customHeight="1">
      <x:c r="A11" s="13" t="str">
        <x:v>操作系统</x:v>
      </x:c>
      <x:c r="B11" s="13" t="str">
        <x:v>Windows11</x:v>
      </x:c>
      <x:c r="C11" s="13" t="str"/>
      <x:c r="D11" s="13" t="str"/>
      <x:c r="E11" s="13" t="str"/>
      <x:c r="F11" s="13" t="str"/>
      <x:c r="G11" s="13" t="str"/>
    </x:row>
    <x:row r="12" ht="34" customHeight="1">
      <x:c r="A12" s="13" t="str">
        <x:v>监督学习环境</x:v>
      </x:c>
      <x:c r="B12" s="13" t="str">
        <x:v>Python 3.10.20，PyTorch 2.2.0</x:v>
      </x:c>
      <x:c r="C12" s="13" t="str"/>
      <x:c r="D12" s="13" t="str"/>
      <x:c r="E12" s="13" t="str"/>
      <x:c r="F12" s="13" t="str"/>
      <x:c r="G12" s="13" t="str"/>
    </x:row>
    <x:row r="13" ht="34" customHeight="1">
      <x:c r="A13" s="13" t="str">
        <x:v>GPU计算环境</x:v>
      </x:c>
      <x:c r="B13" s="13" t="str">
        <x:v>CUDA 12.1，cuDNN 8.8.1</x:v>
      </x:c>
      <x:c r="C13" s="13" t="str"/>
      <x:c r="D13" s="13" t="str"/>
      <x:c r="E13" s="13" t="str"/>
      <x:c r="F13" s="13" t="str"/>
      <x:c r="G13" s="13" t="str"/>
    </x:row>
    <x:row r="14" ht="34" customHeight="1">
      <x:c r="A14" s="13" t="str">
        <x:v>渲染开发环境</x:v>
      </x:c>
      <x:c r="B14" s="13" t="str">
        <x:v>C++20，Visual Studio 2022，CMake 4.2.1</x:v>
      </x:c>
      <x:c r="C14" s="13" t="str"/>
      <x:c r="D14" s="13" t="str"/>
      <x:c r="E14" s="13" t="str"/>
      <x:c r="F14" s="13" t="str"/>
      <x:c r="G14" s="13" t="str"/>
    </x:row>
    <x:row r="15" ht="34" customHeight="1">
      <x:c r="A15" s="13" t="str">
        <x:v>图形开发环境</x:v>
      </x:c>
      <x:c r="B15" s="13" t="str">
        <x:v>Vulkan SDK 1.4.335.0</x:v>
      </x:c>
      <x:c r="C15" s="13" t="str"/>
      <x:c r="D15" s="13" t="str"/>
      <x:c r="E15" s="13" t="str"/>
      <x:c r="F15" s="13" t="str"/>
      <x:c r="G15" s="13" t="str"/>
    </x:row>
    <x:row r="16" ht="34" customHeight="1">
      <x:c r="A16" s="13" t="str"/>
      <x:c r="B16" s="13" t="str"/>
      <x:c r="C16" s="13" t="str"/>
      <x:c r="D16" s="13" t="str"/>
      <x:c r="E16" s="13" t="str"/>
      <x:c r="F16" s="13" t="str"/>
      <x:c r="G16" s="13" t="str"/>
    </x:row>
    <x:row r="17" ht="34" customHeight="1">
      <x:c r="A17" s="15" t="str">
        <x:v>表5-2 工业三维场景模型规模</x:v>
      </x:c>
      <x:c r="B17" s="15" t="str"/>
      <x:c r="C17" s="15" t="str"/>
      <x:c r="D17" s="15" t="str"/>
      <x:c r="E17" s="15" t="str"/>
      <x:c r="F17" s="15" t="str"/>
      <x:c r="G17" s="15" t="str"/>
    </x:row>
    <x:row r="18" ht="34" customHeight="1">
      <x:c r="A18" s="13" t="str">
        <x:v>场景编号</x:v>
      </x:c>
      <x:c r="B18" s="13" t="str">
        <x:v>模型名称</x:v>
      </x:c>
      <x:c r="C18" s="13" t="str">
        <x:v>网格实例数</x:v>
      </x:c>
      <x:c r="D18" s="13" t="str">
        <x:v>原始三角形数/万</x:v>
      </x:c>
      <x:c r="E18" s="13" t="str">
        <x:v>最大节点层级深度</x:v>
      </x:c>
      <x:c r="F18" s="13" t="str"/>
      <x:c r="G18" s="13" t="str"/>
    </x:row>
    <x:row r="19" ht="34" customHeight="1">
      <x:c r="A19" s="13" t="str">
        <x:v>M1</x:v>
      </x:c>
      <x:c r="B19" s="13" t="str">
        <x:v>喇叭检测线</x:v>
      </x:c>
      <x:c r="C19" s="13" t="str">
        <x:v>1,167</x:v>
      </x:c>
      <x:c r="D19" s="13" t="str">
        <x:v>172.39</x:v>
      </x:c>
      <x:c r="E19" s="13" t="str">
        <x:v>6</x:v>
      </x:c>
      <x:c r="F19" s="13" t="str"/>
      <x:c r="G19" s="13" t="str"/>
    </x:row>
    <x:row r="20" ht="34" customHeight="1">
      <x:c r="A20" s="13" t="str">
        <x:v>M2</x:v>
      </x:c>
      <x:c r="B20" s="13" t="str">
        <x:v>电容焊接机 </x:v>
      </x:c>
      <x:c r="C20" s="13" t="str">
        <x:v>1,480</x:v>
      </x:c>
      <x:c r="D20" s="13" t="str">
        <x:v>291.13</x:v>
      </x:c>
      <x:c r="E20" s="13" t="str">
        <x:v>5</x:v>
      </x:c>
      <x:c r="F20" s="13" t="str"/>
      <x:c r="G20" s="13" t="str"/>
    </x:row>
    <x:row r="21" ht="34" customHeight="1">
      <x:c r="A21" s="13" t="str">
        <x:v>M3</x:v>
      </x:c>
      <x:c r="B21" s="13" t="str">
        <x:v>自动铆压机</x:v>
      </x:c>
      <x:c r="C21" s="13" t="str">
        <x:v>1,481</x:v>
      </x:c>
      <x:c r="D21" s="13" t="str">
        <x:v>343.31</x:v>
      </x:c>
      <x:c r="E21" s="13" t="str">
        <x:v>5</x:v>
      </x:c>
      <x:c r="F21" s="13" t="str"/>
      <x:c r="G21" s="13" t="str"/>
    </x:row>
    <x:row r="22" ht="34" customHeight="1">
      <x:c r="A22" s="13" t="str">
        <x:v>M4</x:v>
      </x:c>
      <x:c r="B22" s="13" t="str">
        <x:v>极耳生产线 </x:v>
      </x:c>
      <x:c r="C22" s="13" t="str">
        <x:v>5,451</x:v>
      </x:c>
      <x:c r="D22" s="13" t="str">
        <x:v>1,055.36</x:v>
      </x:c>
      <x:c r="E22" s="13" t="str">
        <x:v>8</x:v>
      </x:c>
      <x:c r="F22" s="13" t="str"/>
      <x:c r="G22" s="13" t="str"/>
    </x:row>
    <x:row r="23" ht="34" customHeight="1">
      <x:c r="A23" s="13" t="str">
        <x:v>M5</x:v>
      </x:c>
      <x:c r="B23" s="13" t="str">
        <x:v>折弯设备机</x:v>
      </x:c>
      <x:c r="C23" s="13" t="str">
        <x:v>1,747</x:v>
      </x:c>
      <x:c r="D23" s="13" t="str">
        <x:v>1,176.03</x:v>
      </x:c>
      <x:c r="E23" s="13" t="str">
        <x:v>7</x:v>
      </x:c>
      <x:c r="F23" s="13" t="str"/>
      <x:c r="G23" s="13" t="str"/>
    </x:row>
    <x:row r="24" ht="34" customHeight="1">
      <x:c r="A24" s="13" t="str">
        <x:v>M6</x:v>
      </x:c>
      <x:c r="B24" s="13" t="str">
        <x:v>透气阀产线</x:v>
      </x:c>
      <x:c r="C24" s="13" t="str">
        <x:v>3,347</x:v>
      </x:c>
      <x:c r="D24" s="13" t="str">
        <x:v>1,549.62</x:v>
      </x:c>
      <x:c r="E24" s="13" t="str">
        <x:v>6</x:v>
      </x:c>
      <x:c r="F24" s="13" t="str"/>
      <x:c r="G24" s="13" t="str"/>
    </x:row>
    <x:row r="25" ht="34" customHeight="1">
      <x:c r="A25" s="13" t="str">
        <x:v>M7</x:v>
      </x:c>
      <x:c r="B25" s="13" t="str">
        <x:v>焊接生产线</x:v>
      </x:c>
      <x:c r="C25" s="13" t="str">
        <x:v>1,026</x:v>
      </x:c>
      <x:c r="D25" s="13" t="str">
        <x:v>1,990.57</x:v>
      </x:c>
      <x:c r="E25" s="13" t="str">
        <x:v>7</x:v>
      </x:c>
      <x:c r="F25" s="13" t="str"/>
      <x:c r="G25" s="13" t="str"/>
    </x:row>
    <x:row r="26" ht="34" customHeight="1">
      <x:c r="A26" s="13" t="str">
        <x:v>M8</x:v>
      </x:c>
      <x:c r="B26" s="13" t="str">
        <x:v>转子生产线</x:v>
      </x:c>
      <x:c r="C26" s="13" t="str">
        <x:v>6,103</x:v>
      </x:c>
      <x:c r="D26" s="13" t="str">
        <x:v>2,070.33</x:v>
      </x:c>
      <x:c r="E26" s="13" t="str">
        <x:v>13</x:v>
      </x:c>
      <x:c r="F26" s="13" t="str"/>
      <x:c r="G26" s="13" t="str"/>
    </x:row>
    <x:row r="27" ht="34" customHeight="1">
      <x:c r="A27" s="13" t="str">
        <x:v>M9</x:v>
      </x:c>
      <x:c r="B27" s="13" t="str">
        <x:v>地盖线产线</x:v>
      </x:c>
      <x:c r="C27" s="13" t="str">
        <x:v>3,118</x:v>
      </x:c>
      <x:c r="D27" s="13" t="str">
        <x:v>2,392.14</x:v>
      </x:c>
      <x:c r="E27" s="13" t="str">
        <x:v>7</x:v>
      </x:c>
      <x:c r="F27" s="13" t="str"/>
      <x:c r="G27" s="13" t="str"/>
    </x:row>
    <x:row r="28" ht="34" customHeight="1">
      <x:c r="A28" s="13" t="str">
        <x:v>M10</x:v>
      </x:c>
      <x:c r="B28" s="13" t="str">
        <x:v>刷架总产线</x:v>
      </x:c>
      <x:c r="C28" s="13" t="str">
        <x:v>5,198</x:v>
      </x:c>
      <x:c r="D28" s="13" t="str">
        <x:v>4,759.11</x:v>
      </x:c>
      <x:c r="E28" s="13" t="str">
        <x:v>10</x:v>
      </x:c>
      <x:c r="F28" s="13" t="str"/>
      <x:c r="G28" s="13" t="str"/>
    </x:row>
    <x:row r="29" ht="34" customHeight="1">
      <x:c r="A29" s="13" t="str">
        <x:v>M11</x:v>
      </x:c>
      <x:c r="B29" s="13" t="str">
        <x:v>电池分选线</x:v>
      </x:c>
      <x:c r="C29" s="13" t="str">
        <x:v>15,723</x:v>
      </x:c>
      <x:c r="D29" s="13" t="str">
        <x:v>3,706.86</x:v>
      </x:c>
      <x:c r="E29" s="13" t="str">
        <x:v>11</x:v>
      </x:c>
      <x:c r="F29" s="13" t="str"/>
      <x:c r="G29" s="13" t="str"/>
    </x:row>
    <x:row r="30" ht="34" customHeight="1">
      <x:c r="A30" s="13" t="str">
        <x:v>M12</x:v>
      </x:c>
      <x:c r="B30" s="13" t="str">
        <x:v>继电器产线</x:v>
      </x:c>
      <x:c r="C30" s="13" t="str">
        <x:v>7,163</x:v>
      </x:c>
      <x:c r="D30" s="13" t="str">
        <x:v>5,185.70</x:v>
      </x:c>
      <x:c r="E30" s="13" t="str">
        <x:v>10</x:v>
      </x:c>
      <x:c r="F30" s="13" t="str"/>
      <x:c r="G30" s="13" t="str"/>
    </x:row>
    <x:row r="31" ht="34" customHeight="1">
      <x:c r="A31" s="13" t="str">
        <x:v>M13</x:v>
      </x:c>
      <x:c r="B31" s="13" t="str">
        <x:v>电池模组产线</x:v>
      </x:c>
      <x:c r="C31" s="13" t="str">
        <x:v>15,968</x:v>
      </x:c>
      <x:c r="D31" s="13" t="str">
        <x:v>5,200.39</x:v>
      </x:c>
      <x:c r="E31" s="13" t="str">
        <x:v>11</x:v>
      </x:c>
      <x:c r="F31" s="13" t="str"/>
      <x:c r="G31" s="13" t="str"/>
    </x:row>
    <x:row r="32" ht="34" customHeight="1">
      <x:c r="A32" s="13" t="str"/>
      <x:c r="B32" s="13" t="str"/>
      <x:c r="C32" s="13" t="str"/>
      <x:c r="D32" s="13" t="str"/>
      <x:c r="E32" s="13" t="str"/>
      <x:c r="F32" s="13" t="str"/>
      <x:c r="G32" s="13" t="str"/>
    </x:row>
    <x:row r="33" ht="34" customHeight="1">
      <x:c r="A33" s="15" t="str">
        <x:v>表5-3 监督编码方法对比</x:v>
      </x:c>
      <x:c r="B33" s="15" t="str"/>
      <x:c r="C33" s="15" t="str"/>
      <x:c r="D33" s="15" t="str"/>
      <x:c r="E33" s="15" t="str"/>
      <x:c r="F33" s="15" t="str"/>
      <x:c r="G33" s="15" t="str"/>
    </x:row>
    <x:row r="34" ht="34" customHeight="1">
      <x:c r="A34" s="13" t="str">
        <x:v>方法</x:v>
      </x:c>
      <x:c r="B34" s="13" t="str">
        <x:v>参数量／M</x:v>
      </x:c>
      <x:c r="C34" s="13" t="str">
        <x:v>OA／%</x:v>
      </x:c>
      <x:c r="D34" s="13" t="str">
        <x:v>mAcc／%</x:v>
      </x:c>
      <x:c r="E34" s="13" t="str">
        <x:v>Macro-F1／%</x:v>
      </x:c>
      <x:c r="F34" s="13" t="str">
        <x:v>延迟／ms</x:v>
      </x:c>
      <x:c r="G34" s="13" t="str"/>
    </x:row>
    <x:row r="35" ht="34" customHeight="1">
      <x:c r="A35" s="13" t="str">
        <x:v>PointNet</x:v>
      </x:c>
      <x:c r="B35" s="13" t="str">
        <x:v>3.473</x:v>
      </x:c>
      <x:c r="C35" s="13" t="str">
        <x:v>67.64±0.47</x:v>
      </x:c>
      <x:c r="D35" s="13" t="str">
        <x:v>39.67±0.33</x:v>
      </x:c>
      <x:c r="E35" s="13" t="str">
        <x:v>39.97±0.43</x:v>
      </x:c>
      <x:c r="F35" s="13" t="str">
        <x:v>4.27</x:v>
      </x:c>
      <x:c r="G35" s="13" t="str"/>
    </x:row>
    <x:row r="36" ht="34" customHeight="1">
      <x:c r="A36" s="13" t="str">
        <x:v>PointNet++ </x:v>
      </x:c>
      <x:c r="B36" s="13" t="str">
        <x:v>1.466</x:v>
      </x:c>
      <x:c r="C36" s="13" t="str">
        <x:v>94.63±0.23</x:v>
      </x:c>
      <x:c r="D36" s="13" t="str">
        <x:v>91.04±0.58</x:v>
      </x:c>
      <x:c r="E36" s="13" t="str">
        <x:v>91.26±0.46</x:v>
      </x:c>
      <x:c r="F36" s="13" t="str">
        <x:v>21.05</x:v>
      </x:c>
      <x:c r="G36" s="13" t="str"/>
    </x:row>
    <x:row r="37" ht="34" customHeight="1">
      <x:c r="A37" s="13" t="str">
        <x:v>PointNeXt（四分下采样）</x:v>
      </x:c>
      <x:c r="B37" s="13" t="str">
        <x:v>1.367</x:v>
      </x:c>
      <x:c r="C37" s="13" t="str">
        <x:v>94.80±0.13</x:v>
      </x:c>
      <x:c r="D37" s="13" t="str">
        <x:v>91.52±0.21</x:v>
      </x:c>
      <x:c r="E37" s="13" t="str">
        <x:v>91.70±0.48</x:v>
      </x:c>
      <x:c r="F37" s="13" t="str">
        <x:v>9.56</x:v>
      </x:c>
      <x:c r="G37" s="13" t="str"/>
    </x:row>
    <x:row r="38" ht="34" customHeight="1">
      <x:c r="A38" s="13" t="str">
        <x:v>ISPointNet监督语义分支</x:v>
      </x:c>
      <x:c r="B38" s="13" t="str">
        <x:v>1.367</x:v>
      </x:c>
      <x:c r="C38" s="13" t="str">
        <x:v>95.40±0.03</x:v>
      </x:c>
      <x:c r="D38" s="13" t="str">
        <x:v>92.45±0.04</x:v>
      </x:c>
      <x:c r="E38" s="13" t="str">
        <x:v>92.91±0.21</x:v>
      </x:c>
      <x:c r="F38" s="13" t="str">
        <x:v>25.00</x:v>
      </x:c>
      <x:c r="G38" s="13" t="str"/>
    </x:row>
    <x:row r="39" ht="34" customHeight="1">
      <x:c r="A39" s="13" t="str"/>
      <x:c r="B39" s="13" t="str"/>
      <x:c r="C39" s="13" t="str"/>
      <x:c r="D39" s="13" t="str"/>
      <x:c r="E39" s="13" t="str"/>
      <x:c r="F39" s="13" t="str"/>
      <x:c r="G39" s="13" t="str"/>
    </x:row>
    <x:row r="40" ht="34" customHeight="1">
      <x:c r="A40" s="15" t="str">
        <x:v>表5-4 两种下采样配置的分类别F1对比</x:v>
      </x:c>
      <x:c r="B40" s="15" t="str"/>
      <x:c r="C40" s="15" t="str"/>
      <x:c r="D40" s="15" t="str"/>
      <x:c r="E40" s="15" t="str"/>
      <x:c r="F40" s="15" t="str"/>
      <x:c r="G40" s="15" t="str"/>
    </x:row>
    <x:row r="41" ht="34" customHeight="1">
      <x:c r="A41" s="13" t="str">
        <x:v>零件类别</x:v>
      </x:c>
      <x:c r="B41" s="13" t="str">
        <x:v>样本数</x:v>
      </x:c>
      <x:c r="C41" s="13" t="str">
        <x:v>四级四分下采样
F1／%</x:v>
      </x:c>
      <x:c r="D41" s="13" t="str">
        <x:v>四级二分下采样
F1／%</x:v>
      </x:c>
      <x:c r="E41" s="13" t="str">
        <x:v>差值／
百分点</x:v>
      </x:c>
      <x:c r="F41" s="13" t="str"/>
      <x:c r="G41" s="13" t="str"/>
    </x:row>
    <x:row r="42" ht="34" customHeight="1">
      <x:c r="A42" s="13" t="str">
        <x:v>螺钉／螺栓／螺柱</x:v>
      </x:c>
      <x:c r="B42" s="13" t="str">
        <x:v>4208</x:v>
      </x:c>
      <x:c r="C42" s="13" t="str">
        <x:v>97.04</x:v>
      </x:c>
      <x:c r="D42" s="13" t="str">
        <x:v>97.14</x:v>
      </x:c>
      <x:c r="E42" s="13" t="str">
        <x:v>0.10</x:v>
      </x:c>
      <x:c r="F42" s="13" t="str"/>
      <x:c r="G42" s="13" t="str"/>
    </x:row>
    <x:row r="43" ht="34" customHeight="1">
      <x:c r="A43" s="13" t="str">
        <x:v>螺母</x:v>
      </x:c>
      <x:c r="B43" s="13" t="str">
        <x:v>469</x:v>
      </x:c>
      <x:c r="C43" s="13" t="str">
        <x:v>97.15</x:v>
      </x:c>
      <x:c r="D43" s="13" t="str">
        <x:v>97.52</x:v>
      </x:c>
      <x:c r="E43" s="13" t="str">
        <x:v>0.37</x:v>
      </x:c>
      <x:c r="F43" s="13" t="str"/>
      <x:c r="G43" s="13" t="str"/>
    </x:row>
    <x:row r="44" ht="34" customHeight="1">
      <x:c r="A44" s="13" t="str">
        <x:v>垫圈／环／隔套</x:v>
      </x:c>
      <x:c r="B44" s="13" t="str">
        <x:v>767</x:v>
      </x:c>
      <x:c r="C44" s="13" t="str">
        <x:v>97.09</x:v>
      </x:c>
      <x:c r="D44" s="13" t="str">
        <x:v>97.43</x:v>
      </x:c>
      <x:c r="E44" s="13" t="str">
        <x:v>0.34</x:v>
      </x:c>
      <x:c r="F44" s="13" t="str"/>
      <x:c r="G44" s="13" t="str"/>
    </x:row>
    <x:row r="45" ht="34" customHeight="1">
      <x:c r="A45" s="13" t="str">
        <x:v>销／铆钉／键</x:v>
      </x:c>
      <x:c r="B45" s="13" t="str">
        <x:v>2941</x:v>
      </x:c>
      <x:c r="C45" s="13" t="str">
        <x:v>97.26</x:v>
      </x:c>
      <x:c r="D45" s="13" t="str">
        <x:v>97.54</x:v>
      </x:c>
      <x:c r="E45" s="13" t="str">
        <x:v>0.28</x:v>
      </x:c>
      <x:c r="F45" s="13" t="str"/>
      <x:c r="G45" s="13" t="str"/>
    </x:row>
    <x:row r="46" ht="34" customHeight="1">
      <x:c r="A46" s="13" t="str">
        <x:v>轴承／衬套／导向件</x:v>
      </x:c>
      <x:c r="B46" s="13" t="str">
        <x:v>562</x:v>
      </x:c>
      <x:c r="C46" s="13" t="str">
        <x:v>88.77</x:v>
      </x:c>
      <x:c r="D46" s="13" t="str">
        <x:v>90.64</x:v>
      </x:c>
      <x:c r="E46" s="13" t="str">
        <x:v>1.87</x:v>
      </x:c>
      <x:c r="F46" s="13" t="str"/>
      <x:c r="G46" s="13" t="str"/>
    </x:row>
    <x:row r="47" ht="34" customHeight="1">
      <x:c r="A47" s="13" t="str">
        <x:v>齿轮／带轮／链条</x:v>
      </x:c>
      <x:c r="B47" s="13" t="str">
        <x:v>234</x:v>
      </x:c>
      <x:c r="C47" s="13" t="str">
        <x:v>92.02</x:v>
      </x:c>
      <x:c r="D47" s="13" t="str">
        <x:v>92.62</x:v>
      </x:c>
      <x:c r="E47" s="13" t="str">
        <x:v>0.60</x:v>
      </x:c>
      <x:c r="F47" s="13" t="str"/>
      <x:c r="G47" s="13" t="str"/>
    </x:row>
    <x:row r="48" ht="34" customHeight="1">
      <x:c r="A48" s="13" t="str">
        <x:v>电机／减速电机</x:v>
      </x:c>
      <x:c r="B48" s="13" t="str">
        <x:v>222</x:v>
      </x:c>
      <x:c r="C48" s="13" t="str">
        <x:v>94.05</x:v>
      </x:c>
      <x:c r="D48" s="13" t="str">
        <x:v>96.22</x:v>
      </x:c>
      <x:c r="E48" s="13" t="str">
        <x:v>2.17</x:v>
      </x:c>
      <x:c r="F48" s="13" t="str"/>
      <x:c r="G48" s="13" t="str"/>
    </x:row>
    <x:row r="49" ht="34" customHeight="1">
      <x:c r="A49" s="13" t="str">
        <x:v>管件／阀门／喷嘴</x:v>
      </x:c>
      <x:c r="B49" s="13" t="str">
        <x:v>735</x:v>
      </x:c>
      <x:c r="C49" s="13" t="str">
        <x:v>81.52</x:v>
      </x:c>
      <x:c r="D49" s="13" t="str">
        <x:v>83.12</x:v>
      </x:c>
      <x:c r="E49" s="13" t="str">
        <x:v>1.60</x:v>
      </x:c>
      <x:c r="F49" s="13" t="str"/>
      <x:c r="G49" s="13" t="str"/>
    </x:row>
    <x:row r="50" ht="34" customHeight="1">
      <x:c r="A50" s="13" t="str">
        <x:v>连接件／夹具</x:v>
      </x:c>
      <x:c r="B50" s="13" t="str">
        <x:v>361</x:v>
      </x:c>
      <x:c r="C50" s="13" t="str">
        <x:v>88.61</x:v>
      </x:c>
      <x:c r="D50" s="13" t="str">
        <x:v>90.13</x:v>
      </x:c>
      <x:c r="E50" s="13" t="str">
        <x:v>1.52</x:v>
      </x:c>
      <x:c r="F50" s="13" t="str"/>
      <x:c r="G50" s="13" t="str"/>
    </x:row>
    <x:row r="51" ht="34" customHeight="1">
      <x:c r="A51" s="13" t="str">
        <x:v>轮／脚轮</x:v>
      </x:c>
      <x:c r="B51" s="13" t="str">
        <x:v>105</x:v>
      </x:c>
      <x:c r="C51" s="13" t="str">
        <x:v>94.74</x:v>
      </x:c>
      <x:c r="D51" s="13" t="str">
        <x:v>96.17</x:v>
      </x:c>
      <x:c r="E51" s="13" t="str">
        <x:v>1.44</x:v>
      </x:c>
      <x:c r="F51" s="13" t="str"/>
      <x:c r="G51" s="13" t="str"/>
    </x:row>
    <x:row r="52" ht="34" customHeight="1">
      <x:c r="A52" s="13" t="str">
        <x:v>旋转流体机械</x:v>
      </x:c>
      <x:c r="B52" s="13" t="str">
        <x:v>136</x:v>
      </x:c>
      <x:c r="C52" s="13" t="str">
        <x:v>93.03</x:v>
      </x:c>
      <x:c r="D52" s="13" t="str">
        <x:v>94.14</x:v>
      </x:c>
      <x:c r="E52" s="13" t="str">
        <x:v>1.11</x:v>
      </x:c>
      <x:c r="F52" s="13" t="str"/>
      <x:c r="G52" s="13" t="str"/>
    </x:row>
    <x:row r="53" ht="34" customHeight="1">
      <x:c r="A53" s="13" t="str">
        <x:v>板／盘／形状件</x:v>
      </x:c>
      <x:c r="B53" s="13" t="str">
        <x:v>138</x:v>
      </x:c>
      <x:c r="C53" s="13" t="str">
        <x:v>85.65</x:v>
      </x:c>
      <x:c r="D53" s="13" t="str">
        <x:v>84.87</x:v>
      </x:c>
      <x:c r="E53" s="13" t="str">
        <x:v>−0.78</x:v>
      </x:c>
      <x:c r="F53" s="13" t="str"/>
      <x:c r="G53" s="13" t="str"/>
    </x:row>
    <x:row r="54" ht="34" customHeight="1">
      <x:c r="A54" s="13" t="str">
        <x:v>把手／控制件</x:v>
      </x:c>
      <x:c r="B54" s="13" t="str">
        <x:v>562</x:v>
      </x:c>
      <x:c r="C54" s="13" t="str">
        <x:v>92.03</x:v>
      </x:c>
      <x:c r="D54" s="13" t="str">
        <x:v>94.72</x:v>
      </x:c>
      <x:c r="E54" s="13" t="str">
        <x:v>2.69</x:v>
      </x:c>
      <x:c r="F54" s="13" t="str"/>
      <x:c r="G54" s="13" t="str"/>
    </x:row>
    <x:row r="55" ht="34" customHeight="1">
      <x:c r="A55" s="13" t="str">
        <x:v>弹簧</x:v>
      </x:c>
      <x:c r="B55" s="13" t="str">
        <x:v>102</x:v>
      </x:c>
      <x:c r="C55" s="13" t="str">
        <x:v>84.88</x:v>
      </x:c>
      <x:c r="D55" s="13" t="str">
        <x:v>88.54</x:v>
      </x:c>
      <x:c r="E55" s="13" t="str">
        <x:v>3.66</x:v>
      </x:c>
      <x:c r="F55" s="13" t="str"/>
      <x:c r="G55" s="13" t="str"/>
    </x:row>
    <x:row r="56" ht="34" customHeight="1">
      <x:c r="A56" s="13" t="str"/>
      <x:c r="B56" s="13" t="str"/>
      <x:c r="C56" s="13" t="str"/>
      <x:c r="D56" s="13" t="str"/>
      <x:c r="E56" s="13" t="str"/>
      <x:c r="F56" s="13" t="str"/>
      <x:c r="G56" s="13" t="str"/>
    </x:row>
    <x:row r="57" ht="34" customHeight="1">
      <x:c r="A57" s="15" t="str">
        <x:v>表5-5 不同分支组合的宏平均分布距离</x:v>
      </x:c>
      <x:c r="B57" s="15" t="str"/>
      <x:c r="C57" s="15" t="str"/>
      <x:c r="D57" s="15" t="str"/>
      <x:c r="E57" s="15" t="str"/>
      <x:c r="F57" s="15" t="str"/>
      <x:c r="G57" s="15" t="str"/>
    </x:row>
    <x:row r="58" ht="34" customHeight="1">
      <x:c r="A58" s="13" t="str">
        <x:v>信息组合</x:v>
      </x:c>
      <x:c r="B58" s="13" t="str">
        <x:v>配置记号</x:v>
      </x:c>
      <x:c r="C58" s="13" t="str">
        <x:v>H0距离／百分点↓</x:v>
      </x:c>
      <x:c r="D58" s="13" t="str">
        <x:v>H1距离／百分点↓</x:v>
      </x:c>
      <x:c r="E58" s="13" t="str">
        <x:v>距离减少量</x:v>
      </x:c>
      <x:c r="F58" s="13" t="str"/>
      <x:c r="G58" s="13" t="str"/>
    </x:row>
    <x:row r="59" ht="34" customHeight="1">
      <x:c r="A59" s="13" t="str">
        <x:v>监督语义</x:v>
      </x:c>
      <x:c r="B59" s="13" t="str">
        <x:v>N</x:v>
      </x:c>
      <x:c r="C59" s="13" t="str">
        <x:v>72.9</x:v>
      </x:c>
      <x:c r="D59" s="13" t="str">
        <x:v>72.61</x:v>
      </x:c>
      <x:c r="E59" s="13" t="str">
        <x:v>0.29</x:v>
      </x:c>
      <x:c r="F59" s="13" t="str"/>
      <x:c r="G59" s="13" t="str"/>
    </x:row>
    <x:row r="60" ht="34" customHeight="1">
      <x:c r="A60" s="13" t="str">
        <x:v>开放语义</x:v>
      </x:c>
      <x:c r="B60" s="13" t="str">
        <x:v>C</x:v>
      </x:c>
      <x:c r="C60" s="13" t="str">
        <x:v>77.29</x:v>
      </x:c>
      <x:c r="D60" s="13" t="str">
        <x:v>76.68</x:v>
      </x:c>
      <x:c r="E60" s="13" t="str">
        <x:v>0.62</x:v>
      </x:c>
      <x:c r="F60" s="13" t="str"/>
      <x:c r="G60" s="13" t="str"/>
    </x:row>
    <x:row r="61" ht="34" customHeight="1">
      <x:c r="A61" s="13" t="str">
        <x:v>显式几何</x:v>
      </x:c>
      <x:c r="B61" s="13" t="str">
        <x:v>G</x:v>
      </x:c>
      <x:c r="C61" s="13" t="str">
        <x:v>18.93</x:v>
      </x:c>
      <x:c r="D61" s="13" t="str">
        <x:v>14.02</x:v>
      </x:c>
      <x:c r="E61" s="13" t="str">
        <x:v>4.91</x:v>
      </x:c>
      <x:c r="F61" s="13" t="str"/>
      <x:c r="G61" s="13" t="str"/>
    </x:row>
    <x:row r="62" ht="34" customHeight="1">
      <x:c r="A62" s="13" t="str">
        <x:v>监督＋开放语义</x:v>
      </x:c>
      <x:c r="B62" s="13" t="str">
        <x:v>NC</x:v>
      </x:c>
      <x:c r="C62" s="13" t="str">
        <x:v>68.12</x:v>
      </x:c>
      <x:c r="D62" s="13" t="str">
        <x:v>67.67</x:v>
      </x:c>
      <x:c r="E62" s="13" t="str">
        <x:v>0.46</x:v>
      </x:c>
      <x:c r="F62" s="13" t="str"/>
      <x:c r="G62" s="13" t="str"/>
    </x:row>
    <x:row r="63" ht="34" customHeight="1">
      <x:c r="A63" s="13" t="str">
        <x:v>监督语义＋几何</x:v>
      </x:c>
      <x:c r="B63" s="13" t="str">
        <x:v>NG</x:v>
      </x:c>
      <x:c r="C63" s="13" t="str">
        <x:v>13.1</x:v>
      </x:c>
      <x:c r="D63" s="13" t="str">
        <x:v>6.13</x:v>
      </x:c>
      <x:c r="E63" s="13" t="str">
        <x:v>6.97</x:v>
      </x:c>
      <x:c r="F63" s="13" t="str"/>
      <x:c r="G63" s="13" t="str"/>
    </x:row>
    <x:row r="64" ht="34" customHeight="1">
      <x:c r="A64" s="13" t="str">
        <x:v>开放语义＋几何</x:v>
      </x:c>
      <x:c r="B64" s="13" t="str">
        <x:v>CG</x:v>
      </x:c>
      <x:c r="C64" s="13" t="str">
        <x:v>21.27</x:v>
      </x:c>
      <x:c r="D64" s="13" t="str">
        <x:v>12.2</x:v>
      </x:c>
      <x:c r="E64" s="13" t="str">
        <x:v>9.07</x:v>
      </x:c>
      <x:c r="F64" s="13" t="str"/>
      <x:c r="G64" s="13" t="str"/>
    </x:row>
    <x:row r="65" ht="34" customHeight="1">
      <x:c r="A65" s="13" t="str">
        <x:v>完整融合</x:v>
      </x:c>
      <x:c r="B65" s="13" t="str">
        <x:v>NCG</x:v>
      </x:c>
      <x:c r="C65" s="13" t="str">
        <x:v>11.01</x:v>
      </x:c>
      <x:c r="D65" s="13" t="str">
        <x:v>3.85</x:v>
      </x:c>
      <x:c r="E65" s="13" t="str">
        <x:v>7.16</x:v>
      </x:c>
      <x:c r="F65" s="13" t="str"/>
      <x:c r="G65" s="13" t="str"/>
    </x:row>
    <x:row r="66" ht="34" customHeight="1">
      <x:c r="A66" s="13" t="str"/>
      <x:c r="B66" s="13" t="str"/>
      <x:c r="C66" s="13" t="str"/>
      <x:c r="D66" s="13" t="str"/>
      <x:c r="E66" s="13" t="str"/>
      <x:c r="F66" s="13" t="str"/>
      <x:c r="G66" s="13" t="str"/>
    </x:row>
    <x:row r="67" ht="34" customHeight="1">
      <x:c r="A67" s="15" t="str">
        <x:v>表5-6 完整融合配置NCG_H1的逐实例人工对照结果</x:v>
      </x:c>
      <x:c r="B67" s="15" t="str"/>
      <x:c r="C67" s="15" t="str"/>
      <x:c r="D67" s="15" t="str"/>
      <x:c r="E67" s="15" t="str"/>
      <x:c r="F67" s="15" t="str"/>
      <x:c r="G67" s="15" t="str"/>
    </x:row>
    <x:row r="68" ht="34" customHeight="1">
      <x:c r="A68" s="13" t="str">
        <x:v>模型</x:v>
      </x:c>
      <x:c r="B68" s="13" t="str">
        <x:v>实例数</x:v>
      </x:c>
      <x:c r="C68" s="13" t="str">
        <x:v>正确数</x:v>
      </x:c>
      <x:c r="D68" s="13" t="str">
        <x:v>错误数</x:v>
      </x:c>
      <x:c r="E68" s="13" t="str">
        <x:v>准确率</x:v>
      </x:c>
      <x:c r="F68" s="13" t="str"/>
      <x:c r="G68" s="13" t="str"/>
    </x:row>
    <x:row r="69" ht="34" customHeight="1">
      <x:c r="A69" s="13" t="str">
        <x:v>M1</x:v>
      </x:c>
      <x:c r="B69" s="13" t="str">
        <x:v>1,167</x:v>
      </x:c>
      <x:c r="C69" s="13" t="str">
        <x:v>960</x:v>
      </x:c>
      <x:c r="D69" s="13" t="str">
        <x:v>207</x:v>
      </x:c>
      <x:c r="E69" s="13" t="str">
        <x:v>82.26%</x:v>
      </x:c>
      <x:c r="F69" s="13" t="str"/>
      <x:c r="G69" s="13" t="str"/>
    </x:row>
    <x:row r="70" ht="34" customHeight="1">
      <x:c r="A70" s="13" t="str">
        <x:v>M2</x:v>
      </x:c>
      <x:c r="B70" s="13" t="str">
        <x:v>1,480</x:v>
      </x:c>
      <x:c r="C70" s="13" t="str">
        <x:v>1,165</x:v>
      </x:c>
      <x:c r="D70" s="13" t="str">
        <x:v>315</x:v>
      </x:c>
      <x:c r="E70" s="13" t="str">
        <x:v>78.72%</x:v>
      </x:c>
      <x:c r="F70" s="13" t="str"/>
      <x:c r="G70" s="13" t="str"/>
    </x:row>
    <x:row r="71" ht="34" customHeight="1">
      <x:c r="A71" s="13" t="str">
        <x:v>M3</x:v>
      </x:c>
      <x:c r="B71" s="13" t="str">
        <x:v>1,481</x:v>
      </x:c>
      <x:c r="C71" s="13" t="str">
        <x:v>1,185</x:v>
      </x:c>
      <x:c r="D71" s="13" t="str">
        <x:v>296</x:v>
      </x:c>
      <x:c r="E71" s="13" t="str">
        <x:v>80.01%</x:v>
      </x:c>
      <x:c r="F71" s="13" t="str"/>
      <x:c r="G71" s="13" t="str"/>
    </x:row>
    <x:row r="72" ht="34" customHeight="1">
      <x:c r="A72" s="13" t="str">
        <x:v>M4</x:v>
      </x:c>
      <x:c r="B72" s="13" t="str">
        <x:v>5,451</x:v>
      </x:c>
      <x:c r="C72" s="13" t="str">
        <x:v>4,710</x:v>
      </x:c>
      <x:c r="D72" s="13" t="str">
        <x:v>741</x:v>
      </x:c>
      <x:c r="E72" s="13" t="str">
        <x:v>86.41%</x:v>
      </x:c>
      <x:c r="F72" s="13" t="str"/>
      <x:c r="G72" s="13" t="str"/>
    </x:row>
    <x:row r="73" ht="34" customHeight="1">
      <x:c r="A73" s="13" t="str">
        <x:v>M5</x:v>
      </x:c>
      <x:c r="B73" s="13" t="str">
        <x:v>1,747</x:v>
      </x:c>
      <x:c r="C73" s="13" t="str">
        <x:v>1,459</x:v>
      </x:c>
      <x:c r="D73" s="13" t="str">
        <x:v>288</x:v>
      </x:c>
      <x:c r="E73" s="13" t="str">
        <x:v>83.51%</x:v>
      </x:c>
      <x:c r="F73" s="13" t="str"/>
      <x:c r="G73" s="13" t="str"/>
    </x:row>
    <x:row r="74" ht="34" customHeight="1">
      <x:c r="A74" s="13" t="str">
        <x:v>M6</x:v>
      </x:c>
      <x:c r="B74" s="13" t="str">
        <x:v>3,347</x:v>
      </x:c>
      <x:c r="C74" s="13" t="str">
        <x:v>2,731</x:v>
      </x:c>
      <x:c r="D74" s="13" t="str">
        <x:v>616</x:v>
      </x:c>
      <x:c r="E74" s="13" t="str">
        <x:v>81.60%</x:v>
      </x:c>
      <x:c r="F74" s="13" t="str"/>
      <x:c r="G74" s="13" t="str"/>
    </x:row>
    <x:row r="75" ht="34" customHeight="1">
      <x:c r="A75" s="13" t="str">
        <x:v>M7</x:v>
      </x:c>
      <x:c r="B75" s="13" t="str">
        <x:v>1,026</x:v>
      </x:c>
      <x:c r="C75" s="13" t="str">
        <x:v>881</x:v>
      </x:c>
      <x:c r="D75" s="13" t="str">
        <x:v>145</x:v>
      </x:c>
      <x:c r="E75" s="13" t="str">
        <x:v>85.87%</x:v>
      </x:c>
      <x:c r="F75" s="13" t="str"/>
      <x:c r="G75" s="13" t="str"/>
    </x:row>
    <x:row r="76" ht="34" customHeight="1">
      <x:c r="A76" s="13" t="str">
        <x:v>M8</x:v>
      </x:c>
      <x:c r="B76" s="13" t="str">
        <x:v>6,103</x:v>
      </x:c>
      <x:c r="C76" s="13" t="str">
        <x:v>4,644</x:v>
      </x:c>
      <x:c r="D76" s="13" t="str">
        <x:v>1,459</x:v>
      </x:c>
      <x:c r="E76" s="13" t="str">
        <x:v>76.09%</x:v>
      </x:c>
      <x:c r="F76" s="13" t="str"/>
      <x:c r="G76" s="13" t="str"/>
    </x:row>
    <x:row r="77" ht="34" customHeight="1">
      <x:c r="A77" s="13" t="str">
        <x:v>M9</x:v>
      </x:c>
      <x:c r="B77" s="13" t="str">
        <x:v>3,118</x:v>
      </x:c>
      <x:c r="C77" s="13" t="str">
        <x:v>2,625</x:v>
      </x:c>
      <x:c r="D77" s="13" t="str">
        <x:v>493</x:v>
      </x:c>
      <x:c r="E77" s="13" t="str">
        <x:v>84.19%</x:v>
      </x:c>
      <x:c r="F77" s="13" t="str"/>
      <x:c r="G77" s="13" t="str"/>
    </x:row>
    <x:row r="78" ht="34" customHeight="1">
      <x:c r="A78" s="13" t="str">
        <x:v>M10</x:v>
      </x:c>
      <x:c r="B78" s="13" t="str">
        <x:v>5,198</x:v>
      </x:c>
      <x:c r="C78" s="13" t="str">
        <x:v>4,631</x:v>
      </x:c>
      <x:c r="D78" s="13" t="str">
        <x:v>567</x:v>
      </x:c>
      <x:c r="E78" s="13" t="str">
        <x:v>89.09%</x:v>
      </x:c>
      <x:c r="F78" s="13" t="str"/>
      <x:c r="G78" s="13" t="str"/>
    </x:row>
    <x:row r="79" ht="34" customHeight="1">
      <x:c r="A79" s="13" t="str">
        <x:v>M11</x:v>
      </x:c>
      <x:c r="B79" s="13" t="str">
        <x:v>15,723</x:v>
      </x:c>
      <x:c r="C79" s="13" t="str">
        <x:v>11,839</x:v>
      </x:c>
      <x:c r="D79" s="13" t="str">
        <x:v>3,884</x:v>
      </x:c>
      <x:c r="E79" s="13" t="str">
        <x:v>75.30%</x:v>
      </x:c>
      <x:c r="F79" s="13" t="str"/>
      <x:c r="G79" s="13" t="str"/>
    </x:row>
    <x:row r="80" ht="34" customHeight="1">
      <x:c r="A80" s="13" t="str">
        <x:v>M12</x:v>
      </x:c>
      <x:c r="B80" s="13" t="str">
        <x:v>7,163</x:v>
      </x:c>
      <x:c r="C80" s="13" t="str">
        <x:v>6,454</x:v>
      </x:c>
      <x:c r="D80" s="13" t="str">
        <x:v>709</x:v>
      </x:c>
      <x:c r="E80" s="13" t="str">
        <x:v>90.10%</x:v>
      </x:c>
      <x:c r="F80" s="13" t="str"/>
      <x:c r="G80" s="13" t="str"/>
    </x:row>
    <x:row r="81" ht="34" customHeight="1">
      <x:c r="A81" s="13" t="str">
        <x:v>M13</x:v>
      </x:c>
      <x:c r="B81" s="13" t="str">
        <x:v>15,968</x:v>
      </x:c>
      <x:c r="C81" s="13" t="str">
        <x:v>14,084</x:v>
      </x:c>
      <x:c r="D81" s="13" t="str">
        <x:v>1,884</x:v>
      </x:c>
      <x:c r="E81" s="13" t="str">
        <x:v>88.20%</x:v>
      </x:c>
      <x:c r="F81" s="13" t="str"/>
      <x:c r="G81" s="13" t="str"/>
    </x:row>
    <x:row r="82" ht="34" customHeight="1">
      <x:c r="A82" s="13" t="str">
        <x:v>合计</x:v>
      </x:c>
      <x:c r="B82" s="13" t="str">
        <x:v>68,972</x:v>
      </x:c>
      <x:c r="C82" s="13" t="str">
        <x:v>57,368</x:v>
      </x:c>
      <x:c r="D82" s="13" t="str">
        <x:v>11,604</x:v>
      </x:c>
      <x:c r="E82" s="13" t="str">
        <x:v>83.18%</x:v>
      </x:c>
      <x:c r="F82" s="13" t="str"/>
      <x:c r="G82" s="13" t="str"/>
    </x:row>
    <x:row r="83" ht="34" customHeight="1">
      <x:c r="A83" s="13" t="str"/>
      <x:c r="B83" s="13" t="str"/>
      <x:c r="C83" s="13" t="str"/>
      <x:c r="D83" s="13" t="str"/>
      <x:c r="E83" s="13" t="str"/>
      <x:c r="F83" s="13" t="str"/>
      <x:c r="G83" s="13" t="str"/>
    </x:row>
    <x:row r="84" ht="34" customHeight="1">
      <x:c r="A84" s="15" t="str">
        <x:v>表5-7 不同目标保留率下的平均指标</x:v>
      </x:c>
      <x:c r="B84" s="15" t="str"/>
      <x:c r="C84" s="15" t="str"/>
      <x:c r="D84" s="15" t="str"/>
      <x:c r="E84" s="15" t="str"/>
      <x:c r="F84" s="15" t="str"/>
      <x:c r="G84" s="15" t="str"/>
    </x:row>
    <x:row r="85" ht="34" customHeight="1">
      <x:c r="A85" s="13" t="str">
        <x:v>目标保留率</x:v>
      </x:c>
      <x:c r="B85" s="13" t="str">
        <x:v>策略</x:v>
      </x:c>
      <x:c r="C85" s="13" t="str">
        <x:v>实际均值</x:v>
      </x:c>
      <x:c r="D85" s="13" t="str"/>
      <x:c r="E85" s="13" t="str"/>
      <x:c r="F85" s="13" t="str"/>
      <x:c r="G85" s="13" t="str"/>
    </x:row>
    <x:row r="86" ht="34" customHeight="1">
      <x:c r="A86" s="13" t="str">
        <x:v>目标保留率</x:v>
      </x:c>
      <x:c r="B86" s="13" t="str">
        <x:v>策略</x:v>
      </x:c>
      <x:c r="C86" s="13" t="str">
        <x:v>几何RMS(%)</x:v>
      </x:c>
      <x:c r="D86" s="13" t="str">
        <x:v>几何P95(%)</x:v>
      </x:c>
      <x:c r="E86" s="13" t="str">
        <x:v>RMSE</x:v>
      </x:c>
      <x:c r="F86" s="13" t="str">
        <x:v>PSNR(dB)</x:v>
      </x:c>
      <x:c r="G86" s="13" t="str">
        <x:v>SSIM</x:v>
      </x:c>
    </x:row>
    <x:row r="87" ht="34" customHeight="1">
      <x:c r="A87" s="13" t="str">
        <x:v>12.5%</x:v>
      </x:c>
      <x:c r="B87" s="13" t="str">
        <x:v>A</x:v>
      </x:c>
      <x:c r="C87" s="13" t="str">
        <x:v>0.041562</x:v>
      </x:c>
      <x:c r="D87" s="13" t="str">
        <x:v>0.077277</x:v>
      </x:c>
      <x:c r="E87" s="13" t="str">
        <x:v>17.880</x:v>
      </x:c>
      <x:c r="F87" s="13" t="str">
        <x:v>23.743</x:v>
      </x:c>
      <x:c r="G87" s="13" t="str">
        <x:v>0.939628</x:v>
      </x:c>
    </x:row>
    <x:row r="88" ht="34" customHeight="1">
      <x:c r="A88" s="13" t="str">
        <x:v>12.5%</x:v>
      </x:c>
      <x:c r="B88" s="13" t="str">
        <x:v>B</x:v>
      </x:c>
      <x:c r="C88" s="13" t="str">
        <x:v>0.047035</x:v>
      </x:c>
      <x:c r="D88" s="13" t="str">
        <x:v>0.060199</x:v>
      </x:c>
      <x:c r="E88" s="13" t="str">
        <x:v>17.771</x:v>
      </x:c>
      <x:c r="F88" s="13" t="str">
        <x:v>23.810</x:v>
      </x:c>
      <x:c r="G88" s="13" t="str">
        <x:v>0.939885</x:v>
      </x:c>
    </x:row>
    <x:row r="89" ht="34" customHeight="1">
      <x:c r="A89" s="13" t="str">
        <x:v>12.5%</x:v>
      </x:c>
      <x:c r="B89" s="13" t="str">
        <x:v>C</x:v>
      </x:c>
      <x:c r="C89" s="13" t="str">
        <x:v>0.039732</x:v>
      </x:c>
      <x:c r="D89" s="13" t="str">
        <x:v>0.074505</x:v>
      </x:c>
      <x:c r="E89" s="13" t="str">
        <x:v>17.906</x:v>
      </x:c>
      <x:c r="F89" s="13" t="str">
        <x:v>23.728</x:v>
      </x:c>
      <x:c r="G89" s="13" t="str">
        <x:v>0.939429</x:v>
      </x:c>
    </x:row>
    <x:row r="90" ht="34" customHeight="1">
      <x:c r="A90" s="13" t="str">
        <x:v>12.5%</x:v>
      </x:c>
      <x:c r="B90" s="13" t="str">
        <x:v>D</x:v>
      </x:c>
      <x:c r="C90" s="13" t="str">
        <x:v>0.034878</x:v>
      </x:c>
      <x:c r="D90" s="13" t="str">
        <x:v>0.054952</x:v>
      </x:c>
      <x:c r="E90" s="13" t="str">
        <x:v>17.640</x:v>
      </x:c>
      <x:c r="F90" s="13" t="str">
        <x:v>23.860</x:v>
      </x:c>
      <x:c r="G90" s="13" t="str">
        <x:v>0.941207</x:v>
      </x:c>
    </x:row>
    <x:row r="91" ht="34" customHeight="1">
      <x:c r="A91" s="13" t="str">
        <x:v>25%</x:v>
      </x:c>
      <x:c r="B91" s="13" t="str">
        <x:v>A</x:v>
      </x:c>
      <x:c r="C91" s="13" t="str">
        <x:v>0.017031</x:v>
      </x:c>
      <x:c r="D91" s="13" t="str">
        <x:v>0.026691</x:v>
      </x:c>
      <x:c r="E91" s="13" t="str">
        <x:v>16.764</x:v>
      </x:c>
      <x:c r="F91" s="13" t="str">
        <x:v>24.333</x:v>
      </x:c>
      <x:c r="G91" s="13" t="str">
        <x:v>0.945177</x:v>
      </x:c>
    </x:row>
    <x:row r="92" ht="34" customHeight="1">
      <x:c r="A92" s="13" t="str">
        <x:v>25%</x:v>
      </x:c>
      <x:c r="B92" s="13" t="str">
        <x:v>B</x:v>
      </x:c>
      <x:c r="C92" s="13" t="str">
        <x:v>0.015463</x:v>
      </x:c>
      <x:c r="D92" s="13" t="str">
        <x:v>0.020975</x:v>
      </x:c>
      <x:c r="E92" s="13" t="str">
        <x:v>16.579</x:v>
      </x:c>
      <x:c r="F92" s="13" t="str">
        <x:v>24.437</x:v>
      </x:c>
      <x:c r="G92" s="13" t="str">
        <x:v>0.945849</x:v>
      </x:c>
    </x:row>
    <x:row r="93" ht="34" customHeight="1">
      <x:c r="A93" s="13" t="str">
        <x:v>25%</x:v>
      </x:c>
      <x:c r="B93" s="13" t="str">
        <x:v>C</x:v>
      </x:c>
      <x:c r="C93" s="13" t="str">
        <x:v>0.014837</x:v>
      </x:c>
      <x:c r="D93" s="13" t="str">
        <x:v>0.024953</x:v>
      </x:c>
      <x:c r="E93" s="13" t="str">
        <x:v>16.810</x:v>
      </x:c>
      <x:c r="F93" s="13" t="str">
        <x:v>24.316</x:v>
      </x:c>
      <x:c r="G93" s="13" t="str">
        <x:v>0.945107</x:v>
      </x:c>
    </x:row>
    <x:row r="94" ht="34" customHeight="1">
      <x:c r="A94" s="13" t="str">
        <x:v>25%</x:v>
      </x:c>
      <x:c r="B94" s="13" t="str">
        <x:v>D</x:v>
      </x:c>
      <x:c r="C94" s="13" t="str">
        <x:v>0.013794</x:v>
      </x:c>
      <x:c r="D94" s="13" t="str">
        <x:v>0.019677</x:v>
      </x:c>
      <x:c r="E94" s="13" t="str">
        <x:v>16.589</x:v>
      </x:c>
      <x:c r="F94" s="13" t="str">
        <x:v>24.432</x:v>
      </x:c>
      <x:c r="G94" s="13" t="str">
        <x:v>0.945776</x:v>
      </x:c>
    </x:row>
    <x:row r="95" ht="34" customHeight="1">
      <x:c r="A95" s="13" t="str">
        <x:v>50%</x:v>
      </x:c>
      <x:c r="B95" s="13" t="str">
        <x:v>A</x:v>
      </x:c>
      <x:c r="C95" s="13" t="str">
        <x:v>0.003684</x:v>
      </x:c>
      <x:c r="D95" s="13" t="str">
        <x:v>0.003345</x:v>
      </x:c>
      <x:c r="E95" s="13" t="str">
        <x:v>13.509</x:v>
      </x:c>
      <x:c r="F95" s="13" t="str">
        <x:v>26.557</x:v>
      </x:c>
      <x:c r="G95" s="13" t="str">
        <x:v>0.960046</x:v>
      </x:c>
    </x:row>
    <x:row r="96" ht="34" customHeight="1">
      <x:c r="A96" s="13" t="str">
        <x:v>50%</x:v>
      </x:c>
      <x:c r="B96" s="13" t="str">
        <x:v>B</x:v>
      </x:c>
      <x:c r="C96" s="13" t="str">
        <x:v>0.003432</x:v>
      </x:c>
      <x:c r="D96" s="13" t="str">
        <x:v>0.002289</x:v>
      </x:c>
      <x:c r="E96" s="13" t="str">
        <x:v>12.942</x:v>
      </x:c>
      <x:c r="F96" s="13" t="str">
        <x:v>27.037</x:v>
      </x:c>
      <x:c r="G96" s="13" t="str">
        <x:v>0.962351</x:v>
      </x:c>
    </x:row>
    <x:row r="97" ht="34" customHeight="1">
      <x:c r="A97" s="13" t="str">
        <x:v>50%</x:v>
      </x:c>
      <x:c r="B97" s="13" t="str">
        <x:v>C</x:v>
      </x:c>
      <x:c r="C97" s="13" t="str">
        <x:v>0.003636</x:v>
      </x:c>
      <x:c r="D97" s="13" t="str">
        <x:v>0.003109</x:v>
      </x:c>
      <x:c r="E97" s="13" t="str">
        <x:v>13.508</x:v>
      </x:c>
      <x:c r="F97" s="13" t="str">
        <x:v>26.558</x:v>
      </x:c>
      <x:c r="G97" s="13" t="str">
        <x:v>0.960072</x:v>
      </x:c>
    </x:row>
    <x:row r="98" ht="34" customHeight="1">
      <x:c r="A98" s="13" t="str">
        <x:v>50%</x:v>
      </x:c>
      <x:c r="B98" s="13" t="str">
        <x:v>D</x:v>
      </x:c>
      <x:c r="C98" s="13" t="str">
        <x:v>0.003361</x:v>
      </x:c>
      <x:c r="D98" s="13" t="str">
        <x:v>0.002128</x:v>
      </x:c>
      <x:c r="E98" s="13" t="str">
        <x:v>12.950</x:v>
      </x:c>
      <x:c r="F98" s="13" t="str">
        <x:v>27.030</x:v>
      </x:c>
      <x:c r="G98" s="13" t="str">
        <x:v>0.962193</x:v>
      </x:c>
    </x:row>
    <x:row r="99" ht="34" customHeight="1">
      <x:c r="A99" s="13" t="str">
        <x:v>75%</x:v>
      </x:c>
      <x:c r="B99" s="13" t="str">
        <x:v>A</x:v>
      </x:c>
      <x:c r="C99" s="13" t="str">
        <x:v>0.002962</x:v>
      </x:c>
      <x:c r="D99" s="13" t="str">
        <x:v>0.000607</x:v>
      </x:c>
      <x:c r="E99" s="13" t="str">
        <x:v>10.751</x:v>
      </x:c>
      <x:c r="F99" s="13" t="str">
        <x:v>28.927</x:v>
      </x:c>
      <x:c r="G99" s="13" t="str">
        <x:v>0.972510</x:v>
      </x:c>
    </x:row>
    <x:row r="100" ht="34" customHeight="1">
      <x:c r="A100" s="13" t="str">
        <x:v>75%</x:v>
      </x:c>
      <x:c r="B100" s="13" t="str">
        <x:v>B</x:v>
      </x:c>
      <x:c r="C100" s="13" t="str">
        <x:v>0.000628</x:v>
      </x:c>
      <x:c r="D100" s="13" t="str">
        <x:v>3.45E-08</x:v>
      </x:c>
      <x:c r="E100" s="13" t="str">
        <x:v>4.787</x:v>
      </x:c>
      <x:c r="F100" s="13" t="str">
        <x:v>35.416</x:v>
      </x:c>
      <x:c r="G100" s="13" t="str">
        <x:v>0.991155</x:v>
      </x:c>
    </x:row>
    <x:row r="101" ht="34" customHeight="1">
      <x:c r="A101" s="13" t="str">
        <x:v>75%</x:v>
      </x:c>
      <x:c r="B101" s="13" t="str">
        <x:v>C</x:v>
      </x:c>
      <x:c r="C101" s="13" t="str">
        <x:v>0.002905</x:v>
      </x:c>
      <x:c r="D101" s="13" t="str">
        <x:v>0.000565</x:v>
      </x:c>
      <x:c r="E101" s="13" t="str">
        <x:v>10.694</x:v>
      </x:c>
      <x:c r="F101" s="13" t="str">
        <x:v>28.979</x:v>
      </x:c>
      <x:c r="G101" s="13" t="str">
        <x:v>0.972732</x:v>
      </x:c>
    </x:row>
    <x:row r="102" ht="34" customHeight="1">
      <x:c r="A102" s="13" t="str">
        <x:v>75%</x:v>
      </x:c>
      <x:c r="B102" s="13" t="str">
        <x:v>D</x:v>
      </x:c>
      <x:c r="C102" s="13" t="str">
        <x:v>0.000573</x:v>
      </x:c>
      <x:c r="D102" s="13" t="str">
        <x:v>2.82E-08</x:v>
      </x:c>
      <x:c r="E102" s="13" t="str">
        <x:v>4.774</x:v>
      </x:c>
      <x:c r="F102" s="13" t="str">
        <x:v>35.469</x:v>
      </x:c>
      <x:c r="G102" s="13" t="str">
        <x:v>0.991165</x:v>
      </x:c>
    </x:row>
    <x:row r="103" ht="34" customHeight="1">
      <x:c r="A103" s="13" t="str"/>
      <x:c r="B103" s="13" t="str"/>
      <x:c r="C103" s="13" t="str"/>
      <x:c r="D103" s="13" t="str"/>
      <x:c r="E103" s="13" t="str"/>
      <x:c r="F103" s="13" t="str"/>
      <x:c r="G103" s="13" t="str"/>
    </x:row>
    <x:row r="104" ht="34" customHeight="1">
      <x:c r="A104" s="15" t="str">
        <x:v>表5-8 不同目标保留率下的最佳改善率</x:v>
      </x:c>
      <x:c r="B104" s="15" t="str"/>
      <x:c r="C104" s="15" t="str"/>
      <x:c r="D104" s="15" t="str"/>
      <x:c r="E104" s="15" t="str"/>
      <x:c r="F104" s="15" t="str"/>
      <x:c r="G104" s="15" t="str"/>
    </x:row>
    <x:row r="105" ht="34" customHeight="1">
      <x:c r="A105" s="13" t="str">
        <x:v>目标保留率</x:v>
      </x:c>
      <x:c r="B105" s="13" t="str">
        <x:v>策略</x:v>
      </x:c>
      <x:c r="C105" s="13" t="str">
        <x:v>最佳改善率（相对策略A，%）</x:v>
      </x:c>
      <x:c r="D105" s="13" t="str"/>
      <x:c r="E105" s="13" t="str"/>
      <x:c r="F105" s="13" t="str"/>
      <x:c r="G105" s="13" t="str"/>
    </x:row>
    <x:row r="106" ht="34" customHeight="1">
      <x:c r="A106" s="13" t="str">
        <x:v>目标保留率</x:v>
      </x:c>
      <x:c r="B106" s="13" t="str">
        <x:v>策略</x:v>
      </x:c>
      <x:c r="C106" s="13" t="str">
        <x:v>RMS降低率</x:v>
      </x:c>
      <x:c r="D106" s="13" t="str">
        <x:v>P95降低率</x:v>
      </x:c>
      <x:c r="E106" s="13" t="str">
        <x:v>RMSE降低率</x:v>
      </x:c>
      <x:c r="F106" s="13" t="str">
        <x:v>对应MSE降低率</x:v>
      </x:c>
      <x:c r="G106" s="13" t="str">
        <x:v>SSIM失真降低率</x:v>
      </x:c>
    </x:row>
    <x:row r="107" ht="34" customHeight="1">
      <x:c r="A107" s="13" t="str">
        <x:v>12.5%</x:v>
      </x:c>
      <x:c r="B107" s="13" t="str">
        <x:v>A</x:v>
      </x:c>
      <x:c r="C107" s="13" t="str">
        <x:v>0.00%</x:v>
      </x:c>
      <x:c r="D107" s="13" t="str">
        <x:v>0.00%</x:v>
      </x:c>
      <x:c r="E107" s="13" t="str">
        <x:v>0.00%</x:v>
      </x:c>
      <x:c r="F107" s="13" t="str">
        <x:v>0.00%</x:v>
      </x:c>
      <x:c r="G107" s="13" t="str">
        <x:v>0.00%</x:v>
      </x:c>
    </x:row>
    <x:row r="108" ht="34" customHeight="1">
      <x:c r="A108" s="13" t="str">
        <x:v>12.5%</x:v>
      </x:c>
      <x:c r="B108" s="13" t="str">
        <x:v>B</x:v>
      </x:c>
      <x:c r="C108" s="13" t="str">
        <x:v>20.16%</x:v>
      </x:c>
      <x:c r="D108" s="13" t="str">
        <x:v>38.09%</x:v>
      </x:c>
      <x:c r="E108" s="13" t="str">
        <x:v>1.38%</x:v>
      </x:c>
      <x:c r="F108" s="13" t="str">
        <x:v>2.72%</x:v>
      </x:c>
      <x:c r="G108" s="13" t="str">
        <x:v>0.72%</x:v>
      </x:c>
    </x:row>
    <x:row r="109" ht="34" customHeight="1">
      <x:c r="A109" s="13" t="str">
        <x:v>12.5%</x:v>
      </x:c>
      <x:c r="B109" s="13" t="str">
        <x:v>C</x:v>
      </x:c>
      <x:c r="C109" s="13" t="str">
        <x:v>6.72%</x:v>
      </x:c>
      <x:c r="D109" s="13" t="str">
        <x:v>5.67%</x:v>
      </x:c>
      <x:c r="E109" s="13" t="str">
        <x:v>0.40%</x:v>
      </x:c>
      <x:c r="F109" s="13" t="str">
        <x:v>0.51%</x:v>
      </x:c>
      <x:c r="G109" s="13" t="str">
        <x:v>0.21%</x:v>
      </x:c>
    </x:row>
    <x:row r="110" ht="34" customHeight="1">
      <x:c r="A110" s="13" t="str">
        <x:v>12.5%</x:v>
      </x:c>
      <x:c r="B110" s="13" t="str">
        <x:v>D</x:v>
      </x:c>
      <x:c r="C110" s="13" t="str">
        <x:v>24.37%</x:v>
      </x:c>
      <x:c r="D110" s="13" t="str">
        <x:v>44.83%</x:v>
      </x:c>
      <x:c r="E110" s="13" t="str">
        <x:v>3.05%</x:v>
      </x:c>
      <x:c r="F110" s="13" t="str">
        <x:v>5.93%</x:v>
      </x:c>
      <x:c r="G110" s="13" t="str">
        <x:v>5.94%</x:v>
      </x:c>
    </x:row>
    <x:row r="111" ht="34" customHeight="1">
      <x:c r="A111" s="13" t="str">
        <x:v>25%</x:v>
      </x:c>
      <x:c r="B111" s="13" t="str">
        <x:v>A</x:v>
      </x:c>
      <x:c r="C111" s="13" t="str">
        <x:v>0.00%</x:v>
      </x:c>
      <x:c r="D111" s="13" t="str">
        <x:v>0.00%</x:v>
      </x:c>
      <x:c r="E111" s="13" t="str">
        <x:v>0.00%</x:v>
      </x:c>
      <x:c r="F111" s="13" t="str">
        <x:v>0.00%</x:v>
      </x:c>
      <x:c r="G111" s="13" t="str">
        <x:v>0.00%</x:v>
      </x:c>
    </x:row>
    <x:row r="112" ht="34" customHeight="1">
      <x:c r="A112" s="13" t="str">
        <x:v>25%</x:v>
      </x:c>
      <x:c r="B112" s="13" t="str">
        <x:v>B</x:v>
      </x:c>
      <x:c r="C112" s="13" t="str">
        <x:v>13.39%</x:v>
      </x:c>
      <x:c r="D112" s="13" t="str">
        <x:v>43.77%</x:v>
      </x:c>
      <x:c r="E112" s="13" t="str">
        <x:v>1.92%</x:v>
      </x:c>
      <x:c r="F112" s="13" t="str">
        <x:v>4.02%</x:v>
      </x:c>
      <x:c r="G112" s="13" t="str">
        <x:v>1.74%</x:v>
      </x:c>
    </x:row>
    <x:row r="113" ht="34" customHeight="1">
      <x:c r="A113" s="13" t="str">
        <x:v>25%</x:v>
      </x:c>
      <x:c r="B113" s="13" t="str">
        <x:v>C</x:v>
      </x:c>
      <x:c r="C113" s="13" t="str">
        <x:v>18.35%</x:v>
      </x:c>
      <x:c r="D113" s="13" t="str">
        <x:v>11.32%</x:v>
      </x:c>
      <x:c r="E113" s="13" t="str">
        <x:v>0.44%</x:v>
      </x:c>
      <x:c r="F113" s="13" t="str">
        <x:v>0.86%</x:v>
      </x:c>
      <x:c r="G113" s="13" t="str">
        <x:v>0.56%</x:v>
      </x:c>
    </x:row>
    <x:row r="114" ht="34" customHeight="1">
      <x:c r="A114" s="13" t="str">
        <x:v>25%</x:v>
      </x:c>
      <x:c r="B114" s="13" t="str">
        <x:v>D</x:v>
      </x:c>
      <x:c r="C114" s="13" t="str">
        <x:v>30.74%</x:v>
      </x:c>
      <x:c r="D114" s="13" t="str">
        <x:v>52.67%</x:v>
      </x:c>
      <x:c r="E114" s="13" t="str">
        <x:v>2.08%</x:v>
      </x:c>
      <x:c r="F114" s="13" t="str">
        <x:v>4.04%</x:v>
      </x:c>
      <x:c r="G114" s="13" t="str">
        <x:v>2.24%</x:v>
      </x:c>
    </x:row>
    <x:row r="115" ht="34" customHeight="1">
      <x:c r="A115" s="13" t="str">
        <x:v>50%</x:v>
      </x:c>
      <x:c r="B115" s="13" t="str">
        <x:v>A</x:v>
      </x:c>
      <x:c r="C115" s="13" t="str">
        <x:v>0.00%</x:v>
      </x:c>
      <x:c r="D115" s="13" t="str">
        <x:v>0.00%</x:v>
      </x:c>
      <x:c r="E115" s="13" t="str">
        <x:v>0.00%</x:v>
      </x:c>
      <x:c r="F115" s="13" t="str">
        <x:v>0.00%</x:v>
      </x:c>
      <x:c r="G115" s="13" t="str">
        <x:v>0.00%</x:v>
      </x:c>
    </x:row>
    <x:row r="116" ht="34" customHeight="1">
      <x:c r="A116" s="13" t="str">
        <x:v>50%</x:v>
      </x:c>
      <x:c r="B116" s="13" t="str">
        <x:v>B</x:v>
      </x:c>
      <x:c r="C116" s="13" t="str">
        <x:v>22.99%</x:v>
      </x:c>
      <x:c r="D116" s="13" t="str">
        <x:v>62.16%</x:v>
      </x:c>
      <x:c r="E116" s="13" t="str">
        <x:v>9.25%</x:v>
      </x:c>
      <x:c r="F116" s="13" t="str">
        <x:v>16.71%</x:v>
      </x:c>
      <x:c r="G116" s="13" t="str">
        <x:v>10.91%</x:v>
      </x:c>
    </x:row>
    <x:row r="117" ht="34" customHeight="1">
      <x:c r="A117" s="13" t="str">
        <x:v>50%</x:v>
      </x:c>
      <x:c r="B117" s="13" t="str">
        <x:v>C</x:v>
      </x:c>
      <x:c r="C117" s="13" t="str">
        <x:v>4.77%</x:v>
      </x:c>
      <x:c r="D117" s="13" t="str">
        <x:v>8.77%</x:v>
      </x:c>
      <x:c r="E117" s="13" t="str">
        <x:v>0.07%</x:v>
      </x:c>
      <x:c r="F117" s="13" t="str">
        <x:v>0.14%</x:v>
      </x:c>
      <x:c r="G117" s="13" t="str">
        <x:v>0.35%</x:v>
      </x:c>
    </x:row>
    <x:row r="118" ht="34" customHeight="1">
      <x:c r="A118" s="13" t="str">
        <x:v>50%</x:v>
      </x:c>
      <x:c r="B118" s="13" t="str">
        <x:v>D</x:v>
      </x:c>
      <x:c r="C118" s="13" t="str">
        <x:v>27.36%</x:v>
      </x:c>
      <x:c r="D118" s="13" t="str">
        <x:v>65.52%</x:v>
      </x:c>
      <x:c r="E118" s="13" t="str">
        <x:v>9.13%</x:v>
      </x:c>
      <x:c r="F118" s="13" t="str">
        <x:v>16.51%</x:v>
      </x:c>
      <x:c r="G118" s="13" t="str">
        <x:v>10.68%</x:v>
      </x:c>
    </x:row>
    <x:row r="119" ht="34" customHeight="1">
      <x:c r="A119" s="13" t="str">
        <x:v>75%</x:v>
      </x:c>
      <x:c r="B119" s="13" t="str">
        <x:v>A</x:v>
      </x:c>
      <x:c r="C119" s="13" t="str">
        <x:v>0.00%</x:v>
      </x:c>
      <x:c r="D119" s="13" t="str">
        <x:v>0.00%</x:v>
      </x:c>
      <x:c r="E119" s="13" t="str">
        <x:v>0.00%</x:v>
      </x:c>
      <x:c r="F119" s="13" t="str">
        <x:v>0.00%</x:v>
      </x:c>
      <x:c r="G119" s="13" t="str">
        <x:v>0.00%</x:v>
      </x:c>
    </x:row>
    <x:row r="120" ht="34" customHeight="1">
      <x:c r="A120" s="13" t="str">
        <x:v>75%</x:v>
      </x:c>
      <x:c r="B120" s="13" t="str">
        <x:v>B</x:v>
      </x:c>
      <x:c r="C120" s="13" t="str">
        <x:v>85.18%</x:v>
      </x:c>
      <x:c r="D120" s="13" t="str">
        <x:v>100.00%</x:v>
      </x:c>
      <x:c r="E120" s="13" t="str">
        <x:v>80.54%</x:v>
      </x:c>
      <x:c r="F120" s="13" t="str">
        <x:v>96.24%</x:v>
      </x:c>
      <x:c r="G120" s="13" t="str">
        <x:v>85.22%</x:v>
      </x:c>
    </x:row>
    <x:row r="121" ht="34" customHeight="1">
      <x:c r="A121" s="13" t="str">
        <x:v>75%</x:v>
      </x:c>
      <x:c r="B121" s="13" t="str">
        <x:v>C</x:v>
      </x:c>
      <x:c r="C121" s="13" t="str">
        <x:v>2.82%</x:v>
      </x:c>
      <x:c r="D121" s="13" t="str">
        <x:v>7.55%</x:v>
      </x:c>
      <x:c r="E121" s="13" t="str">
        <x:v>1.24%</x:v>
      </x:c>
      <x:c r="F121" s="13" t="str">
        <x:v>2.31%</x:v>
      </x:c>
      <x:c r="G121" s="13" t="str">
        <x:v>2.41%</x:v>
      </x:c>
    </x:row>
    <x:row r="122" ht="34" customHeight="1">
      <x:c r="A122" s="13" t="str">
        <x:v>75%</x:v>
      </x:c>
      <x:c r="B122" s="13" t="str">
        <x:v>D</x:v>
      </x:c>
      <x:c r="C122" s="13" t="str">
        <x:v>86.60%</x:v>
      </x:c>
      <x:c r="D122" s="13" t="str">
        <x:v>100.00%</x:v>
      </x:c>
      <x:c r="E122" s="13" t="str">
        <x:v>80.88%</x:v>
      </x:c>
      <x:c r="F122" s="13" t="str">
        <x:v>96.43%</x:v>
      </x:c>
      <x:c r="G122" s="13" t="str">
        <x:v>85.44%</x:v>
      </x:c>
    </x:row>
    <x:row r="123" ht="34" customHeight="1">
      <x:c r="A123" s="13" t="str"/>
      <x:c r="B123" s="13" t="str"/>
      <x:c r="C123" s="13" t="str"/>
      <x:c r="D123" s="13" t="str"/>
      <x:c r="E123" s="13" t="str"/>
      <x:c r="F123" s="13" t="str"/>
      <x:c r="G123" s="13" t="str"/>
    </x:row>
    <x:row r="124" ht="34" customHeight="1">
      <x:c r="A124" s="15" t="str">
        <x:v>表5-9 策略A与策略D的整体与局部多示例对照</x:v>
      </x:c>
      <x:c r="B124" s="15" t="str"/>
      <x:c r="C124" s="15" t="str"/>
      <x:c r="D124" s="15" t="str"/>
      <x:c r="E124" s="15" t="str"/>
      <x:c r="F124" s="15" t="str"/>
      <x:c r="G124" s="15" t="str"/>
    </x:row>
    <x:row r="125" ht="34" customHeight="1">
      <x:c r="A125" s="13" t="str">
        <x:v>模型名</x:v>
      </x:c>
      <x:c r="B125" s="13" t="str">
        <x:v>整体及局部场景渲染图</x:v>
      </x:c>
      <x:c r="C125" s="13" t="str"/>
      <x:c r="D125" s="13" t="str">
        <x:v>局部像素误差改善热力图</x:v>
      </x:c>
      <x:c r="E125" s="13" t="str">
        <x:v>局部边缘轮廓误差</x:v>
      </x:c>
      <x:c r="F125" s="13" t="str"/>
      <x:c r="G125" s="13" t="str"/>
    </x:row>
    <x:row r="126" ht="34" customHeight="1">
      <x:c r="A126" s="13" t="str">
        <x:v>模型名</x:v>
      </x:c>
      <x:c r="B126" s="13" t="str">
        <x:v>策略A</x:v>
      </x:c>
      <x:c r="C126" s="13" t="str">
        <x:v>策略D</x:v>
      </x:c>
      <x:c r="D126" s="13" t="str">
        <x:v>局部像素误差改善热力图</x:v>
      </x:c>
      <x:c r="E126" s="13" t="str">
        <x:v>策略A</x:v>
      </x:c>
      <x:c r="F126" s="13" t="str">
        <x:v>策略D</x:v>
      </x:c>
      <x:c r="G126" s="13" t="str"/>
    </x:row>
    <x:row r="127" ht="34" customHeight="1">
      <x:c r="A127" s="13" t="str">
        <x:v>M3_75%_整机</x:v>
      </x:c>
      <x:c r="B127" s="13" t="str"/>
      <x:c r="C127" s="13" t="str"/>
      <x:c r="D127" s="13" t="str"/>
      <x:c r="E127" s="13" t="str"/>
      <x:c r="F127" s="13" t="str"/>
      <x:c r="G127" s="13" t="str"/>
    </x:row>
    <x:row r="128" ht="34" customHeight="1">
      <x:c r="A128" s="13" t="str">
        <x:v>M4_75%_整机</x:v>
      </x:c>
      <x:c r="B128" s="13" t="str"/>
      <x:c r="C128" s="13" t="str"/>
      <x:c r="D128" s="13" t="str"/>
      <x:c r="E128" s="13" t="str"/>
      <x:c r="F128" s="13" t="str"/>
      <x:c r="G128" s="13" t="str"/>
    </x:row>
    <x:row r="129" ht="34" customHeight="1">
      <x:c r="A129" s="13" t="str">
        <x:v>M1_25%_圆盘外缘</x:v>
      </x:c>
      <x:c r="B129" s="13" t="str"/>
      <x:c r="C129" s="13" t="str"/>
      <x:c r="D129" s="13" t="str"/>
      <x:c r="E129" s="13" t="str"/>
      <x:c r="F129" s="13" t="str"/>
      <x:c r="G129" s="13" t="str"/>
    </x:row>
    <x:row r="130" ht="34" customHeight="1">
      <x:c r="A130" s="13" t="str">
        <x:v>M1_12.5%_块状部件端角</x:v>
      </x:c>
      <x:c r="B130" s="13" t="str"/>
      <x:c r="C130" s="13" t="str"/>
      <x:c r="D130" s="13" t="str"/>
      <x:c r="E130" s="13" t="str"/>
      <x:c r="F130" s="13" t="str"/>
      <x:c r="G130" s="13" t="str"/>
    </x:row>
    <x:row r="131" ht="34" customHeight="1">
      <x:c r="A131" s="13" t="str">
        <x:v>M2_25%_齿轮及轴段</x:v>
      </x:c>
      <x:c r="B131" s="13" t="str"/>
      <x:c r="C131" s="13" t="str"/>
      <x:c r="D131" s="13" t="str"/>
      <x:c r="E131" s="13" t="str"/>
      <x:c r="F131" s="13" t="str"/>
      <x:c r="G131" s="13" t="str"/>
    </x:row>
    <x:row r="132" ht="34" customHeight="1">
      <x:c r="A132" s="13" t="str">
        <x:v>M2_12.5%_齿轮齿缘与下轴段</x:v>
      </x:c>
      <x:c r="B132" s="13" t="str"/>
      <x:c r="C132" s="13" t="str"/>
      <x:c r="D132" s="13" t="str"/>
      <x:c r="E132" s="13" t="str"/>
      <x:c r="F132" s="13" t="str"/>
      <x:c r="G132" s="13" t="str"/>
    </x:row>
    <x:row r="133" ht="34" customHeight="1">
      <x:c r="A133" s="13" t="str">
        <x:v>M3_12.5%_圆形孔口</x:v>
      </x:c>
      <x:c r="B133" s="13" t="str"/>
      <x:c r="C133" s="13" t="str"/>
      <x:c r="D133" s="13" t="str"/>
      <x:c r="E133" s="13" t="str"/>
      <x:c r="F133" s="13" t="str"/>
      <x:c r="G133" s="13" t="str"/>
    </x:row>
    <x:row r="134" ht="34" customHeight="1">
      <x:c r="A134" s="13" t="str"/>
      <x:c r="B134" s="13" t="str"/>
      <x:c r="C134" s="13" t="str"/>
      <x:c r="D134" s="13" t="str"/>
      <x:c r="E134" s="13" t="str"/>
      <x:c r="F134" s="13" t="str"/>
      <x:c r="G134" s="13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28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2">
      <x:c r="A2" s="3" t="str">
        <x:v>场景规模与有效实例口径</x:v>
      </x:c>
      <x:c r="B2" s="3"/>
      <x:c r="C2" s="3"/>
      <x:c r="D2" s="3"/>
      <x:c r="E2" s="3"/>
      <x:c r="F2" s="3"/>
      <x:c r="G2" s="3"/>
      <x:c r="H2" s="3"/>
      <x:c r="I2" s="3"/>
    </x:row>
    <x:row r="3">
      <x:c r="A3" s="4" t="str">
        <x:v>来源S03；M13原始引用15,970，排除2个空网格引用后有效实例15,968。</x:v>
      </x:c>
      <x:c r="B3" s="4"/>
      <x:c r="C3" s="4"/>
      <x:c r="D3" s="4"/>
      <x:c r="E3" s="4"/>
      <x:c r="F3" s="4"/>
      <x:c r="G3" s="4"/>
      <x:c r="H3" s="4"/>
      <x:c r="I3" s="4"/>
    </x:row>
    <x:row r="4">
      <x:c r="A4" s="1"/>
      <x:c r="B4" s="1"/>
      <x:c r="C4" s="1"/>
      <x:c r="D4" s="1"/>
      <x:c r="E4" s="1"/>
      <x:c r="F4" s="1"/>
      <x:c r="G4" s="1"/>
      <x:c r="H4" s="1"/>
      <x:c r="I4" s="1"/>
    </x:row>
    <x:row r="5" ht="37" customHeight="1">
      <x:c r="A5" s="9" t="str">
        <x:v>模型</x:v>
      </x:c>
      <x:c r="B5" s="9" t="str">
        <x:v>论文名称</x:v>
      </x:c>
      <x:c r="C5" s="9" t="str">
        <x:v>原始网格引用</x:v>
      </x:c>
      <x:c r="D5" s="9" t="str">
        <x:v>空网格引用</x:v>
      </x:c>
      <x:c r="E5" s="9" t="str">
        <x:v>有效实例</x:v>
      </x:c>
      <x:c r="F5" s="9" t="str">
        <x:v>原始三角形</x:v>
      </x:c>
      <x:c r="G5" s="9" t="str">
        <x:v>最大层级</x:v>
      </x:c>
      <x:c r="H5" s="9" t="str">
        <x:v>论文面数/万</x:v>
      </x:c>
      <x:c r="I5" s="9" t="str">
        <x:v>复算面数/万</x:v>
      </x:c>
    </x:row>
    <x:row r="6" ht="23" customHeight="1">
      <x:c r="A6" s="10" t="str">
        <x:v>M1</x:v>
      </x:c>
      <x:c r="B6" s="10" t="str">
        <x:v>喇叭检测线</x:v>
      </x:c>
      <x:c r="C6" s="18" t="n">
        <x:v>1167</x:v>
      </x:c>
      <x:c r="D6" s="18" t="n">
        <x:v>0</x:v>
      </x:c>
      <x:c r="E6" s="18" t="n">
        <x:v>1167</x:v>
      </x:c>
      <x:c r="F6" s="18" t="n">
        <x:v>1723934</x:v>
      </x:c>
      <x:c r="G6" s="18" t="n">
        <x:v>6</x:v>
      </x:c>
      <x:c r="H6" s="21" t="n">
        <x:v>172.39</x:v>
      </x:c>
      <x:c r="I6" s="21" t="n">
        <x:f>F6/10000</x:f>
        <x:v>172.3934</x:v>
      </x:c>
    </x:row>
    <x:row r="7" ht="23" customHeight="1">
      <x:c r="A7" s="10" t="str">
        <x:v>M2</x:v>
      </x:c>
      <x:c r="B7" s="10" t="str">
        <x:v>电容焊接机</x:v>
      </x:c>
      <x:c r="C7" s="18" t="n">
        <x:v>1480</x:v>
      </x:c>
      <x:c r="D7" s="18" t="n">
        <x:v>0</x:v>
      </x:c>
      <x:c r="E7" s="18" t="n">
        <x:v>1480</x:v>
      </x:c>
      <x:c r="F7" s="18" t="n">
        <x:v>2911273</x:v>
      </x:c>
      <x:c r="G7" s="18" t="n">
        <x:v>5</x:v>
      </x:c>
      <x:c r="H7" s="21" t="n">
        <x:v>291.13</x:v>
      </x:c>
      <x:c r="I7" s="21" t="n">
        <x:f>F7/10000</x:f>
        <x:v>291.1273</x:v>
      </x:c>
    </x:row>
    <x:row r="8" ht="23" customHeight="1">
      <x:c r="A8" s="10" t="str">
        <x:v>M3</x:v>
      </x:c>
      <x:c r="B8" s="10" t="str">
        <x:v>自动铆压机</x:v>
      </x:c>
      <x:c r="C8" s="18" t="n">
        <x:v>1481</x:v>
      </x:c>
      <x:c r="D8" s="18" t="n">
        <x:v>0</x:v>
      </x:c>
      <x:c r="E8" s="18" t="n">
        <x:v>1481</x:v>
      </x:c>
      <x:c r="F8" s="18" t="n">
        <x:v>3433060</x:v>
      </x:c>
      <x:c r="G8" s="18" t="n">
        <x:v>5</x:v>
      </x:c>
      <x:c r="H8" s="21" t="n">
        <x:v>343.31</x:v>
      </x:c>
      <x:c r="I8" s="21" t="n">
        <x:f>F8/10000</x:f>
        <x:v>343.306</x:v>
      </x:c>
    </x:row>
    <x:row r="9" ht="23" customHeight="1">
      <x:c r="A9" s="10" t="str">
        <x:v>M4</x:v>
      </x:c>
      <x:c r="B9" s="10" t="str">
        <x:v>极耳生产线</x:v>
      </x:c>
      <x:c r="C9" s="18" t="n">
        <x:v>5451</x:v>
      </x:c>
      <x:c r="D9" s="18" t="n">
        <x:v>0</x:v>
      </x:c>
      <x:c r="E9" s="18" t="n">
        <x:v>5451</x:v>
      </x:c>
      <x:c r="F9" s="18" t="n">
        <x:v>10553614</x:v>
      </x:c>
      <x:c r="G9" s="18" t="n">
        <x:v>8</x:v>
      </x:c>
      <x:c r="H9" s="21" t="n">
        <x:v>1055.36</x:v>
      </x:c>
      <x:c r="I9" s="21" t="n">
        <x:f>F9/10000</x:f>
        <x:v>1055.3614</x:v>
      </x:c>
    </x:row>
    <x:row r="10" ht="23" customHeight="1">
      <x:c r="A10" s="10" t="str">
        <x:v>M5</x:v>
      </x:c>
      <x:c r="B10" s="10" t="str">
        <x:v>折弯设备机</x:v>
      </x:c>
      <x:c r="C10" s="18" t="n">
        <x:v>1747</x:v>
      </x:c>
      <x:c r="D10" s="18" t="n">
        <x:v>0</x:v>
      </x:c>
      <x:c r="E10" s="18" t="n">
        <x:v>1747</x:v>
      </x:c>
      <x:c r="F10" s="18" t="n">
        <x:v>11760345</x:v>
      </x:c>
      <x:c r="G10" s="18" t="n">
        <x:v>7</x:v>
      </x:c>
      <x:c r="H10" s="21" t="n">
        <x:v>1176.03</x:v>
      </x:c>
      <x:c r="I10" s="21" t="n">
        <x:f>F10/10000</x:f>
        <x:v>1176.0345</x:v>
      </x:c>
    </x:row>
    <x:row r="11" ht="23" customHeight="1">
      <x:c r="A11" s="10" t="str">
        <x:v>M6</x:v>
      </x:c>
      <x:c r="B11" s="10" t="str">
        <x:v>透气阀产线</x:v>
      </x:c>
      <x:c r="C11" s="18" t="n">
        <x:v>3347</x:v>
      </x:c>
      <x:c r="D11" s="18" t="n">
        <x:v>0</x:v>
      </x:c>
      <x:c r="E11" s="18" t="n">
        <x:v>3347</x:v>
      </x:c>
      <x:c r="F11" s="18" t="n">
        <x:v>15496224</x:v>
      </x:c>
      <x:c r="G11" s="18" t="n">
        <x:v>6</x:v>
      </x:c>
      <x:c r="H11" s="21" t="n">
        <x:v>1549.62</x:v>
      </x:c>
      <x:c r="I11" s="21" t="n">
        <x:f>F11/10000</x:f>
        <x:v>1549.6224</x:v>
      </x:c>
    </x:row>
    <x:row r="12" ht="23" customHeight="1">
      <x:c r="A12" s="10" t="str">
        <x:v>M7</x:v>
      </x:c>
      <x:c r="B12" s="10" t="str">
        <x:v>焊接生产线</x:v>
      </x:c>
      <x:c r="C12" s="18" t="n">
        <x:v>1026</x:v>
      </x:c>
      <x:c r="D12" s="18" t="n">
        <x:v>0</x:v>
      </x:c>
      <x:c r="E12" s="18" t="n">
        <x:v>1026</x:v>
      </x:c>
      <x:c r="F12" s="18" t="n">
        <x:v>19905661</x:v>
      </x:c>
      <x:c r="G12" s="18" t="n">
        <x:v>7</x:v>
      </x:c>
      <x:c r="H12" s="21" t="n">
        <x:v>1990.57</x:v>
      </x:c>
      <x:c r="I12" s="21" t="n">
        <x:f>F12/10000</x:f>
        <x:v>1990.5661</x:v>
      </x:c>
    </x:row>
    <x:row r="13" ht="23" customHeight="1">
      <x:c r="A13" s="10" t="str">
        <x:v>M8</x:v>
      </x:c>
      <x:c r="B13" s="10" t="str">
        <x:v>转子生产线</x:v>
      </x:c>
      <x:c r="C13" s="18" t="n">
        <x:v>6103</x:v>
      </x:c>
      <x:c r="D13" s="18" t="n">
        <x:v>0</x:v>
      </x:c>
      <x:c r="E13" s="18" t="n">
        <x:v>6103</x:v>
      </x:c>
      <x:c r="F13" s="18" t="n">
        <x:v>20703307</x:v>
      </x:c>
      <x:c r="G13" s="18" t="n">
        <x:v>13</x:v>
      </x:c>
      <x:c r="H13" s="21" t="n">
        <x:v>2070.33</x:v>
      </x:c>
      <x:c r="I13" s="21" t="n">
        <x:f>F13/10000</x:f>
        <x:v>2070.3307</x:v>
      </x:c>
    </x:row>
    <x:row r="14" ht="23" customHeight="1">
      <x:c r="A14" s="10" t="str">
        <x:v>M9</x:v>
      </x:c>
      <x:c r="B14" s="10" t="str">
        <x:v>地盖线产线</x:v>
      </x:c>
      <x:c r="C14" s="18" t="n">
        <x:v>3118</x:v>
      </x:c>
      <x:c r="D14" s="18" t="n">
        <x:v>0</x:v>
      </x:c>
      <x:c r="E14" s="18" t="n">
        <x:v>3118</x:v>
      </x:c>
      <x:c r="F14" s="18" t="n">
        <x:v>23921390</x:v>
      </x:c>
      <x:c r="G14" s="18" t="n">
        <x:v>7</x:v>
      </x:c>
      <x:c r="H14" s="21" t="n">
        <x:v>2392.14</x:v>
      </x:c>
      <x:c r="I14" s="21" t="n">
        <x:f>F14/10000</x:f>
        <x:v>2392.139</x:v>
      </x:c>
    </x:row>
    <x:row r="15" ht="23" customHeight="1">
      <x:c r="A15" s="10" t="str">
        <x:v>M10</x:v>
      </x:c>
      <x:c r="B15" s="10" t="str">
        <x:v>刷架总产线</x:v>
      </x:c>
      <x:c r="C15" s="18" t="n">
        <x:v>5198</x:v>
      </x:c>
      <x:c r="D15" s="18" t="n">
        <x:v>0</x:v>
      </x:c>
      <x:c r="E15" s="18" t="n">
        <x:v>5198</x:v>
      </x:c>
      <x:c r="F15" s="18" t="n">
        <x:v>47591131</x:v>
      </x:c>
      <x:c r="G15" s="18" t="n">
        <x:v>10</x:v>
      </x:c>
      <x:c r="H15" s="21" t="n">
        <x:v>4759.11</x:v>
      </x:c>
      <x:c r="I15" s="21" t="n">
        <x:f>F15/10000</x:f>
        <x:v>4759.1131</x:v>
      </x:c>
    </x:row>
    <x:row r="16" ht="23" customHeight="1">
      <x:c r="A16" s="10" t="str">
        <x:v>M11</x:v>
      </x:c>
      <x:c r="B16" s="10" t="str">
        <x:v>电池分选线</x:v>
      </x:c>
      <x:c r="C16" s="18" t="n">
        <x:v>15723</x:v>
      </x:c>
      <x:c r="D16" s="18" t="n">
        <x:v>0</x:v>
      </x:c>
      <x:c r="E16" s="18" t="n">
        <x:v>15723</x:v>
      </x:c>
      <x:c r="F16" s="18" t="n">
        <x:v>37068620</x:v>
      </x:c>
      <x:c r="G16" s="18" t="n">
        <x:v>11</x:v>
      </x:c>
      <x:c r="H16" s="21" t="n">
        <x:v>3706.86</x:v>
      </x:c>
      <x:c r="I16" s="21" t="n">
        <x:f>F16/10000</x:f>
        <x:v>3706.862</x:v>
      </x:c>
    </x:row>
    <x:row r="17" ht="23" customHeight="1">
      <x:c r="A17" s="10" t="str">
        <x:v>M12</x:v>
      </x:c>
      <x:c r="B17" s="10" t="str">
        <x:v>继电器产线</x:v>
      </x:c>
      <x:c r="C17" s="18" t="n">
        <x:v>7163</x:v>
      </x:c>
      <x:c r="D17" s="18" t="n">
        <x:v>0</x:v>
      </x:c>
      <x:c r="E17" s="18" t="n">
        <x:v>7163</x:v>
      </x:c>
      <x:c r="F17" s="18" t="n">
        <x:v>51857040</x:v>
      </x:c>
      <x:c r="G17" s="18" t="n">
        <x:v>10</x:v>
      </x:c>
      <x:c r="H17" s="21" t="n">
        <x:v>5185.7</x:v>
      </x:c>
      <x:c r="I17" s="21" t="n">
        <x:f>F17/10000</x:f>
        <x:v>5185.704</x:v>
      </x:c>
    </x:row>
    <x:row r="18" ht="23" customHeight="1">
      <x:c r="A18" s="10" t="str">
        <x:v>M13</x:v>
      </x:c>
      <x:c r="B18" s="10" t="str">
        <x:v>电池模组产线</x:v>
      </x:c>
      <x:c r="C18" s="18" t="n">
        <x:v>15970</x:v>
      </x:c>
      <x:c r="D18" s="18" t="n">
        <x:v>2</x:v>
      </x:c>
      <x:c r="E18" s="18" t="n">
        <x:v>15968</x:v>
      </x:c>
      <x:c r="F18" s="18" t="n">
        <x:v>52003855</x:v>
      </x:c>
      <x:c r="G18" s="18" t="n">
        <x:v>11</x:v>
      </x:c>
      <x:c r="H18" s="21" t="n">
        <x:v>5200.39</x:v>
      </x:c>
      <x:c r="I18" s="21" t="n">
        <x:f>F18/10000</x:f>
        <x:v>5200.3855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70" hidden="0" customWidth="1"/>
  </x:cols>
  <x:sheetData>
    <x:row r="2">
      <x:c r="A2" s="3" t="str">
        <x:v>八次监督训练原始结果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>
      <x:c r="A3" s="4" t="str">
        <x:v>来源S04—S11；全部8份测试指标均从混淆矩阵独立复算通过。</x:v>
      </x:c>
      <x:c r="B3" s="4"/>
      <x:c r="C3" s="4"/>
      <x:c r="D3" s="4"/>
      <x:c r="E3" s="4"/>
      <x:c r="F3" s="4"/>
      <x:c r="G3" s="4"/>
      <x:c r="H3" s="4"/>
      <x:c r="I3" s="4"/>
      <x:c r="J3" s="4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37" customHeight="1">
      <x:c r="A5" s="9" t="str">
        <x:v>配置</x:v>
      </x:c>
      <x:c r="B5" s="9" t="str">
        <x:v>种子</x:v>
      </x:c>
      <x:c r="C5" s="9" t="str">
        <x:v>最佳轮次</x:v>
      </x:c>
      <x:c r="D5" s="9" t="str">
        <x:v>参数量</x:v>
      </x:c>
      <x:c r="E5" s="9" t="str">
        <x:v>测试样本</x:v>
      </x:c>
      <x:c r="F5" s="9" t="str">
        <x:v>OA</x:v>
      </x:c>
      <x:c r="G5" s="9" t="str">
        <x:v>mAcc</x:v>
      </x:c>
      <x:c r="H5" s="9" t="str">
        <x:v>Macro-F1</x:v>
      </x:c>
      <x:c r="I5" s="9" t="str">
        <x:v>前向延迟/ms</x:v>
      </x:c>
      <x:c r="J5" s="9" t="str">
        <x:v>划分指纹</x:v>
      </x:c>
    </x:row>
    <x:row r="6" ht="23" customHeight="1">
      <x:c r="A6" s="10" t="str">
        <x:v>pointnet</x:v>
      </x:c>
      <x:c r="B6" s="10" t="n">
        <x:v>2026</x:v>
      </x:c>
      <x:c r="C6" s="10" t="n">
        <x:v>96</x:v>
      </x:c>
      <x:c r="D6" s="18" t="n">
        <x:v>3472599</x:v>
      </x:c>
      <x:c r="E6" s="18" t="n">
        <x:v>11542</x:v>
      </x:c>
      <x:c r="F6" s="24" t="n">
        <x:v>0.6796915612545487</x:v>
      </x:c>
      <x:c r="G6" s="24" t="n">
        <x:v>0.3990313834019003</x:v>
      </x:c>
      <x:c r="H6" s="24" t="n">
        <x:v>0.40279826376194033</x:v>
      </x:c>
      <x:c r="I6" s="27" t="n">
        <x:v>4.104028131961822</x:v>
      </x:c>
      <x:c r="J6" s="10" t="str">
        <x:v>c8cb76458b6a464b5194ed63b3ba894ea9677c2e356990f40624345f1b975f06</x:v>
      </x:c>
    </x:row>
    <x:row r="7" ht="23" customHeight="1">
      <x:c r="A7" s="10" t="str">
        <x:v>pointnet</x:v>
      </x:c>
      <x:c r="B7" s="10" t="n">
        <x:v>2027</x:v>
      </x:c>
      <x:c r="C7" s="10" t="n">
        <x:v>99</x:v>
      </x:c>
      <x:c r="D7" s="18" t="n">
        <x:v>3472599</x:v>
      </x:c>
      <x:c r="E7" s="18" t="n">
        <x:v>11542</x:v>
      </x:c>
      <x:c r="F7" s="24" t="n">
        <x:v>0.6730202737827067</x:v>
      </x:c>
      <x:c r="G7" s="24" t="n">
        <x:v>0.39435378927609877</x:v>
      </x:c>
      <x:c r="H7" s="24" t="n">
        <x:v>0.39665319531453136</x:v>
      </x:c>
      <x:c r="I7" s="27" t="n">
        <x:v>4.440272958278656</x:v>
      </x:c>
      <x:c r="J7" s="10" t="str">
        <x:v>c8cb76458b6a464b5194ed63b3ba894ea9677c2e356990f40624345f1b975f06</x:v>
      </x:c>
    </x:row>
    <x:row r="8" ht="23" customHeight="1">
      <x:c r="A8" s="10" t="str">
        <x:v>pointnetpp</x:v>
      </x:c>
      <x:c r="B8" s="10" t="n">
        <x:v>2026</x:v>
      </x:c>
      <x:c r="C8" s="10" t="n">
        <x:v>99</x:v>
      </x:c>
      <x:c r="D8" s="18" t="n">
        <x:v>1465870</x:v>
      </x:c>
      <x:c r="E8" s="18" t="n">
        <x:v>11542</x:v>
      </x:c>
      <x:c r="F8" s="24" t="n">
        <x:v>0.9446369779934154</x:v>
      </x:c>
      <x:c r="G8" s="24" t="n">
        <x:v>0.9062963612803195</x:v>
      </x:c>
      <x:c r="H8" s="24" t="n">
        <x:v>0.9093388771934725</x:v>
      </x:c>
      <x:c r="I8" s="27" t="n">
        <x:v>20.703727436065673</x:v>
      </x:c>
      <x:c r="J8" s="10" t="str">
        <x:v>c8cb76458b6a464b5194ed63b3ba894ea9677c2e356990f40624345f1b975f06</x:v>
      </x:c>
    </x:row>
    <x:row r="9" ht="23" customHeight="1">
      <x:c r="A9" s="10" t="str">
        <x:v>pointnetpp</x:v>
      </x:c>
      <x:c r="B9" s="10" t="n">
        <x:v>2027</x:v>
      </x:c>
      <x:c r="C9" s="10" t="n">
        <x:v>93</x:v>
      </x:c>
      <x:c r="D9" s="18" t="n">
        <x:v>1465870</x:v>
      </x:c>
      <x:c r="E9" s="18" t="n">
        <x:v>11542</x:v>
      </x:c>
      <x:c r="F9" s="24" t="n">
        <x:v>0.9479293016808179</x:v>
      </x:c>
      <x:c r="G9" s="24" t="n">
        <x:v>0.9144954874007415</x:v>
      </x:c>
      <x:c r="H9" s="24" t="n">
        <x:v>0.9159110397554867</x:v>
      </x:c>
      <x:c r="I9" s="27" t="n">
        <x:v>21.392152671813964</x:v>
      </x:c>
      <x:c r="J9" s="10" t="str">
        <x:v>c8cb76458b6a464b5194ed63b3ba894ea9677c2e356990f40624345f1b975f06</x:v>
      </x:c>
    </x:row>
    <x:row r="10" ht="23" customHeight="1">
      <x:c r="A10" s="10" t="str">
        <x:v>pointnext_stride4</x:v>
      </x:c>
      <x:c r="B10" s="10" t="n">
        <x:v>2026</x:v>
      </x:c>
      <x:c r="C10" s="10" t="n">
        <x:v>99</x:v>
      </x:c>
      <x:c r="D10" s="18" t="n">
        <x:v>1366830</x:v>
      </x:c>
      <x:c r="E10" s="18" t="n">
        <x:v>11542</x:v>
      </x:c>
      <x:c r="F10" s="24" t="n">
        <x:v>0.9488823427482239</x:v>
      </x:c>
      <x:c r="G10" s="24" t="n">
        <x:v>0.913758955580276</x:v>
      </x:c>
      <x:c r="H10" s="24" t="n">
        <x:v>0.9136315002332237</x:v>
      </x:c>
      <x:c r="I10" s="27" t="n">
        <x:v>9.355828771591186</x:v>
      </x:c>
      <x:c r="J10" s="10" t="str">
        <x:v>c8cb76458b6a464b5194ed63b3ba894ea9677c2e356990f40624345f1b975f06</x:v>
      </x:c>
    </x:row>
    <x:row r="11" ht="23" customHeight="1">
      <x:c r="A11" s="10" t="str">
        <x:v>pointnext_stride4</x:v>
      </x:c>
      <x:c r="B11" s="10" t="n">
        <x:v>2027</x:v>
      </x:c>
      <x:c r="C11" s="10" t="n">
        <x:v>98</x:v>
      </x:c>
      <x:c r="D11" s="18" t="n">
        <x:v>1366830</x:v>
      </x:c>
      <x:c r="E11" s="18" t="n">
        <x:v>11542</x:v>
      </x:c>
      <x:c r="F11" s="24" t="n">
        <x:v>0.9470629007104487</x:v>
      </x:c>
      <x:c r="G11" s="24" t="n">
        <x:v>0.9167085470379864</x:v>
      </x:c>
      <x:c r="H11" s="24" t="n">
        <x:v>0.920447622186658</x:v>
      </x:c>
      <x:c r="I11" s="27" t="n">
        <x:v>9.755199699401855</x:v>
      </x:c>
      <x:c r="J11" s="10" t="str">
        <x:v>c8cb76458b6a464b5194ed63b3ba894ea9677c2e356990f40624345f1b975f06</x:v>
      </x:c>
    </x:row>
    <x:row r="12" ht="23" customHeight="1">
      <x:c r="A12" s="10" t="str">
        <x:v>pointnext_s</x:v>
      </x:c>
      <x:c r="B12" s="10" t="n">
        <x:v>2026</x:v>
      </x:c>
      <x:c r="C12" s="10" t="n">
        <x:v>99</x:v>
      </x:c>
      <x:c r="D12" s="18" t="n">
        <x:v>1366830</x:v>
      </x:c>
      <x:c r="E12" s="18" t="n">
        <x:v>11542</x:v>
      </x:c>
      <x:c r="F12" s="24" t="n">
        <x:v>0.9538208282793277</x:v>
      </x:c>
      <x:c r="G12" s="24" t="n">
        <x:v>0.9242524356841082</x:v>
      </x:c>
      <x:c r="H12" s="24" t="n">
        <x:v>0.927684080223577</x:v>
      </x:c>
      <x:c r="I12" s="27" t="n">
        <x:v>24.48825506210327</x:v>
      </x:c>
      <x:c r="J12" s="10" t="str">
        <x:v>c8cb76458b6a464b5194ed63b3ba894ea9677c2e356990f40624345f1b975f06</x:v>
      </x:c>
    </x:row>
    <x:row r="13" ht="23" customHeight="1">
      <x:c r="A13" s="10" t="str">
        <x:v>pointnext_s</x:v>
      </x:c>
      <x:c r="B13" s="10" t="n">
        <x:v>2027</x:v>
      </x:c>
      <x:c r="C13" s="10" t="n">
        <x:v>98</x:v>
      </x:c>
      <x:c r="D13" s="18" t="n">
        <x:v>1366830</x:v>
      </x:c>
      <x:c r="E13" s="18" t="n">
        <x:v>11542</x:v>
      </x:c>
      <x:c r="F13" s="24" t="n">
        <x:v>0.9542540287645123</x:v>
      </x:c>
      <x:c r="G13" s="24" t="n">
        <x:v>0.924767543062498</x:v>
      </x:c>
      <x:c r="H13" s="24" t="n">
        <x:v>0.930600896488739</x:v>
      </x:c>
      <x:c r="I13" s="27" t="n">
        <x:v>25.510264949798582</x:v>
      </x:c>
      <x:c r="J13" s="10" t="str">
        <x:v>c8cb76458b6a464b5194ed63b3ba894ea9677c2e356990f40624345f1b975f06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2">
      <x:c r="A2" s="3" t="str">
        <x:v>监督编码方法复算</x:v>
      </x:c>
      <x:c r="B2" s="3"/>
      <x:c r="C2" s="3"/>
      <x:c r="D2" s="3"/>
      <x:c r="E2" s="3"/>
      <x:c r="F2" s="3"/>
      <x:c r="G2" s="3"/>
      <x:c r="H2" s="3"/>
      <x:c r="I2" s="3"/>
    </x:row>
    <x:row r="3">
      <x:c r="A3" s="4" t="str">
        <x:v>两个种子；STDEV为样本标准差，n=2；与表5-3逐项核对。</x:v>
      </x:c>
      <x:c r="B3" s="4"/>
      <x:c r="C3" s="4"/>
      <x:c r="D3" s="4"/>
      <x:c r="E3" s="4"/>
      <x:c r="F3" s="4"/>
      <x:c r="G3" s="4"/>
      <x:c r="H3" s="4"/>
      <x:c r="I3" s="4"/>
    </x:row>
    <x:row r="4">
      <x:c r="A4" s="1"/>
      <x:c r="B4" s="1"/>
      <x:c r="C4" s="1"/>
      <x:c r="D4" s="1"/>
      <x:c r="E4" s="1"/>
      <x:c r="F4" s="1"/>
      <x:c r="G4" s="1"/>
      <x:c r="H4" s="1"/>
      <x:c r="I4" s="1"/>
    </x:row>
    <x:row r="5" ht="37" customHeight="1">
      <x:c r="A5" s="9" t="str">
        <x:v>方法</x:v>
      </x:c>
      <x:c r="B5" s="9" t="str">
        <x:v>参数/M</x:v>
      </x:c>
      <x:c r="C5" s="9" t="str">
        <x:v>OA均值</x:v>
      </x:c>
      <x:c r="D5" s="9" t="str">
        <x:v>OA样本SD</x:v>
      </x:c>
      <x:c r="E5" s="9" t="str">
        <x:v>mAcc均值</x:v>
      </x:c>
      <x:c r="F5" s="9" t="str">
        <x:v>mAcc样本SD</x:v>
      </x:c>
      <x:c r="G5" s="9" t="str">
        <x:v>Macro-F1均值</x:v>
      </x:c>
      <x:c r="H5" s="9" t="str">
        <x:v>Macro-F1样本SD</x:v>
      </x:c>
      <x:c r="I5" s="9" t="str">
        <x:v>延迟均值/ms</x:v>
      </x:c>
    </x:row>
    <x:row r="6" ht="23" customHeight="1">
      <x:c r="A6" s="10" t="str">
        <x:v>PointNet</x:v>
      </x:c>
      <x:c r="B6" s="30" t="n">
        <x:f>AVERAGE('监督训练原始'!D6:D7)/1000000</x:f>
        <x:v>3.472599</x:v>
      </x:c>
      <x:c r="C6" s="33" t="n">
        <x:f>AVERAGE('监督训练原始'!F6:F7)</x:f>
        <x:v>0.6763559175186277</x:v>
      </x:c>
      <x:c r="D6" s="33" t="n">
        <x:f>STDEV('监督训练原始'!F6:F7)</x:f>
        <x:v>0.004717312610584323</x:v>
      </x:c>
      <x:c r="E6" s="33" t="n">
        <x:f>AVERAGE('监督训练原始'!G6:G7)</x:f>
        <x:v>0.3966925863389995</x:v>
      </x:c>
      <x:c r="F6" s="33" t="n">
        <x:f>STDEV('监督训练原始'!G6:G7)</x:f>
        <x:v>0.0033075585259926318</x:v>
      </x:c>
      <x:c r="G6" s="33" t="n">
        <x:f>AVERAGE('监督训练原始'!H6:H7)</x:f>
        <x:v>0.3997257295382358</x:v>
      </x:c>
      <x:c r="H6" s="33" t="n">
        <x:f>STDEV('监督训练原始'!H6:H7)</x:f>
        <x:v>0.0043452195700183745</x:v>
      </x:c>
      <x:c r="I6" s="21" t="n">
        <x:f>AVERAGE('监督训练原始'!I6:I7)</x:f>
        <x:v>4.272150545120239</x:v>
      </x:c>
    </x:row>
    <x:row r="7" ht="23" customHeight="1">
      <x:c r="A7" s="10" t="str">
        <x:v>PointNet++</x:v>
      </x:c>
      <x:c r="B7" s="30" t="n">
        <x:f>AVERAGE('监督训练原始'!D8:D9)/1000000</x:f>
        <x:v>1.46587</x:v>
      </x:c>
      <x:c r="C7" s="33" t="n">
        <x:f>AVERAGE('监督训练原始'!F8:F9)</x:f>
        <x:v>0.9462831398371166</x:v>
      </x:c>
      <x:c r="D7" s="33" t="n">
        <x:f>STDEV('监督训练原始'!F8:F9)</x:f>
        <x:v>0.0023280244052234136</x:v>
      </x:c>
      <x:c r="E7" s="33" t="n">
        <x:f>AVERAGE('监督训练原始'!G8:G9)</x:f>
        <x:v>0.9103959243405305</x:v>
      </x:c>
      <x:c r="F7" s="33" t="n">
        <x:f>STDEV('监督训练原始'!G8:G9)</x:f>
        <x:v>0.005797657679554111</x:v>
      </x:c>
      <x:c r="G7" s="33" t="n">
        <x:f>AVERAGE('监督训练原始'!H8:H9)</x:f>
        <x:v>0.9126249584744797</x:v>
      </x:c>
      <x:c r="H7" s="33" t="n">
        <x:f>STDEV('监督训练原始'!H8:H9)</x:f>
        <x:v>0.004647220714660598</x:v>
      </x:c>
      <x:c r="I7" s="21" t="n">
        <x:f>AVERAGE('监督训练原始'!I8:I9)</x:f>
        <x:v>21.04794005393982</x:v>
      </x:c>
    </x:row>
    <x:row r="8" ht="23" customHeight="1">
      <x:c r="A8" s="10" t="str">
        <x:v>PointNeXt四分下采样</x:v>
      </x:c>
      <x:c r="B8" s="30" t="n">
        <x:f>AVERAGE('监督训练原始'!D10:D11)/1000000</x:f>
        <x:v>1.36683</x:v>
      </x:c>
      <x:c r="C8" s="33" t="n">
        <x:f>AVERAGE('监督训练原始'!F10:F11)</x:f>
        <x:v>0.9479726217293363</x:v>
      </x:c>
      <x:c r="D8" s="33" t="n">
        <x:f>STDEV('监督训练原始'!F10:F11)</x:f>
        <x:v>0.0012865398028866976</x:v>
      </x:c>
      <x:c r="E8" s="33" t="n">
        <x:f>AVERAGE('监督训练原始'!G10:G11)</x:f>
        <x:v>0.9152337513091312</x:v>
      </x:c>
      <x:c r="F8" s="33" t="n">
        <x:f>STDEV('监督训练原始'!G10:G11)</x:f>
        <x:v>0.002085676121476976</x:v>
      </x:c>
      <x:c r="G8" s="33" t="n">
        <x:f>AVERAGE('监督训练原始'!H10:H11)</x:f>
        <x:v>0.9170395612099409</x:v>
      </x:c>
      <x:c r="H8" s="33" t="n">
        <x:f>STDEV('监督训练原始'!H10:H11)</x:f>
        <x:v>0.0048197260546678795</x:v>
      </x:c>
      <x:c r="I8" s="21" t="n">
        <x:f>AVERAGE('监督训练原始'!I10:I11)</x:f>
        <x:v>9.55551423549652</x:v>
      </x:c>
    </x:row>
    <x:row r="9" ht="23" customHeight="1">
      <x:c r="A9" s="10" t="str">
        <x:v>ISPointNet监督分支</x:v>
      </x:c>
      <x:c r="B9" s="30" t="n">
        <x:f>AVERAGE('监督训练原始'!D12:D13)/1000000</x:f>
        <x:v>1.36683</x:v>
      </x:c>
      <x:c r="C9" s="33" t="n">
        <x:f>AVERAGE('监督训练原始'!F12:F13)</x:f>
        <x:v>0.95403742852192</x:v>
      </x:c>
      <x:c r="D9" s="33" t="n">
        <x:f>STDEV('监督训练原始'!F12:F13)</x:f>
        <x:v>0.0003063190006873202</x:v>
      </x:c>
      <x:c r="E9" s="33" t="n">
        <x:f>AVERAGE('监督训练原始'!G12:G13)</x:f>
        <x:v>0.9245099893733031</x:v>
      </x:c>
      <x:c r="F9" s="33" t="n">
        <x:f>STDEV('监督训练原始'!G12:G13)</x:f>
        <x:v>0.00036423592029863734</x:v>
      </x:c>
      <x:c r="G9" s="33" t="n">
        <x:f>AVERAGE('监督训练原始'!H12:H13)</x:f>
        <x:v>0.929142488356158</x:v>
      </x:c>
      <x:c r="H9" s="33" t="n">
        <x:f>STDEV('监督训练原始'!H12:H13)</x:f>
        <x:v>0.002062500560571303</x:v>
      </x:c>
      <x:c r="I9" s="21" t="n">
        <x:f>AVERAGE('监督训练原始'!I12:I13)</x:f>
        <x:v>24.999260005950926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14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16" hidden="0" customWidth="1"/>
  </x:cols>
  <x:sheetData>
    <x:row r="2">
      <x:c r="A2" s="3" t="str">
        <x:v>分类别F1与差值核验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>
      <x:c r="A3" s="4" t="str">
        <x:v>差值应由未舍入均值计算后再舍入，不能直接用表中两位小数相减。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37" customHeight="1">
      <x:c r="A5" s="9" t="str">
        <x:v>类别</x:v>
      </x:c>
      <x:c r="B5" s="9" t="str">
        <x:v>测试支持数</x:v>
      </x:c>
      <x:c r="C5" s="9" t="str">
        <x:v>四分种子2026</x:v>
      </x:c>
      <x:c r="D5" s="9" t="str">
        <x:v>四分种子2027</x:v>
      </x:c>
      <x:c r="E5" s="9" t="str">
        <x:v>四分均值</x:v>
      </x:c>
      <x:c r="F5" s="9" t="str">
        <x:v>二分种子2026</x:v>
      </x:c>
      <x:c r="G5" s="9" t="str">
        <x:v>二分种子2027</x:v>
      </x:c>
      <x:c r="H5" s="9" t="str">
        <x:v>二分均值</x:v>
      </x:c>
      <x:c r="I5" s="9" t="str">
        <x:v>原始差值/百分点</x:v>
      </x:c>
      <x:c r="J5" s="9" t="str">
        <x:v>论文四分均值</x:v>
      </x:c>
      <x:c r="K5" s="9" t="str">
        <x:v>论文二分均值</x:v>
      </x:c>
      <x:c r="L5" s="9" t="str">
        <x:v>论文差值/百分点</x:v>
      </x:c>
      <x:c r="M5" s="9" t="str">
        <x:v>核验</x:v>
      </x:c>
    </x:row>
    <x:row r="6" ht="23" customHeight="1">
      <x:c r="A6" s="10" t="str">
        <x:v>螺钉／螺栓／螺柱</x:v>
      </x:c>
      <x:c r="B6" s="18" t="n">
        <x:v>4208</x:v>
      </x:c>
      <x:c r="C6" s="33" t="n">
        <x:v>0.9715499940975092</x:v>
      </x:c>
      <x:c r="D6" s="33" t="n">
        <x:v>0.9693382265893217</x:v>
      </x:c>
      <x:c r="E6" s="33" t="n">
        <x:f>AVERAGE(C6:D6)</x:f>
        <x:v>0.9704441103434154</x:v>
      </x:c>
      <x:c r="F6" s="33" t="n">
        <x:v>0.9714353163361662</x:v>
      </x:c>
      <x:c r="G6" s="33" t="n">
        <x:v>0.9712806026365348</x:v>
      </x:c>
      <x:c r="H6" s="33" t="n">
        <x:f>AVERAGE(F6:G6)</x:f>
        <x:v>0.9713579594863505</x:v>
      </x:c>
      <x:c r="I6" s="21" t="n">
        <x:f>100*(H6-E6)</x:f>
        <x:v>0.09138491429351303</x:v>
      </x:c>
      <x:c r="J6" s="33" t="n">
        <x:v>0.9704</x:v>
      </x:c>
      <x:c r="K6" s="33" t="n">
        <x:v>0.9714</x:v>
      </x:c>
      <x:c r="L6" s="21" t="n">
        <x:v>0.1</x:v>
      </x:c>
      <x:c r="M6" s="10" t="str">
        <x:f>IF(ROUND(I6,2)=ROUND(L6,2),"一致","需修正")</x:f>
        <x:v>需修正</x:v>
      </x:c>
    </x:row>
    <x:row r="7" ht="23" customHeight="1">
      <x:c r="A7" s="10" t="str">
        <x:v>螺母</x:v>
      </x:c>
      <x:c r="B7" s="18" t="n">
        <x:v>469</x:v>
      </x:c>
      <x:c r="C7" s="33" t="n">
        <x:v>0.9709364908503768</x:v>
      </x:c>
      <x:c r="D7" s="33" t="n">
        <x:v>0.9721627408993576</x:v>
      </x:c>
      <x:c r="E7" s="33" t="n">
        <x:f>AVERAGE(C7:D7)</x:f>
        <x:v>0.9715496158748672</x:v>
      </x:c>
      <x:c r="F7" s="33" t="n">
        <x:v>0.9730312837108954</x:v>
      </x:c>
      <x:c r="G7" s="33" t="n">
        <x:v>0.9774436090225564</x:v>
      </x:c>
      <x:c r="H7" s="33" t="n">
        <x:f>AVERAGE(F7:G7)</x:f>
        <x:v>0.9752374463667259</x:v>
      </x:c>
      <x:c r="I7" s="21" t="n">
        <x:f>100*(H7-E7)</x:f>
        <x:v>0.36878304918587235</x:v>
      </x:c>
      <x:c r="J7" s="33" t="n">
        <x:v>0.9715</x:v>
      </x:c>
      <x:c r="K7" s="33" t="n">
        <x:v>0.9752</x:v>
      </x:c>
      <x:c r="L7" s="21" t="n">
        <x:v>0.37</x:v>
      </x:c>
      <x:c r="M7" s="10" t="str">
        <x:f>IF(ROUND(I7,2)=ROUND(L7,2),"一致","需修正")</x:f>
        <x:v>一致</x:v>
      </x:c>
    </x:row>
    <x:row r="8" ht="23" customHeight="1">
      <x:c r="A8" s="10" t="str">
        <x:v>垫圈／环／隔套</x:v>
      </x:c>
      <x:c r="B8" s="18" t="n">
        <x:v>767</x:v>
      </x:c>
      <x:c r="C8" s="33" t="n">
        <x:v>0.9693411611219831</x:v>
      </x:c>
      <x:c r="D8" s="33" t="n">
        <x:v>0.9725490196078431</x:v>
      </x:c>
      <x:c r="E8" s="33" t="n">
        <x:f>AVERAGE(C8:D8)</x:f>
        <x:v>0.970945090364913</x:v>
      </x:c>
      <x:c r="F8" s="33" t="n">
        <x:v>0.975130890052356</x:v>
      </x:c>
      <x:c r="G8" s="33" t="n">
        <x:v>0.9733939000648928</x:v>
      </x:c>
      <x:c r="H8" s="33" t="n">
        <x:f>AVERAGE(F8:G8)</x:f>
        <x:v>0.9742623950586244</x:v>
      </x:c>
      <x:c r="I8" s="21" t="n">
        <x:f>100*(H8-E8)</x:f>
        <x:v>0.3317304693711387</x:v>
      </x:c>
      <x:c r="J8" s="33" t="n">
        <x:v>0.9709</x:v>
      </x:c>
      <x:c r="K8" s="33" t="n">
        <x:v>0.9743</x:v>
      </x:c>
      <x:c r="L8" s="21" t="n">
        <x:v>0.34</x:v>
      </x:c>
      <x:c r="M8" s="10" t="str">
        <x:f>IF(ROUND(I8,2)=ROUND(L8,2),"一致","需修正")</x:f>
        <x:v>需修正</x:v>
      </x:c>
    </x:row>
    <x:row r="9" ht="23" customHeight="1">
      <x:c r="A9" s="10" t="str">
        <x:v>销／铆钉／键</x:v>
      </x:c>
      <x:c r="B9" s="18" t="n">
        <x:v>2941</x:v>
      </x:c>
      <x:c r="C9" s="33" t="n">
        <x:v>0.9734364492266308</x:v>
      </x:c>
      <x:c r="D9" s="33" t="n">
        <x:v>0.9718238569259322</x:v>
      </x:c>
      <x:c r="E9" s="33" t="n">
        <x:f>AVERAGE(C9:D9)</x:f>
        <x:v>0.9726301530762815</x:v>
      </x:c>
      <x:c r="F9" s="33" t="n">
        <x:v>0.9743156471781008</x:v>
      </x:c>
      <x:c r="G9" s="33" t="n">
        <x:v>0.9765704584040747</x:v>
      </x:c>
      <x:c r="H9" s="33" t="n">
        <x:f>AVERAGE(F9:G9)</x:f>
        <x:v>0.9754430527910878</x:v>
      </x:c>
      <x:c r="I9" s="21" t="n">
        <x:f>100*(H9-E9)</x:f>
        <x:v>0.28128997148062496</x:v>
      </x:c>
      <x:c r="J9" s="33" t="n">
        <x:v>0.9726</x:v>
      </x:c>
      <x:c r="K9" s="33" t="n">
        <x:v>0.9754</x:v>
      </x:c>
      <x:c r="L9" s="21" t="n">
        <x:v>0.28</x:v>
      </x:c>
      <x:c r="M9" s="10" t="str">
        <x:f>IF(ROUND(I9,2)=ROUND(L9,2),"一致","需修正")</x:f>
        <x:v>一致</x:v>
      </x:c>
    </x:row>
    <x:row r="10" ht="23" customHeight="1">
      <x:c r="A10" s="10" t="str">
        <x:v>轴承／衬套／导向件</x:v>
      </x:c>
      <x:c r="B10" s="18" t="n">
        <x:v>562</x:v>
      </x:c>
      <x:c r="C10" s="33" t="n">
        <x:v>0.8890845070422535</x:v>
      </x:c>
      <x:c r="D10" s="33" t="n">
        <x:v>0.8862275449101796</x:v>
      </x:c>
      <x:c r="E10" s="33" t="n">
        <x:f>AVERAGE(C10:D10)</x:f>
        <x:v>0.8876560259762165</x:v>
      </x:c>
      <x:c r="F10" s="33" t="n">
        <x:v>0.9084507042253521</x:v>
      </x:c>
      <x:c r="G10" s="33" t="n">
        <x:v>0.9043927648578811</x:v>
      </x:c>
      <x:c r="H10" s="33" t="n">
        <x:f>AVERAGE(F10:G10)</x:f>
        <x:v>0.9064217345416166</x:v>
      </x:c>
      <x:c r="I10" s="21" t="n">
        <x:f>100*(H10-E10)</x:f>
        <x:v>1.8765708565400052</x:v>
      </x:c>
      <x:c r="J10" s="33" t="n">
        <x:v>0.8876999999999999</x:v>
      </x:c>
      <x:c r="K10" s="33" t="n">
        <x:v>0.9064</x:v>
      </x:c>
      <x:c r="L10" s="21" t="n">
        <x:v>1.87</x:v>
      </x:c>
      <x:c r="M10" s="10" t="str">
        <x:f>IF(ROUND(I10,2)=ROUND(L10,2),"一致","需修正")</x:f>
        <x:v>需修正</x:v>
      </x:c>
    </x:row>
    <x:row r="11" ht="23" customHeight="1">
      <x:c r="A11" s="10" t="str">
        <x:v>齿轮／带轮／链条</x:v>
      </x:c>
      <x:c r="B11" s="18" t="n">
        <x:v>234</x:v>
      </x:c>
      <x:c r="C11" s="33" t="n">
        <x:v>0.9090909090909091</x:v>
      </x:c>
      <x:c r="D11" s="33" t="n">
        <x:v>0.9313304721030042</x:v>
      </x:c>
      <x:c r="E11" s="33" t="n">
        <x:f>AVERAGE(C11:D11)</x:f>
        <x:v>0.9202106905969567</x:v>
      </x:c>
      <x:c r="F11" s="33" t="n">
        <x:v>0.9290322580645162</x:v>
      </x:c>
      <x:c r="G11" s="33" t="n">
        <x:v>0.9234135667396062</x:v>
      </x:c>
      <x:c r="H11" s="33" t="n">
        <x:f>AVERAGE(F11:G11)</x:f>
        <x:v>0.9262229124020611</x:v>
      </x:c>
      <x:c r="I11" s="21" t="n">
        <x:f>100*(H11-E11)</x:f>
        <x:v>0.6012221805104412</x:v>
      </x:c>
      <x:c r="J11" s="33" t="n">
        <x:v>0.9201999999999999</x:v>
      </x:c>
      <x:c r="K11" s="33" t="n">
        <x:v>0.9262</x:v>
      </x:c>
      <x:c r="L11" s="21" t="n">
        <x:v>0.6</x:v>
      </x:c>
      <x:c r="M11" s="10" t="str">
        <x:f>IF(ROUND(I11,2)=ROUND(L11,2),"一致","需修正")</x:f>
        <x:v>一致</x:v>
      </x:c>
    </x:row>
    <x:row r="12" ht="23" customHeight="1">
      <x:c r="A12" s="10" t="str">
        <x:v>电机／减速电机</x:v>
      </x:c>
      <x:c r="B12" s="18" t="n">
        <x:v>222</x:v>
      </x:c>
      <x:c r="C12" s="33" t="n">
        <x:v>0.9373650107991361</x:v>
      </x:c>
      <x:c r="D12" s="33" t="n">
        <x:v>0.9437229437229437</x:v>
      </x:c>
      <x:c r="E12" s="33" t="n">
        <x:f>AVERAGE(C12:D12)</x:f>
        <x:v>0.94054397726104</x:v>
      </x:c>
      <x:c r="F12" s="33" t="n">
        <x:v>0.9711751662971175</x:v>
      </x:c>
      <x:c r="G12" s="33" t="n">
        <x:v>0.953229398663697</x:v>
      </x:c>
      <x:c r="H12" s="33" t="n">
        <x:f>AVERAGE(F12:G12)</x:f>
        <x:v>0.9622022824804073</x:v>
      </x:c>
      <x:c r="I12" s="21" t="n">
        <x:f>100*(H12-E12)</x:f>
        <x:v>2.165830521936729</x:v>
      </x:c>
      <x:c r="J12" s="33" t="n">
        <x:v>0.9405</x:v>
      </x:c>
      <x:c r="K12" s="33" t="n">
        <x:v>0.9621999999999999</x:v>
      </x:c>
      <x:c r="L12" s="21" t="n">
        <x:v>2.17</x:v>
      </x:c>
      <x:c r="M12" s="10" t="str">
        <x:f>IF(ROUND(I12,2)=ROUND(L12,2),"一致","需修正")</x:f>
        <x:v>一致</x:v>
      </x:c>
    </x:row>
    <x:row r="13" ht="23" customHeight="1">
      <x:c r="A13" s="10" t="str">
        <x:v>管件／阀门／喷嘴</x:v>
      </x:c>
      <x:c r="B13" s="18" t="n">
        <x:v>735</x:v>
      </x:c>
      <x:c r="C13" s="33" t="n">
        <x:v>0.8264705882352941</x:v>
      </x:c>
      <x:c r="D13" s="33" t="n">
        <x:v>0.8040057224606582</x:v>
      </x:c>
      <x:c r="E13" s="33" t="n">
        <x:f>AVERAGE(C13:D13)</x:f>
        <x:v>0.8152381553479762</x:v>
      </x:c>
      <x:c r="F13" s="33" t="n">
        <x:v>0.8338068181818181</x:v>
      </x:c>
      <x:c r="G13" s="33" t="n">
        <x:v>0.8285922684172138</x:v>
      </x:c>
      <x:c r="H13" s="33" t="n">
        <x:f>AVERAGE(F13:G13)</x:f>
        <x:v>0.831199543299516</x:v>
      </x:c>
      <x:c r="I13" s="21" t="n">
        <x:f>100*(H13-E13)</x:f>
        <x:v>1.5961387951539785</x:v>
      </x:c>
      <x:c r="J13" s="33" t="n">
        <x:v>0.8151999999999999</x:v>
      </x:c>
      <x:c r="K13" s="33" t="n">
        <x:v>0.8312</x:v>
      </x:c>
      <x:c r="L13" s="21" t="n">
        <x:v>1.6</x:v>
      </x:c>
      <x:c r="M13" s="10" t="str">
        <x:f>IF(ROUND(I13,2)=ROUND(L13,2),"一致","需修正")</x:f>
        <x:v>一致</x:v>
      </x:c>
    </x:row>
    <x:row r="14" ht="23" customHeight="1">
      <x:c r="A14" s="10" t="str">
        <x:v>连接件／夹具</x:v>
      </x:c>
      <x:c r="B14" s="18" t="n">
        <x:v>361</x:v>
      </x:c>
      <x:c r="C14" s="33" t="n">
        <x:v>0.8814055636896048</x:v>
      </x:c>
      <x:c r="D14" s="33" t="n">
        <x:v>0.8908554572271387</x:v>
      </x:c>
      <x:c r="E14" s="33" t="n">
        <x:f>AVERAGE(C14:D14)</x:f>
        <x:v>0.8861305104583717</x:v>
      </x:c>
      <x:c r="F14" s="33" t="n">
        <x:v>0.9005681818181819</x:v>
      </x:c>
      <x:c r="G14" s="33" t="n">
        <x:v>0.9019607843137256</x:v>
      </x:c>
      <x:c r="H14" s="33" t="n">
        <x:f>AVERAGE(F14:G14)</x:f>
        <x:v>0.9012644830659537</x:v>
      </x:c>
      <x:c r="I14" s="21" t="n">
        <x:f>100*(H14-E14)</x:f>
        <x:v>1.5133972607582091</x:v>
      </x:c>
      <x:c r="J14" s="33" t="n">
        <x:v>0.8861</x:v>
      </x:c>
      <x:c r="K14" s="33" t="n">
        <x:v>0.9013</x:v>
      </x:c>
      <x:c r="L14" s="21" t="n">
        <x:v>1.52</x:v>
      </x:c>
      <x:c r="M14" s="10" t="str">
        <x:f>IF(ROUND(I14,2)=ROUND(L14,2),"一致","需修正")</x:f>
        <x:v>需修正</x:v>
      </x:c>
    </x:row>
    <x:row r="15" ht="23" customHeight="1">
      <x:c r="A15" s="10" t="str">
        <x:v>轮／脚轮</x:v>
      </x:c>
      <x:c r="B15" s="18" t="n">
        <x:v>105</x:v>
      </x:c>
      <x:c r="C15" s="33" t="n">
        <x:v>0.9478672985781991</x:v>
      </x:c>
      <x:c r="D15" s="33" t="n">
        <x:v>0.9468599033816426</x:v>
      </x:c>
      <x:c r="E15" s="33" t="n">
        <x:f>AVERAGE(C15:D15)</x:f>
        <x:v>0.9473636009799209</x:v>
      </x:c>
      <x:c r="F15" s="33" t="n">
        <x:v>0.9615384615384616</x:v>
      </x:c>
      <x:c r="G15" s="33" t="n">
        <x:v>0.9619047619047619</x:v>
      </x:c>
      <x:c r="H15" s="33" t="n">
        <x:f>AVERAGE(F15:G15)</x:f>
        <x:v>0.9617216117216117</x:v>
      </x:c>
      <x:c r="I15" s="21" t="n">
        <x:f>100*(H15-E15)</x:f>
        <x:v>1.4358010741690852</x:v>
      </x:c>
      <x:c r="J15" s="33" t="n">
        <x:v>0.9473999999999999</x:v>
      </x:c>
      <x:c r="K15" s="33" t="n">
        <x:v>0.9617</x:v>
      </x:c>
      <x:c r="L15" s="21" t="n">
        <x:v>1.44</x:v>
      </x:c>
      <x:c r="M15" s="10" t="str">
        <x:f>IF(ROUND(I15,2)=ROUND(L15,2),"一致","需修正")</x:f>
        <x:v>一致</x:v>
      </x:c>
    </x:row>
    <x:row r="16" ht="23" customHeight="1">
      <x:c r="A16" s="10" t="str">
        <x:v>旋转流体机械</x:v>
      </x:c>
      <x:c r="B16" s="18" t="n">
        <x:v>136</x:v>
      </x:c>
      <x:c r="C16" s="33" t="n">
        <x:v>0.9333333333333335</x:v>
      </x:c>
      <x:c r="D16" s="33" t="n">
        <x:v>0.9272030651340996</x:v>
      </x:c>
      <x:c r="E16" s="33" t="n">
        <x:f>AVERAGE(C16:D16)</x:f>
        <x:v>0.9302681992337165</x:v>
      </x:c>
      <x:c r="F16" s="33" t="n">
        <x:v>0.9372693726937269</x:v>
      </x:c>
      <x:c r="G16" s="33" t="n">
        <x:v>0.9454545454545454</x:v>
      </x:c>
      <x:c r="H16" s="33" t="n">
        <x:f>AVERAGE(F16:G16)</x:f>
        <x:v>0.9413619590741362</x:v>
      </x:c>
      <x:c r="I16" s="21" t="n">
        <x:f>100*(H16-E16)</x:f>
        <x:v>1.1093759840419715</x:v>
      </x:c>
      <x:c r="J16" s="33" t="n">
        <x:v>0.9303</x:v>
      </x:c>
      <x:c r="K16" s="33" t="n">
        <x:v>0.9414</x:v>
      </x:c>
      <x:c r="L16" s="21" t="n">
        <x:v>1.11</x:v>
      </x:c>
      <x:c r="M16" s="10" t="str">
        <x:f>IF(ROUND(I16,2)=ROUND(L16,2),"一致","需修正")</x:f>
        <x:v>一致</x:v>
      </x:c>
    </x:row>
    <x:row r="17" ht="23" customHeight="1">
      <x:c r="A17" s="10" t="str">
        <x:v>板／盘／形状件</x:v>
      </x:c>
      <x:c r="B17" s="18" t="n">
        <x:v>138</x:v>
      </x:c>
      <x:c r="C17" s="33" t="n">
        <x:v>0.8365019011406845</x:v>
      </x:c>
      <x:c r="D17" s="33" t="n">
        <x:v>0.8764044943820224</x:v>
      </x:c>
      <x:c r="E17" s="33" t="n">
        <x:f>AVERAGE(C17:D17)</x:f>
        <x:v>0.8564531977613534</x:v>
      </x:c>
      <x:c r="F17" s="33" t="n">
        <x:v>0.8413284132841329</x:v>
      </x:c>
      <x:c r="G17" s="33" t="n">
        <x:v>0.8560885608856088</x:v>
      </x:c>
      <x:c r="H17" s="33" t="n">
        <x:f>AVERAGE(F17:G17)</x:f>
        <x:v>0.8487084870848709</x:v>
      </x:c>
      <x:c r="I17" s="21" t="n">
        <x:f>100*(H17-E17)</x:f>
        <x:v>-0.7744710676482525</x:v>
      </x:c>
      <x:c r="J17" s="33" t="n">
        <x:v>0.8565</x:v>
      </x:c>
      <x:c r="K17" s="33" t="n">
        <x:v>0.8487</x:v>
      </x:c>
      <x:c r="L17" s="21" t="n">
        <x:v>-0.78</x:v>
      </x:c>
      <x:c r="M17" s="10" t="str">
        <x:f>IF(ROUND(I17,2)=ROUND(L17,2),"一致","需修正")</x:f>
        <x:v>需修正</x:v>
      </x:c>
    </x:row>
    <x:row r="18" ht="23" customHeight="1">
      <x:c r="A18" s="10" t="str">
        <x:v>把手／控制件</x:v>
      </x:c>
      <x:c r="B18" s="18" t="n">
        <x:v>562</x:v>
      </x:c>
      <x:c r="C18" s="33" t="n">
        <x:v>0.9306049822064056</x:v>
      </x:c>
      <x:c r="D18" s="33" t="n">
        <x:v>0.9100623330365093</x:v>
      </x:c>
      <x:c r="E18" s="33" t="n">
        <x:f>AVERAGE(C18:D18)</x:f>
        <x:v>0.9203336576214575</x:v>
      </x:c>
      <x:c r="F18" s="33" t="n">
        <x:v>0.947935368043088</x:v>
      </x:c>
      <x:c r="G18" s="33" t="n">
        <x:v>0.946524064171123</x:v>
      </x:c>
      <x:c r="H18" s="33" t="n">
        <x:f>AVERAGE(F18:G18)</x:f>
        <x:v>0.9472297161071055</x:v>
      </x:c>
      <x:c r="I18" s="21" t="n">
        <x:f>100*(H18-E18)</x:f>
        <x:v>2.6896058485648022</x:v>
      </x:c>
      <x:c r="J18" s="33" t="n">
        <x:v>0.9203</x:v>
      </x:c>
      <x:c r="K18" s="33" t="n">
        <x:v>0.9472</x:v>
      </x:c>
      <x:c r="L18" s="21" t="n">
        <x:v>2.69</x:v>
      </x:c>
      <x:c r="M18" s="10" t="str">
        <x:f>IF(ROUND(I18,2)=ROUND(L18,2),"一致","需修正")</x:f>
        <x:v>一致</x:v>
      </x:c>
    </x:row>
    <x:row r="19" ht="23" customHeight="1">
      <x:c r="A19" s="10" t="str">
        <x:v>弹簧</x:v>
      </x:c>
      <x:c r="B19" s="18" t="n">
        <x:v>102</x:v>
      </x:c>
      <x:c r="C19" s="33" t="n">
        <x:v>0.8138528138528138</x:v>
      </x:c>
      <x:c r="D19" s="33" t="n">
        <x:v>0.883720930232558</x:v>
      </x:c>
      <x:c r="E19" s="33" t="n">
        <x:f>AVERAGE(C19:D19)</x:f>
        <x:v>0.8487868720426859</x:v>
      </x:c>
      <x:c r="F19" s="33" t="n">
        <x:v>0.8625592417061612</x:v>
      </x:c>
      <x:c r="G19" s="33" t="n">
        <x:v>0.9081632653061226</x:v>
      </x:c>
      <x:c r="H19" s="33" t="n">
        <x:f>AVERAGE(F19:G19)</x:f>
        <x:v>0.8853612535061419</x:v>
      </x:c>
      <x:c r="I19" s="21" t="n">
        <x:f>100*(H19-E19)</x:f>
        <x:v>3.657438146345604</x:v>
      </x:c>
      <x:c r="J19" s="33" t="n">
        <x:v>0.8488</x:v>
      </x:c>
      <x:c r="K19" s="33" t="n">
        <x:v>0.8854000000000001</x:v>
      </x:c>
      <x:c r="L19" s="21" t="n">
        <x:v>3.66</x:v>
      </x:c>
      <x:c r="M19" s="10" t="str">
        <x:f>IF(ROUND(I19,2)=ROUND(L19,2),"一致","需修正")</x:f>
        <x:v>一致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2" hidden="0" customWidth="1"/>
    <x:col min="4" max="4" width="24" hidden="0" customWidth="1"/>
    <x:col min="5" max="5" width="24" hidden="0" customWidth="1"/>
    <x:col min="6" max="6" width="24" hidden="0" customWidth="1"/>
  </x:cols>
  <x:sheetData>
    <x:row r="2">
      <x:c r="A2" s="3" t="str">
        <x:v>182组策略档位占比</x:v>
      </x:c>
      <x:c r="B2" s="3"/>
      <x:c r="C2" s="3"/>
      <x:c r="D2" s="3"/>
      <x:c r="E2" s="3"/>
      <x:c r="F2" s="3"/>
    </x:row>
    <x:row r="3">
      <x:c r="A3" s="4" t="str">
        <x:v>来源S12；预测与参考均归一化至100%；参考为用户提供的汇总占比，未经逐实例人工标注核验。</x:v>
      </x:c>
      <x:c r="B3" s="4"/>
      <x:c r="C3" s="4"/>
      <x:c r="D3" s="4"/>
      <x:c r="E3" s="4"/>
      <x:c r="F3" s="4"/>
    </x:row>
    <x:row r="4">
      <x:c r="A4" s="1"/>
      <x:c r="B4" s="1"/>
      <x:c r="C4" s="1"/>
      <x:c r="D4" s="1"/>
      <x:c r="E4" s="1"/>
      <x:c r="F4" s="1"/>
    </x:row>
    <x:row r="5" ht="37" customHeight="1">
      <x:c r="A5" s="9" t="str">
        <x:v>模型</x:v>
      </x:c>
      <x:c r="B5" s="9" t="str">
        <x:v>配置</x:v>
      </x:c>
      <x:c r="C5" s="9" t="str">
        <x:v>P档位</x:v>
      </x:c>
      <x:c r="D5" s="9" t="str">
        <x:v>算法占比</x:v>
      </x:c>
      <x:c r="E5" s="9" t="str">
        <x:v>参考占比</x:v>
      </x:c>
      <x:c r="F5" s="9" t="str">
        <x:v>绝对偏差</x:v>
      </x:c>
    </x:row>
    <x:row r="6" ht="23" customHeight="1">
      <x:c r="A6" s="10" t="str">
        <x:v>M1</x:v>
      </x:c>
      <x:c r="B6" s="10" t="str">
        <x:v>N_H0</x:v>
      </x:c>
      <x:c r="C6" s="10" t="n">
        <x:v>1</x:v>
      </x:c>
      <x:c r="D6" s="24" t="n">
        <x:v>0</x:v>
      </x:c>
      <x:c r="E6" s="24" t="n">
        <x:v>0.0026000000000000007</x:v>
      </x:c>
      <x:c r="F6" s="24" t="n">
        <x:f>ABS(D6-E6)</x:f>
        <x:v>0.0026000000000000007</x:v>
      </x:c>
    </x:row>
    <x:row r="7" ht="23" customHeight="1">
      <x:c r="A7" s="10" t="str">
        <x:v>M1</x:v>
      </x:c>
      <x:c r="B7" s="10" t="str">
        <x:v>N_H0</x:v>
      </x:c>
      <x:c r="C7" s="10" t="n">
        <x:v>2</x:v>
      </x:c>
      <x:c r="D7" s="24" t="n">
        <x:v>0.13369999999999999</x:v>
      </x:c>
      <x:c r="E7" s="24" t="n">
        <x:v>0.08570000000000003</x:v>
      </x:c>
      <x:c r="F7" s="24" t="n">
        <x:f>ABS(D7-E7)</x:f>
        <x:v>0.04799999999999996</x:v>
      </x:c>
    </x:row>
    <x:row r="8" ht="23" customHeight="1">
      <x:c r="A8" s="10" t="str">
        <x:v>M1</x:v>
      </x:c>
      <x:c r="B8" s="10" t="str">
        <x:v>N_H0</x:v>
      </x:c>
      <x:c r="C8" s="10" t="n">
        <x:v>3</x:v>
      </x:c>
      <x:c r="D8" s="24" t="n">
        <x:v>0.053099999999999994</x:v>
      </x:c>
      <x:c r="E8" s="24" t="n">
        <x:v>0.35220000000000007</x:v>
      </x:c>
      <x:c r="F8" s="24" t="n">
        <x:f>ABS(D8-E8)</x:f>
        <x:v>0.2991000000000001</x:v>
      </x:c>
    </x:row>
    <x:row r="9" ht="23" customHeight="1">
      <x:c r="A9" s="10" t="str">
        <x:v>M1</x:v>
      </x:c>
      <x:c r="B9" s="10" t="str">
        <x:v>N_H0</x:v>
      </x:c>
      <x:c r="C9" s="10" t="n">
        <x:v>4</x:v>
      </x:c>
      <x:c r="D9" s="24" t="n">
        <x:v>0</x:v>
      </x:c>
      <x:c r="E9" s="24" t="n">
        <x:v>0.29050000000000004</x:v>
      </x:c>
      <x:c r="F9" s="24" t="n">
        <x:f>ABS(D9-E9)</x:f>
        <x:v>0.29050000000000004</x:v>
      </x:c>
    </x:row>
    <x:row r="10" ht="23" customHeight="1">
      <x:c r="A10" s="10" t="str">
        <x:v>M1</x:v>
      </x:c>
      <x:c r="B10" s="10" t="str">
        <x:v>N_H0</x:v>
      </x:c>
      <x:c r="C10" s="10" t="n">
        <x:v>5</x:v>
      </x:c>
      <x:c r="D10" s="24" t="n">
        <x:v>0.7926000000000001</x:v>
      </x:c>
      <x:c r="E10" s="24" t="n">
        <x:v>0.1705</x:v>
      </x:c>
      <x:c r="F10" s="24" t="n">
        <x:f>ABS(D10-E10)</x:f>
        <x:v>0.6221000000000001</x:v>
      </x:c>
    </x:row>
    <x:row r="11" ht="23" customHeight="1">
      <x:c r="A11" s="10" t="str">
        <x:v>M1</x:v>
      </x:c>
      <x:c r="B11" s="10" t="str">
        <x:v>N_H0</x:v>
      </x:c>
      <x:c r="C11" s="10" t="n">
        <x:v>6</x:v>
      </x:c>
      <x:c r="D11" s="24" t="n">
        <x:v>0</x:v>
      </x:c>
      <x:c r="E11" s="24" t="n">
        <x:v>0.07280000000000002</x:v>
      </x:c>
      <x:c r="F11" s="24" t="n">
        <x:f>ABS(D11-E11)</x:f>
        <x:v>0.07280000000000002</x:v>
      </x:c>
    </x:row>
    <x:row r="12" ht="23" customHeight="1">
      <x:c r="A12" s="10" t="str">
        <x:v>M1</x:v>
      </x:c>
      <x:c r="B12" s="10" t="str">
        <x:v>N_H0</x:v>
      </x:c>
      <x:c r="C12" s="10" t="n">
        <x:v>7</x:v>
      </x:c>
      <x:c r="D12" s="24" t="n">
        <x:v>0.0034000000000000002</x:v>
      </x:c>
      <x:c r="E12" s="24" t="n">
        <x:v>0.008600000000000002</x:v>
      </x:c>
      <x:c r="F12" s="24" t="n">
        <x:f>ABS(D12-E12)</x:f>
        <x:v>0.0052000000000000015</x:v>
      </x:c>
    </x:row>
    <x:row r="13" ht="23" customHeight="1">
      <x:c r="A13" s="10" t="str">
        <x:v>M1</x:v>
      </x:c>
      <x:c r="B13" s="10" t="str">
        <x:v>N_H0</x:v>
      </x:c>
      <x:c r="C13" s="10" t="n">
        <x:v>8</x:v>
      </x:c>
      <x:c r="D13" s="24" t="n">
        <x:v>0.0103</x:v>
      </x:c>
      <x:c r="E13" s="24" t="n">
        <x:v>0.011100000000000004</x:v>
      </x:c>
      <x:c r="F13" s="24" t="n">
        <x:f>ABS(D13-E13)</x:f>
        <x:v>0.0008000000000000038</x:v>
      </x:c>
    </x:row>
    <x:row r="14" ht="23" customHeight="1">
      <x:c r="A14" s="10" t="str">
        <x:v>M1</x:v>
      </x:c>
      <x:c r="B14" s="10" t="str">
        <x:v>N_H0</x:v>
      </x:c>
      <x:c r="C14" s="10" t="n">
        <x:v>9</x:v>
      </x:c>
      <x:c r="D14" s="24" t="n">
        <x:v>0.0069</x:v>
      </x:c>
      <x:c r="E14" s="24" t="n">
        <x:v>0.006000000000000001</x:v>
      </x:c>
      <x:c r="F14" s="24" t="n">
        <x:f>ABS(D14-E14)</x:f>
        <x:v>0.0008999999999999989</x:v>
      </x:c>
    </x:row>
    <x:row r="15" ht="23" customHeight="1">
      <x:c r="A15" s="10" t="str">
        <x:v>M1</x:v>
      </x:c>
      <x:c r="B15" s="10" t="str">
        <x:v>N_H0</x:v>
      </x:c>
      <x:c r="C15" s="10" t="n">
        <x:v>10</x:v>
      </x:c>
      <x:c r="D15" s="24" t="n">
        <x:v>0</x:v>
      </x:c>
      <x:c r="E15" s="24" t="n">
        <x:v>0</x:v>
      </x:c>
      <x:c r="F15" s="24" t="n">
        <x:f>ABS(D15-E15)</x:f>
        <x:v>0</x:v>
      </x:c>
    </x:row>
    <x:row r="16" ht="23" customHeight="1">
      <x:c r="A16" s="10" t="str">
        <x:v>M1</x:v>
      </x:c>
      <x:c r="B16" s="10" t="str">
        <x:v>N_H1</x:v>
      </x:c>
      <x:c r="C16" s="10" t="n">
        <x:v>1</x:v>
      </x:c>
      <x:c r="D16" s="24" t="n">
        <x:v>0</x:v>
      </x:c>
      <x:c r="E16" s="24" t="n">
        <x:v>0.0026000000000000007</x:v>
      </x:c>
      <x:c r="F16" s="24" t="n">
        <x:f>ABS(D16-E16)</x:f>
        <x:v>0.0026000000000000007</x:v>
      </x:c>
    </x:row>
    <x:row r="17" ht="23" customHeight="1">
      <x:c r="A17" s="10" t="str">
        <x:v>M1</x:v>
      </x:c>
      <x:c r="B17" s="10" t="str">
        <x:v>N_H1</x:v>
      </x:c>
      <x:c r="C17" s="10" t="n">
        <x:v>2</x:v>
      </x:c>
      <x:c r="D17" s="24" t="n">
        <x:v>0.13369999999999999</x:v>
      </x:c>
      <x:c r="E17" s="24" t="n">
        <x:v>0.08570000000000003</x:v>
      </x:c>
      <x:c r="F17" s="24" t="n">
        <x:f>ABS(D17-E17)</x:f>
        <x:v>0.04799999999999996</x:v>
      </x:c>
    </x:row>
    <x:row r="18" ht="23" customHeight="1">
      <x:c r="A18" s="10" t="str">
        <x:v>M1</x:v>
      </x:c>
      <x:c r="B18" s="10" t="str">
        <x:v>N_H1</x:v>
      </x:c>
      <x:c r="C18" s="10" t="n">
        <x:v>3</x:v>
      </x:c>
      <x:c r="D18" s="24" t="n">
        <x:v>0.042800000000000005</x:v>
      </x:c>
      <x:c r="E18" s="24" t="n">
        <x:v>0.35220000000000007</x:v>
      </x:c>
      <x:c r="F18" s="24" t="n">
        <x:f>ABS(D18-E18)</x:f>
        <x:v>0.30940000000000006</x:v>
      </x:c>
    </x:row>
    <x:row r="19" ht="23" customHeight="1">
      <x:c r="A19" s="10" t="str">
        <x:v>M1</x:v>
      </x:c>
      <x:c r="B19" s="10" t="str">
        <x:v>N_H1</x:v>
      </x:c>
      <x:c r="C19" s="10" t="n">
        <x:v>4</x:v>
      </x:c>
      <x:c r="D19" s="24" t="n">
        <x:v>0</x:v>
      </x:c>
      <x:c r="E19" s="24" t="n">
        <x:v>0.29050000000000004</x:v>
      </x:c>
      <x:c r="F19" s="24" t="n">
        <x:f>ABS(D19-E19)</x:f>
        <x:v>0.29050000000000004</x:v>
      </x:c>
    </x:row>
    <x:row r="20" ht="23" customHeight="1">
      <x:c r="A20" s="10" t="str">
        <x:v>M1</x:v>
      </x:c>
      <x:c r="B20" s="10" t="str">
        <x:v>N_H1</x:v>
      </x:c>
      <x:c r="C20" s="10" t="n">
        <x:v>5</x:v>
      </x:c>
      <x:c r="D20" s="24" t="n">
        <x:v>0.7926000000000001</x:v>
      </x:c>
      <x:c r="E20" s="24" t="n">
        <x:v>0.1705</x:v>
      </x:c>
      <x:c r="F20" s="24" t="n">
        <x:f>ABS(D20-E20)</x:f>
        <x:v>0.6221000000000001</x:v>
      </x:c>
    </x:row>
    <x:row r="21" ht="23" customHeight="1">
      <x:c r="A21" s="10" t="str">
        <x:v>M1</x:v>
      </x:c>
      <x:c r="B21" s="10" t="str">
        <x:v>N_H1</x:v>
      </x:c>
      <x:c r="C21" s="10" t="n">
        <x:v>6</x:v>
      </x:c>
      <x:c r="D21" s="24" t="n">
        <x:v>0.009399999999999999</x:v>
      </x:c>
      <x:c r="E21" s="24" t="n">
        <x:v>0.07280000000000002</x:v>
      </x:c>
      <x:c r="F21" s="24" t="n">
        <x:f>ABS(D21-E21)</x:f>
        <x:v>0.06340000000000001</x:v>
      </x:c>
    </x:row>
    <x:row r="22" ht="23" customHeight="1">
      <x:c r="A22" s="10" t="str">
        <x:v>M1</x:v>
      </x:c>
      <x:c r="B22" s="10" t="str">
        <x:v>N_H1</x:v>
      </x:c>
      <x:c r="C22" s="10" t="n">
        <x:v>7</x:v>
      </x:c>
      <x:c r="D22" s="24" t="n">
        <x:v>0.0043</x:v>
      </x:c>
      <x:c r="E22" s="24" t="n">
        <x:v>0.008600000000000002</x:v>
      </x:c>
      <x:c r="F22" s="24" t="n">
        <x:f>ABS(D22-E22)</x:f>
        <x:v>0.004300000000000002</x:v>
      </x:c>
    </x:row>
    <x:row r="23" ht="23" customHeight="1">
      <x:c r="A23" s="10" t="str">
        <x:v>M1</x:v>
      </x:c>
      <x:c r="B23" s="10" t="str">
        <x:v>N_H1</x:v>
      </x:c>
      <x:c r="C23" s="10" t="n">
        <x:v>8</x:v>
      </x:c>
      <x:c r="D23" s="24" t="n">
        <x:v>0.0103</x:v>
      </x:c>
      <x:c r="E23" s="24" t="n">
        <x:v>0.011100000000000004</x:v>
      </x:c>
      <x:c r="F23" s="24" t="n">
        <x:f>ABS(D23-E23)</x:f>
        <x:v>0.0008000000000000038</x:v>
      </x:c>
    </x:row>
    <x:row r="24" ht="23" customHeight="1">
      <x:c r="A24" s="10" t="str">
        <x:v>M1</x:v>
      </x:c>
      <x:c r="B24" s="10" t="str">
        <x:v>N_H1</x:v>
      </x:c>
      <x:c r="C24" s="10" t="n">
        <x:v>9</x:v>
      </x:c>
      <x:c r="D24" s="24" t="n">
        <x:v>0.0069</x:v>
      </x:c>
      <x:c r="E24" s="24" t="n">
        <x:v>0.006000000000000001</x:v>
      </x:c>
      <x:c r="F24" s="24" t="n">
        <x:f>ABS(D24-E24)</x:f>
        <x:v>0.0008999999999999989</x:v>
      </x:c>
    </x:row>
    <x:row r="25" ht="23" customHeight="1">
      <x:c r="A25" s="10" t="str">
        <x:v>M1</x:v>
      </x:c>
      <x:c r="B25" s="10" t="str">
        <x:v>N_H1</x:v>
      </x:c>
      <x:c r="C25" s="10" t="n">
        <x:v>10</x:v>
      </x:c>
      <x:c r="D25" s="24" t="n">
        <x:v>0</x:v>
      </x:c>
      <x:c r="E25" s="24" t="n">
        <x:v>0</x:v>
      </x:c>
      <x:c r="F25" s="24" t="n">
        <x:f>ABS(D25-E25)</x:f>
        <x:v>0</x:v>
      </x:c>
    </x:row>
    <x:row r="26" ht="23" customHeight="1">
      <x:c r="A26" s="10" t="str">
        <x:v>M1</x:v>
      </x:c>
      <x:c r="B26" s="10" t="str">
        <x:v>C_H0</x:v>
      </x:c>
      <x:c r="C26" s="10" t="n">
        <x:v>1</x:v>
      </x:c>
      <x:c r="D26" s="24" t="n">
        <x:v>0</x:v>
      </x:c>
      <x:c r="E26" s="24" t="n">
        <x:v>0.0026000000000000007</x:v>
      </x:c>
      <x:c r="F26" s="24" t="n">
        <x:f>ABS(D26-E26)</x:f>
        <x:v>0.0026000000000000007</x:v>
      </x:c>
    </x:row>
    <x:row r="27" ht="23" customHeight="1">
      <x:c r="A27" s="10" t="str">
        <x:v>M1</x:v>
      </x:c>
      <x:c r="B27" s="10" t="str">
        <x:v>C_H0</x:v>
      </x:c>
      <x:c r="C27" s="10" t="n">
        <x:v>2</x:v>
      </x:c>
      <x:c r="D27" s="24" t="n">
        <x:v>0.2579</x:v>
      </x:c>
      <x:c r="E27" s="24" t="n">
        <x:v>0.08570000000000003</x:v>
      </x:c>
      <x:c r="F27" s="24" t="n">
        <x:f>ABS(D27-E27)</x:f>
        <x:v>0.1722</x:v>
      </x:c>
    </x:row>
    <x:row r="28" ht="23" customHeight="1">
      <x:c r="A28" s="10" t="str">
        <x:v>M1</x:v>
      </x:c>
      <x:c r="B28" s="10" t="str">
        <x:v>C_H0</x:v>
      </x:c>
      <x:c r="C28" s="10" t="n">
        <x:v>3</x:v>
      </x:c>
      <x:c r="D28" s="24" t="n">
        <x:v>0</x:v>
      </x:c>
      <x:c r="E28" s="24" t="n">
        <x:v>0.35220000000000007</x:v>
      </x:c>
      <x:c r="F28" s="24" t="n">
        <x:f>ABS(D28-E28)</x:f>
        <x:v>0.35220000000000007</x:v>
      </x:c>
    </x:row>
    <x:row r="29" ht="23" customHeight="1">
      <x:c r="A29" s="10" t="str">
        <x:v>M1</x:v>
      </x:c>
      <x:c r="B29" s="10" t="str">
        <x:v>C_H0</x:v>
      </x:c>
      <x:c r="C29" s="10" t="n">
        <x:v>4</x:v>
      </x:c>
      <x:c r="D29" s="24" t="n">
        <x:v>0</x:v>
      </x:c>
      <x:c r="E29" s="24" t="n">
        <x:v>0.29050000000000004</x:v>
      </x:c>
      <x:c r="F29" s="24" t="n">
        <x:f>ABS(D29-E29)</x:f>
        <x:v>0.29050000000000004</x:v>
      </x:c>
    </x:row>
    <x:row r="30" ht="23" customHeight="1">
      <x:c r="A30" s="10" t="str">
        <x:v>M1</x:v>
      </x:c>
      <x:c r="B30" s="10" t="str">
        <x:v>C_H0</x:v>
      </x:c>
      <x:c r="C30" s="10" t="n">
        <x:v>5</x:v>
      </x:c>
      <x:c r="D30" s="24" t="n">
        <x:v>0.7421</x:v>
      </x:c>
      <x:c r="E30" s="24" t="n">
        <x:v>0.1705</x:v>
      </x:c>
      <x:c r="F30" s="24" t="n">
        <x:f>ABS(D30-E30)</x:f>
        <x:v>0.5716</x:v>
      </x:c>
    </x:row>
    <x:row r="31" ht="23" customHeight="1">
      <x:c r="A31" s="10" t="str">
        <x:v>M1</x:v>
      </x:c>
      <x:c r="B31" s="10" t="str">
        <x:v>C_H0</x:v>
      </x:c>
      <x:c r="C31" s="10" t="n">
        <x:v>6</x:v>
      </x:c>
      <x:c r="D31" s="24" t="n">
        <x:v>0</x:v>
      </x:c>
      <x:c r="E31" s="24" t="n">
        <x:v>0.07280000000000002</x:v>
      </x:c>
      <x:c r="F31" s="24" t="n">
        <x:f>ABS(D31-E31)</x:f>
        <x:v>0.07280000000000002</x:v>
      </x:c>
    </x:row>
    <x:row r="32" ht="23" customHeight="1">
      <x:c r="A32" s="10" t="str">
        <x:v>M1</x:v>
      </x:c>
      <x:c r="B32" s="10" t="str">
        <x:v>C_H0</x:v>
      </x:c>
      <x:c r="C32" s="10" t="n">
        <x:v>7</x:v>
      </x:c>
      <x:c r="D32" s="24" t="n">
        <x:v>0</x:v>
      </x:c>
      <x:c r="E32" s="24" t="n">
        <x:v>0.008600000000000002</x:v>
      </x:c>
      <x:c r="F32" s="24" t="n">
        <x:f>ABS(D32-E32)</x:f>
        <x:v>0.008600000000000002</x:v>
      </x:c>
    </x:row>
    <x:row r="33" ht="23" customHeight="1">
      <x:c r="A33" s="10" t="str">
        <x:v>M1</x:v>
      </x:c>
      <x:c r="B33" s="10" t="str">
        <x:v>C_H0</x:v>
      </x:c>
      <x:c r="C33" s="10" t="n">
        <x:v>8</x:v>
      </x:c>
      <x:c r="D33" s="24" t="n">
        <x:v>0</x:v>
      </x:c>
      <x:c r="E33" s="24" t="n">
        <x:v>0.011100000000000004</x:v>
      </x:c>
      <x:c r="F33" s="24" t="n">
        <x:f>ABS(D33-E33)</x:f>
        <x:v>0.011100000000000004</x:v>
      </x:c>
    </x:row>
    <x:row r="34" ht="23" customHeight="1">
      <x:c r="A34" s="10" t="str">
        <x:v>M1</x:v>
      </x:c>
      <x:c r="B34" s="10" t="str">
        <x:v>C_H0</x:v>
      </x:c>
      <x:c r="C34" s="10" t="n">
        <x:v>9</x:v>
      </x:c>
      <x:c r="D34" s="24" t="n">
        <x:v>0</x:v>
      </x:c>
      <x:c r="E34" s="24" t="n">
        <x:v>0.006000000000000001</x:v>
      </x:c>
      <x:c r="F34" s="24" t="n">
        <x:f>ABS(D34-E34)</x:f>
        <x:v>0.006000000000000001</x:v>
      </x:c>
    </x:row>
    <x:row r="35" ht="23" customHeight="1">
      <x:c r="A35" s="10" t="str">
        <x:v>M1</x:v>
      </x:c>
      <x:c r="B35" s="10" t="str">
        <x:v>C_H0</x:v>
      </x:c>
      <x:c r="C35" s="10" t="n">
        <x:v>10</x:v>
      </x:c>
      <x:c r="D35" s="24" t="n">
        <x:v>0</x:v>
      </x:c>
      <x:c r="E35" s="24" t="n">
        <x:v>0</x:v>
      </x:c>
      <x:c r="F35" s="24" t="n">
        <x:f>ABS(D35-E35)</x:f>
        <x:v>0</x:v>
      </x:c>
    </x:row>
    <x:row r="36" ht="23" customHeight="1">
      <x:c r="A36" s="10" t="str">
        <x:v>M1</x:v>
      </x:c>
      <x:c r="B36" s="10" t="str">
        <x:v>C_H1</x:v>
      </x:c>
      <x:c r="C36" s="10" t="n">
        <x:v>1</x:v>
      </x:c>
      <x:c r="D36" s="24" t="n">
        <x:v>0</x:v>
      </x:c>
      <x:c r="E36" s="24" t="n">
        <x:v>0.0026000000000000007</x:v>
      </x:c>
      <x:c r="F36" s="24" t="n">
        <x:f>ABS(D36-E36)</x:f>
        <x:v>0.0026000000000000007</x:v>
      </x:c>
    </x:row>
    <x:row r="37" ht="23" customHeight="1">
      <x:c r="A37" s="10" t="str">
        <x:v>M1</x:v>
      </x:c>
      <x:c r="B37" s="10" t="str">
        <x:v>C_H1</x:v>
      </x:c>
      <x:c r="C37" s="10" t="n">
        <x:v>2</x:v>
      </x:c>
      <x:c r="D37" s="24" t="n">
        <x:v>0.2579</x:v>
      </x:c>
      <x:c r="E37" s="24" t="n">
        <x:v>0.08570000000000003</x:v>
      </x:c>
      <x:c r="F37" s="24" t="n">
        <x:f>ABS(D37-E37)</x:f>
        <x:v>0.1722</x:v>
      </x:c>
    </x:row>
    <x:row r="38" ht="23" customHeight="1">
      <x:c r="A38" s="10" t="str">
        <x:v>M1</x:v>
      </x:c>
      <x:c r="B38" s="10" t="str">
        <x:v>C_H1</x:v>
      </x:c>
      <x:c r="C38" s="10" t="n">
        <x:v>3</x:v>
      </x:c>
      <x:c r="D38" s="24" t="n">
        <x:v>0</x:v>
      </x:c>
      <x:c r="E38" s="24" t="n">
        <x:v>0.35220000000000007</x:v>
      </x:c>
      <x:c r="F38" s="24" t="n">
        <x:f>ABS(D38-E38)</x:f>
        <x:v>0.35220000000000007</x:v>
      </x:c>
    </x:row>
    <x:row r="39" ht="23" customHeight="1">
      <x:c r="A39" s="10" t="str">
        <x:v>M1</x:v>
      </x:c>
      <x:c r="B39" s="10" t="str">
        <x:v>C_H1</x:v>
      </x:c>
      <x:c r="C39" s="10" t="n">
        <x:v>4</x:v>
      </x:c>
      <x:c r="D39" s="24" t="n">
        <x:v>0</x:v>
      </x:c>
      <x:c r="E39" s="24" t="n">
        <x:v>0.29050000000000004</x:v>
      </x:c>
      <x:c r="F39" s="24" t="n">
        <x:f>ABS(D39-E39)</x:f>
        <x:v>0.29050000000000004</x:v>
      </x:c>
    </x:row>
    <x:row r="40" ht="23" customHeight="1">
      <x:c r="A40" s="10" t="str">
        <x:v>M1</x:v>
      </x:c>
      <x:c r="B40" s="10" t="str">
        <x:v>C_H1</x:v>
      </x:c>
      <x:c r="C40" s="10" t="n">
        <x:v>5</x:v>
      </x:c>
      <x:c r="D40" s="24" t="n">
        <x:v>0.7421</x:v>
      </x:c>
      <x:c r="E40" s="24" t="n">
        <x:v>0.1705</x:v>
      </x:c>
      <x:c r="F40" s="24" t="n">
        <x:f>ABS(D40-E40)</x:f>
        <x:v>0.5716</x:v>
      </x:c>
    </x:row>
    <x:row r="41" ht="23" customHeight="1">
      <x:c r="A41" s="10" t="str">
        <x:v>M1</x:v>
      </x:c>
      <x:c r="B41" s="10" t="str">
        <x:v>C_H1</x:v>
      </x:c>
      <x:c r="C41" s="10" t="n">
        <x:v>6</x:v>
      </x:c>
      <x:c r="D41" s="24" t="n">
        <x:v>0</x:v>
      </x:c>
      <x:c r="E41" s="24" t="n">
        <x:v>0.07280000000000002</x:v>
      </x:c>
      <x:c r="F41" s="24" t="n">
        <x:f>ABS(D41-E41)</x:f>
        <x:v>0.07280000000000002</x:v>
      </x:c>
    </x:row>
    <x:row r="42" ht="23" customHeight="1">
      <x:c r="A42" s="10" t="str">
        <x:v>M1</x:v>
      </x:c>
      <x:c r="B42" s="10" t="str">
        <x:v>C_H1</x:v>
      </x:c>
      <x:c r="C42" s="10" t="n">
        <x:v>7</x:v>
      </x:c>
      <x:c r="D42" s="24" t="n">
        <x:v>0</x:v>
      </x:c>
      <x:c r="E42" s="24" t="n">
        <x:v>0.008600000000000002</x:v>
      </x:c>
      <x:c r="F42" s="24" t="n">
        <x:f>ABS(D42-E42)</x:f>
        <x:v>0.008600000000000002</x:v>
      </x:c>
    </x:row>
    <x:row r="43" ht="23" customHeight="1">
      <x:c r="A43" s="10" t="str">
        <x:v>M1</x:v>
      </x:c>
      <x:c r="B43" s="10" t="str">
        <x:v>C_H1</x:v>
      </x:c>
      <x:c r="C43" s="10" t="n">
        <x:v>8</x:v>
      </x:c>
      <x:c r="D43" s="24" t="n">
        <x:v>0</x:v>
      </x:c>
      <x:c r="E43" s="24" t="n">
        <x:v>0.011100000000000004</x:v>
      </x:c>
      <x:c r="F43" s="24" t="n">
        <x:f>ABS(D43-E43)</x:f>
        <x:v>0.011100000000000004</x:v>
      </x:c>
    </x:row>
    <x:row r="44" ht="23" customHeight="1">
      <x:c r="A44" s="10" t="str">
        <x:v>M1</x:v>
      </x:c>
      <x:c r="B44" s="10" t="str">
        <x:v>C_H1</x:v>
      </x:c>
      <x:c r="C44" s="10" t="n">
        <x:v>9</x:v>
      </x:c>
      <x:c r="D44" s="24" t="n">
        <x:v>0</x:v>
      </x:c>
      <x:c r="E44" s="24" t="n">
        <x:v>0.006000000000000001</x:v>
      </x:c>
      <x:c r="F44" s="24" t="n">
        <x:f>ABS(D44-E44)</x:f>
        <x:v>0.006000000000000001</x:v>
      </x:c>
    </x:row>
    <x:row r="45" ht="23" customHeight="1">
      <x:c r="A45" s="10" t="str">
        <x:v>M1</x:v>
      </x:c>
      <x:c r="B45" s="10" t="str">
        <x:v>C_H1</x:v>
      </x:c>
      <x:c r="C45" s="10" t="n">
        <x:v>10</x:v>
      </x:c>
      <x:c r="D45" s="24" t="n">
        <x:v>0</x:v>
      </x:c>
      <x:c r="E45" s="24" t="n">
        <x:v>0</x:v>
      </x:c>
      <x:c r="F45" s="24" t="n">
        <x:f>ABS(D45-E45)</x:f>
        <x:v>0</x:v>
      </x:c>
    </x:row>
    <x:row r="46" ht="23" customHeight="1">
      <x:c r="A46" s="10" t="str">
        <x:v>M1</x:v>
      </x:c>
      <x:c r="B46" s="10" t="str">
        <x:v>G_H0</x:v>
      </x:c>
      <x:c r="C46" s="10" t="n">
        <x:v>1</x:v>
      </x:c>
      <x:c r="D46" s="24" t="n">
        <x:v>0</x:v>
      </x:c>
      <x:c r="E46" s="24" t="n">
        <x:v>0.0026000000000000007</x:v>
      </x:c>
      <x:c r="F46" s="24" t="n">
        <x:f>ABS(D46-E46)</x:f>
        <x:v>0.0026000000000000007</x:v>
      </x:c>
    </x:row>
    <x:row r="47" ht="23" customHeight="1">
      <x:c r="A47" s="10" t="str">
        <x:v>M1</x:v>
      </x:c>
      <x:c r="B47" s="10" t="str">
        <x:v>G_H0</x:v>
      </x:c>
      <x:c r="C47" s="10" t="n">
        <x:v>2</x:v>
      </x:c>
      <x:c r="D47" s="24" t="n">
        <x:v>0.07629999999999999</x:v>
      </x:c>
      <x:c r="E47" s="24" t="n">
        <x:v>0.08570000000000003</x:v>
      </x:c>
      <x:c r="F47" s="24" t="n">
        <x:f>ABS(D47-E47)</x:f>
        <x:v>0.009400000000000033</x:v>
      </x:c>
    </x:row>
    <x:row r="48" ht="23" customHeight="1">
      <x:c r="A48" s="10" t="str">
        <x:v>M1</x:v>
      </x:c>
      <x:c r="B48" s="10" t="str">
        <x:v>G_H0</x:v>
      </x:c>
      <x:c r="C48" s="10" t="n">
        <x:v>3</x:v>
      </x:c>
      <x:c r="D48" s="24" t="n">
        <x:v>0.4644</x:v>
      </x:c>
      <x:c r="E48" s="24" t="n">
        <x:v>0.35220000000000007</x:v>
      </x:c>
      <x:c r="F48" s="24" t="n">
        <x:f>ABS(D48-E48)</x:f>
        <x:v>0.11219999999999991</x:v>
      </x:c>
    </x:row>
    <x:row r="49" ht="23" customHeight="1">
      <x:c r="A49" s="10" t="str">
        <x:v>M1</x:v>
      </x:c>
      <x:c r="B49" s="10" t="str">
        <x:v>G_H0</x:v>
      </x:c>
      <x:c r="C49" s="10" t="n">
        <x:v>4</x:v>
      </x:c>
      <x:c r="D49" s="24" t="n">
        <x:v>0.21850000000000003</x:v>
      </x:c>
      <x:c r="E49" s="24" t="n">
        <x:v>0.29050000000000004</x:v>
      </x:c>
      <x:c r="F49" s="24" t="n">
        <x:f>ABS(D49-E49)</x:f>
        <x:v>0.07200000000000001</x:v>
      </x:c>
    </x:row>
    <x:row r="50" ht="23" customHeight="1">
      <x:c r="A50" s="10" t="str">
        <x:v>M1</x:v>
      </x:c>
      <x:c r="B50" s="10" t="str">
        <x:v>G_H0</x:v>
      </x:c>
      <x:c r="C50" s="10" t="n">
        <x:v>5</x:v>
      </x:c>
      <x:c r="D50" s="24" t="n">
        <x:v>0.1791</x:v>
      </x:c>
      <x:c r="E50" s="24" t="n">
        <x:v>0.1705</x:v>
      </x:c>
      <x:c r="F50" s="24" t="n">
        <x:f>ABS(D50-E50)</x:f>
        <x:v>0.008599999999999997</x:v>
      </x:c>
    </x:row>
    <x:row r="51" ht="23" customHeight="1">
      <x:c r="A51" s="10" t="str">
        <x:v>M1</x:v>
      </x:c>
      <x:c r="B51" s="10" t="str">
        <x:v>G_H0</x:v>
      </x:c>
      <x:c r="C51" s="10" t="n">
        <x:v>6</x:v>
      </x:c>
      <x:c r="D51" s="24" t="n">
        <x:v>0.0617</x:v>
      </x:c>
      <x:c r="E51" s="24" t="n">
        <x:v>0.07280000000000002</x:v>
      </x:c>
      <x:c r="F51" s="24" t="n">
        <x:f>ABS(D51-E51)</x:f>
        <x:v>0.01110000000000002</x:v>
      </x:c>
    </x:row>
    <x:row r="52" ht="23" customHeight="1">
      <x:c r="A52" s="10" t="str">
        <x:v>M1</x:v>
      </x:c>
      <x:c r="B52" s="10" t="str">
        <x:v>G_H0</x:v>
      </x:c>
      <x:c r="C52" s="10" t="n">
        <x:v>7</x:v>
      </x:c>
      <x:c r="D52" s="24" t="n">
        <x:v>0</x:v>
      </x:c>
      <x:c r="E52" s="24" t="n">
        <x:v>0.008600000000000002</x:v>
      </x:c>
      <x:c r="F52" s="24" t="n">
        <x:f>ABS(D52-E52)</x:f>
        <x:v>0.008600000000000002</x:v>
      </x:c>
    </x:row>
    <x:row r="53" ht="23" customHeight="1">
      <x:c r="A53" s="10" t="str">
        <x:v>M1</x:v>
      </x:c>
      <x:c r="B53" s="10" t="str">
        <x:v>G_H0</x:v>
      </x:c>
      <x:c r="C53" s="10" t="n">
        <x:v>8</x:v>
      </x:c>
      <x:c r="D53" s="24" t="n">
        <x:v>0</x:v>
      </x:c>
      <x:c r="E53" s="24" t="n">
        <x:v>0.011100000000000004</x:v>
      </x:c>
      <x:c r="F53" s="24" t="n">
        <x:f>ABS(D53-E53)</x:f>
        <x:v>0.011100000000000004</x:v>
      </x:c>
    </x:row>
    <x:row r="54" ht="23" customHeight="1">
      <x:c r="A54" s="10" t="str">
        <x:v>M1</x:v>
      </x:c>
      <x:c r="B54" s="10" t="str">
        <x:v>G_H0</x:v>
      </x:c>
      <x:c r="C54" s="10" t="n">
        <x:v>9</x:v>
      </x:c>
      <x:c r="D54" s="24" t="n">
        <x:v>0</x:v>
      </x:c>
      <x:c r="E54" s="24" t="n">
        <x:v>0.006000000000000001</x:v>
      </x:c>
      <x:c r="F54" s="24" t="n">
        <x:f>ABS(D54-E54)</x:f>
        <x:v>0.006000000000000001</x:v>
      </x:c>
    </x:row>
    <x:row r="55" ht="23" customHeight="1">
      <x:c r="A55" s="10" t="str">
        <x:v>M1</x:v>
      </x:c>
      <x:c r="B55" s="10" t="str">
        <x:v>G_H0</x:v>
      </x:c>
      <x:c r="C55" s="10" t="n">
        <x:v>10</x:v>
      </x:c>
      <x:c r="D55" s="24" t="n">
        <x:v>0</x:v>
      </x:c>
      <x:c r="E55" s="24" t="n">
        <x:v>0</x:v>
      </x:c>
      <x:c r="F55" s="24" t="n">
        <x:f>ABS(D55-E55)</x:f>
        <x:v>0</x:v>
      </x:c>
    </x:row>
    <x:row r="56" ht="23" customHeight="1">
      <x:c r="A56" s="10" t="str">
        <x:v>M1</x:v>
      </x:c>
      <x:c r="B56" s="10" t="str">
        <x:v>G_H1</x:v>
      </x:c>
      <x:c r="C56" s="10" t="n">
        <x:v>1</x:v>
      </x:c>
      <x:c r="D56" s="24" t="n">
        <x:v>0</x:v>
      </x:c>
      <x:c r="E56" s="24" t="n">
        <x:v>0.0026000000000000007</x:v>
      </x:c>
      <x:c r="F56" s="24" t="n">
        <x:f>ABS(D56-E56)</x:f>
        <x:v>0.0026000000000000007</x:v>
      </x:c>
    </x:row>
    <x:row r="57" ht="23" customHeight="1">
      <x:c r="A57" s="10" t="str">
        <x:v>M1</x:v>
      </x:c>
      <x:c r="B57" s="10" t="str">
        <x:v>G_H1</x:v>
      </x:c>
      <x:c r="C57" s="10" t="n">
        <x:v>2</x:v>
      </x:c>
      <x:c r="D57" s="24" t="n">
        <x:v>0.07629237076292371</x:v>
      </x:c>
      <x:c r="E57" s="24" t="n">
        <x:v>0.08570000000000003</x:v>
      </x:c>
      <x:c r="F57" s="24" t="n">
        <x:f>ABS(D57-E57)</x:f>
        <x:v>0.009407629237076318</x:v>
      </x:c>
    </x:row>
    <x:row r="58" ht="23" customHeight="1">
      <x:c r="A58" s="10" t="str">
        <x:v>M1</x:v>
      </x:c>
      <x:c r="B58" s="10" t="str">
        <x:v>G_H1</x:v>
      </x:c>
      <x:c r="C58" s="10" t="n">
        <x:v>3</x:v>
      </x:c>
      <x:c r="D58" s="24" t="n">
        <x:v>0.39846015398460155</x:v>
      </x:c>
      <x:c r="E58" s="24" t="n">
        <x:v>0.35220000000000007</x:v>
      </x:c>
      <x:c r="F58" s="24" t="n">
        <x:f>ABS(D58-E58)</x:f>
        <x:v>0.04626015398460148</x:v>
      </x:c>
    </x:row>
    <x:row r="59" ht="23" customHeight="1">
      <x:c r="A59" s="10" t="str">
        <x:v>M1</x:v>
      </x:c>
      <x:c r="B59" s="10" t="str">
        <x:v>G_H1</x:v>
      </x:c>
      <x:c r="C59" s="10" t="n">
        <x:v>4</x:v>
      </x:c>
      <x:c r="D59" s="24" t="n">
        <x:v>0.2810718928107189</x:v>
      </x:c>
      <x:c r="E59" s="24" t="n">
        <x:v>0.29050000000000004</x:v>
      </x:c>
      <x:c r="F59" s="24" t="n">
        <x:f>ABS(D59-E59)</x:f>
        <x:v>0.00942810718928111</x:v>
      </x:c>
    </x:row>
    <x:row r="60" ht="23" customHeight="1">
      <x:c r="A60" s="10" t="str">
        <x:v>M1</x:v>
      </x:c>
      <x:c r="B60" s="10" t="str">
        <x:v>G_H1</x:v>
      </x:c>
      <x:c r="C60" s="10" t="n">
        <x:v>5</x:v>
      </x:c>
      <x:c r="D60" s="24" t="n">
        <x:v>0.18248175182481752</x:v>
      </x:c>
      <x:c r="E60" s="24" t="n">
        <x:v>0.1705</x:v>
      </x:c>
      <x:c r="F60" s="24" t="n">
        <x:f>ABS(D60-E60)</x:f>
        <x:v>0.011981751824817505</x:v>
      </x:c>
    </x:row>
    <x:row r="61" ht="23" customHeight="1">
      <x:c r="A61" s="10" t="str">
        <x:v>M1</x:v>
      </x:c>
      <x:c r="B61" s="10" t="str">
        <x:v>G_H1</x:v>
      </x:c>
      <x:c r="C61" s="10" t="n">
        <x:v>6</x:v>
      </x:c>
      <x:c r="D61" s="24" t="n">
        <x:v>0.061693830616938304</x:v>
      </x:c>
      <x:c r="E61" s="24" t="n">
        <x:v>0.07280000000000002</x:v>
      </x:c>
      <x:c r="F61" s="24" t="n">
        <x:f>ABS(D61-E61)</x:f>
        <x:v>0.011106169383061713</x:v>
      </x:c>
    </x:row>
    <x:row r="62" ht="23" customHeight="1">
      <x:c r="A62" s="10" t="str">
        <x:v>M1</x:v>
      </x:c>
      <x:c r="B62" s="10" t="str">
        <x:v>G_H1</x:v>
      </x:c>
      <x:c r="C62" s="10" t="n">
        <x:v>7</x:v>
      </x:c>
      <x:c r="D62" s="24" t="n">
        <x:v>0</x:v>
      </x:c>
      <x:c r="E62" s="24" t="n">
        <x:v>0.008600000000000002</x:v>
      </x:c>
      <x:c r="F62" s="24" t="n">
        <x:f>ABS(D62-E62)</x:f>
        <x:v>0.008600000000000002</x:v>
      </x:c>
    </x:row>
    <x:row r="63" ht="23" customHeight="1">
      <x:c r="A63" s="10" t="str">
        <x:v>M1</x:v>
      </x:c>
      <x:c r="B63" s="10" t="str">
        <x:v>G_H1</x:v>
      </x:c>
      <x:c r="C63" s="10" t="n">
        <x:v>8</x:v>
      </x:c>
      <x:c r="D63" s="24" t="n">
        <x:v>0</x:v>
      </x:c>
      <x:c r="E63" s="24" t="n">
        <x:v>0.011100000000000004</x:v>
      </x:c>
      <x:c r="F63" s="24" t="n">
        <x:f>ABS(D63-E63)</x:f>
        <x:v>0.011100000000000004</x:v>
      </x:c>
    </x:row>
    <x:row r="64" ht="23" customHeight="1">
      <x:c r="A64" s="10" t="str">
        <x:v>M1</x:v>
      </x:c>
      <x:c r="B64" s="10" t="str">
        <x:v>G_H1</x:v>
      </x:c>
      <x:c r="C64" s="10" t="n">
        <x:v>9</x:v>
      </x:c>
      <x:c r="D64" s="24" t="n">
        <x:v>0</x:v>
      </x:c>
      <x:c r="E64" s="24" t="n">
        <x:v>0.006000000000000001</x:v>
      </x:c>
      <x:c r="F64" s="24" t="n">
        <x:f>ABS(D64-E64)</x:f>
        <x:v>0.006000000000000001</x:v>
      </x:c>
    </x:row>
    <x:row r="65" ht="23" customHeight="1">
      <x:c r="A65" s="10" t="str">
        <x:v>M1</x:v>
      </x:c>
      <x:c r="B65" s="10" t="str">
        <x:v>G_H1</x:v>
      </x:c>
      <x:c r="C65" s="10" t="n">
        <x:v>10</x:v>
      </x:c>
      <x:c r="D65" s="24" t="n">
        <x:v>0</x:v>
      </x:c>
      <x:c r="E65" s="24" t="n">
        <x:v>0</x:v>
      </x:c>
      <x:c r="F65" s="24" t="n">
        <x:f>ABS(D65-E65)</x:f>
        <x:v>0</x:v>
      </x:c>
    </x:row>
    <x:row r="66" ht="23" customHeight="1">
      <x:c r="A66" s="10" t="str">
        <x:v>M1</x:v>
      </x:c>
      <x:c r="B66" s="10" t="str">
        <x:v>NC_H0</x:v>
      </x:c>
      <x:c r="C66" s="10" t="n">
        <x:v>1</x:v>
      </x:c>
      <x:c r="D66" s="24" t="n">
        <x:v>0</x:v>
      </x:c>
      <x:c r="E66" s="24" t="n">
        <x:v>0.0026000000000000007</x:v>
      </x:c>
      <x:c r="F66" s="24" t="n">
        <x:f>ABS(D66-E66)</x:f>
        <x:v>0.0026000000000000007</x:v>
      </x:c>
    </x:row>
    <x:row r="67" ht="23" customHeight="1">
      <x:c r="A67" s="10" t="str">
        <x:v>M1</x:v>
      </x:c>
      <x:c r="B67" s="10" t="str">
        <x:v>NC_H0</x:v>
      </x:c>
      <x:c r="C67" s="10" t="n">
        <x:v>2</x:v>
      </x:c>
      <x:c r="D67" s="24" t="n">
        <x:v>0.28277172282771723</x:v>
      </x:c>
      <x:c r="E67" s="24" t="n">
        <x:v>0.08570000000000003</x:v>
      </x:c>
      <x:c r="F67" s="24" t="n">
        <x:f>ABS(D67-E67)</x:f>
        <x:v>0.1970717228277172</x:v>
      </x:c>
    </x:row>
    <x:row r="68" ht="23" customHeight="1">
      <x:c r="A68" s="10" t="str">
        <x:v>M1</x:v>
      </x:c>
      <x:c r="B68" s="10" t="str">
        <x:v>NC_H0</x:v>
      </x:c>
      <x:c r="C68" s="10" t="n">
        <x:v>3</x:v>
      </x:c>
      <x:c r="D68" s="24" t="n">
        <x:v>0.047995200479952004</x:v>
      </x:c>
      <x:c r="E68" s="24" t="n">
        <x:v>0.35220000000000007</x:v>
      </x:c>
      <x:c r="F68" s="24" t="n">
        <x:f>ABS(D68-E68)</x:f>
        <x:v>0.3042047995200481</x:v>
      </x:c>
    </x:row>
    <x:row r="69" ht="23" customHeight="1">
      <x:c r="A69" s="10" t="str">
        <x:v>M1</x:v>
      </x:c>
      <x:c r="B69" s="10" t="str">
        <x:v>NC_H0</x:v>
      </x:c>
      <x:c r="C69" s="10" t="n">
        <x:v>4</x:v>
      </x:c>
      <x:c r="D69" s="24" t="n">
        <x:v>0</x:v>
      </x:c>
      <x:c r="E69" s="24" t="n">
        <x:v>0.29050000000000004</x:v>
      </x:c>
      <x:c r="F69" s="24" t="n">
        <x:f>ABS(D69-E69)</x:f>
        <x:v>0.29050000000000004</x:v>
      </x:c>
    </x:row>
    <x:row r="70" ht="23" customHeight="1">
      <x:c r="A70" s="10" t="str">
        <x:v>M1</x:v>
      </x:c>
      <x:c r="B70" s="10" t="str">
        <x:v>NC_H0</x:v>
      </x:c>
      <x:c r="C70" s="10" t="n">
        <x:v>5</x:v>
      </x:c>
      <x:c r="D70" s="24" t="n">
        <x:v>0.6486351364863513</x:v>
      </x:c>
      <x:c r="E70" s="24" t="n">
        <x:v>0.1705</x:v>
      </x:c>
      <x:c r="F70" s="24" t="n">
        <x:f>ABS(D70-E70)</x:f>
        <x:v>0.4781351364863513</x:v>
      </x:c>
    </x:row>
    <x:row r="71" ht="23" customHeight="1">
      <x:c r="A71" s="10" t="str">
        <x:v>M1</x:v>
      </x:c>
      <x:c r="B71" s="10" t="str">
        <x:v>NC_H0</x:v>
      </x:c>
      <x:c r="C71" s="10" t="n">
        <x:v>6</x:v>
      </x:c>
      <x:c r="D71" s="24" t="n">
        <x:v>0</x:v>
      </x:c>
      <x:c r="E71" s="24" t="n">
        <x:v>0.07280000000000002</x:v>
      </x:c>
      <x:c r="F71" s="24" t="n">
        <x:f>ABS(D71-E71)</x:f>
        <x:v>0.07280000000000002</x:v>
      </x:c>
    </x:row>
    <x:row r="72" ht="23" customHeight="1">
      <x:c r="A72" s="10" t="str">
        <x:v>M1</x:v>
      </x:c>
      <x:c r="B72" s="10" t="str">
        <x:v>NC_H0</x:v>
      </x:c>
      <x:c r="C72" s="10" t="n">
        <x:v>7</x:v>
      </x:c>
      <x:c r="D72" s="24" t="n">
        <x:v>0.0033996600339966003</x:v>
      </x:c>
      <x:c r="E72" s="24" t="n">
        <x:v>0.008600000000000002</x:v>
      </x:c>
      <x:c r="F72" s="24" t="n">
        <x:f>ABS(D72-E72)</x:f>
        <x:v>0.005200339966003401</x:v>
      </x:c>
    </x:row>
    <x:row r="73" ht="23" customHeight="1">
      <x:c r="A73" s="10" t="str">
        <x:v>M1</x:v>
      </x:c>
      <x:c r="B73" s="10" t="str">
        <x:v>NC_H0</x:v>
      </x:c>
      <x:c r="C73" s="10" t="n">
        <x:v>8</x:v>
      </x:c>
      <x:c r="D73" s="24" t="n">
        <x:v>0.0102989701029897</x:v>
      </x:c>
      <x:c r="E73" s="24" t="n">
        <x:v>0.011100000000000004</x:v>
      </x:c>
      <x:c r="F73" s="24" t="n">
        <x:f>ABS(D73-E73)</x:f>
        <x:v>0.0008010298970103046</x:v>
      </x:c>
    </x:row>
    <x:row r="74" ht="23" customHeight="1">
      <x:c r="A74" s="10" t="str">
        <x:v>M1</x:v>
      </x:c>
      <x:c r="B74" s="10" t="str">
        <x:v>NC_H0</x:v>
      </x:c>
      <x:c r="C74" s="10" t="n">
        <x:v>9</x:v>
      </x:c>
      <x:c r="D74" s="24" t="n">
        <x:v>0.006899310068993101</x:v>
      </x:c>
      <x:c r="E74" s="24" t="n">
        <x:v>0.006000000000000001</x:v>
      </x:c>
      <x:c r="F74" s="24" t="n">
        <x:f>ABS(D74-E74)</x:f>
        <x:v>0.0008993100689930998</x:v>
      </x:c>
    </x:row>
    <x:row r="75" ht="23" customHeight="1">
      <x:c r="A75" s="10" t="str">
        <x:v>M1</x:v>
      </x:c>
      <x:c r="B75" s="10" t="str">
        <x:v>NC_H0</x:v>
      </x:c>
      <x:c r="C75" s="10" t="n">
        <x:v>10</x:v>
      </x:c>
      <x:c r="D75" s="24" t="n">
        <x:v>0</x:v>
      </x:c>
      <x:c r="E75" s="24" t="n">
        <x:v>0</x:v>
      </x:c>
      <x:c r="F75" s="24" t="n">
        <x:f>ABS(D75-E75)</x:f>
        <x:v>0</x:v>
      </x:c>
    </x:row>
    <x:row r="76" ht="23" customHeight="1">
      <x:c r="A76" s="10" t="str">
        <x:v>M1</x:v>
      </x:c>
      <x:c r="B76" s="10" t="str">
        <x:v>NC_H1</x:v>
      </x:c>
      <x:c r="C76" s="10" t="n">
        <x:v>1</x:v>
      </x:c>
      <x:c r="D76" s="24" t="n">
        <x:v>0</x:v>
      </x:c>
      <x:c r="E76" s="24" t="n">
        <x:v>0.0026000000000000007</x:v>
      </x:c>
      <x:c r="F76" s="24" t="n">
        <x:f>ABS(D76-E76)</x:f>
        <x:v>0.0026000000000000007</x:v>
      </x:c>
    </x:row>
    <x:row r="77" ht="23" customHeight="1">
      <x:c r="A77" s="10" t="str">
        <x:v>M1</x:v>
      </x:c>
      <x:c r="B77" s="10" t="str">
        <x:v>NC_H1</x:v>
      </x:c>
      <x:c r="C77" s="10" t="n">
        <x:v>2</x:v>
      </x:c>
      <x:c r="D77" s="24" t="n">
        <x:v>0.2827717228277172</x:v>
      </x:c>
      <x:c r="E77" s="24" t="n">
        <x:v>0.08570000000000003</x:v>
      </x:c>
      <x:c r="F77" s="24" t="n">
        <x:f>ABS(D77-E77)</x:f>
        <x:v>0.19707172282771715</x:v>
      </x:c>
    </x:row>
    <x:row r="78" ht="23" customHeight="1">
      <x:c r="A78" s="10" t="str">
        <x:v>M1</x:v>
      </x:c>
      <x:c r="B78" s="10" t="str">
        <x:v>NC_H1</x:v>
      </x:c>
      <x:c r="C78" s="10" t="n">
        <x:v>3</x:v>
      </x:c>
      <x:c r="D78" s="24" t="n">
        <x:v>0.0427957204279572</x:v>
      </x:c>
      <x:c r="E78" s="24" t="n">
        <x:v>0.35220000000000007</x:v>
      </x:c>
      <x:c r="F78" s="24" t="n">
        <x:f>ABS(D78-E78)</x:f>
        <x:v>0.30940427957204286</x:v>
      </x:c>
    </x:row>
    <x:row r="79" ht="23" customHeight="1">
      <x:c r="A79" s="10" t="str">
        <x:v>M1</x:v>
      </x:c>
      <x:c r="B79" s="10" t="str">
        <x:v>NC_H1</x:v>
      </x:c>
      <x:c r="C79" s="10" t="n">
        <x:v>4</x:v>
      </x:c>
      <x:c r="D79" s="24" t="n">
        <x:v>0</x:v>
      </x:c>
      <x:c r="E79" s="24" t="n">
        <x:v>0.29050000000000004</x:v>
      </x:c>
      <x:c r="F79" s="24" t="n">
        <x:f>ABS(D79-E79)</x:f>
        <x:v>0.29050000000000004</x:v>
      </x:c>
    </x:row>
    <x:row r="80" ht="23" customHeight="1">
      <x:c r="A80" s="10" t="str">
        <x:v>M1</x:v>
      </x:c>
      <x:c r="B80" s="10" t="str">
        <x:v>NC_H1</x:v>
      </x:c>
      <x:c r="C80" s="10" t="n">
        <x:v>5</x:v>
      </x:c>
      <x:c r="D80" s="24" t="n">
        <x:v>0.6486351364863512</x:v>
      </x:c>
      <x:c r="E80" s="24" t="n">
        <x:v>0.1705</x:v>
      </x:c>
      <x:c r="F80" s="24" t="n">
        <x:f>ABS(D80-E80)</x:f>
        <x:v>0.4781351364863512</x:v>
      </x:c>
    </x:row>
    <x:row r="81" ht="23" customHeight="1">
      <x:c r="A81" s="10" t="str">
        <x:v>M1</x:v>
      </x:c>
      <x:c r="B81" s="10" t="str">
        <x:v>NC_H1</x:v>
      </x:c>
      <x:c r="C81" s="10" t="n">
        <x:v>6</x:v>
      </x:c>
      <x:c r="D81" s="24" t="n">
        <x:v>0.0042995700429957</x:v>
      </x:c>
      <x:c r="E81" s="24" t="n">
        <x:v>0.07280000000000002</x:v>
      </x:c>
      <x:c r="F81" s="24" t="n">
        <x:f>ABS(D81-E81)</x:f>
        <x:v>0.06850042995700431</x:v>
      </x:c>
    </x:row>
    <x:row r="82" ht="23" customHeight="1">
      <x:c r="A82" s="10" t="str">
        <x:v>M1</x:v>
      </x:c>
      <x:c r="B82" s="10" t="str">
        <x:v>NC_H1</x:v>
      </x:c>
      <x:c r="C82" s="10" t="n">
        <x:v>7</x:v>
      </x:c>
      <x:c r="D82" s="24" t="n">
        <x:v>0.0042995700429957</x:v>
      </x:c>
      <x:c r="E82" s="24" t="n">
        <x:v>0.008600000000000002</x:v>
      </x:c>
      <x:c r="F82" s="24" t="n">
        <x:f>ABS(D82-E82)</x:f>
        <x:v>0.004300429957004302</x:v>
      </x:c>
    </x:row>
    <x:row r="83" ht="23" customHeight="1">
      <x:c r="A83" s="10" t="str">
        <x:v>M1</x:v>
      </x:c>
      <x:c r="B83" s="10" t="str">
        <x:v>NC_H1</x:v>
      </x:c>
      <x:c r="C83" s="10" t="n">
        <x:v>8</x:v>
      </x:c>
      <x:c r="D83" s="24" t="n">
        <x:v>0.0102989701029897</x:v>
      </x:c>
      <x:c r="E83" s="24" t="n">
        <x:v>0.011100000000000004</x:v>
      </x:c>
      <x:c r="F83" s="24" t="n">
        <x:f>ABS(D83-E83)</x:f>
        <x:v>0.0008010298970103046</x:v>
      </x:c>
    </x:row>
    <x:row r="84" ht="23" customHeight="1">
      <x:c r="A84" s="10" t="str">
        <x:v>M1</x:v>
      </x:c>
      <x:c r="B84" s="10" t="str">
        <x:v>NC_H1</x:v>
      </x:c>
      <x:c r="C84" s="10" t="n">
        <x:v>9</x:v>
      </x:c>
      <x:c r="D84" s="24" t="n">
        <x:v>0.0068993100689931</x:v>
      </x:c>
      <x:c r="E84" s="24" t="n">
        <x:v>0.006000000000000001</x:v>
      </x:c>
      <x:c r="F84" s="24" t="n">
        <x:f>ABS(D84-E84)</x:f>
        <x:v>0.000899310068993099</x:v>
      </x:c>
    </x:row>
    <x:row r="85" ht="23" customHeight="1">
      <x:c r="A85" s="10" t="str">
        <x:v>M1</x:v>
      </x:c>
      <x:c r="B85" s="10" t="str">
        <x:v>NC_H1</x:v>
      </x:c>
      <x:c r="C85" s="10" t="n">
        <x:v>10</x:v>
      </x:c>
      <x:c r="D85" s="24" t="n">
        <x:v>0</x:v>
      </x:c>
      <x:c r="E85" s="24" t="n">
        <x:v>0</x:v>
      </x:c>
      <x:c r="F85" s="24" t="n">
        <x:f>ABS(D85-E85)</x:f>
        <x:v>0</x:v>
      </x:c>
    </x:row>
    <x:row r="86" ht="23" customHeight="1">
      <x:c r="A86" s="10" t="str">
        <x:v>M1</x:v>
      </x:c>
      <x:c r="B86" s="10" t="str">
        <x:v>NG_H0</x:v>
      </x:c>
      <x:c r="C86" s="10" t="n">
        <x:v>1</x:v>
      </x:c>
      <x:c r="D86" s="24" t="n">
        <x:v>0</x:v>
      </x:c>
      <x:c r="E86" s="24" t="n">
        <x:v>0.0026000000000000007</x:v>
      </x:c>
      <x:c r="F86" s="24" t="n">
        <x:f>ABS(D86-E86)</x:f>
        <x:v>0.0026000000000000007</x:v>
      </x:c>
    </x:row>
    <x:row r="87" ht="23" customHeight="1">
      <x:c r="A87" s="10" t="str">
        <x:v>M1</x:v>
      </x:c>
      <x:c r="B87" s="10" t="str">
        <x:v>NG_H0</x:v>
      </x:c>
      <x:c r="C87" s="10" t="n">
        <x:v>2</x:v>
      </x:c>
      <x:c r="D87" s="24" t="n">
        <x:v>0.0951</x:v>
      </x:c>
      <x:c r="E87" s="24" t="n">
        <x:v>0.08570000000000003</x:v>
      </x:c>
      <x:c r="F87" s="24" t="n">
        <x:f>ABS(D87-E87)</x:f>
        <x:v>0.009399999999999978</x:v>
      </x:c>
    </x:row>
    <x:row r="88" ht="23" customHeight="1">
      <x:c r="A88" s="10" t="str">
        <x:v>M1</x:v>
      </x:c>
      <x:c r="B88" s="10" t="str">
        <x:v>NG_H0</x:v>
      </x:c>
      <x:c r="C88" s="10" t="n">
        <x:v>3</x:v>
      </x:c>
      <x:c r="D88" s="24" t="n">
        <x:v>0.431</x:v>
      </x:c>
      <x:c r="E88" s="24" t="n">
        <x:v>0.35220000000000007</x:v>
      </x:c>
      <x:c r="F88" s="24" t="n">
        <x:f>ABS(D88-E88)</x:f>
        <x:v>0.07879999999999993</x:v>
      </x:c>
    </x:row>
    <x:row r="89" ht="23" customHeight="1">
      <x:c r="A89" s="10" t="str">
        <x:v>M1</x:v>
      </x:c>
      <x:c r="B89" s="10" t="str">
        <x:v>NG_H0</x:v>
      </x:c>
      <x:c r="C89" s="10" t="n">
        <x:v>4</x:v>
      </x:c>
      <x:c r="D89" s="24" t="n">
        <x:v>0.2125</x:v>
      </x:c>
      <x:c r="E89" s="24" t="n">
        <x:v>0.29050000000000004</x:v>
      </x:c>
      <x:c r="F89" s="24" t="n">
        <x:f>ABS(D89-E89)</x:f>
        <x:v>0.07800000000000004</x:v>
      </x:c>
    </x:row>
    <x:row r="90" ht="23" customHeight="1">
      <x:c r="A90" s="10" t="str">
        <x:v>M1</x:v>
      </x:c>
      <x:c r="B90" s="10" t="str">
        <x:v>NG_H0</x:v>
      </x:c>
      <x:c r="C90" s="10" t="n">
        <x:v>5</x:v>
      </x:c>
      <x:c r="D90" s="24" t="n">
        <x:v>0.1791</x:v>
      </x:c>
      <x:c r="E90" s="24" t="n">
        <x:v>0.1705</x:v>
      </x:c>
      <x:c r="F90" s="24" t="n">
        <x:f>ABS(D90-E90)</x:f>
        <x:v>0.008599999999999997</x:v>
      </x:c>
    </x:row>
    <x:row r="91" ht="23" customHeight="1">
      <x:c r="A91" s="10" t="str">
        <x:v>M1</x:v>
      </x:c>
      <x:c r="B91" s="10" t="str">
        <x:v>NG_H0</x:v>
      </x:c>
      <x:c r="C91" s="10" t="n">
        <x:v>6</x:v>
      </x:c>
      <x:c r="D91" s="24" t="n">
        <x:v>0.0617</x:v>
      </x:c>
      <x:c r="E91" s="24" t="n">
        <x:v>0.07280000000000002</x:v>
      </x:c>
      <x:c r="F91" s="24" t="n">
        <x:f>ABS(D91-E91)</x:f>
        <x:v>0.01110000000000002</x:v>
      </x:c>
    </x:row>
    <x:row r="92" ht="23" customHeight="1">
      <x:c r="A92" s="10" t="str">
        <x:v>M1</x:v>
      </x:c>
      <x:c r="B92" s="10" t="str">
        <x:v>NG_H0</x:v>
      </x:c>
      <x:c r="C92" s="10" t="n">
        <x:v>7</x:v>
      </x:c>
      <x:c r="D92" s="24" t="n">
        <x:v>0.0034000000000000002</x:v>
      </x:c>
      <x:c r="E92" s="24" t="n">
        <x:v>0.008600000000000002</x:v>
      </x:c>
      <x:c r="F92" s="24" t="n">
        <x:f>ABS(D92-E92)</x:f>
        <x:v>0.0052000000000000015</x:v>
      </x:c>
    </x:row>
    <x:row r="93" ht="23" customHeight="1">
      <x:c r="A93" s="10" t="str">
        <x:v>M1</x:v>
      </x:c>
      <x:c r="B93" s="10" t="str">
        <x:v>NG_H0</x:v>
      </x:c>
      <x:c r="C93" s="10" t="n">
        <x:v>8</x:v>
      </x:c>
      <x:c r="D93" s="24" t="n">
        <x:v>0.0103</x:v>
      </x:c>
      <x:c r="E93" s="24" t="n">
        <x:v>0.011100000000000004</x:v>
      </x:c>
      <x:c r="F93" s="24" t="n">
        <x:f>ABS(D93-E93)</x:f>
        <x:v>0.0008000000000000038</x:v>
      </x:c>
    </x:row>
    <x:row r="94" ht="23" customHeight="1">
      <x:c r="A94" s="10" t="str">
        <x:v>M1</x:v>
      </x:c>
      <x:c r="B94" s="10" t="str">
        <x:v>NG_H0</x:v>
      </x:c>
      <x:c r="C94" s="10" t="n">
        <x:v>9</x:v>
      </x:c>
      <x:c r="D94" s="24" t="n">
        <x:v>0.0069</x:v>
      </x:c>
      <x:c r="E94" s="24" t="n">
        <x:v>0.006000000000000001</x:v>
      </x:c>
      <x:c r="F94" s="24" t="n">
        <x:f>ABS(D94-E94)</x:f>
        <x:v>0.0008999999999999989</x:v>
      </x:c>
    </x:row>
    <x:row r="95" ht="23" customHeight="1">
      <x:c r="A95" s="10" t="str">
        <x:v>M1</x:v>
      </x:c>
      <x:c r="B95" s="10" t="str">
        <x:v>NG_H0</x:v>
      </x:c>
      <x:c r="C95" s="10" t="n">
        <x:v>10</x:v>
      </x:c>
      <x:c r="D95" s="24" t="n">
        <x:v>0</x:v>
      </x:c>
      <x:c r="E95" s="24" t="n">
        <x:v>0</x:v>
      </x:c>
      <x:c r="F95" s="24" t="n">
        <x:f>ABS(D95-E95)</x:f>
        <x:v>0</x:v>
      </x:c>
    </x:row>
    <x:row r="96" ht="23" customHeight="1">
      <x:c r="A96" s="10" t="str">
        <x:v>M1</x:v>
      </x:c>
      <x:c r="B96" s="10" t="str">
        <x:v>NG_H1</x:v>
      </x:c>
      <x:c r="C96" s="10" t="n">
        <x:v>1</x:v>
      </x:c>
      <x:c r="D96" s="24" t="n">
        <x:v>0</x:v>
      </x:c>
      <x:c r="E96" s="24" t="n">
        <x:v>0.0026000000000000007</x:v>
      </x:c>
      <x:c r="F96" s="24" t="n">
        <x:f>ABS(D96-E96)</x:f>
        <x:v>0.0026000000000000007</x:v>
      </x:c>
    </x:row>
    <x:row r="97" ht="23" customHeight="1">
      <x:c r="A97" s="10" t="str">
        <x:v>M1</x:v>
      </x:c>
      <x:c r="B97" s="10" t="str">
        <x:v>NG_H1</x:v>
      </x:c>
      <x:c r="C97" s="10" t="n">
        <x:v>2</x:v>
      </x:c>
      <x:c r="D97" s="24" t="n">
        <x:v>0.09509049095090491</x:v>
      </x:c>
      <x:c r="E97" s="24" t="n">
        <x:v>0.08570000000000003</x:v>
      </x:c>
      <x:c r="F97" s="24" t="n">
        <x:f>ABS(D97-E97)</x:f>
        <x:v>0.009390490950904884</x:v>
      </x:c>
    </x:row>
    <x:row r="98" ht="23" customHeight="1">
      <x:c r="A98" s="10" t="str">
        <x:v>M1</x:v>
      </x:c>
      <x:c r="B98" s="10" t="str">
        <x:v>NG_H1</x:v>
      </x:c>
      <x:c r="C98" s="10" t="n">
        <x:v>3</x:v>
      </x:c>
      <x:c r="D98" s="24" t="n">
        <x:v>0.3547645235476452</x:v>
      </x:c>
      <x:c r="E98" s="24" t="n">
        <x:v>0.35220000000000007</x:v>
      </x:c>
      <x:c r="F98" s="24" t="n">
        <x:f>ABS(D98-E98)</x:f>
        <x:v>0.0025645235476451367</x:v>
      </x:c>
    </x:row>
    <x:row r="99" ht="23" customHeight="1">
      <x:c r="A99" s="10" t="str">
        <x:v>M1</x:v>
      </x:c>
      <x:c r="B99" s="10" t="str">
        <x:v>NG_H1</x:v>
      </x:c>
      <x:c r="C99" s="10" t="n">
        <x:v>4</x:v>
      </x:c>
      <x:c r="D99" s="24" t="n">
        <x:v>0.27507249275072493</x:v>
      </x:c>
      <x:c r="E99" s="24" t="n">
        <x:v>0.29050000000000004</x:v>
      </x:c>
      <x:c r="F99" s="24" t="n">
        <x:f>ABS(D99-E99)</x:f>
        <x:v>0.015427507249275108</x:v>
      </x:c>
    </x:row>
    <x:row r="100" ht="23" customHeight="1">
      <x:c r="A100" s="10" t="str">
        <x:v>M1</x:v>
      </x:c>
      <x:c r="B100" s="10" t="str">
        <x:v>NG_H1</x:v>
      </x:c>
      <x:c r="C100" s="10" t="n">
        <x:v>5</x:v>
      </x:c>
      <x:c r="D100" s="24" t="n">
        <x:v>0.18248175182481752</x:v>
      </x:c>
      <x:c r="E100" s="24" t="n">
        <x:v>0.1705</x:v>
      </x:c>
      <x:c r="F100" s="24" t="n">
        <x:f>ABS(D100-E100)</x:f>
        <x:v>0.011981751824817505</x:v>
      </x:c>
    </x:row>
    <x:row r="101" ht="23" customHeight="1">
      <x:c r="A101" s="10" t="str">
        <x:v>M1</x:v>
      </x:c>
      <x:c r="B101" s="10" t="str">
        <x:v>NG_H1</x:v>
      </x:c>
      <x:c r="C101" s="10" t="n">
        <x:v>6</x:v>
      </x:c>
      <x:c r="D101" s="24" t="n">
        <x:v>0.0710928907109289</x:v>
      </x:c>
      <x:c r="E101" s="24" t="n">
        <x:v>0.07280000000000002</x:v>
      </x:c>
      <x:c r="F101" s="24" t="n">
        <x:f>ABS(D101-E101)</x:f>
        <x:v>0.0017071092890711126</x:v>
      </x:c>
    </x:row>
    <x:row r="102" ht="23" customHeight="1">
      <x:c r="A102" s="10" t="str">
        <x:v>M1</x:v>
      </x:c>
      <x:c r="B102" s="10" t="str">
        <x:v>NG_H1</x:v>
      </x:c>
      <x:c r="C102" s="10" t="n">
        <x:v>7</x:v>
      </x:c>
      <x:c r="D102" s="24" t="n">
        <x:v>0.0042995700429957</x:v>
      </x:c>
      <x:c r="E102" s="24" t="n">
        <x:v>0.008600000000000002</x:v>
      </x:c>
      <x:c r="F102" s="24" t="n">
        <x:f>ABS(D102-E102)</x:f>
        <x:v>0.004300429957004302</x:v>
      </x:c>
    </x:row>
    <x:row r="103" ht="23" customHeight="1">
      <x:c r="A103" s="10" t="str">
        <x:v>M1</x:v>
      </x:c>
      <x:c r="B103" s="10" t="str">
        <x:v>NG_H1</x:v>
      </x:c>
      <x:c r="C103" s="10" t="n">
        <x:v>8</x:v>
      </x:c>
      <x:c r="D103" s="24" t="n">
        <x:v>0.0102989701029897</x:v>
      </x:c>
      <x:c r="E103" s="24" t="n">
        <x:v>0.011100000000000004</x:v>
      </x:c>
      <x:c r="F103" s="24" t="n">
        <x:f>ABS(D103-E103)</x:f>
        <x:v>0.0008010298970103046</x:v>
      </x:c>
    </x:row>
    <x:row r="104" ht="23" customHeight="1">
      <x:c r="A104" s="10" t="str">
        <x:v>M1</x:v>
      </x:c>
      <x:c r="B104" s="10" t="str">
        <x:v>NG_H1</x:v>
      </x:c>
      <x:c r="C104" s="10" t="n">
        <x:v>9</x:v>
      </x:c>
      <x:c r="D104" s="24" t="n">
        <x:v>0.006899310068993101</x:v>
      </x:c>
      <x:c r="E104" s="24" t="n">
        <x:v>0.006000000000000001</x:v>
      </x:c>
      <x:c r="F104" s="24" t="n">
        <x:f>ABS(D104-E104)</x:f>
        <x:v>0.0008993100689930998</x:v>
      </x:c>
    </x:row>
    <x:row r="105" ht="23" customHeight="1">
      <x:c r="A105" s="10" t="str">
        <x:v>M1</x:v>
      </x:c>
      <x:c r="B105" s="10" t="str">
        <x:v>NG_H1</x:v>
      </x:c>
      <x:c r="C105" s="10" t="n">
        <x:v>10</x:v>
      </x:c>
      <x:c r="D105" s="24" t="n">
        <x:v>0</x:v>
      </x:c>
      <x:c r="E105" s="24" t="n">
        <x:v>0</x:v>
      </x:c>
      <x:c r="F105" s="24" t="n">
        <x:f>ABS(D105-E105)</x:f>
        <x:v>0</x:v>
      </x:c>
    </x:row>
    <x:row r="106" ht="23" customHeight="1">
      <x:c r="A106" s="10" t="str">
        <x:v>M1</x:v>
      </x:c>
      <x:c r="B106" s="10" t="str">
        <x:v>CG_H0</x:v>
      </x:c>
      <x:c r="C106" s="10" t="n">
        <x:v>1</x:v>
      </x:c>
      <x:c r="D106" s="24" t="n">
        <x:v>0</x:v>
      </x:c>
      <x:c r="E106" s="24" t="n">
        <x:v>0.0026000000000000007</x:v>
      </x:c>
      <x:c r="F106" s="24" t="n">
        <x:f>ABS(D106-E106)</x:f>
        <x:v>0.0026000000000000007</x:v>
      </x:c>
    </x:row>
    <x:row r="107" ht="23" customHeight="1">
      <x:c r="A107" s="10" t="str">
        <x:v>M1</x:v>
      </x:c>
      <x:c r="B107" s="10" t="str">
        <x:v>CG_H0</x:v>
      </x:c>
      <x:c r="C107" s="10" t="n">
        <x:v>2</x:v>
      </x:c>
      <x:c r="D107" s="24" t="n">
        <x:v>0.1097</x:v>
      </x:c>
      <x:c r="E107" s="24" t="n">
        <x:v>0.08570000000000003</x:v>
      </x:c>
      <x:c r="F107" s="24" t="n">
        <x:f>ABS(D107-E107)</x:f>
        <x:v>0.02399999999999998</x:v>
      </x:c>
    </x:row>
    <x:row r="108" ht="23" customHeight="1">
      <x:c r="A108" s="10" t="str">
        <x:v>M1</x:v>
      </x:c>
      <x:c r="B108" s="10" t="str">
        <x:v>CG_H0</x:v>
      </x:c>
      <x:c r="C108" s="10" t="n">
        <x:v>3</x:v>
      </x:c>
      <x:c r="D108" s="24" t="n">
        <x:v>0.431</x:v>
      </x:c>
      <x:c r="E108" s="24" t="n">
        <x:v>0.35220000000000007</x:v>
      </x:c>
      <x:c r="F108" s="24" t="n">
        <x:f>ABS(D108-E108)</x:f>
        <x:v>0.07879999999999993</x:v>
      </x:c>
    </x:row>
    <x:row r="109" ht="23" customHeight="1">
      <x:c r="A109" s="10" t="str">
        <x:v>M1</x:v>
      </x:c>
      <x:c r="B109" s="10" t="str">
        <x:v>CG_H0</x:v>
      </x:c>
      <x:c r="C109" s="10" t="n">
        <x:v>4</x:v>
      </x:c>
      <x:c r="D109" s="24" t="n">
        <x:v>0.21850000000000003</x:v>
      </x:c>
      <x:c r="E109" s="24" t="n">
        <x:v>0.29050000000000004</x:v>
      </x:c>
      <x:c r="F109" s="24" t="n">
        <x:f>ABS(D109-E109)</x:f>
        <x:v>0.07200000000000001</x:v>
      </x:c>
    </x:row>
    <x:row r="110" ht="23" customHeight="1">
      <x:c r="A110" s="10" t="str">
        <x:v>M1</x:v>
      </x:c>
      <x:c r="B110" s="10" t="str">
        <x:v>CG_H0</x:v>
      </x:c>
      <x:c r="C110" s="10" t="n">
        <x:v>5</x:v>
      </x:c>
      <x:c r="D110" s="24" t="n">
        <x:v>0.1791</x:v>
      </x:c>
      <x:c r="E110" s="24" t="n">
        <x:v>0.1705</x:v>
      </x:c>
      <x:c r="F110" s="24" t="n">
        <x:f>ABS(D110-E110)</x:f>
        <x:v>0.008599999999999997</x:v>
      </x:c>
    </x:row>
    <x:row r="111" ht="23" customHeight="1">
      <x:c r="A111" s="10" t="str">
        <x:v>M1</x:v>
      </x:c>
      <x:c r="B111" s="10" t="str">
        <x:v>CG_H0</x:v>
      </x:c>
      <x:c r="C111" s="10" t="n">
        <x:v>6</x:v>
      </x:c>
      <x:c r="D111" s="24" t="n">
        <x:v>0.0617</x:v>
      </x:c>
      <x:c r="E111" s="24" t="n">
        <x:v>0.07280000000000002</x:v>
      </x:c>
      <x:c r="F111" s="24" t="n">
        <x:f>ABS(D111-E111)</x:f>
        <x:v>0.01110000000000002</x:v>
      </x:c>
    </x:row>
    <x:row r="112" ht="23" customHeight="1">
      <x:c r="A112" s="10" t="str">
        <x:v>M1</x:v>
      </x:c>
      <x:c r="B112" s="10" t="str">
        <x:v>CG_H0</x:v>
      </x:c>
      <x:c r="C112" s="10" t="n">
        <x:v>7</x:v>
      </x:c>
      <x:c r="D112" s="24" t="n">
        <x:v>0</x:v>
      </x:c>
      <x:c r="E112" s="24" t="n">
        <x:v>0.008600000000000002</x:v>
      </x:c>
      <x:c r="F112" s="24" t="n">
        <x:f>ABS(D112-E112)</x:f>
        <x:v>0.008600000000000002</x:v>
      </x:c>
    </x:row>
    <x:row r="113" ht="23" customHeight="1">
      <x:c r="A113" s="10" t="str">
        <x:v>M1</x:v>
      </x:c>
      <x:c r="B113" s="10" t="str">
        <x:v>CG_H0</x:v>
      </x:c>
      <x:c r="C113" s="10" t="n">
        <x:v>8</x:v>
      </x:c>
      <x:c r="D113" s="24" t="n">
        <x:v>0</x:v>
      </x:c>
      <x:c r="E113" s="24" t="n">
        <x:v>0.011100000000000004</x:v>
      </x:c>
      <x:c r="F113" s="24" t="n">
        <x:f>ABS(D113-E113)</x:f>
        <x:v>0.011100000000000004</x:v>
      </x:c>
    </x:row>
    <x:row r="114" ht="23" customHeight="1">
      <x:c r="A114" s="10" t="str">
        <x:v>M1</x:v>
      </x:c>
      <x:c r="B114" s="10" t="str">
        <x:v>CG_H0</x:v>
      </x:c>
      <x:c r="C114" s="10" t="n">
        <x:v>9</x:v>
      </x:c>
      <x:c r="D114" s="24" t="n">
        <x:v>0</x:v>
      </x:c>
      <x:c r="E114" s="24" t="n">
        <x:v>0.006000000000000001</x:v>
      </x:c>
      <x:c r="F114" s="24" t="n">
        <x:f>ABS(D114-E114)</x:f>
        <x:v>0.006000000000000001</x:v>
      </x:c>
    </x:row>
    <x:row r="115" ht="23" customHeight="1">
      <x:c r="A115" s="10" t="str">
        <x:v>M1</x:v>
      </x:c>
      <x:c r="B115" s="10" t="str">
        <x:v>CG_H0</x:v>
      </x:c>
      <x:c r="C115" s="10" t="n">
        <x:v>10</x:v>
      </x:c>
      <x:c r="D115" s="24" t="n">
        <x:v>0</x:v>
      </x:c>
      <x:c r="E115" s="24" t="n">
        <x:v>0</x:v>
      </x:c>
      <x:c r="F115" s="24" t="n">
        <x:f>ABS(D115-E115)</x:f>
        <x:v>0</x:v>
      </x:c>
    </x:row>
    <x:row r="116" ht="23" customHeight="1">
      <x:c r="A116" s="10" t="str">
        <x:v>M1</x:v>
      </x:c>
      <x:c r="B116" s="10" t="str">
        <x:v>CG_H1</x:v>
      </x:c>
      <x:c r="C116" s="10" t="n">
        <x:v>1</x:v>
      </x:c>
      <x:c r="D116" s="24" t="n">
        <x:v>0</x:v>
      </x:c>
      <x:c r="E116" s="24" t="n">
        <x:v>0.0026000000000000007</x:v>
      </x:c>
      <x:c r="F116" s="24" t="n">
        <x:f>ABS(D116-E116)</x:f>
        <x:v>0.0026000000000000007</x:v>
      </x:c>
    </x:row>
    <x:row r="117" ht="23" customHeight="1">
      <x:c r="A117" s="10" t="str">
        <x:v>M1</x:v>
      </x:c>
      <x:c r="B117" s="10" t="str">
        <x:v>CG_H1</x:v>
      </x:c>
      <x:c r="C117" s="10" t="n">
        <x:v>2</x:v>
      </x:c>
      <x:c r="D117" s="24" t="n">
        <x:v>0.1097</x:v>
      </x:c>
      <x:c r="E117" s="24" t="n">
        <x:v>0.08570000000000003</x:v>
      </x:c>
      <x:c r="F117" s="24" t="n">
        <x:f>ABS(D117-E117)</x:f>
        <x:v>0.02399999999999998</x:v>
      </x:c>
    </x:row>
    <x:row r="118" ht="23" customHeight="1">
      <x:c r="A118" s="10" t="str">
        <x:v>M1</x:v>
      </x:c>
      <x:c r="B118" s="10" t="str">
        <x:v>CG_H1</x:v>
      </x:c>
      <x:c r="C118" s="10" t="n">
        <x:v>3</x:v>
      </x:c>
      <x:c r="D118" s="24" t="n">
        <x:v>0.365</x:v>
      </x:c>
      <x:c r="E118" s="24" t="n">
        <x:v>0.35220000000000007</x:v>
      </x:c>
      <x:c r="F118" s="24" t="n">
        <x:f>ABS(D118-E118)</x:f>
        <x:v>0.012799999999999923</x:v>
      </x:c>
    </x:row>
    <x:row r="119" ht="23" customHeight="1">
      <x:c r="A119" s="10" t="str">
        <x:v>M1</x:v>
      </x:c>
      <x:c r="B119" s="10" t="str">
        <x:v>CG_H1</x:v>
      </x:c>
      <x:c r="C119" s="10" t="n">
        <x:v>4</x:v>
      </x:c>
      <x:c r="D119" s="24" t="n">
        <x:v>0.2811</x:v>
      </x:c>
      <x:c r="E119" s="24" t="n">
        <x:v>0.29050000000000004</x:v>
      </x:c>
      <x:c r="F119" s="24" t="n">
        <x:f>ABS(D119-E119)</x:f>
        <x:v>0.00940000000000002</x:v>
      </x:c>
    </x:row>
    <x:row r="120" ht="23" customHeight="1">
      <x:c r="A120" s="10" t="str">
        <x:v>M1</x:v>
      </x:c>
      <x:c r="B120" s="10" t="str">
        <x:v>CG_H1</x:v>
      </x:c>
      <x:c r="C120" s="10" t="n">
        <x:v>5</x:v>
      </x:c>
      <x:c r="D120" s="24" t="n">
        <x:v>0.1791</x:v>
      </x:c>
      <x:c r="E120" s="24" t="n">
        <x:v>0.1705</x:v>
      </x:c>
      <x:c r="F120" s="24" t="n">
        <x:f>ABS(D120-E120)</x:f>
        <x:v>0.008599999999999997</x:v>
      </x:c>
    </x:row>
    <x:row r="121" ht="23" customHeight="1">
      <x:c r="A121" s="10" t="str">
        <x:v>M1</x:v>
      </x:c>
      <x:c r="B121" s="10" t="str">
        <x:v>CG_H1</x:v>
      </x:c>
      <x:c r="C121" s="10" t="n">
        <x:v>6</x:v>
      </x:c>
      <x:c r="D121" s="24" t="n">
        <x:v>0.06509999999999999</x:v>
      </x:c>
      <x:c r="E121" s="24" t="n">
        <x:v>0.07280000000000002</x:v>
      </x:c>
      <x:c r="F121" s="24" t="n">
        <x:f>ABS(D121-E121)</x:f>
        <x:v>0.007700000000000026</x:v>
      </x:c>
    </x:row>
    <x:row r="122" ht="23" customHeight="1">
      <x:c r="A122" s="10" t="str">
        <x:v>M1</x:v>
      </x:c>
      <x:c r="B122" s="10" t="str">
        <x:v>CG_H1</x:v>
      </x:c>
      <x:c r="C122" s="10" t="n">
        <x:v>7</x:v>
      </x:c>
      <x:c r="D122" s="24" t="n">
        <x:v>0</x:v>
      </x:c>
      <x:c r="E122" s="24" t="n">
        <x:v>0.008600000000000002</x:v>
      </x:c>
      <x:c r="F122" s="24" t="n">
        <x:f>ABS(D122-E122)</x:f>
        <x:v>0.008600000000000002</x:v>
      </x:c>
    </x:row>
    <x:row r="123" ht="23" customHeight="1">
      <x:c r="A123" s="10" t="str">
        <x:v>M1</x:v>
      </x:c>
      <x:c r="B123" s="10" t="str">
        <x:v>CG_H1</x:v>
      </x:c>
      <x:c r="C123" s="10" t="n">
        <x:v>8</x:v>
      </x:c>
      <x:c r="D123" s="24" t="n">
        <x:v>0</x:v>
      </x:c>
      <x:c r="E123" s="24" t="n">
        <x:v>0.011100000000000004</x:v>
      </x:c>
      <x:c r="F123" s="24" t="n">
        <x:f>ABS(D123-E123)</x:f>
        <x:v>0.011100000000000004</x:v>
      </x:c>
    </x:row>
    <x:row r="124" ht="23" customHeight="1">
      <x:c r="A124" s="10" t="str">
        <x:v>M1</x:v>
      </x:c>
      <x:c r="B124" s="10" t="str">
        <x:v>CG_H1</x:v>
      </x:c>
      <x:c r="C124" s="10" t="n">
        <x:v>9</x:v>
      </x:c>
      <x:c r="D124" s="24" t="n">
        <x:v>0</x:v>
      </x:c>
      <x:c r="E124" s="24" t="n">
        <x:v>0.006000000000000001</x:v>
      </x:c>
      <x:c r="F124" s="24" t="n">
        <x:f>ABS(D124-E124)</x:f>
        <x:v>0.006000000000000001</x:v>
      </x:c>
    </x:row>
    <x:row r="125" ht="23" customHeight="1">
      <x:c r="A125" s="10" t="str">
        <x:v>M1</x:v>
      </x:c>
      <x:c r="B125" s="10" t="str">
        <x:v>CG_H1</x:v>
      </x:c>
      <x:c r="C125" s="10" t="n">
        <x:v>10</x:v>
      </x:c>
      <x:c r="D125" s="24" t="n">
        <x:v>0</x:v>
      </x:c>
      <x:c r="E125" s="24" t="n">
        <x:v>0</x:v>
      </x:c>
      <x:c r="F125" s="24" t="n">
        <x:f>ABS(D125-E125)</x:f>
        <x:v>0</x:v>
      </x:c>
    </x:row>
    <x:row r="126" ht="23" customHeight="1">
      <x:c r="A126" s="10" t="str">
        <x:v>M1</x:v>
      </x:c>
      <x:c r="B126" s="10" t="str">
        <x:v>NCG_H0</x:v>
      </x:c>
      <x:c r="C126" s="10" t="n">
        <x:v>1</x:v>
      </x:c>
      <x:c r="D126" s="24" t="n">
        <x:v>0</x:v>
      </x:c>
      <x:c r="E126" s="24" t="n">
        <x:v>0.0026000000000000007</x:v>
      </x:c>
      <x:c r="F126" s="24" t="n">
        <x:f>ABS(D126-E126)</x:f>
        <x:v>0.0026000000000000007</x:v>
      </x:c>
    </x:row>
    <x:row r="127" ht="23" customHeight="1">
      <x:c r="A127" s="10" t="str">
        <x:v>M1</x:v>
      </x:c>
      <x:c r="B127" s="10" t="str">
        <x:v>NCG_H0</x:v>
      </x:c>
      <x:c r="C127" s="10" t="n">
        <x:v>2</x:v>
      </x:c>
      <x:c r="D127" s="24" t="n">
        <x:v>0.08139186081391861</x:v>
      </x:c>
      <x:c r="E127" s="24" t="n">
        <x:v>0.08570000000000003</x:v>
      </x:c>
      <x:c r="F127" s="24" t="n">
        <x:f>ABS(D127-E127)</x:f>
        <x:v>0.004308139186081417</x:v>
      </x:c>
    </x:row>
    <x:row r="128" ht="23" customHeight="1">
      <x:c r="A128" s="10" t="str">
        <x:v>M1</x:v>
      </x:c>
      <x:c r="B128" s="10" t="str">
        <x:v>NCG_H0</x:v>
      </x:c>
      <x:c r="C128" s="10" t="n">
        <x:v>3</x:v>
      </x:c>
      <x:c r="D128" s="24" t="n">
        <x:v>0.4164583541645836</x:v>
      </x:c>
      <x:c r="E128" s="24" t="n">
        <x:v>0.35220000000000007</x:v>
      </x:c>
      <x:c r="F128" s="24" t="n">
        <x:f>ABS(D128-E128)</x:f>
        <x:v>0.06425835416458353</x:v>
      </x:c>
    </x:row>
    <x:row r="129" ht="23" customHeight="1">
      <x:c r="A129" s="10" t="str">
        <x:v>M1</x:v>
      </x:c>
      <x:c r="B129" s="10" t="str">
        <x:v>NCG_H0</x:v>
      </x:c>
      <x:c r="C129" s="10" t="n">
        <x:v>4</x:v>
      </x:c>
      <x:c r="D129" s="24" t="n">
        <x:v>0.23737626237376264</x:v>
      </x:c>
      <x:c r="E129" s="24" t="n">
        <x:v>0.29050000000000004</x:v>
      </x:c>
      <x:c r="F129" s="24" t="n">
        <x:f>ABS(D129-E129)</x:f>
        <x:v>0.0531237376262374</x:v>
      </x:c>
    </x:row>
    <x:row r="130" ht="23" customHeight="1">
      <x:c r="A130" s="10" t="str">
        <x:v>M1</x:v>
      </x:c>
      <x:c r="B130" s="10" t="str">
        <x:v>NCG_H0</x:v>
      </x:c>
      <x:c r="C130" s="10" t="n">
        <x:v>5</x:v>
      </x:c>
      <x:c r="D130" s="24" t="n">
        <x:v>0.17738226177382263</x:v>
      </x:c>
      <x:c r="E130" s="24" t="n">
        <x:v>0.1705</x:v>
      </x:c>
      <x:c r="F130" s="24" t="n">
        <x:f>ABS(D130-E130)</x:f>
        <x:v>0.006882261773822618</x:v>
      </x:c>
    </x:row>
    <x:row r="131" ht="23" customHeight="1">
      <x:c r="A131" s="10" t="str">
        <x:v>M1</x:v>
      </x:c>
      <x:c r="B131" s="10" t="str">
        <x:v>NCG_H0</x:v>
      </x:c>
      <x:c r="C131" s="10" t="n">
        <x:v>6</x:v>
      </x:c>
      <x:c r="D131" s="24" t="n">
        <x:v>0.06679332066793321</x:v>
      </x:c>
      <x:c r="E131" s="24" t="n">
        <x:v>0.07280000000000002</x:v>
      </x:c>
      <x:c r="F131" s="24" t="n">
        <x:f>ABS(D131-E131)</x:f>
        <x:v>0.0060066793320668055</x:v>
      </x:c>
    </x:row>
    <x:row r="132" ht="23" customHeight="1">
      <x:c r="A132" s="10" t="str">
        <x:v>M1</x:v>
      </x:c>
      <x:c r="B132" s="10" t="str">
        <x:v>NCG_H0</x:v>
      </x:c>
      <x:c r="C132" s="10" t="n">
        <x:v>7</x:v>
      </x:c>
      <x:c r="D132" s="24" t="n">
        <x:v>0.0033996600339966003</x:v>
      </x:c>
      <x:c r="E132" s="24" t="n">
        <x:v>0.008600000000000002</x:v>
      </x:c>
      <x:c r="F132" s="24" t="n">
        <x:f>ABS(D132-E132)</x:f>
        <x:v>0.005200339966003401</x:v>
      </x:c>
    </x:row>
    <x:row r="133" ht="23" customHeight="1">
      <x:c r="A133" s="10" t="str">
        <x:v>M1</x:v>
      </x:c>
      <x:c r="B133" s="10" t="str">
        <x:v>NCG_H0</x:v>
      </x:c>
      <x:c r="C133" s="10" t="n">
        <x:v>8</x:v>
      </x:c>
      <x:c r="D133" s="24" t="n">
        <x:v>0.010298970102989701</x:v>
      </x:c>
      <x:c r="E133" s="24" t="n">
        <x:v>0.011100000000000004</x:v>
      </x:c>
      <x:c r="F133" s="24" t="n">
        <x:f>ABS(D133-E133)</x:f>
        <x:v>0.0008010298970103028</x:v>
      </x:c>
    </x:row>
    <x:row r="134" ht="23" customHeight="1">
      <x:c r="A134" s="10" t="str">
        <x:v>M1</x:v>
      </x:c>
      <x:c r="B134" s="10" t="str">
        <x:v>NCG_H0</x:v>
      </x:c>
      <x:c r="C134" s="10" t="n">
        <x:v>9</x:v>
      </x:c>
      <x:c r="D134" s="24" t="n">
        <x:v>0.006899310068993101</x:v>
      </x:c>
      <x:c r="E134" s="24" t="n">
        <x:v>0.006000000000000001</x:v>
      </x:c>
      <x:c r="F134" s="24" t="n">
        <x:f>ABS(D134-E134)</x:f>
        <x:v>0.0008993100689930998</x:v>
      </x:c>
    </x:row>
    <x:row r="135" ht="23" customHeight="1">
      <x:c r="A135" s="10" t="str">
        <x:v>M1</x:v>
      </x:c>
      <x:c r="B135" s="10" t="str">
        <x:v>NCG_H0</x:v>
      </x:c>
      <x:c r="C135" s="10" t="n">
        <x:v>10</x:v>
      </x:c>
      <x:c r="D135" s="24" t="n">
        <x:v>0</x:v>
      </x:c>
      <x:c r="E135" s="24" t="n">
        <x:v>0</x:v>
      </x:c>
      <x:c r="F135" s="24" t="n">
        <x:f>ABS(D135-E135)</x:f>
        <x:v>0</x:v>
      </x:c>
    </x:row>
    <x:row r="136" ht="23" customHeight="1">
      <x:c r="A136" s="10" t="str">
        <x:v>M1</x:v>
      </x:c>
      <x:c r="B136" s="10" t="str">
        <x:v>NCG_H1</x:v>
      </x:c>
      <x:c r="C136" s="10" t="n">
        <x:v>1</x:v>
      </x:c>
      <x:c r="D136" s="24" t="n">
        <x:v>0</x:v>
      </x:c>
      <x:c r="E136" s="24" t="n">
        <x:v>0.0026000000000000007</x:v>
      </x:c>
      <x:c r="F136" s="24" t="n">
        <x:f>ABS(D136-E136)</x:f>
        <x:v>0.0026000000000000007</x:v>
      </x:c>
    </x:row>
    <x:row r="137" ht="23" customHeight="1">
      <x:c r="A137" s="10" t="str">
        <x:v>M1</x:v>
      </x:c>
      <x:c r="B137" s="10" t="str">
        <x:v>NCG_H1</x:v>
      </x:c>
      <x:c r="C137" s="10" t="n">
        <x:v>2</x:v>
      </x:c>
      <x:c r="D137" s="24" t="n">
        <x:v>0.08139186081391861</x:v>
      </x:c>
      <x:c r="E137" s="24" t="n">
        <x:v>0.08570000000000003</x:v>
      </x:c>
      <x:c r="F137" s="24" t="n">
        <x:f>ABS(D137-E137)</x:f>
        <x:v>0.004308139186081417</x:v>
      </x:c>
    </x:row>
    <x:row r="138" ht="23" customHeight="1">
      <x:c r="A138" s="10" t="str">
        <x:v>M1</x:v>
      </x:c>
      <x:c r="B138" s="10" t="str">
        <x:v>NCG_H1</x:v>
      </x:c>
      <x:c r="C138" s="10" t="n">
        <x:v>3</x:v>
      </x:c>
      <x:c r="D138" s="24" t="n">
        <x:v>0.3538646135386461</x:v>
      </x:c>
      <x:c r="E138" s="24" t="n">
        <x:v>0.35220000000000007</x:v>
      </x:c>
      <x:c r="F138" s="24" t="n">
        <x:f>ABS(D138-E138)</x:f>
        <x:v>0.0016646135386460537</x:v>
      </x:c>
    </x:row>
    <x:row r="139" ht="23" customHeight="1">
      <x:c r="A139" s="10" t="str">
        <x:v>M1</x:v>
      </x:c>
      <x:c r="B139" s="10" t="str">
        <x:v>NCG_H1</x:v>
      </x:c>
      <x:c r="C139" s="10" t="n">
        <x:v>4</x:v>
      </x:c>
      <x:c r="D139" s="24" t="n">
        <x:v>0.29217078292170784</x:v>
      </x:c>
      <x:c r="E139" s="24" t="n">
        <x:v>0.29050000000000004</x:v>
      </x:c>
      <x:c r="F139" s="24" t="n">
        <x:f>ABS(D139-E139)</x:f>
        <x:v>0.001670782921707803</x:v>
      </x:c>
    </x:row>
    <x:row r="140" ht="23" customHeight="1">
      <x:c r="A140" s="10" t="str">
        <x:v>M1</x:v>
      </x:c>
      <x:c r="B140" s="10" t="str">
        <x:v>NCG_H1</x:v>
      </x:c>
      <x:c r="C140" s="10" t="n">
        <x:v>5</x:v>
      </x:c>
      <x:c r="D140" s="24" t="n">
        <x:v>0.1773822617738226</x:v>
      </x:c>
      <x:c r="E140" s="24" t="n">
        <x:v>0.1705</x:v>
      </x:c>
      <x:c r="F140" s="24" t="n">
        <x:f>ABS(D140-E140)</x:f>
        <x:v>0.00688226177382259</x:v>
      </x:c>
    </x:row>
    <x:row r="141" ht="23" customHeight="1">
      <x:c r="A141" s="10" t="str">
        <x:v>M1</x:v>
      </x:c>
      <x:c r="B141" s="10" t="str">
        <x:v>NCG_H1</x:v>
      </x:c>
      <x:c r="C141" s="10" t="n">
        <x:v>6</x:v>
      </x:c>
      <x:c r="D141" s="24" t="n">
        <x:v>0.0736926307369263</x:v>
      </x:c>
      <x:c r="E141" s="24" t="n">
        <x:v>0.07280000000000002</x:v>
      </x:c>
      <x:c r="F141" s="24" t="n">
        <x:f>ABS(D141-E141)</x:f>
        <x:v>0.0008926307369262892</x:v>
      </x:c>
    </x:row>
    <x:row r="142" ht="23" customHeight="1">
      <x:c r="A142" s="10" t="str">
        <x:v>M1</x:v>
      </x:c>
      <x:c r="B142" s="10" t="str">
        <x:v>NCG_H1</x:v>
      </x:c>
      <x:c r="C142" s="10" t="n">
        <x:v>7</x:v>
      </x:c>
      <x:c r="D142" s="24" t="n">
        <x:v>0.0042995700429957</x:v>
      </x:c>
      <x:c r="E142" s="24" t="n">
        <x:v>0.008600000000000002</x:v>
      </x:c>
      <x:c r="F142" s="24" t="n">
        <x:f>ABS(D142-E142)</x:f>
        <x:v>0.004300429957004302</x:v>
      </x:c>
    </x:row>
    <x:row r="143" ht="23" customHeight="1">
      <x:c r="A143" s="10" t="str">
        <x:v>M1</x:v>
      </x:c>
      <x:c r="B143" s="10" t="str">
        <x:v>NCG_H1</x:v>
      </x:c>
      <x:c r="C143" s="10" t="n">
        <x:v>8</x:v>
      </x:c>
      <x:c r="D143" s="24" t="n">
        <x:v>0.0102989701029897</x:v>
      </x:c>
      <x:c r="E143" s="24" t="n">
        <x:v>0.011100000000000004</x:v>
      </x:c>
      <x:c r="F143" s="24" t="n">
        <x:f>ABS(D143-E143)</x:f>
        <x:v>0.0008010298970103046</x:v>
      </x:c>
    </x:row>
    <x:row r="144" ht="23" customHeight="1">
      <x:c r="A144" s="10" t="str">
        <x:v>M1</x:v>
      </x:c>
      <x:c r="B144" s="10" t="str">
        <x:v>NCG_H1</x:v>
      </x:c>
      <x:c r="C144" s="10" t="n">
        <x:v>9</x:v>
      </x:c>
      <x:c r="D144" s="24" t="n">
        <x:v>0.006899310068993101</x:v>
      </x:c>
      <x:c r="E144" s="24" t="n">
        <x:v>0.006000000000000001</x:v>
      </x:c>
      <x:c r="F144" s="24" t="n">
        <x:f>ABS(D144-E144)</x:f>
        <x:v>0.0008993100689930998</x:v>
      </x:c>
    </x:row>
    <x:row r="145" ht="23" customHeight="1">
      <x:c r="A145" s="10" t="str">
        <x:v>M1</x:v>
      </x:c>
      <x:c r="B145" s="10" t="str">
        <x:v>NCG_H1</x:v>
      </x:c>
      <x:c r="C145" s="10" t="n">
        <x:v>10</x:v>
      </x:c>
      <x:c r="D145" s="24" t="n">
        <x:v>0</x:v>
      </x:c>
      <x:c r="E145" s="24" t="n">
        <x:v>0</x:v>
      </x:c>
      <x:c r="F145" s="24" t="n">
        <x:f>ABS(D145-E145)</x:f>
        <x:v>0</x:v>
      </x:c>
    </x:row>
    <x:row r="146" ht="23" customHeight="1">
      <x:c r="A146" s="10" t="str">
        <x:v>M2</x:v>
      </x:c>
      <x:c r="B146" s="10" t="str">
        <x:v>N_H0</x:v>
      </x:c>
      <x:c r="C146" s="10" t="n">
        <x:v>1</x:v>
      </x:c>
      <x:c r="D146" s="24" t="n">
        <x:v>0</x:v>
      </x:c>
      <x:c r="E146" s="24" t="n">
        <x:v>0.0047004700470047005</x:v>
      </x:c>
      <x:c r="F146" s="24" t="n">
        <x:f>ABS(D146-E146)</x:f>
        <x:v>0.0047004700470047005</x:v>
      </x:c>
    </x:row>
    <x:row r="147" ht="23" customHeight="1">
      <x:c r="A147" s="10" t="str">
        <x:v>M2</x:v>
      </x:c>
      <x:c r="B147" s="10" t="str">
        <x:v>N_H0</x:v>
      </x:c>
      <x:c r="C147" s="10" t="n">
        <x:v>2</x:v>
      </x:c>
      <x:c r="D147" s="24" t="n">
        <x:v>0.1757</x:v>
      </x:c>
      <x:c r="E147" s="24" t="n">
        <x:v>0.06890689068906891</x:v>
      </x:c>
      <x:c r="F147" s="24" t="n">
        <x:f>ABS(D147-E147)</x:f>
        <x:v>0.10679310931093108</x:v>
      </x:c>
    </x:row>
    <x:row r="148" ht="23" customHeight="1">
      <x:c r="A148" s="10" t="str">
        <x:v>M2</x:v>
      </x:c>
      <x:c r="B148" s="10" t="str">
        <x:v>N_H0</x:v>
      </x:c>
      <x:c r="C148" s="10" t="n">
        <x:v>3</x:v>
      </x:c>
      <x:c r="D148" s="24" t="n">
        <x:v>0.0432</x:v>
      </x:c>
      <x:c r="E148" s="24" t="n">
        <x:v>0.38513851385138514</x:v>
      </x:c>
      <x:c r="F148" s="24" t="n">
        <x:f>ABS(D148-E148)</x:f>
        <x:v>0.34193851385138513</x:v>
      </x:c>
    </x:row>
    <x:row r="149" ht="23" customHeight="1">
      <x:c r="A149" s="10" t="str">
        <x:v>M2</x:v>
      </x:c>
      <x:c r="B149" s="10" t="str">
        <x:v>N_H0</x:v>
      </x:c>
      <x:c r="C149" s="10" t="n">
        <x:v>4</x:v>
      </x:c>
      <x:c r="D149" s="24" t="n">
        <x:v>0</x:v>
      </x:c>
      <x:c r="E149" s="24" t="n">
        <x:v>0.29732973297329734</x:v>
      </x:c>
      <x:c r="F149" s="24" t="n">
        <x:f>ABS(D149-E149)</x:f>
        <x:v>0.29732973297329734</x:v>
      </x:c>
    </x:row>
    <x:row r="150" ht="23" customHeight="1">
      <x:c r="A150" s="10" t="str">
        <x:v>M2</x:v>
      </x:c>
      <x:c r="B150" s="10" t="str">
        <x:v>N_H0</x:v>
      </x:c>
      <x:c r="C150" s="10" t="n">
        <x:v>5</x:v>
      </x:c>
      <x:c r="D150" s="24" t="n">
        <x:v>0.7006999999999999</x:v>
      </x:c>
      <x:c r="E150" s="24" t="n">
        <x:v>0.09530953095309531</x:v>
      </x:c>
      <x:c r="F150" s="24" t="n">
        <x:f>ABS(D150-E150)</x:f>
        <x:v>0.6053904690469045</x:v>
      </x:c>
    </x:row>
    <x:row r="151" ht="23" customHeight="1">
      <x:c r="A151" s="10" t="str">
        <x:v>M2</x:v>
      </x:c>
      <x:c r="B151" s="10" t="str">
        <x:v>N_H0</x:v>
      </x:c>
      <x:c r="C151" s="10" t="n">
        <x:v>6</x:v>
      </x:c>
      <x:c r="D151" s="24" t="n">
        <x:v>0</x:v>
      </x:c>
      <x:c r="E151" s="24" t="n">
        <x:v>0.052705270527052706</x:v>
      </x:c>
      <x:c r="F151" s="24" t="n">
        <x:f>ABS(D151-E151)</x:f>
        <x:v>0.052705270527052706</x:v>
      </x:c>
    </x:row>
    <x:row r="152" ht="23" customHeight="1">
      <x:c r="A152" s="10" t="str">
        <x:v>M2</x:v>
      </x:c>
      <x:c r="B152" s="10" t="str">
        <x:v>N_H0</x:v>
      </x:c>
      <x:c r="C152" s="10" t="n">
        <x:v>7</x:v>
      </x:c>
      <x:c r="D152" s="24" t="n">
        <x:v>0.0040999999999999995</x:v>
      </x:c>
      <x:c r="E152" s="24" t="n">
        <x:v>0.04860486048604861</x:v>
      </x:c>
      <x:c r="F152" s="24" t="n">
        <x:f>ABS(D152-E152)</x:f>
        <x:v>0.04450486048604861</x:v>
      </x:c>
    </x:row>
    <x:row r="153" ht="23" customHeight="1">
      <x:c r="A153" s="10" t="str">
        <x:v>M2</x:v>
      </x:c>
      <x:c r="B153" s="10" t="str">
        <x:v>N_H0</x:v>
      </x:c>
      <x:c r="C153" s="10" t="n">
        <x:v>8</x:v>
      </x:c>
      <x:c r="D153" s="24" t="n">
        <x:v>0.008100000000000001</x:v>
      </x:c>
      <x:c r="E153" s="24" t="n">
        <x:v>0.018901890189018902</x:v>
      </x:c>
      <x:c r="F153" s="24" t="n">
        <x:f>ABS(D153-E153)</x:f>
        <x:v>0.010801890189018901</x:v>
      </x:c>
    </x:row>
    <x:row r="154" ht="23" customHeight="1">
      <x:c r="A154" s="10" t="str">
        <x:v>M2</x:v>
      </x:c>
      <x:c r="B154" s="10" t="str">
        <x:v>N_H0</x:v>
      </x:c>
      <x:c r="C154" s="10" t="n">
        <x:v>9</x:v>
      </x:c>
      <x:c r="D154" s="24" t="n">
        <x:v>0.0682</x:v>
      </x:c>
      <x:c r="E154" s="24" t="n">
        <x:v>0.028402840284028407</x:v>
      </x:c>
      <x:c r="F154" s="24" t="n">
        <x:f>ABS(D154-E154)</x:f>
        <x:v>0.039797159715971586</x:v>
      </x:c>
    </x:row>
    <x:row r="155" ht="23" customHeight="1">
      <x:c r="A155" s="10" t="str">
        <x:v>M2</x:v>
      </x:c>
      <x:c r="B155" s="10" t="str">
        <x:v>N_H0</x:v>
      </x:c>
      <x:c r="C155" s="10" t="n">
        <x:v>10</x:v>
      </x:c>
      <x:c r="D155" s="24" t="n">
        <x:v>0</x:v>
      </x:c>
      <x:c r="E155" s="24" t="n">
        <x:v>0</x:v>
      </x:c>
      <x:c r="F155" s="24" t="n">
        <x:f>ABS(D155-E155)</x:f>
        <x:v>0</x:v>
      </x:c>
    </x:row>
    <x:row r="156" ht="23" customHeight="1">
      <x:c r="A156" s="10" t="str">
        <x:v>M2</x:v>
      </x:c>
      <x:c r="B156" s="10" t="str">
        <x:v>N_H1</x:v>
      </x:c>
      <x:c r="C156" s="10" t="n">
        <x:v>1</x:v>
      </x:c>
      <x:c r="D156" s="24" t="n">
        <x:v>0</x:v>
      </x:c>
      <x:c r="E156" s="24" t="n">
        <x:v>0.0047004700470047005</x:v>
      </x:c>
      <x:c r="F156" s="24" t="n">
        <x:f>ABS(D156-E156)</x:f>
        <x:v>0.0047004700470047005</x:v>
      </x:c>
    </x:row>
    <x:row r="157" ht="23" customHeight="1">
      <x:c r="A157" s="10" t="str">
        <x:v>M2</x:v>
      </x:c>
      <x:c r="B157" s="10" t="str">
        <x:v>N_H1</x:v>
      </x:c>
      <x:c r="C157" s="10" t="n">
        <x:v>2</x:v>
      </x:c>
      <x:c r="D157" s="24" t="n">
        <x:v>0.13038696130386962</x:v>
      </x:c>
      <x:c r="E157" s="24" t="n">
        <x:v>0.06890689068906891</x:v>
      </x:c>
      <x:c r="F157" s="24" t="n">
        <x:f>ABS(D157-E157)</x:f>
        <x:v>0.06148007061480071</x:v>
      </x:c>
    </x:row>
    <x:row r="158" ht="23" customHeight="1">
      <x:c r="A158" s="10" t="str">
        <x:v>M2</x:v>
      </x:c>
      <x:c r="B158" s="10" t="str">
        <x:v>N_H1</x:v>
      </x:c>
      <x:c r="C158" s="10" t="n">
        <x:v>3</x:v>
      </x:c>
      <x:c r="D158" s="24" t="n">
        <x:v>0.009499050094990502</x:v>
      </x:c>
      <x:c r="E158" s="24" t="n">
        <x:v>0.38513851385138514</x:v>
      </x:c>
      <x:c r="F158" s="24" t="n">
        <x:f>ABS(D158-E158)</x:f>
        <x:v>0.3756394637563946</x:v>
      </x:c>
    </x:row>
    <x:row r="159" ht="23" customHeight="1">
      <x:c r="A159" s="10" t="str">
        <x:v>M2</x:v>
      </x:c>
      <x:c r="B159" s="10" t="str">
        <x:v>N_H1</x:v>
      </x:c>
      <x:c r="C159" s="10" t="n">
        <x:v>4</x:v>
      </x:c>
      <x:c r="D159" s="24" t="n">
        <x:v>0</x:v>
      </x:c>
      <x:c r="E159" s="24" t="n">
        <x:v>0.29732973297329734</x:v>
      </x:c>
      <x:c r="F159" s="24" t="n">
        <x:f>ABS(D159-E159)</x:f>
        <x:v>0.29732973297329734</x:v>
      </x:c>
    </x:row>
    <x:row r="160" ht="23" customHeight="1">
      <x:c r="A160" s="10" t="str">
        <x:v>M2</x:v>
      </x:c>
      <x:c r="B160" s="10" t="str">
        <x:v>N_H1</x:v>
      </x:c>
      <x:c r="C160" s="10" t="n">
        <x:v>5</x:v>
      </x:c>
      <x:c r="D160" s="24" t="n">
        <x:v>0.7006299370062993</x:v>
      </x:c>
      <x:c r="E160" s="24" t="n">
        <x:v>0.09530953095309531</x:v>
      </x:c>
      <x:c r="F160" s="24" t="n">
        <x:f>ABS(D160-E160)</x:f>
        <x:v>0.6053204060532039</x:v>
      </x:c>
    </x:row>
    <x:row r="161" ht="23" customHeight="1">
      <x:c r="A161" s="10" t="str">
        <x:v>M2</x:v>
      </x:c>
      <x:c r="B161" s="10" t="str">
        <x:v>N_H1</x:v>
      </x:c>
      <x:c r="C161" s="10" t="n">
        <x:v>6</x:v>
      </x:c>
      <x:c r="D161" s="24" t="n">
        <x:v>0.031796820317968204</x:v>
      </x:c>
      <x:c r="E161" s="24" t="n">
        <x:v>0.052705270527052706</x:v>
      </x:c>
      <x:c r="F161" s="24" t="n">
        <x:f>ABS(D161-E161)</x:f>
        <x:v>0.020908450209084502</x:v>
      </x:c>
    </x:row>
    <x:row r="162" ht="23" customHeight="1">
      <x:c r="A162" s="10" t="str">
        <x:v>M2</x:v>
      </x:c>
      <x:c r="B162" s="10" t="str">
        <x:v>N_H1</x:v>
      </x:c>
      <x:c r="C162" s="10" t="n">
        <x:v>7</x:v>
      </x:c>
      <x:c r="D162" s="24" t="n">
        <x:v>0.051394860513948606</x:v>
      </x:c>
      <x:c r="E162" s="24" t="n">
        <x:v>0.04860486048604861</x:v>
      </x:c>
      <x:c r="F162" s="24" t="n">
        <x:f>ABS(D162-E162)</x:f>
        <x:v>0.0027900000278999956</x:v>
      </x:c>
    </x:row>
    <x:row r="163" ht="23" customHeight="1">
      <x:c r="A163" s="10" t="str">
        <x:v>M2</x:v>
      </x:c>
      <x:c r="B163" s="10" t="str">
        <x:v>N_H1</x:v>
      </x:c>
      <x:c r="C163" s="10" t="n">
        <x:v>8</x:v>
      </x:c>
      <x:c r="D163" s="24" t="n">
        <x:v>0.008099190080991902</x:v>
      </x:c>
      <x:c r="E163" s="24" t="n">
        <x:v>0.018901890189018902</x:v>
      </x:c>
      <x:c r="F163" s="24" t="n">
        <x:f>ABS(D163-E163)</x:f>
        <x:v>0.010802700108027</x:v>
      </x:c>
    </x:row>
    <x:row r="164" ht="23" customHeight="1">
      <x:c r="A164" s="10" t="str">
        <x:v>M2</x:v>
      </x:c>
      <x:c r="B164" s="10" t="str">
        <x:v>N_H1</x:v>
      </x:c>
      <x:c r="C164" s="10" t="n">
        <x:v>9</x:v>
      </x:c>
      <x:c r="D164" s="24" t="n">
        <x:v>0.06819318068193181</x:v>
      </x:c>
      <x:c r="E164" s="24" t="n">
        <x:v>0.028402840284028407</x:v>
      </x:c>
      <x:c r="F164" s="24" t="n">
        <x:f>ABS(D164-E164)</x:f>
        <x:v>0.0397903403979034</x:v>
      </x:c>
    </x:row>
    <x:row r="165" ht="23" customHeight="1">
      <x:c r="A165" s="10" t="str">
        <x:v>M2</x:v>
      </x:c>
      <x:c r="B165" s="10" t="str">
        <x:v>N_H1</x:v>
      </x:c>
      <x:c r="C165" s="10" t="n">
        <x:v>10</x:v>
      </x:c>
      <x:c r="D165" s="24" t="n">
        <x:v>0</x:v>
      </x:c>
      <x:c r="E165" s="24" t="n">
        <x:v>0</x:v>
      </x:c>
      <x:c r="F165" s="24" t="n">
        <x:f>ABS(D165-E165)</x:f>
        <x:v>0</x:v>
      </x:c>
    </x:row>
    <x:row r="166" ht="23" customHeight="1">
      <x:c r="A166" s="10" t="str">
        <x:v>M2</x:v>
      </x:c>
      <x:c r="B166" s="10" t="str">
        <x:v>C_H0</x:v>
      </x:c>
      <x:c r="C166" s="10" t="n">
        <x:v>1</x:v>
      </x:c>
      <x:c r="D166" s="24" t="n">
        <x:v>0</x:v>
      </x:c>
      <x:c r="E166" s="24" t="n">
        <x:v>0.0047004700470047005</x:v>
      </x:c>
      <x:c r="F166" s="24" t="n">
        <x:f>ABS(D166-E166)</x:f>
        <x:v>0.0047004700470047005</x:v>
      </x:c>
    </x:row>
    <x:row r="167" ht="23" customHeight="1">
      <x:c r="A167" s="10" t="str">
        <x:v>M2</x:v>
      </x:c>
      <x:c r="B167" s="10" t="str">
        <x:v>C_H0</x:v>
      </x:c>
      <x:c r="C167" s="10" t="n">
        <x:v>2</x:v>
      </x:c>
      <x:c r="D167" s="24" t="n">
        <x:v>0.3757</x:v>
      </x:c>
      <x:c r="E167" s="24" t="n">
        <x:v>0.06890689068906891</x:v>
      </x:c>
      <x:c r="F167" s="24" t="n">
        <x:f>ABS(D167-E167)</x:f>
        <x:v>0.30679310931093107</x:v>
      </x:c>
    </x:row>
    <x:row r="168" ht="23" customHeight="1">
      <x:c r="A168" s="10" t="str">
        <x:v>M2</x:v>
      </x:c>
      <x:c r="B168" s="10" t="str">
        <x:v>C_H0</x:v>
      </x:c>
      <x:c r="C168" s="10" t="n">
        <x:v>3</x:v>
      </x:c>
      <x:c r="D168" s="24" t="n">
        <x:v>0</x:v>
      </x:c>
      <x:c r="E168" s="24" t="n">
        <x:v>0.38513851385138514</x:v>
      </x:c>
      <x:c r="F168" s="24" t="n">
        <x:f>ABS(D168-E168)</x:f>
        <x:v>0.38513851385138514</x:v>
      </x:c>
    </x:row>
    <x:row r="169" ht="23" customHeight="1">
      <x:c r="A169" s="10" t="str">
        <x:v>M2</x:v>
      </x:c>
      <x:c r="B169" s="10" t="str">
        <x:v>C_H0</x:v>
      </x:c>
      <x:c r="C169" s="10" t="n">
        <x:v>4</x:v>
      </x:c>
      <x:c r="D169" s="24" t="n">
        <x:v>0</x:v>
      </x:c>
      <x:c r="E169" s="24" t="n">
        <x:v>0.29732973297329734</x:v>
      </x:c>
      <x:c r="F169" s="24" t="n">
        <x:f>ABS(D169-E169)</x:f>
        <x:v>0.29732973297329734</x:v>
      </x:c>
    </x:row>
    <x:row r="170" ht="23" customHeight="1">
      <x:c r="A170" s="10" t="str">
        <x:v>M2</x:v>
      </x:c>
      <x:c r="B170" s="10" t="str">
        <x:v>C_H0</x:v>
      </x:c>
      <x:c r="C170" s="10" t="n">
        <x:v>5</x:v>
      </x:c>
      <x:c r="D170" s="24" t="n">
        <x:v>0.6236</x:v>
      </x:c>
      <x:c r="E170" s="24" t="n">
        <x:v>0.09530953095309531</x:v>
      </x:c>
      <x:c r="F170" s="24" t="n">
        <x:f>ABS(D170-E170)</x:f>
        <x:v>0.5282904690469047</x:v>
      </x:c>
    </x:row>
    <x:row r="171" ht="23" customHeight="1">
      <x:c r="A171" s="10" t="str">
        <x:v>M2</x:v>
      </x:c>
      <x:c r="B171" s="10" t="str">
        <x:v>C_H0</x:v>
      </x:c>
      <x:c r="C171" s="10" t="n">
        <x:v>6</x:v>
      </x:c>
      <x:c r="D171" s="24" t="n">
        <x:v>0</x:v>
      </x:c>
      <x:c r="E171" s="24" t="n">
        <x:v>0.052705270527052706</x:v>
      </x:c>
      <x:c r="F171" s="24" t="n">
        <x:f>ABS(D171-E171)</x:f>
        <x:v>0.052705270527052706</x:v>
      </x:c>
    </x:row>
    <x:row r="172" ht="23" customHeight="1">
      <x:c r="A172" s="10" t="str">
        <x:v>M2</x:v>
      </x:c>
      <x:c r="B172" s="10" t="str">
        <x:v>C_H0</x:v>
      </x:c>
      <x:c r="C172" s="10" t="n">
        <x:v>7</x:v>
      </x:c>
      <x:c r="D172" s="24" t="n">
        <x:v>0</x:v>
      </x:c>
      <x:c r="E172" s="24" t="n">
        <x:v>0.04860486048604861</x:v>
      </x:c>
      <x:c r="F172" s="24" t="n">
        <x:f>ABS(D172-E172)</x:f>
        <x:v>0.04860486048604861</x:v>
      </x:c>
    </x:row>
    <x:row r="173" ht="23" customHeight="1">
      <x:c r="A173" s="10" t="str">
        <x:v>M2</x:v>
      </x:c>
      <x:c r="B173" s="10" t="str">
        <x:v>C_H0</x:v>
      </x:c>
      <x:c r="C173" s="10" t="n">
        <x:v>8</x:v>
      </x:c>
      <x:c r="D173" s="24" t="n">
        <x:v>0</x:v>
      </x:c>
      <x:c r="E173" s="24" t="n">
        <x:v>0.018901890189018902</x:v>
      </x:c>
      <x:c r="F173" s="24" t="n">
        <x:f>ABS(D173-E173)</x:f>
        <x:v>0.018901890189018902</x:v>
      </x:c>
    </x:row>
    <x:row r="174" ht="23" customHeight="1">
      <x:c r="A174" s="10" t="str">
        <x:v>M2</x:v>
      </x:c>
      <x:c r="B174" s="10" t="str">
        <x:v>C_H0</x:v>
      </x:c>
      <x:c r="C174" s="10" t="n">
        <x:v>9</x:v>
      </x:c>
      <x:c r="D174" s="24" t="n">
        <x:v>0.0007000000000000001</x:v>
      </x:c>
      <x:c r="E174" s="24" t="n">
        <x:v>0.028402840284028407</x:v>
      </x:c>
      <x:c r="F174" s="24" t="n">
        <x:f>ABS(D174-E174)</x:f>
        <x:v>0.027702840284028408</x:v>
      </x:c>
    </x:row>
    <x:row r="175" ht="23" customHeight="1">
      <x:c r="A175" s="10" t="str">
        <x:v>M2</x:v>
      </x:c>
      <x:c r="B175" s="10" t="str">
        <x:v>C_H0</x:v>
      </x:c>
      <x:c r="C175" s="10" t="n">
        <x:v>10</x:v>
      </x:c>
      <x:c r="D175" s="24" t="n">
        <x:v>0</x:v>
      </x:c>
      <x:c r="E175" s="24" t="n">
        <x:v>0</x:v>
      </x:c>
      <x:c r="F175" s="24" t="n">
        <x:f>ABS(D175-E175)</x:f>
        <x:v>0</x:v>
      </x:c>
    </x:row>
    <x:row r="176" ht="23" customHeight="1">
      <x:c r="A176" s="10" t="str">
        <x:v>M2</x:v>
      </x:c>
      <x:c r="B176" s="10" t="str">
        <x:v>C_H1</x:v>
      </x:c>
      <x:c r="C176" s="10" t="n">
        <x:v>1</x:v>
      </x:c>
      <x:c r="D176" s="24" t="n">
        <x:v>0</x:v>
      </x:c>
      <x:c r="E176" s="24" t="n">
        <x:v>0.0047004700470047005</x:v>
      </x:c>
      <x:c r="F176" s="24" t="n">
        <x:f>ABS(D176-E176)</x:f>
        <x:v>0.0047004700470047005</x:v>
      </x:c>
    </x:row>
    <x:row r="177" ht="23" customHeight="1">
      <x:c r="A177" s="10" t="str">
        <x:v>M2</x:v>
      </x:c>
      <x:c r="B177" s="10" t="str">
        <x:v>C_H1</x:v>
      </x:c>
      <x:c r="C177" s="10" t="n">
        <x:v>2</x:v>
      </x:c>
      <x:c r="D177" s="24" t="n">
        <x:v>0.3054</x:v>
      </x:c>
      <x:c r="E177" s="24" t="n">
        <x:v>0.06890689068906891</x:v>
      </x:c>
      <x:c r="F177" s="24" t="n">
        <x:f>ABS(D177-E177)</x:f>
        <x:v>0.2364931093109311</x:v>
      </x:c>
    </x:row>
    <x:row r="178" ht="23" customHeight="1">
      <x:c r="A178" s="10" t="str">
        <x:v>M2</x:v>
      </x:c>
      <x:c r="B178" s="10" t="str">
        <x:v>C_H1</x:v>
      </x:c>
      <x:c r="C178" s="10" t="n">
        <x:v>3</x:v>
      </x:c>
      <x:c r="D178" s="24" t="n">
        <x:v>0</x:v>
      </x:c>
      <x:c r="E178" s="24" t="n">
        <x:v>0.38513851385138514</x:v>
      </x:c>
      <x:c r="F178" s="24" t="n">
        <x:f>ABS(D178-E178)</x:f>
        <x:v>0.38513851385138514</x:v>
      </x:c>
    </x:row>
    <x:row r="179" ht="23" customHeight="1">
      <x:c r="A179" s="10" t="str">
        <x:v>M2</x:v>
      </x:c>
      <x:c r="B179" s="10" t="str">
        <x:v>C_H1</x:v>
      </x:c>
      <x:c r="C179" s="10" t="n">
        <x:v>4</x:v>
      </x:c>
      <x:c r="D179" s="24" t="n">
        <x:v>0</x:v>
      </x:c>
      <x:c r="E179" s="24" t="n">
        <x:v>0.29732973297329734</x:v>
      </x:c>
      <x:c r="F179" s="24" t="n">
        <x:f>ABS(D179-E179)</x:f>
        <x:v>0.29732973297329734</x:v>
      </x:c>
    </x:row>
    <x:row r="180" ht="23" customHeight="1">
      <x:c r="A180" s="10" t="str">
        <x:v>M2</x:v>
      </x:c>
      <x:c r="B180" s="10" t="str">
        <x:v>C_H1</x:v>
      </x:c>
      <x:c r="C180" s="10" t="n">
        <x:v>5</x:v>
      </x:c>
      <x:c r="D180" s="24" t="n">
        <x:v>0.6236</x:v>
      </x:c>
      <x:c r="E180" s="24" t="n">
        <x:v>0.09530953095309531</x:v>
      </x:c>
      <x:c r="F180" s="24" t="n">
        <x:f>ABS(D180-E180)</x:f>
        <x:v>0.5282904690469047</x:v>
      </x:c>
    </x:row>
    <x:row r="181" ht="23" customHeight="1">
      <x:c r="A181" s="10" t="str">
        <x:v>M2</x:v>
      </x:c>
      <x:c r="B181" s="10" t="str">
        <x:v>C_H1</x:v>
      </x:c>
      <x:c r="C181" s="10" t="n">
        <x:v>6</x:v>
      </x:c>
      <x:c r="D181" s="24" t="n">
        <x:v>0</x:v>
      </x:c>
      <x:c r="E181" s="24" t="n">
        <x:v>0.052705270527052706</x:v>
      </x:c>
      <x:c r="F181" s="24" t="n">
        <x:f>ABS(D181-E181)</x:f>
        <x:v>0.052705270527052706</x:v>
      </x:c>
    </x:row>
    <x:row r="182" ht="23" customHeight="1">
      <x:c r="A182" s="10" t="str">
        <x:v>M2</x:v>
      </x:c>
      <x:c r="B182" s="10" t="str">
        <x:v>C_H1</x:v>
      </x:c>
      <x:c r="C182" s="10" t="n">
        <x:v>7</x:v>
      </x:c>
      <x:c r="D182" s="24" t="n">
        <x:v>0.0703</x:v>
      </x:c>
      <x:c r="E182" s="24" t="n">
        <x:v>0.04860486048604861</x:v>
      </x:c>
      <x:c r="F182" s="24" t="n">
        <x:f>ABS(D182-E182)</x:f>
        <x:v>0.02169513951395139</x:v>
      </x:c>
    </x:row>
    <x:row r="183" ht="23" customHeight="1">
      <x:c r="A183" s="10" t="str">
        <x:v>M2</x:v>
      </x:c>
      <x:c r="B183" s="10" t="str">
        <x:v>C_H1</x:v>
      </x:c>
      <x:c r="C183" s="10" t="n">
        <x:v>8</x:v>
      </x:c>
      <x:c r="D183" s="24" t="n">
        <x:v>0</x:v>
      </x:c>
      <x:c r="E183" s="24" t="n">
        <x:v>0.018901890189018902</x:v>
      </x:c>
      <x:c r="F183" s="24" t="n">
        <x:f>ABS(D183-E183)</x:f>
        <x:v>0.018901890189018902</x:v>
      </x:c>
    </x:row>
    <x:row r="184" ht="23" customHeight="1">
      <x:c r="A184" s="10" t="str">
        <x:v>M2</x:v>
      </x:c>
      <x:c r="B184" s="10" t="str">
        <x:v>C_H1</x:v>
      </x:c>
      <x:c r="C184" s="10" t="n">
        <x:v>9</x:v>
      </x:c>
      <x:c r="D184" s="24" t="n">
        <x:v>0.0007000000000000001</x:v>
      </x:c>
      <x:c r="E184" s="24" t="n">
        <x:v>0.028402840284028407</x:v>
      </x:c>
      <x:c r="F184" s="24" t="n">
        <x:f>ABS(D184-E184)</x:f>
        <x:v>0.027702840284028408</x:v>
      </x:c>
    </x:row>
    <x:row r="185" ht="23" customHeight="1">
      <x:c r="A185" s="10" t="str">
        <x:v>M2</x:v>
      </x:c>
      <x:c r="B185" s="10" t="str">
        <x:v>C_H1</x:v>
      </x:c>
      <x:c r="C185" s="10" t="n">
        <x:v>10</x:v>
      </x:c>
      <x:c r="D185" s="24" t="n">
        <x:v>0</x:v>
      </x:c>
      <x:c r="E185" s="24" t="n">
        <x:v>0</x:v>
      </x:c>
      <x:c r="F185" s="24" t="n">
        <x:f>ABS(D185-E185)</x:f>
        <x:v>0</x:v>
      </x:c>
    </x:row>
    <x:row r="186" ht="23" customHeight="1">
      <x:c r="A186" s="10" t="str">
        <x:v>M2</x:v>
      </x:c>
      <x:c r="B186" s="10" t="str">
        <x:v>G_H0</x:v>
      </x:c>
      <x:c r="C186" s="10" t="n">
        <x:v>1</x:v>
      </x:c>
      <x:c r="D186" s="24" t="n">
        <x:v>0</x:v>
      </x:c>
      <x:c r="E186" s="24" t="n">
        <x:v>0.0047004700470047005</x:v>
      </x:c>
      <x:c r="F186" s="24" t="n">
        <x:f>ABS(D186-E186)</x:f>
        <x:v>0.0047004700470047005</x:v>
      </x:c>
    </x:row>
    <x:row r="187" ht="23" customHeight="1">
      <x:c r="A187" s="10" t="str">
        <x:v>M2</x:v>
      </x:c>
      <x:c r="B187" s="10" t="str">
        <x:v>G_H0</x:v>
      </x:c>
      <x:c r="C187" s="10" t="n">
        <x:v>2</x:v>
      </x:c>
      <x:c r="D187" s="24" t="n">
        <x:v>0.05740574057405741</x:v>
      </x:c>
      <x:c r="E187" s="24" t="n">
        <x:v>0.06890689068906891</x:v>
      </x:c>
      <x:c r="F187" s="24" t="n">
        <x:f>ABS(D187-E187)</x:f>
        <x:v>0.011501150115011502</x:v>
      </x:c>
    </x:row>
    <x:row r="188" ht="23" customHeight="1">
      <x:c r="A188" s="10" t="str">
        <x:v>M2</x:v>
      </x:c>
      <x:c r="B188" s="10" t="str">
        <x:v>G_H0</x:v>
      </x:c>
      <x:c r="C188" s="10" t="n">
        <x:v>3</x:v>
      </x:c>
      <x:c r="D188" s="24" t="n">
        <x:v>0.5736573657365737</x:v>
      </x:c>
      <x:c r="E188" s="24" t="n">
        <x:v>0.38513851385138514</x:v>
      </x:c>
      <x:c r="F188" s="24" t="n">
        <x:f>ABS(D188-E188)</x:f>
        <x:v>0.18851885188518852</x:v>
      </x:c>
    </x:row>
    <x:row r="189" ht="23" customHeight="1">
      <x:c r="A189" s="10" t="str">
        <x:v>M2</x:v>
      </x:c>
      <x:c r="B189" s="10" t="str">
        <x:v>G_H0</x:v>
      </x:c>
      <x:c r="C189" s="10" t="n">
        <x:v>4</x:v>
      </x:c>
      <x:c r="D189" s="24" t="n">
        <x:v>0.29122912291229125</x:v>
      </x:c>
      <x:c r="E189" s="24" t="n">
        <x:v>0.29732973297329734</x:v>
      </x:c>
      <x:c r="F189" s="24" t="n">
        <x:f>ABS(D189-E189)</x:f>
        <x:v>0.006100610061006095</x:v>
      </x:c>
    </x:row>
    <x:row r="190" ht="23" customHeight="1">
      <x:c r="A190" s="10" t="str">
        <x:v>M2</x:v>
      </x:c>
      <x:c r="B190" s="10" t="str">
        <x:v>G_H0</x:v>
      </x:c>
      <x:c r="C190" s="10" t="n">
        <x:v>5</x:v>
      </x:c>
      <x:c r="D190" s="24" t="n">
        <x:v>0.06490649064906491</x:v>
      </x:c>
      <x:c r="E190" s="24" t="n">
        <x:v>0.09530953095309531</x:v>
      </x:c>
      <x:c r="F190" s="24" t="n">
        <x:f>ABS(D190-E190)</x:f>
        <x:v>0.030403040304030404</x:v>
      </x:c>
    </x:row>
    <x:row r="191" ht="23" customHeight="1">
      <x:c r="A191" s="10" t="str">
        <x:v>M2</x:v>
      </x:c>
      <x:c r="B191" s="10" t="str">
        <x:v>G_H0</x:v>
      </x:c>
      <x:c r="C191" s="10" t="n">
        <x:v>6</x:v>
      </x:c>
      <x:c r="D191" s="24" t="n">
        <x:v>0.012801280128012802</x:v>
      </x:c>
      <x:c r="E191" s="24" t="n">
        <x:v>0.052705270527052706</x:v>
      </x:c>
      <x:c r="F191" s="24" t="n">
        <x:f>ABS(D191-E191)</x:f>
        <x:v>0.039903990399039906</x:v>
      </x:c>
    </x:row>
    <x:row r="192" ht="23" customHeight="1">
      <x:c r="A192" s="10" t="str">
        <x:v>M2</x:v>
      </x:c>
      <x:c r="B192" s="10" t="str">
        <x:v>G_H0</x:v>
      </x:c>
      <x:c r="C192" s="10" t="n">
        <x:v>7</x:v>
      </x:c>
      <x:c r="D192" s="24" t="n">
        <x:v>0</x:v>
      </x:c>
      <x:c r="E192" s="24" t="n">
        <x:v>0.04860486048604861</x:v>
      </x:c>
      <x:c r="F192" s="24" t="n">
        <x:f>ABS(D192-E192)</x:f>
        <x:v>0.04860486048604861</x:v>
      </x:c>
    </x:row>
    <x:row r="193" ht="23" customHeight="1">
      <x:c r="A193" s="10" t="str">
        <x:v>M2</x:v>
      </x:c>
      <x:c r="B193" s="10" t="str">
        <x:v>G_H0</x:v>
      </x:c>
      <x:c r="C193" s="10" t="n">
        <x:v>8</x:v>
      </x:c>
      <x:c r="D193" s="24" t="n">
        <x:v>0</x:v>
      </x:c>
      <x:c r="E193" s="24" t="n">
        <x:v>0.018901890189018902</x:v>
      </x:c>
      <x:c r="F193" s="24" t="n">
        <x:f>ABS(D193-E193)</x:f>
        <x:v>0.018901890189018902</x:v>
      </x:c>
    </x:row>
    <x:row r="194" ht="23" customHeight="1">
      <x:c r="A194" s="10" t="str">
        <x:v>M2</x:v>
      </x:c>
      <x:c r="B194" s="10" t="str">
        <x:v>G_H0</x:v>
      </x:c>
      <x:c r="C194" s="10" t="n">
        <x:v>9</x:v>
      </x:c>
      <x:c r="D194" s="24" t="n">
        <x:v>0</x:v>
      </x:c>
      <x:c r="E194" s="24" t="n">
        <x:v>0.028402840284028407</x:v>
      </x:c>
      <x:c r="F194" s="24" t="n">
        <x:f>ABS(D194-E194)</x:f>
        <x:v>0.028402840284028407</x:v>
      </x:c>
    </x:row>
    <x:row r="195" ht="23" customHeight="1">
      <x:c r="A195" s="10" t="str">
        <x:v>M2</x:v>
      </x:c>
      <x:c r="B195" s="10" t="str">
        <x:v>G_H0</x:v>
      </x:c>
      <x:c r="C195" s="10" t="n">
        <x:v>10</x:v>
      </x:c>
      <x:c r="D195" s="24" t="n">
        <x:v>0</x:v>
      </x:c>
      <x:c r="E195" s="24" t="n">
        <x:v>0</x:v>
      </x:c>
      <x:c r="F195" s="24" t="n">
        <x:f>ABS(D195-E195)</x:f>
        <x:v>0</x:v>
      </x:c>
    </x:row>
    <x:row r="196" ht="23" customHeight="1">
      <x:c r="A196" s="10" t="str">
        <x:v>M2</x:v>
      </x:c>
      <x:c r="B196" s="10" t="str">
        <x:v>G_H1</x:v>
      </x:c>
      <x:c r="C196" s="10" t="n">
        <x:v>1</x:v>
      </x:c>
      <x:c r="D196" s="24" t="n">
        <x:v>0</x:v>
      </x:c>
      <x:c r="E196" s="24" t="n">
        <x:v>0.0047004700470047005</x:v>
      </x:c>
      <x:c r="F196" s="24" t="n">
        <x:f>ABS(D196-E196)</x:f>
        <x:v>0.0047004700470047005</x:v>
      </x:c>
    </x:row>
    <x:row r="197" ht="23" customHeight="1">
      <x:c r="A197" s="10" t="str">
        <x:v>M2</x:v>
      </x:c>
      <x:c r="B197" s="10" t="str">
        <x:v>G_H1</x:v>
      </x:c>
      <x:c r="C197" s="10" t="n">
        <x:v>2</x:v>
      </x:c>
      <x:c r="D197" s="24" t="n">
        <x:v>0.0203</x:v>
      </x:c>
      <x:c r="E197" s="24" t="n">
        <x:v>0.06890689068906891</x:v>
      </x:c>
      <x:c r="F197" s="24" t="n">
        <x:f>ABS(D197-E197)</x:f>
        <x:v>0.04860689068906891</x:v>
      </x:c>
    </x:row>
    <x:row r="198" ht="23" customHeight="1">
      <x:c r="A198" s="10" t="str">
        <x:v>M2</x:v>
      </x:c>
      <x:c r="B198" s="10" t="str">
        <x:v>G_H1</x:v>
      </x:c>
      <x:c r="C198" s="10" t="n">
        <x:v>3</x:v>
      </x:c>
      <x:c r="D198" s="24" t="n">
        <x:v>0.5608</x:v>
      </x:c>
      <x:c r="E198" s="24" t="n">
        <x:v>0.38513851385138514</x:v>
      </x:c>
      <x:c r="F198" s="24" t="n">
        <x:f>ABS(D198-E198)</x:f>
        <x:v>0.17566148614861482</x:v>
      </x:c>
    </x:row>
    <x:row r="199" ht="23" customHeight="1">
      <x:c r="A199" s="10" t="str">
        <x:v>M2</x:v>
      </x:c>
      <x:c r="B199" s="10" t="str">
        <x:v>G_H1</x:v>
      </x:c>
      <x:c r="C199" s="10" t="n">
        <x:v>4</x:v>
      </x:c>
      <x:c r="D199" s="24" t="n">
        <x:v>0.3223</x:v>
      </x:c>
      <x:c r="E199" s="24" t="n">
        <x:v>0.29732973297329734</x:v>
      </x:c>
      <x:c r="F199" s="24" t="n">
        <x:f>ABS(D199-E199)</x:f>
        <x:v>0.02497026702670263</x:v>
      </x:c>
    </x:row>
    <x:row r="200" ht="23" customHeight="1">
      <x:c r="A200" s="10" t="str">
        <x:v>M2</x:v>
      </x:c>
      <x:c r="B200" s="10" t="str">
        <x:v>G_H1</x:v>
      </x:c>
      <x:c r="C200" s="10" t="n">
        <x:v>5</x:v>
      </x:c>
      <x:c r="D200" s="24" t="n">
        <x:v>0.08380000000000001</x:v>
      </x:c>
      <x:c r="E200" s="24" t="n">
        <x:v>0.09530953095309531</x:v>
      </x:c>
      <x:c r="F200" s="24" t="n">
        <x:f>ABS(D200-E200)</x:f>
        <x:v>0.011509530953095301</x:v>
      </x:c>
    </x:row>
    <x:row r="201" ht="23" customHeight="1">
      <x:c r="A201" s="10" t="str">
        <x:v>M2</x:v>
      </x:c>
      <x:c r="B201" s="10" t="str">
        <x:v>G_H1</x:v>
      </x:c>
      <x:c r="C201" s="10" t="n">
        <x:v>6</x:v>
      </x:c>
      <x:c r="D201" s="24" t="n">
        <x:v>0.0128</x:v>
      </x:c>
      <x:c r="E201" s="24" t="n">
        <x:v>0.052705270527052706</x:v>
      </x:c>
      <x:c r="F201" s="24" t="n">
        <x:f>ABS(D201-E201)</x:f>
        <x:v>0.03990527052705271</x:v>
      </x:c>
    </x:row>
    <x:row r="202" ht="23" customHeight="1">
      <x:c r="A202" s="10" t="str">
        <x:v>M2</x:v>
      </x:c>
      <x:c r="B202" s="10" t="str">
        <x:v>G_H1</x:v>
      </x:c>
      <x:c r="C202" s="10" t="n">
        <x:v>7</x:v>
      </x:c>
      <x:c r="D202" s="24" t="n">
        <x:v>0</x:v>
      </x:c>
      <x:c r="E202" s="24" t="n">
        <x:v>0.04860486048604861</x:v>
      </x:c>
      <x:c r="F202" s="24" t="n">
        <x:f>ABS(D202-E202)</x:f>
        <x:v>0.04860486048604861</x:v>
      </x:c>
    </x:row>
    <x:row r="203" ht="23" customHeight="1">
      <x:c r="A203" s="10" t="str">
        <x:v>M2</x:v>
      </x:c>
      <x:c r="B203" s="10" t="str">
        <x:v>G_H1</x:v>
      </x:c>
      <x:c r="C203" s="10" t="n">
        <x:v>8</x:v>
      </x:c>
      <x:c r="D203" s="24" t="n">
        <x:v>0</x:v>
      </x:c>
      <x:c r="E203" s="24" t="n">
        <x:v>0.018901890189018902</x:v>
      </x:c>
      <x:c r="F203" s="24" t="n">
        <x:f>ABS(D203-E203)</x:f>
        <x:v>0.018901890189018902</x:v>
      </x:c>
    </x:row>
    <x:row r="204" ht="23" customHeight="1">
      <x:c r="A204" s="10" t="str">
        <x:v>M2</x:v>
      </x:c>
      <x:c r="B204" s="10" t="str">
        <x:v>G_H1</x:v>
      </x:c>
      <x:c r="C204" s="10" t="n">
        <x:v>9</x:v>
      </x:c>
      <x:c r="D204" s="24" t="n">
        <x:v>0</x:v>
      </x:c>
      <x:c r="E204" s="24" t="n">
        <x:v>0.028402840284028407</x:v>
      </x:c>
      <x:c r="F204" s="24" t="n">
        <x:f>ABS(D204-E204)</x:f>
        <x:v>0.028402840284028407</x:v>
      </x:c>
    </x:row>
    <x:row r="205" ht="23" customHeight="1">
      <x:c r="A205" s="10" t="str">
        <x:v>M2</x:v>
      </x:c>
      <x:c r="B205" s="10" t="str">
        <x:v>G_H1</x:v>
      </x:c>
      <x:c r="C205" s="10" t="n">
        <x:v>10</x:v>
      </x:c>
      <x:c r="D205" s="24" t="n">
        <x:v>0</x:v>
      </x:c>
      <x:c r="E205" s="24" t="n">
        <x:v>0</x:v>
      </x:c>
      <x:c r="F205" s="24" t="n">
        <x:f>ABS(D205-E205)</x:f>
        <x:v>0</x:v>
      </x:c>
    </x:row>
    <x:row r="206" ht="23" customHeight="1">
      <x:c r="A206" s="10" t="str">
        <x:v>M2</x:v>
      </x:c>
      <x:c r="B206" s="10" t="str">
        <x:v>NC_H0</x:v>
      </x:c>
      <x:c r="C206" s="10" t="n">
        <x:v>1</x:v>
      </x:c>
      <x:c r="D206" s="24" t="n">
        <x:v>0</x:v>
      </x:c>
      <x:c r="E206" s="24" t="n">
        <x:v>0.0047004700470047005</x:v>
      </x:c>
      <x:c r="F206" s="24" t="n">
        <x:f>ABS(D206-E206)</x:f>
        <x:v>0.0047004700470047005</x:v>
      </x:c>
    </x:row>
    <x:row r="207" ht="23" customHeight="1">
      <x:c r="A207" s="10" t="str">
        <x:v>M2</x:v>
      </x:c>
      <x:c r="B207" s="10" t="str">
        <x:v>NC_H0</x:v>
      </x:c>
      <x:c r="C207" s="10" t="n">
        <x:v>2</x:v>
      </x:c>
      <x:c r="D207" s="24" t="n">
        <x:v>0.3026697330266973</x:v>
      </x:c>
      <x:c r="E207" s="24" t="n">
        <x:v>0.06890689068906891</x:v>
      </x:c>
      <x:c r="F207" s="24" t="n">
        <x:f>ABS(D207-E207)</x:f>
        <x:v>0.2337628423376284</x:v>
      </x:c>
    </x:row>
    <x:row r="208" ht="23" customHeight="1">
      <x:c r="A208" s="10" t="str">
        <x:v>M2</x:v>
      </x:c>
      <x:c r="B208" s="10" t="str">
        <x:v>NC_H0</x:v>
      </x:c>
      <x:c r="C208" s="10" t="n">
        <x:v>3</x:v>
      </x:c>
      <x:c r="D208" s="24" t="n">
        <x:v>0.0425957404259574</x:v>
      </x:c>
      <x:c r="E208" s="24" t="n">
        <x:v>0.38513851385138514</x:v>
      </x:c>
      <x:c r="F208" s="24" t="n">
        <x:f>ABS(D208-E208)</x:f>
        <x:v>0.3425427734254277</x:v>
      </x:c>
    </x:row>
    <x:row r="209" ht="23" customHeight="1">
      <x:c r="A209" s="10" t="str">
        <x:v>M2</x:v>
      </x:c>
      <x:c r="B209" s="10" t="str">
        <x:v>NC_H0</x:v>
      </x:c>
      <x:c r="C209" s="10" t="n">
        <x:v>4</x:v>
      </x:c>
      <x:c r="D209" s="24" t="n">
        <x:v>0</x:v>
      </x:c>
      <x:c r="E209" s="24" t="n">
        <x:v>0.29732973297329734</x:v>
      </x:c>
      <x:c r="F209" s="24" t="n">
        <x:f>ABS(D209-E209)</x:f>
        <x:v>0.29732973297329734</x:v>
      </x:c>
    </x:row>
    <x:row r="210" ht="23" customHeight="1">
      <x:c r="A210" s="10" t="str">
        <x:v>M2</x:v>
      </x:c>
      <x:c r="B210" s="10" t="str">
        <x:v>NC_H0</x:v>
      </x:c>
      <x:c r="C210" s="10" t="n">
        <x:v>5</x:v>
      </x:c>
      <x:c r="D210" s="24" t="n">
        <x:v>0.6087391260873912</x:v>
      </x:c>
      <x:c r="E210" s="24" t="n">
        <x:v>0.09530953095309531</x:v>
      </x:c>
      <x:c r="F210" s="24" t="n">
        <x:f>ABS(D210-E210)</x:f>
        <x:v>0.5134295951342959</x:v>
      </x:c>
    </x:row>
    <x:row r="211" ht="23" customHeight="1">
      <x:c r="A211" s="10" t="str">
        <x:v>M2</x:v>
      </x:c>
      <x:c r="B211" s="10" t="str">
        <x:v>NC_H0</x:v>
      </x:c>
      <x:c r="C211" s="10" t="n">
        <x:v>6</x:v>
      </x:c>
      <x:c r="D211" s="24" t="n">
        <x:v>0</x:v>
      </x:c>
      <x:c r="E211" s="24" t="n">
        <x:v>0.052705270527052706</x:v>
      </x:c>
      <x:c r="F211" s="24" t="n">
        <x:f>ABS(D211-E211)</x:f>
        <x:v>0.052705270527052706</x:v>
      </x:c>
    </x:row>
    <x:row r="212" ht="23" customHeight="1">
      <x:c r="A212" s="10" t="str">
        <x:v>M2</x:v>
      </x:c>
      <x:c r="B212" s="10" t="str">
        <x:v>NC_H0</x:v>
      </x:c>
      <x:c r="C212" s="10" t="n">
        <x:v>7</x:v>
      </x:c>
      <x:c r="D212" s="24" t="n">
        <x:v>0.0040995900409959</x:v>
      </x:c>
      <x:c r="E212" s="24" t="n">
        <x:v>0.04860486048604861</x:v>
      </x:c>
      <x:c r="F212" s="24" t="n">
        <x:f>ABS(D212-E212)</x:f>
        <x:v>0.04450527044505271</x:v>
      </x:c>
    </x:row>
    <x:row r="213" ht="23" customHeight="1">
      <x:c r="A213" s="10" t="str">
        <x:v>M2</x:v>
      </x:c>
      <x:c r="B213" s="10" t="str">
        <x:v>NC_H0</x:v>
      </x:c>
      <x:c r="C213" s="10" t="n">
        <x:v>8</x:v>
      </x:c>
      <x:c r="D213" s="24" t="n">
        <x:v>0.006799320067993201</x:v>
      </x:c>
      <x:c r="E213" s="24" t="n">
        <x:v>0.018901890189018902</x:v>
      </x:c>
      <x:c r="F213" s="24" t="n">
        <x:f>ABS(D213-E213)</x:f>
        <x:v>0.012102570121025702</x:v>
      </x:c>
    </x:row>
    <x:row r="214" ht="23" customHeight="1">
      <x:c r="A214" s="10" t="str">
        <x:v>M2</x:v>
      </x:c>
      <x:c r="B214" s="10" t="str">
        <x:v>NC_H0</x:v>
      </x:c>
      <x:c r="C214" s="10" t="n">
        <x:v>9</x:v>
      </x:c>
      <x:c r="D214" s="24" t="n">
        <x:v>0.035096490350964904</x:v>
      </x:c>
      <x:c r="E214" s="24" t="n">
        <x:v>0.028402840284028407</x:v>
      </x:c>
      <x:c r="F214" s="24" t="n">
        <x:f>ABS(D214-E214)</x:f>
        <x:v>0.006693650066936497</x:v>
      </x:c>
    </x:row>
    <x:row r="215" ht="23" customHeight="1">
      <x:c r="A215" s="10" t="str">
        <x:v>M2</x:v>
      </x:c>
      <x:c r="B215" s="10" t="str">
        <x:v>NC_H0</x:v>
      </x:c>
      <x:c r="C215" s="10" t="n">
        <x:v>10</x:v>
      </x:c>
      <x:c r="D215" s="24" t="n">
        <x:v>0</x:v>
      </x:c>
      <x:c r="E215" s="24" t="n">
        <x:v>0</x:v>
      </x:c>
      <x:c r="F215" s="24" t="n">
        <x:f>ABS(D215-E215)</x:f>
        <x:v>0</x:v>
      </x:c>
    </x:row>
    <x:row r="216" ht="23" customHeight="1">
      <x:c r="A216" s="10" t="str">
        <x:v>M2</x:v>
      </x:c>
      <x:c r="B216" s="10" t="str">
        <x:v>NC_H1</x:v>
      </x:c>
      <x:c r="C216" s="10" t="n">
        <x:v>1</x:v>
      </x:c>
      <x:c r="D216" s="24" t="n">
        <x:v>0</x:v>
      </x:c>
      <x:c r="E216" s="24" t="n">
        <x:v>0.0047004700470047005</x:v>
      </x:c>
      <x:c r="F216" s="24" t="n">
        <x:f>ABS(D216-E216)</x:f>
        <x:v>0.0047004700470047005</x:v>
      </x:c>
    </x:row>
    <x:row r="217" ht="23" customHeight="1">
      <x:c r="A217" s="10" t="str">
        <x:v>M2</x:v>
      </x:c>
      <x:c r="B217" s="10" t="str">
        <x:v>NC_H1</x:v>
      </x:c>
      <x:c r="C217" s="10" t="n">
        <x:v>2</x:v>
      </x:c>
      <x:c r="D217" s="24" t="n">
        <x:v>0.25467453254674527</x:v>
      </x:c>
      <x:c r="E217" s="24" t="n">
        <x:v>0.06890689068906891</x:v>
      </x:c>
      <x:c r="F217" s="24" t="n">
        <x:f>ABS(D217-E217)</x:f>
        <x:v>0.18576764185767636</x:v>
      </x:c>
    </x:row>
    <x:row r="218" ht="23" customHeight="1">
      <x:c r="A218" s="10" t="str">
        <x:v>M2</x:v>
      </x:c>
      <x:c r="B218" s="10" t="str">
        <x:v>NC_H1</x:v>
      </x:c>
      <x:c r="C218" s="10" t="n">
        <x:v>3</x:v>
      </x:c>
      <x:c r="D218" s="24" t="n">
        <x:v>0.009499050094990498</x:v>
      </x:c>
      <x:c r="E218" s="24" t="n">
        <x:v>0.38513851385138514</x:v>
      </x:c>
      <x:c r="F218" s="24" t="n">
        <x:f>ABS(D218-E218)</x:f>
        <x:v>0.3756394637563946</x:v>
      </x:c>
    </x:row>
    <x:row r="219" ht="23" customHeight="1">
      <x:c r="A219" s="10" t="str">
        <x:v>M2</x:v>
      </x:c>
      <x:c r="B219" s="10" t="str">
        <x:v>NC_H1</x:v>
      </x:c>
      <x:c r="C219" s="10" t="n">
        <x:v>4</x:v>
      </x:c>
      <x:c r="D219" s="24" t="n">
        <x:v>0</x:v>
      </x:c>
      <x:c r="E219" s="24" t="n">
        <x:v>0.29732973297329734</x:v>
      </x:c>
      <x:c r="F219" s="24" t="n">
        <x:f>ABS(D219-E219)</x:f>
        <x:v>0.29732973297329734</x:v>
      </x:c>
    </x:row>
    <x:row r="220" ht="23" customHeight="1">
      <x:c r="A220" s="10" t="str">
        <x:v>M2</x:v>
      </x:c>
      <x:c r="B220" s="10" t="str">
        <x:v>NC_H1</x:v>
      </x:c>
      <x:c r="C220" s="10" t="n">
        <x:v>5</x:v>
      </x:c>
      <x:c r="D220" s="24" t="n">
        <x:v>0.6087391260873911</x:v>
      </x:c>
      <x:c r="E220" s="24" t="n">
        <x:v>0.09530953095309531</x:v>
      </x:c>
      <x:c r="F220" s="24" t="n">
        <x:f>ABS(D220-E220)</x:f>
        <x:v>0.5134295951342958</x:v>
      </x:c>
    </x:row>
    <x:row r="221" ht="23" customHeight="1">
      <x:c r="A221" s="10" t="str">
        <x:v>M2</x:v>
      </x:c>
      <x:c r="B221" s="10" t="str">
        <x:v>NC_H1</x:v>
      </x:c>
      <x:c r="C221" s="10" t="n">
        <x:v>6</x:v>
      </x:c>
      <x:c r="D221" s="24" t="n">
        <x:v>0.0317968203179682</x:v>
      </x:c>
      <x:c r="E221" s="24" t="n">
        <x:v>0.052705270527052706</x:v>
      </x:c>
      <x:c r="F221" s="24" t="n">
        <x:f>ABS(D221-E221)</x:f>
        <x:v>0.02090845020908451</x:v>
      </x:c>
    </x:row>
    <x:row r="222" ht="23" customHeight="1">
      <x:c r="A222" s="10" t="str">
        <x:v>M2</x:v>
      </x:c>
      <x:c r="B222" s="10" t="str">
        <x:v>NC_H1</x:v>
      </x:c>
      <x:c r="C222" s="10" t="n">
        <x:v>7</x:v>
      </x:c>
      <x:c r="D222" s="24" t="n">
        <x:v>0.05339466053394659</x:v>
      </x:c>
      <x:c r="E222" s="24" t="n">
        <x:v>0.04860486048604861</x:v>
      </x:c>
      <x:c r="F222" s="24" t="n">
        <x:f>ABS(D222-E222)</x:f>
        <x:v>0.004789800047897981</x:v>
      </x:c>
    </x:row>
    <x:row r="223" ht="23" customHeight="1">
      <x:c r="A223" s="10" t="str">
        <x:v>M2</x:v>
      </x:c>
      <x:c r="B223" s="10" t="str">
        <x:v>NC_H1</x:v>
      </x:c>
      <x:c r="C223" s="10" t="n">
        <x:v>8</x:v>
      </x:c>
      <x:c r="D223" s="24" t="n">
        <x:v>0.0067993200679932</x:v>
      </x:c>
      <x:c r="E223" s="24" t="n">
        <x:v>0.018901890189018902</x:v>
      </x:c>
      <x:c r="F223" s="24" t="n">
        <x:f>ABS(D223-E223)</x:f>
        <x:v>0.012102570121025703</x:v>
      </x:c>
    </x:row>
    <x:row r="224" ht="23" customHeight="1">
      <x:c r="A224" s="10" t="str">
        <x:v>M2</x:v>
      </x:c>
      <x:c r="B224" s="10" t="str">
        <x:v>NC_H1</x:v>
      </x:c>
      <x:c r="C224" s="10" t="n">
        <x:v>9</x:v>
      </x:c>
      <x:c r="D224" s="24" t="n">
        <x:v>0.0350964903509649</x:v>
      </x:c>
      <x:c r="E224" s="24" t="n">
        <x:v>0.028402840284028407</x:v>
      </x:c>
      <x:c r="F224" s="24" t="n">
        <x:f>ABS(D224-E224)</x:f>
        <x:v>0.00669365006693649</x:v>
      </x:c>
    </x:row>
    <x:row r="225" ht="23" customHeight="1">
      <x:c r="A225" s="10" t="str">
        <x:v>M2</x:v>
      </x:c>
      <x:c r="B225" s="10" t="str">
        <x:v>NC_H1</x:v>
      </x:c>
      <x:c r="C225" s="10" t="n">
        <x:v>10</x:v>
      </x:c>
      <x:c r="D225" s="24" t="n">
        <x:v>0</x:v>
      </x:c>
      <x:c r="E225" s="24" t="n">
        <x:v>0</x:v>
      </x:c>
      <x:c r="F225" s="24" t="n">
        <x:f>ABS(D225-E225)</x:f>
        <x:v>0</x:v>
      </x:c>
    </x:row>
    <x:row r="226" ht="23" customHeight="1">
      <x:c r="A226" s="10" t="str">
        <x:v>M2</x:v>
      </x:c>
      <x:c r="B226" s="10" t="str">
        <x:v>NG_H0</x:v>
      </x:c>
      <x:c r="C226" s="10" t="n">
        <x:v>1</x:v>
      </x:c>
      <x:c r="D226" s="24" t="n">
        <x:v>0</x:v>
      </x:c>
      <x:c r="E226" s="24" t="n">
        <x:v>0.0047004700470047005</x:v>
      </x:c>
      <x:c r="F226" s="24" t="n">
        <x:f>ABS(D226-E226)</x:f>
        <x:v>0.0047004700470047005</x:v>
      </x:c>
    </x:row>
    <x:row r="227" ht="23" customHeight="1">
      <x:c r="A227" s="10" t="str">
        <x:v>M2</x:v>
      </x:c>
      <x:c r="B227" s="10" t="str">
        <x:v>NG_H0</x:v>
      </x:c>
      <x:c r="C227" s="10" t="n">
        <x:v>2</x:v>
      </x:c>
      <x:c r="D227" s="24" t="n">
        <x:v>0.11689999999999999</x:v>
      </x:c>
      <x:c r="E227" s="24" t="n">
        <x:v>0.06890689068906891</x:v>
      </x:c>
      <x:c r="F227" s="24" t="n">
        <x:f>ABS(D227-E227)</x:f>
        <x:v>0.04799310931093108</x:v>
      </x:c>
    </x:row>
    <x:row r="228" ht="23" customHeight="1">
      <x:c r="A228" s="10" t="str">
        <x:v>M2</x:v>
      </x:c>
      <x:c r="B228" s="10" t="str">
        <x:v>NG_H0</x:v>
      </x:c>
      <x:c r="C228" s="10" t="n">
        <x:v>3</x:v>
      </x:c>
      <x:c r="D228" s="24" t="n">
        <x:v>0.46490000000000004</x:v>
      </x:c>
      <x:c r="E228" s="24" t="n">
        <x:v>0.38513851385138514</x:v>
      </x:c>
      <x:c r="F228" s="24" t="n">
        <x:f>ABS(D228-E228)</x:f>
        <x:v>0.07976148614861489</x:v>
      </x:c>
    </x:row>
    <x:row r="229" ht="23" customHeight="1">
      <x:c r="A229" s="10" t="str">
        <x:v>M2</x:v>
      </x:c>
      <x:c r="B229" s="10" t="str">
        <x:v>NG_H0</x:v>
      </x:c>
      <x:c r="C229" s="10" t="n">
        <x:v>4</x:v>
      </x:c>
      <x:c r="D229" s="24" t="n">
        <x:v>0.2601</x:v>
      </x:c>
      <x:c r="E229" s="24" t="n">
        <x:v>0.29732973297329734</x:v>
      </x:c>
      <x:c r="F229" s="24" t="n">
        <x:f>ABS(D229-E229)</x:f>
        <x:v>0.03722973297329735</x:v>
      </x:c>
    </x:row>
    <x:row r="230" ht="23" customHeight="1">
      <x:c r="A230" s="10" t="str">
        <x:v>M2</x:v>
      </x:c>
      <x:c r="B230" s="10" t="str">
        <x:v>NG_H0</x:v>
      </x:c>
      <x:c r="C230" s="10" t="n">
        <x:v>5</x:v>
      </x:c>
      <x:c r="D230" s="24" t="n">
        <x:v>0.0649</x:v>
      </x:c>
      <x:c r="E230" s="24" t="n">
        <x:v>0.09530953095309531</x:v>
      </x:c>
      <x:c r="F230" s="24" t="n">
        <x:f>ABS(D230-E230)</x:f>
        <x:v>0.030409530953095315</x:v>
      </x:c>
    </x:row>
    <x:row r="231" ht="23" customHeight="1">
      <x:c r="A231" s="10" t="str">
        <x:v>M2</x:v>
      </x:c>
      <x:c r="B231" s="10" t="str">
        <x:v>NG_H0</x:v>
      </x:c>
      <x:c r="C231" s="10" t="n">
        <x:v>6</x:v>
      </x:c>
      <x:c r="D231" s="24" t="n">
        <x:v>0.0128</x:v>
      </x:c>
      <x:c r="E231" s="24" t="n">
        <x:v>0.052705270527052706</x:v>
      </x:c>
      <x:c r="F231" s="24" t="n">
        <x:f>ABS(D231-E231)</x:f>
        <x:v>0.03990527052705271</x:v>
      </x:c>
    </x:row>
    <x:row r="232" ht="23" customHeight="1">
      <x:c r="A232" s="10" t="str">
        <x:v>M2</x:v>
      </x:c>
      <x:c r="B232" s="10" t="str">
        <x:v>NG_H0</x:v>
      </x:c>
      <x:c r="C232" s="10" t="n">
        <x:v>7</x:v>
      </x:c>
      <x:c r="D232" s="24" t="n">
        <x:v>0.0040999999999999995</x:v>
      </x:c>
      <x:c r="E232" s="24" t="n">
        <x:v>0.04860486048604861</x:v>
      </x:c>
      <x:c r="F232" s="24" t="n">
        <x:f>ABS(D232-E232)</x:f>
        <x:v>0.04450486048604861</x:v>
      </x:c>
    </x:row>
    <x:row r="233" ht="23" customHeight="1">
      <x:c r="A233" s="10" t="str">
        <x:v>M2</x:v>
      </x:c>
      <x:c r="B233" s="10" t="str">
        <x:v>NG_H0</x:v>
      </x:c>
      <x:c r="C233" s="10" t="n">
        <x:v>8</x:v>
      </x:c>
      <x:c r="D233" s="24" t="n">
        <x:v>0.008100000000000001</x:v>
      </x:c>
      <x:c r="E233" s="24" t="n">
        <x:v>0.018901890189018902</x:v>
      </x:c>
      <x:c r="F233" s="24" t="n">
        <x:f>ABS(D233-E233)</x:f>
        <x:v>0.010801890189018901</x:v>
      </x:c>
    </x:row>
    <x:row r="234" ht="23" customHeight="1">
      <x:c r="A234" s="10" t="str">
        <x:v>M2</x:v>
      </x:c>
      <x:c r="B234" s="10" t="str">
        <x:v>NG_H0</x:v>
      </x:c>
      <x:c r="C234" s="10" t="n">
        <x:v>9</x:v>
      </x:c>
      <x:c r="D234" s="24" t="n">
        <x:v>0.0682</x:v>
      </x:c>
      <x:c r="E234" s="24" t="n">
        <x:v>0.028402840284028407</x:v>
      </x:c>
      <x:c r="F234" s="24" t="n">
        <x:f>ABS(D234-E234)</x:f>
        <x:v>0.039797159715971586</x:v>
      </x:c>
    </x:row>
    <x:row r="235" ht="23" customHeight="1">
      <x:c r="A235" s="10" t="str">
        <x:v>M2</x:v>
      </x:c>
      <x:c r="B235" s="10" t="str">
        <x:v>NG_H0</x:v>
      </x:c>
      <x:c r="C235" s="10" t="n">
        <x:v>10</x:v>
      </x:c>
      <x:c r="D235" s="24" t="n">
        <x:v>0</x:v>
      </x:c>
      <x:c r="E235" s="24" t="n">
        <x:v>0</x:v>
      </x:c>
      <x:c r="F235" s="24" t="n">
        <x:f>ABS(D235-E235)</x:f>
        <x:v>0</x:v>
      </x:c>
    </x:row>
    <x:row r="236" ht="23" customHeight="1">
      <x:c r="A236" s="10" t="str">
        <x:v>M2</x:v>
      </x:c>
      <x:c r="B236" s="10" t="str">
        <x:v>NG_H1</x:v>
      </x:c>
      <x:c r="C236" s="10" t="n">
        <x:v>1</x:v>
      </x:c>
      <x:c r="D236" s="24" t="n">
        <x:v>0</x:v>
      </x:c>
      <x:c r="E236" s="24" t="n">
        <x:v>0.0047004700470047005</x:v>
      </x:c>
      <x:c r="F236" s="24" t="n">
        <x:f>ABS(D236-E236)</x:f>
        <x:v>0.0047004700470047005</x:v>
      </x:c>
    </x:row>
    <x:row r="237" ht="23" customHeight="1">
      <x:c r="A237" s="10" t="str">
        <x:v>M2</x:v>
      </x:c>
      <x:c r="B237" s="10" t="str">
        <x:v>NG_H1</x:v>
      </x:c>
      <x:c r="C237" s="10" t="n">
        <x:v>2</x:v>
      </x:c>
      <x:c r="D237" s="24" t="n">
        <x:v>0.07029297070292971</x:v>
      </x:c>
      <x:c r="E237" s="24" t="n">
        <x:v>0.06890689068906891</x:v>
      </x:c>
      <x:c r="F237" s="24" t="n">
        <x:f>ABS(D237-E237)</x:f>
        <x:v>0.0013860800138607993</x:v>
      </x:c>
    </x:row>
    <x:row r="238" ht="23" customHeight="1">
      <x:c r="A238" s="10" t="str">
        <x:v>M2</x:v>
      </x:c>
      <x:c r="B238" s="10" t="str">
        <x:v>NG_H1</x:v>
      </x:c>
      <x:c r="C238" s="10" t="n">
        <x:v>3</x:v>
      </x:c>
      <x:c r="D238" s="24" t="n">
        <x:v>0.3952604739526048</x:v>
      </x:c>
      <x:c r="E238" s="24" t="n">
        <x:v>0.38513851385138514</x:v>
      </x:c>
      <x:c r="F238" s="24" t="n">
        <x:f>ABS(D238-E238)</x:f>
        <x:v>0.01012196010121963</x:v>
      </x:c>
    </x:row>
    <x:row r="239" ht="23" customHeight="1">
      <x:c r="A239" s="10" t="str">
        <x:v>M2</x:v>
      </x:c>
      <x:c r="B239" s="10" t="str">
        <x:v>NG_H1</x:v>
      </x:c>
      <x:c r="C239" s="10" t="n">
        <x:v>4</x:v>
      </x:c>
      <x:c r="D239" s="24" t="n">
        <x:v>0.28377162283771623</x:v>
      </x:c>
      <x:c r="E239" s="24" t="n">
        <x:v>0.29732973297329734</x:v>
      </x:c>
      <x:c r="F239" s="24" t="n">
        <x:f>ABS(D239-E239)</x:f>
        <x:v>0.013558110135581114</x:v>
      </x:c>
    </x:row>
    <x:row r="240" ht="23" customHeight="1">
      <x:c r="A240" s="10" t="str">
        <x:v>M2</x:v>
      </x:c>
      <x:c r="B240" s="10" t="str">
        <x:v>NG_H1</x:v>
      </x:c>
      <x:c r="C240" s="10" t="n">
        <x:v>5</x:v>
      </x:c>
      <x:c r="D240" s="24" t="n">
        <x:v>0.07839216078392161</x:v>
      </x:c>
      <x:c r="E240" s="24" t="n">
        <x:v>0.09530953095309531</x:v>
      </x:c>
      <x:c r="F240" s="24" t="n">
        <x:f>ABS(D240-E240)</x:f>
        <x:v>0.016917370169173704</x:v>
      </x:c>
    </x:row>
    <x:row r="241" ht="23" customHeight="1">
      <x:c r="A241" s="10" t="str">
        <x:v>M2</x:v>
      </x:c>
      <x:c r="B241" s="10" t="str">
        <x:v>NG_H1</x:v>
      </x:c>
      <x:c r="C241" s="10" t="n">
        <x:v>6</x:v>
      </x:c>
      <x:c r="D241" s="24" t="n">
        <x:v>0.044595540445955414</x:v>
      </x:c>
      <x:c r="E241" s="24" t="n">
        <x:v>0.052705270527052706</x:v>
      </x:c>
      <x:c r="F241" s="24" t="n">
        <x:f>ABS(D241-E241)</x:f>
        <x:v>0.008109730081097291</x:v>
      </x:c>
    </x:row>
    <x:row r="242" ht="23" customHeight="1">
      <x:c r="A242" s="10" t="str">
        <x:v>M2</x:v>
      </x:c>
      <x:c r="B242" s="10" t="str">
        <x:v>NG_H1</x:v>
      </x:c>
      <x:c r="C242" s="10" t="n">
        <x:v>7</x:v>
      </x:c>
      <x:c r="D242" s="24" t="n">
        <x:v>0.051394860513948606</x:v>
      </x:c>
      <x:c r="E242" s="24" t="n">
        <x:v>0.04860486048604861</x:v>
      </x:c>
      <x:c r="F242" s="24" t="n">
        <x:f>ABS(D242-E242)</x:f>
        <x:v>0.0027900000278999956</x:v>
      </x:c>
    </x:row>
    <x:row r="243" ht="23" customHeight="1">
      <x:c r="A243" s="10" t="str">
        <x:v>M2</x:v>
      </x:c>
      <x:c r="B243" s="10" t="str">
        <x:v>NG_H1</x:v>
      </x:c>
      <x:c r="C243" s="10" t="n">
        <x:v>8</x:v>
      </x:c>
      <x:c r="D243" s="24" t="n">
        <x:v>0.008099190080991902</x:v>
      </x:c>
      <x:c r="E243" s="24" t="n">
        <x:v>0.018901890189018902</x:v>
      </x:c>
      <x:c r="F243" s="24" t="n">
        <x:f>ABS(D243-E243)</x:f>
        <x:v>0.010802700108027</x:v>
      </x:c>
    </x:row>
    <x:row r="244" ht="23" customHeight="1">
      <x:c r="A244" s="10" t="str">
        <x:v>M2</x:v>
      </x:c>
      <x:c r="B244" s="10" t="str">
        <x:v>NG_H1</x:v>
      </x:c>
      <x:c r="C244" s="10" t="n">
        <x:v>9</x:v>
      </x:c>
      <x:c r="D244" s="24" t="n">
        <x:v>0.06819318068193181</x:v>
      </x:c>
      <x:c r="E244" s="24" t="n">
        <x:v>0.028402840284028407</x:v>
      </x:c>
      <x:c r="F244" s="24" t="n">
        <x:f>ABS(D244-E244)</x:f>
        <x:v>0.0397903403979034</x:v>
      </x:c>
    </x:row>
    <x:row r="245" ht="23" customHeight="1">
      <x:c r="A245" s="10" t="str">
        <x:v>M2</x:v>
      </x:c>
      <x:c r="B245" s="10" t="str">
        <x:v>NG_H1</x:v>
      </x:c>
      <x:c r="C245" s="10" t="n">
        <x:v>10</x:v>
      </x:c>
      <x:c r="D245" s="24" t="n">
        <x:v>0</x:v>
      </x:c>
      <x:c r="E245" s="24" t="n">
        <x:v>0</x:v>
      </x:c>
      <x:c r="F245" s="24" t="n">
        <x:f>ABS(D245-E245)</x:f>
        <x:v>0</x:v>
      </x:c>
    </x:row>
    <x:row r="246" ht="23" customHeight="1">
      <x:c r="A246" s="10" t="str">
        <x:v>M2</x:v>
      </x:c>
      <x:c r="B246" s="10" t="str">
        <x:v>CG_H0</x:v>
      </x:c>
      <x:c r="C246" s="10" t="n">
        <x:v>1</x:v>
      </x:c>
      <x:c r="D246" s="24" t="n">
        <x:v>0</x:v>
      </x:c>
      <x:c r="E246" s="24" t="n">
        <x:v>0.0047004700470047005</x:v>
      </x:c>
      <x:c r="F246" s="24" t="n">
        <x:f>ABS(D246-E246)</x:f>
        <x:v>0.0047004700470047005</x:v>
      </x:c>
    </x:row>
    <x:row r="247" ht="23" customHeight="1">
      <x:c r="A247" s="10" t="str">
        <x:v>M2</x:v>
      </x:c>
      <x:c r="B247" s="10" t="str">
        <x:v>CG_H0</x:v>
      </x:c>
      <x:c r="C247" s="10" t="n">
        <x:v>2</x:v>
      </x:c>
      <x:c r="D247" s="24" t="n">
        <x:v>0.11758824117588242</x:v>
      </x:c>
      <x:c r="E247" s="24" t="n">
        <x:v>0.06890689068906891</x:v>
      </x:c>
      <x:c r="F247" s="24" t="n">
        <x:f>ABS(D247-E247)</x:f>
        <x:v>0.048681350486813504</x:v>
      </x:c>
    </x:row>
    <x:row r="248" ht="23" customHeight="1">
      <x:c r="A248" s="10" t="str">
        <x:v>M2</x:v>
      </x:c>
      <x:c r="B248" s="10" t="str">
        <x:v>CG_H0</x:v>
      </x:c>
      <x:c r="C248" s="10" t="n">
        <x:v>3</x:v>
      </x:c>
      <x:c r="D248" s="24" t="n">
        <x:v>0.5141485851414859</x:v>
      </x:c>
      <x:c r="E248" s="24" t="n">
        <x:v>0.38513851385138514</x:v>
      </x:c>
      <x:c r="F248" s="24" t="n">
        <x:f>ABS(D248-E248)</x:f>
        <x:v>0.12901007129010073</x:v>
      </x:c>
    </x:row>
    <x:row r="249" ht="23" customHeight="1">
      <x:c r="A249" s="10" t="str">
        <x:v>M2</x:v>
      </x:c>
      <x:c r="B249" s="10" t="str">
        <x:v>CG_H0</x:v>
      </x:c>
      <x:c r="C249" s="10" t="n">
        <x:v>4</x:v>
      </x:c>
      <x:c r="D249" s="24" t="n">
        <x:v>0.28987101289871015</x:v>
      </x:c>
      <x:c r="E249" s="24" t="n">
        <x:v>0.29732973297329734</x:v>
      </x:c>
      <x:c r="F249" s="24" t="n">
        <x:f>ABS(D249-E249)</x:f>
        <x:v>0.0074587200745871995</x:v>
      </x:c>
    </x:row>
    <x:row r="250" ht="23" customHeight="1">
      <x:c r="A250" s="10" t="str">
        <x:v>M2</x:v>
      </x:c>
      <x:c r="B250" s="10" t="str">
        <x:v>CG_H0</x:v>
      </x:c>
      <x:c r="C250" s="10" t="n">
        <x:v>5</x:v>
      </x:c>
      <x:c r="D250" s="24" t="n">
        <x:v>0.06489351064893512</x:v>
      </x:c>
      <x:c r="E250" s="24" t="n">
        <x:v>0.09530953095309531</x:v>
      </x:c>
      <x:c r="F250" s="24" t="n">
        <x:f>ABS(D250-E250)</x:f>
        <x:v>0.0304160203041602</x:v>
      </x:c>
    </x:row>
    <x:row r="251" ht="23" customHeight="1">
      <x:c r="A251" s="10" t="str">
        <x:v>M2</x:v>
      </x:c>
      <x:c r="B251" s="10" t="str">
        <x:v>CG_H0</x:v>
      </x:c>
      <x:c r="C251" s="10" t="n">
        <x:v>6</x:v>
      </x:c>
      <x:c r="D251" s="24" t="n">
        <x:v>0.012798720127987202</x:v>
      </x:c>
      <x:c r="E251" s="24" t="n">
        <x:v>0.052705270527052706</x:v>
      </x:c>
      <x:c r="F251" s="24" t="n">
        <x:f>ABS(D251-E251)</x:f>
        <x:v>0.0399065503990655</x:v>
      </x:c>
    </x:row>
    <x:row r="252" ht="23" customHeight="1">
      <x:c r="A252" s="10" t="str">
        <x:v>M2</x:v>
      </x:c>
      <x:c r="B252" s="10" t="str">
        <x:v>CG_H0</x:v>
      </x:c>
      <x:c r="C252" s="10" t="n">
        <x:v>7</x:v>
      </x:c>
      <x:c r="D252" s="24" t="n">
        <x:v>0</x:v>
      </x:c>
      <x:c r="E252" s="24" t="n">
        <x:v>0.04860486048604861</x:v>
      </x:c>
      <x:c r="F252" s="24" t="n">
        <x:f>ABS(D252-E252)</x:f>
        <x:v>0.04860486048604861</x:v>
      </x:c>
    </x:row>
    <x:row r="253" ht="23" customHeight="1">
      <x:c r="A253" s="10" t="str">
        <x:v>M2</x:v>
      </x:c>
      <x:c r="B253" s="10" t="str">
        <x:v>CG_H0</x:v>
      </x:c>
      <x:c r="C253" s="10" t="n">
        <x:v>8</x:v>
      </x:c>
      <x:c r="D253" s="24" t="n">
        <x:v>0</x:v>
      </x:c>
      <x:c r="E253" s="24" t="n">
        <x:v>0.018901890189018902</x:v>
      </x:c>
      <x:c r="F253" s="24" t="n">
        <x:f>ABS(D253-E253)</x:f>
        <x:v>0.018901890189018902</x:v>
      </x:c>
    </x:row>
    <x:row r="254" ht="23" customHeight="1">
      <x:c r="A254" s="10" t="str">
        <x:v>M2</x:v>
      </x:c>
      <x:c r="B254" s="10" t="str">
        <x:v>CG_H0</x:v>
      </x:c>
      <x:c r="C254" s="10" t="n">
        <x:v>9</x:v>
      </x:c>
      <x:c r="D254" s="24" t="n">
        <x:v>0.0006999300069993002</x:v>
      </x:c>
      <x:c r="E254" s="24" t="n">
        <x:v>0.028402840284028407</x:v>
      </x:c>
      <x:c r="F254" s="24" t="n">
        <x:f>ABS(D254-E254)</x:f>
        <x:v>0.027702910277029105</x:v>
      </x:c>
    </x:row>
    <x:row r="255" ht="23" customHeight="1">
      <x:c r="A255" s="10" t="str">
        <x:v>M2</x:v>
      </x:c>
      <x:c r="B255" s="10" t="str">
        <x:v>CG_H0</x:v>
      </x:c>
      <x:c r="C255" s="10" t="n">
        <x:v>10</x:v>
      </x:c>
      <x:c r="D255" s="24" t="n">
        <x:v>0</x:v>
      </x:c>
      <x:c r="E255" s="24" t="n">
        <x:v>0</x:v>
      </x:c>
      <x:c r="F255" s="24" t="n">
        <x:f>ABS(D255-E255)</x:f>
        <x:v>0</x:v>
      </x:c>
    </x:row>
    <x:row r="256" ht="23" customHeight="1">
      <x:c r="A256" s="10" t="str">
        <x:v>M2</x:v>
      </x:c>
      <x:c r="B256" s="10" t="str">
        <x:v>CG_H1</x:v>
      </x:c>
      <x:c r="C256" s="10" t="n">
        <x:v>1</x:v>
      </x:c>
      <x:c r="D256" s="24" t="n">
        <x:v>0</x:v>
      </x:c>
      <x:c r="E256" s="24" t="n">
        <x:v>0.0047004700470047005</x:v>
      </x:c>
      <x:c r="F256" s="24" t="n">
        <x:f>ABS(D256-E256)</x:f>
        <x:v>0.0047004700470047005</x:v>
      </x:c>
    </x:row>
    <x:row r="257" ht="23" customHeight="1">
      <x:c r="A257" s="10" t="str">
        <x:v>M2</x:v>
      </x:c>
      <x:c r="B257" s="10" t="str">
        <x:v>CG_H1</x:v>
      </x:c>
      <x:c r="C257" s="10" t="n">
        <x:v>2</x:v>
      </x:c>
      <x:c r="D257" s="24" t="n">
        <x:v>0.04120000000000001</x:v>
      </x:c>
      <x:c r="E257" s="24" t="n">
        <x:v>0.06890689068906891</x:v>
      </x:c>
      <x:c r="F257" s="24" t="n">
        <x:f>ABS(D257-E257)</x:f>
        <x:v>0.027706890689068904</x:v>
      </x:c>
    </x:row>
    <x:row r="258" ht="23" customHeight="1">
      <x:c r="A258" s="10" t="str">
        <x:v>M2</x:v>
      </x:c>
      <x:c r="B258" s="10" t="str">
        <x:v>CG_H1</x:v>
      </x:c>
      <x:c r="C258" s="10" t="n">
        <x:v>3</x:v>
      </x:c>
      <x:c r="D258" s="24" t="n">
        <x:v>0.49190000000000006</x:v>
      </x:c>
      <x:c r="E258" s="24" t="n">
        <x:v>0.38513851385138514</x:v>
      </x:c>
      <x:c r="F258" s="24" t="n">
        <x:f>ABS(D258-E258)</x:f>
        <x:v>0.10676148614861491</x:v>
      </x:c>
    </x:row>
    <x:row r="259" ht="23" customHeight="1">
      <x:c r="A259" s="10" t="str">
        <x:v>M2</x:v>
      </x:c>
      <x:c r="B259" s="10" t="str">
        <x:v>CG_H1</x:v>
      </x:c>
      <x:c r="C259" s="10" t="n">
        <x:v>4</x:v>
      </x:c>
      <x:c r="D259" s="24" t="n">
        <x:v>0.2993</x:v>
      </x:c>
      <x:c r="E259" s="24" t="n">
        <x:v>0.29732973297329734</x:v>
      </x:c>
      <x:c r="F259" s="24" t="n">
        <x:f>ABS(D259-E259)</x:f>
        <x:v>0.0019702670267026656</x:v>
      </x:c>
    </x:row>
    <x:row r="260" ht="23" customHeight="1">
      <x:c r="A260" s="10" t="str">
        <x:v>M2</x:v>
      </x:c>
      <x:c r="B260" s="10" t="str">
        <x:v>CG_H1</x:v>
      </x:c>
      <x:c r="C260" s="10" t="n">
        <x:v>5</x:v>
      </x:c>
      <x:c r="D260" s="24" t="n">
        <x:v>0.07770000000000002</x:v>
      </x:c>
      <x:c r="E260" s="24" t="n">
        <x:v>0.09530953095309531</x:v>
      </x:c>
      <x:c r="F260" s="24" t="n">
        <x:f>ABS(D260-E260)</x:f>
        <x:v>0.017609530953095295</x:v>
      </x:c>
    </x:row>
    <x:row r="261" ht="23" customHeight="1">
      <x:c r="A261" s="10" t="str">
        <x:v>M2</x:v>
      </x:c>
      <x:c r="B261" s="10" t="str">
        <x:v>CG_H1</x:v>
      </x:c>
      <x:c r="C261" s="10" t="n">
        <x:v>6</x:v>
      </x:c>
      <x:c r="D261" s="24" t="n">
        <x:v>0.018900000000000004</x:v>
      </x:c>
      <x:c r="E261" s="24" t="n">
        <x:v>0.052705270527052706</x:v>
      </x:c>
      <x:c r="F261" s="24" t="n">
        <x:f>ABS(D261-E261)</x:f>
        <x:v>0.033805270527052705</x:v>
      </x:c>
    </x:row>
    <x:row r="262" ht="23" customHeight="1">
      <x:c r="A262" s="10" t="str">
        <x:v>M2</x:v>
      </x:c>
      <x:c r="B262" s="10" t="str">
        <x:v>CG_H1</x:v>
      </x:c>
      <x:c r="C262" s="10" t="n">
        <x:v>7</x:v>
      </x:c>
      <x:c r="D262" s="24" t="n">
        <x:v>0.07030000000000002</x:v>
      </x:c>
      <x:c r="E262" s="24" t="n">
        <x:v>0.04860486048604861</x:v>
      </x:c>
      <x:c r="F262" s="24" t="n">
        <x:f>ABS(D262-E262)</x:f>
        <x:v>0.021695139513951404</x:v>
      </x:c>
    </x:row>
    <x:row r="263" ht="23" customHeight="1">
      <x:c r="A263" s="10" t="str">
        <x:v>M2</x:v>
      </x:c>
      <x:c r="B263" s="10" t="str">
        <x:v>CG_H1</x:v>
      </x:c>
      <x:c r="C263" s="10" t="n">
        <x:v>8</x:v>
      </x:c>
      <x:c r="D263" s="24" t="n">
        <x:v>0</x:v>
      </x:c>
      <x:c r="E263" s="24" t="n">
        <x:v>0.018901890189018902</x:v>
      </x:c>
      <x:c r="F263" s="24" t="n">
        <x:f>ABS(D263-E263)</x:f>
        <x:v>0.018901890189018902</x:v>
      </x:c>
    </x:row>
    <x:row r="264" ht="23" customHeight="1">
      <x:c r="A264" s="10" t="str">
        <x:v>M2</x:v>
      </x:c>
      <x:c r="B264" s="10" t="str">
        <x:v>CG_H1</x:v>
      </x:c>
      <x:c r="C264" s="10" t="n">
        <x:v>9</x:v>
      </x:c>
      <x:c r="D264" s="24" t="n">
        <x:v>0.0007000000000000002</x:v>
      </x:c>
      <x:c r="E264" s="24" t="n">
        <x:v>0.028402840284028407</x:v>
      </x:c>
      <x:c r="F264" s="24" t="n">
        <x:f>ABS(D264-E264)</x:f>
        <x:v>0.027702840284028408</x:v>
      </x:c>
    </x:row>
    <x:row r="265" ht="23" customHeight="1">
      <x:c r="A265" s="10" t="str">
        <x:v>M2</x:v>
      </x:c>
      <x:c r="B265" s="10" t="str">
        <x:v>CG_H1</x:v>
      </x:c>
      <x:c r="C265" s="10" t="n">
        <x:v>10</x:v>
      </x:c>
      <x:c r="D265" s="24" t="n">
        <x:v>0</x:v>
      </x:c>
      <x:c r="E265" s="24" t="n">
        <x:v>0</x:v>
      </x:c>
      <x:c r="F265" s="24" t="n">
        <x:f>ABS(D265-E265)</x:f>
        <x:v>0</x:v>
      </x:c>
    </x:row>
    <x:row r="266" ht="23" customHeight="1">
      <x:c r="A266" s="10" t="str">
        <x:v>M2</x:v>
      </x:c>
      <x:c r="B266" s="10" t="str">
        <x:v>NCG_H0</x:v>
      </x:c>
      <x:c r="C266" s="10" t="n">
        <x:v>1</x:v>
      </x:c>
      <x:c r="D266" s="24" t="n">
        <x:v>0</x:v>
      </x:c>
      <x:c r="E266" s="24" t="n">
        <x:v>0.0047004700470047005</x:v>
      </x:c>
      <x:c r="F266" s="24" t="n">
        <x:f>ABS(D266-E266)</x:f>
        <x:v>0.0047004700470047005</x:v>
      </x:c>
    </x:row>
    <x:row r="267" ht="23" customHeight="1">
      <x:c r="A267" s="10" t="str">
        <x:v>M2</x:v>
      </x:c>
      <x:c r="B267" s="10" t="str">
        <x:v>NCG_H0</x:v>
      </x:c>
      <x:c r="C267" s="10" t="n">
        <x:v>2</x:v>
      </x:c>
      <x:c r="D267" s="24" t="n">
        <x:v>0.0655065506550655</x:v>
      </x:c>
      <x:c r="E267" s="24" t="n">
        <x:v>0.06890689068906891</x:v>
      </x:c>
      <x:c r="F267" s="24" t="n">
        <x:f>ABS(D267-E267)</x:f>
        <x:v>0.003400340034003413</x:v>
      </x:c>
    </x:row>
    <x:row r="268" ht="23" customHeight="1">
      <x:c r="A268" s="10" t="str">
        <x:v>M2</x:v>
      </x:c>
      <x:c r="B268" s="10" t="str">
        <x:v>NCG_H0</x:v>
      </x:c>
      <x:c r="C268" s="10" t="n">
        <x:v>3</x:v>
      </x:c>
      <x:c r="D268" s="24" t="n">
        <x:v>0.4986498649864986</x:v>
      </x:c>
      <x:c r="E268" s="24" t="n">
        <x:v>0.38513851385138514</x:v>
      </x:c>
      <x:c r="F268" s="24" t="n">
        <x:f>ABS(D268-E268)</x:f>
        <x:v>0.11351135113511346</x:v>
      </x:c>
    </x:row>
    <x:row r="269" ht="23" customHeight="1">
      <x:c r="A269" s="10" t="str">
        <x:v>M2</x:v>
      </x:c>
      <x:c r="B269" s="10" t="str">
        <x:v>NCG_H0</x:v>
      </x:c>
      <x:c r="C269" s="10" t="n">
        <x:v>4</x:v>
      </x:c>
      <x:c r="D269" s="24" t="n">
        <x:v>0.2993299329932993</x:v>
      </x:c>
      <x:c r="E269" s="24" t="n">
        <x:v>0.29732973297329734</x:v>
      </x:c>
      <x:c r="F269" s="24" t="n">
        <x:f>ABS(D269-E269)</x:f>
        <x:v>0.002000200020001952</x:v>
      </x:c>
    </x:row>
    <x:row r="270" ht="23" customHeight="1">
      <x:c r="A270" s="10" t="str">
        <x:v>M2</x:v>
      </x:c>
      <x:c r="B270" s="10" t="str">
        <x:v>NCG_H0</x:v>
      </x:c>
      <x:c r="C270" s="10" t="n">
        <x:v>5</x:v>
      </x:c>
      <x:c r="D270" s="24" t="n">
        <x:v>0.0777077707770777</x:v>
      </x:c>
      <x:c r="E270" s="24" t="n">
        <x:v>0.09530953095309531</x:v>
      </x:c>
      <x:c r="F270" s="24" t="n">
        <x:f>ABS(D270-E270)</x:f>
        <x:v>0.01760176017601761</x:v>
      </x:c>
    </x:row>
    <x:row r="271" ht="23" customHeight="1">
      <x:c r="A271" s="10" t="str">
        <x:v>M2</x:v>
      </x:c>
      <x:c r="B271" s="10" t="str">
        <x:v>NCG_H0</x:v>
      </x:c>
      <x:c r="C271" s="10" t="n">
        <x:v>6</x:v>
      </x:c>
      <x:c r="D271" s="24" t="n">
        <x:v>0.0128012801280128</x:v>
      </x:c>
      <x:c r="E271" s="24" t="n">
        <x:v>0.052705270527052706</x:v>
      </x:c>
      <x:c r="F271" s="24" t="n">
        <x:f>ABS(D271-E271)</x:f>
        <x:v>0.039903990399039906</x:v>
      </x:c>
    </x:row>
    <x:row r="272" ht="23" customHeight="1">
      <x:c r="A272" s="10" t="str">
        <x:v>M2</x:v>
      </x:c>
      <x:c r="B272" s="10" t="str">
        <x:v>NCG_H0</x:v>
      </x:c>
      <x:c r="C272" s="10" t="n">
        <x:v>7</x:v>
      </x:c>
      <x:c r="D272" s="24" t="n">
        <x:v>0.0041004100410041</x:v>
      </x:c>
      <x:c r="E272" s="24" t="n">
        <x:v>0.04860486048604861</x:v>
      </x:c>
      <x:c r="F272" s="24" t="n">
        <x:f>ABS(D272-E272)</x:f>
        <x:v>0.04450445044504451</x:v>
      </x:c>
    </x:row>
    <x:row r="273" ht="23" customHeight="1">
      <x:c r="A273" s="10" t="str">
        <x:v>M2</x:v>
      </x:c>
      <x:c r="B273" s="10" t="str">
        <x:v>NCG_H0</x:v>
      </x:c>
      <x:c r="C273" s="10" t="n">
        <x:v>8</x:v>
      </x:c>
      <x:c r="D273" s="24" t="n">
        <x:v>0.006800680068006801</x:v>
      </x:c>
      <x:c r="E273" s="24" t="n">
        <x:v>0.018901890189018902</x:v>
      </x:c>
      <x:c r="F273" s="24" t="n">
        <x:f>ABS(D273-E273)</x:f>
        <x:v>0.0121012101210121</x:v>
      </x:c>
    </x:row>
    <x:row r="274" ht="23" customHeight="1">
      <x:c r="A274" s="10" t="str">
        <x:v>M2</x:v>
      </x:c>
      <x:c r="B274" s="10" t="str">
        <x:v>NCG_H0</x:v>
      </x:c>
      <x:c r="C274" s="10" t="n">
        <x:v>9</x:v>
      </x:c>
      <x:c r="D274" s="24" t="n">
        <x:v>0.0351035103510351</x:v>
      </x:c>
      <x:c r="E274" s="24" t="n">
        <x:v>0.028402840284028407</x:v>
      </x:c>
      <x:c r="F274" s="24" t="n">
        <x:f>ABS(D274-E274)</x:f>
        <x:v>0.006700670067006694</x:v>
      </x:c>
    </x:row>
    <x:row r="275" ht="23" customHeight="1">
      <x:c r="A275" s="10" t="str">
        <x:v>M2</x:v>
      </x:c>
      <x:c r="B275" s="10" t="str">
        <x:v>NCG_H0</x:v>
      </x:c>
      <x:c r="C275" s="10" t="n">
        <x:v>10</x:v>
      </x:c>
      <x:c r="D275" s="24" t="n">
        <x:v>0</x:v>
      </x:c>
      <x:c r="E275" s="24" t="n">
        <x:v>0</x:v>
      </x:c>
      <x:c r="F275" s="24" t="n">
        <x:f>ABS(D275-E275)</x:f>
        <x:v>0</x:v>
      </x:c>
    </x:row>
    <x:row r="276" ht="23" customHeight="1">
      <x:c r="A276" s="10" t="str">
        <x:v>M2</x:v>
      </x:c>
      <x:c r="B276" s="10" t="str">
        <x:v>NCG_H1</x:v>
      </x:c>
      <x:c r="C276" s="10" t="n">
        <x:v>1</x:v>
      </x:c>
      <x:c r="D276" s="24" t="n">
        <x:v>0</x:v>
      </x:c>
      <x:c r="E276" s="24" t="n">
        <x:v>0.0047004700470047005</x:v>
      </x:c>
      <x:c r="F276" s="24" t="n">
        <x:f>ABS(D276-E276)</x:f>
        <x:v>0.0047004700470047005</x:v>
      </x:c>
    </x:row>
    <x:row r="277" ht="23" customHeight="1">
      <x:c r="A277" s="10" t="str">
        <x:v>M2</x:v>
      </x:c>
      <x:c r="B277" s="10" t="str">
        <x:v>NCG_H1</x:v>
      </x:c>
      <x:c r="C277" s="10" t="n">
        <x:v>2</x:v>
      </x:c>
      <x:c r="D277" s="24" t="n">
        <x:v>0.03239999999999999</x:v>
      </x:c>
      <x:c r="E277" s="24" t="n">
        <x:v>0.06890689068906891</x:v>
      </x:c>
      <x:c r="F277" s="24" t="n">
        <x:f>ABS(D277-E277)</x:f>
        <x:v>0.03650689068906892</x:v>
      </x:c>
    </x:row>
    <x:row r="278" ht="23" customHeight="1">
      <x:c r="A278" s="10" t="str">
        <x:v>M2</x:v>
      </x:c>
      <x:c r="B278" s="10" t="str">
        <x:v>NCG_H1</x:v>
      </x:c>
      <x:c r="C278" s="10" t="n">
        <x:v>3</x:v>
      </x:c>
      <x:c r="D278" s="24" t="n">
        <x:v>0.4134999999999999</x:v>
      </x:c>
      <x:c r="E278" s="24" t="n">
        <x:v>0.38513851385138514</x:v>
      </x:c>
      <x:c r="F278" s="24" t="n">
        <x:f>ABS(D278-E278)</x:f>
        <x:v>0.02836148614861478</x:v>
      </x:c>
    </x:row>
    <x:row r="279" ht="23" customHeight="1">
      <x:c r="A279" s="10" t="str">
        <x:v>M2</x:v>
      </x:c>
      <x:c r="B279" s="10" t="str">
        <x:v>NCG_H1</x:v>
      </x:c>
      <x:c r="C279" s="10" t="n">
        <x:v>4</x:v>
      </x:c>
      <x:c r="D279" s="24" t="n">
        <x:v>0.3215999999999999</x:v>
      </x:c>
      <x:c r="E279" s="24" t="n">
        <x:v>0.29732973297329734</x:v>
      </x:c>
      <x:c r="F279" s="24" t="n">
        <x:f>ABS(D279-E279)</x:f>
        <x:v>0.02427026702670254</x:v>
      </x:c>
    </x:row>
    <x:row r="280" ht="23" customHeight="1">
      <x:c r="A280" s="10" t="str">
        <x:v>M2</x:v>
      </x:c>
      <x:c r="B280" s="10" t="str">
        <x:v>NCG_H1</x:v>
      </x:c>
      <x:c r="C280" s="10" t="n">
        <x:v>5</x:v>
      </x:c>
      <x:c r="D280" s="24" t="n">
        <x:v>0.08649999999999998</x:v>
      </x:c>
      <x:c r="E280" s="24" t="n">
        <x:v>0.09530953095309531</x:v>
      </x:c>
      <x:c r="F280" s="24" t="n">
        <x:f>ABS(D280-E280)</x:f>
        <x:v>0.008809530953095335</x:v>
      </x:c>
    </x:row>
    <x:row r="281" ht="23" customHeight="1">
      <x:c r="A281" s="10" t="str">
        <x:v>M2</x:v>
      </x:c>
      <x:c r="B281" s="10" t="str">
        <x:v>NCG_H1</x:v>
      </x:c>
      <x:c r="C281" s="10" t="n">
        <x:v>6</x:v>
      </x:c>
      <x:c r="D281" s="24" t="n">
        <x:v>0.050699999999999995</x:v>
      </x:c>
      <x:c r="E281" s="24" t="n">
        <x:v>0.052705270527052706</x:v>
      </x:c>
      <x:c r="F281" s="24" t="n">
        <x:f>ABS(D281-E281)</x:f>
        <x:v>0.0020052705270527105</x:v>
      </x:c>
    </x:row>
    <x:row r="282" ht="23" customHeight="1">
      <x:c r="A282" s="10" t="str">
        <x:v>M2</x:v>
      </x:c>
      <x:c r="B282" s="10" t="str">
        <x:v>NCG_H1</x:v>
      </x:c>
      <x:c r="C282" s="10" t="n">
        <x:v>7</x:v>
      </x:c>
      <x:c r="D282" s="24" t="n">
        <x:v>0.05339999999999999</x:v>
      </x:c>
      <x:c r="E282" s="24" t="n">
        <x:v>0.04860486048604861</x:v>
      </x:c>
      <x:c r="F282" s="24" t="n">
        <x:f>ABS(D282-E282)</x:f>
        <x:v>0.004795139513951378</x:v>
      </x:c>
    </x:row>
    <x:row r="283" ht="23" customHeight="1">
      <x:c r="A283" s="10" t="str">
        <x:v>M2</x:v>
      </x:c>
      <x:c r="B283" s="10" t="str">
        <x:v>NCG_H1</x:v>
      </x:c>
      <x:c r="C283" s="10" t="n">
        <x:v>8</x:v>
      </x:c>
      <x:c r="D283" s="24" t="n">
        <x:v>0.0068</x:v>
      </x:c>
      <x:c r="E283" s="24" t="n">
        <x:v>0.018901890189018902</x:v>
      </x:c>
      <x:c r="F283" s="24" t="n">
        <x:f>ABS(D283-E283)</x:f>
        <x:v>0.012101890189018902</x:v>
      </x:c>
    </x:row>
    <x:row r="284" ht="23" customHeight="1">
      <x:c r="A284" s="10" t="str">
        <x:v>M2</x:v>
      </x:c>
      <x:c r="B284" s="10" t="str">
        <x:v>NCG_H1</x:v>
      </x:c>
      <x:c r="C284" s="10" t="n">
        <x:v>9</x:v>
      </x:c>
      <x:c r="D284" s="24" t="n">
        <x:v>0.03509999999999999</x:v>
      </x:c>
      <x:c r="E284" s="24" t="n">
        <x:v>0.028402840284028407</x:v>
      </x:c>
      <x:c r="F284" s="24" t="n">
        <x:f>ABS(D284-E284)</x:f>
        <x:v>0.006697159715971585</x:v>
      </x:c>
    </x:row>
    <x:row r="285" ht="23" customHeight="1">
      <x:c r="A285" s="10" t="str">
        <x:v>M2</x:v>
      </x:c>
      <x:c r="B285" s="10" t="str">
        <x:v>NCG_H1</x:v>
      </x:c>
      <x:c r="C285" s="10" t="n">
        <x:v>10</x:v>
      </x:c>
      <x:c r="D285" s="24" t="n">
        <x:v>0</x:v>
      </x:c>
      <x:c r="E285" s="24" t="n">
        <x:v>0</x:v>
      </x:c>
      <x:c r="F285" s="24" t="n">
        <x:f>ABS(D285-E285)</x:f>
        <x:v>0</x:v>
      </x:c>
    </x:row>
    <x:row r="286" ht="23" customHeight="1">
      <x:c r="A286" s="10" t="str">
        <x:v>M3</x:v>
      </x:c>
      <x:c r="B286" s="10" t="str">
        <x:v>N_H0</x:v>
      </x:c>
      <x:c r="C286" s="10" t="n">
        <x:v>1</x:v>
      </x:c>
      <x:c r="D286" s="24" t="n">
        <x:v>0</x:v>
      </x:c>
      <x:c r="E286" s="24" t="n">
        <x:v>0.0027002700270027003</x:v>
      </x:c>
      <x:c r="F286" s="24" t="n">
        <x:f>ABS(D286-E286)</x:f>
        <x:v>0.0027002700270027003</x:v>
      </x:c>
    </x:row>
    <x:row r="287" ht="23" customHeight="1">
      <x:c r="A287" s="10" t="str">
        <x:v>M3</x:v>
      </x:c>
      <x:c r="B287" s="10" t="str">
        <x:v>N_H0</x:v>
      </x:c>
      <x:c r="C287" s="10" t="n">
        <x:v>2</x:v>
      </x:c>
      <x:c r="D287" s="24" t="n">
        <x:v>0.08308338332333534</x:v>
      </x:c>
      <x:c r="E287" s="24" t="n">
        <x:v>0.10061006100610062</x:v>
      </x:c>
      <x:c r="F287" s="24" t="n">
        <x:f>ABS(D287-E287)</x:f>
        <x:v>0.01752667768276528</x:v>
      </x:c>
    </x:row>
    <x:row r="288" ht="23" customHeight="1">
      <x:c r="A288" s="10" t="str">
        <x:v>M3</x:v>
      </x:c>
      <x:c r="B288" s="10" t="str">
        <x:v>N_H0</x:v>
      </x:c>
      <x:c r="C288" s="10" t="n">
        <x:v>3</x:v>
      </x:c>
      <x:c r="D288" s="24" t="n">
        <x:v>0.01689662067586483</x:v>
      </x:c>
      <x:c r="E288" s="24" t="n">
        <x:v>0.42344234423442345</x:v>
      </x:c>
      <x:c r="F288" s="24" t="n">
        <x:f>ABS(D288-E288)</x:f>
        <x:v>0.4065457235585586</x:v>
      </x:c>
    </x:row>
    <x:row r="289" ht="23" customHeight="1">
      <x:c r="A289" s="10" t="str">
        <x:v>M3</x:v>
      </x:c>
      <x:c r="B289" s="10" t="str">
        <x:v>N_H0</x:v>
      </x:c>
      <x:c r="C289" s="10" t="n">
        <x:v>4</x:v>
      </x:c>
      <x:c r="D289" s="24" t="n">
        <x:v>0</x:v>
      </x:c>
      <x:c r="E289" s="24" t="n">
        <x:v>0.30383038303830384</x:v>
      </x:c>
      <x:c r="F289" s="24" t="n">
        <x:f>ABS(D289-E289)</x:f>
        <x:v>0.30383038303830384</x:v>
      </x:c>
    </x:row>
    <x:row r="290" ht="23" customHeight="1">
      <x:c r="A290" s="10" t="str">
        <x:v>M3</x:v>
      </x:c>
      <x:c r="B290" s="10" t="str">
        <x:v>N_H0</x:v>
      </x:c>
      <x:c r="C290" s="10" t="n">
        <x:v>5</x:v>
      </x:c>
      <x:c r="D290" s="24" t="n">
        <x:v>0.7925414917016599</x:v>
      </x:c>
      <x:c r="E290" s="24" t="n">
        <x:v>0.07360736073607362</x:v>
      </x:c>
      <x:c r="F290" s="24" t="n">
        <x:f>ABS(D290-E290)</x:f>
        <x:v>0.7189341309655862</x:v>
      </x:c>
    </x:row>
    <x:row r="291" ht="23" customHeight="1">
      <x:c r="A291" s="10" t="str">
        <x:v>M3</x:v>
      </x:c>
      <x:c r="B291" s="10" t="str">
        <x:v>N_H0</x:v>
      </x:c>
      <x:c r="C291" s="10" t="n">
        <x:v>6</x:v>
      </x:c>
      <x:c r="D291" s="24" t="n">
        <x:v>0.004099180163967207</x:v>
      </x:c>
      <x:c r="E291" s="24" t="n">
        <x:v>0.025002500250025005</x:v>
      </x:c>
      <x:c r="F291" s="24" t="n">
        <x:f>ABS(D291-E291)</x:f>
        <x:v>0.020903320086057796</x:v>
      </x:c>
    </x:row>
    <x:row r="292" ht="23" customHeight="1">
      <x:c r="A292" s="10" t="str">
        <x:v>M3</x:v>
      </x:c>
      <x:c r="B292" s="10" t="str">
        <x:v>N_H0</x:v>
      </x:c>
      <x:c r="C292" s="10" t="n">
        <x:v>7</x:v>
      </x:c>
      <x:c r="D292" s="24" t="n">
        <x:v>0.004099180163967207</x:v>
      </x:c>
      <x:c r="E292" s="24" t="n">
        <x:v>0.023602360236023606</x:v>
      </x:c>
      <x:c r="F292" s="24" t="n">
        <x:f>ABS(D292-E292)</x:f>
        <x:v>0.019503180072056397</x:v>
      </x:c>
    </x:row>
    <x:row r="293" ht="23" customHeight="1">
      <x:c r="A293" s="10" t="str">
        <x:v>M3</x:v>
      </x:c>
      <x:c r="B293" s="10" t="str">
        <x:v>N_H0</x:v>
      </x:c>
      <x:c r="C293" s="10" t="n">
        <x:v>8</x:v>
      </x:c>
      <x:c r="D293" s="24" t="n">
        <x:v>0.02769446110777845</x:v>
      </x:c>
      <x:c r="E293" s="24" t="n">
        <x:v>0.026302630263026306</x:v>
      </x:c>
      <x:c r="F293" s="24" t="n">
        <x:f>ABS(D293-E293)</x:f>
        <x:v>0.0013918308447521434</x:v>
      </x:c>
    </x:row>
    <x:row r="294" ht="23" customHeight="1">
      <x:c r="A294" s="10" t="str">
        <x:v>M3</x:v>
      </x:c>
      <x:c r="B294" s="10" t="str">
        <x:v>N_H0</x:v>
      </x:c>
      <x:c r="C294" s="10" t="n">
        <x:v>9</x:v>
      </x:c>
      <x:c r="D294" s="24" t="n">
        <x:v>0.07158568286342733</x:v>
      </x:c>
      <x:c r="E294" s="24" t="n">
        <x:v>0.020902090209020906</x:v>
      </x:c>
      <x:c r="F294" s="24" t="n">
        <x:f>ABS(D294-E294)</x:f>
        <x:v>0.05068359265440642</x:v>
      </x:c>
    </x:row>
    <x:row r="295" ht="23" customHeight="1">
      <x:c r="A295" s="10" t="str">
        <x:v>M3</x:v>
      </x:c>
      <x:c r="B295" s="10" t="str">
        <x:v>N_H0</x:v>
      </x:c>
      <x:c r="C295" s="10" t="n">
        <x:v>10</x:v>
      </x:c>
      <x:c r="D295" s="24" t="n">
        <x:v>0</x:v>
      </x:c>
      <x:c r="E295" s="24" t="n">
        <x:v>0</x:v>
      </x:c>
      <x:c r="F295" s="24" t="n">
        <x:f>ABS(D295-E295)</x:f>
        <x:v>0</x:v>
      </x:c>
    </x:row>
    <x:row r="296" ht="23" customHeight="1">
      <x:c r="A296" s="10" t="str">
        <x:v>M3</x:v>
      </x:c>
      <x:c r="B296" s="10" t="str">
        <x:v>N_H1</x:v>
      </x:c>
      <x:c r="C296" s="10" t="n">
        <x:v>1</x:v>
      </x:c>
      <x:c r="D296" s="24" t="n">
        <x:v>0</x:v>
      </x:c>
      <x:c r="E296" s="24" t="n">
        <x:v>0.0027002700270027003</x:v>
      </x:c>
      <x:c r="F296" s="24" t="n">
        <x:f>ABS(D296-E296)</x:f>
        <x:v>0.0027002700270027003</x:v>
      </x:c>
    </x:row>
    <x:row r="297" ht="23" customHeight="1">
      <x:c r="A297" s="10" t="str">
        <x:v>M3</x:v>
      </x:c>
      <x:c r="B297" s="10" t="str">
        <x:v>N_H1</x:v>
      </x:c>
      <x:c r="C297" s="10" t="n">
        <x:v>2</x:v>
      </x:c>
      <x:c r="D297" s="24" t="n">
        <x:v>0.0763</x:v>
      </x:c>
      <x:c r="E297" s="24" t="n">
        <x:v>0.10061006100610062</x:v>
      </x:c>
      <x:c r="F297" s="24" t="n">
        <x:f>ABS(D297-E297)</x:f>
        <x:v>0.024310061006100614</x:v>
      </x:c>
    </x:row>
    <x:row r="298" ht="23" customHeight="1">
      <x:c r="A298" s="10" t="str">
        <x:v>M3</x:v>
      </x:c>
      <x:c r="B298" s="10" t="str">
        <x:v>N_H1</x:v>
      </x:c>
      <x:c r="C298" s="10" t="n">
        <x:v>3</x:v>
      </x:c>
      <x:c r="D298" s="24" t="n">
        <x:v>0.007400000000000001</x:v>
      </x:c>
      <x:c r="E298" s="24" t="n">
        <x:v>0.42344234423442345</x:v>
      </x:c>
      <x:c r="F298" s="24" t="n">
        <x:f>ABS(D298-E298)</x:f>
        <x:v>0.41604234423442343</x:v>
      </x:c>
    </x:row>
    <x:row r="299" ht="23" customHeight="1">
      <x:c r="A299" s="10" t="str">
        <x:v>M3</x:v>
      </x:c>
      <x:c r="B299" s="10" t="str">
        <x:v>N_H1</x:v>
      </x:c>
      <x:c r="C299" s="10" t="n">
        <x:v>4</x:v>
      </x:c>
      <x:c r="D299" s="24" t="n">
        <x:v>0</x:v>
      </x:c>
      <x:c r="E299" s="24" t="n">
        <x:v>0.30383038303830384</x:v>
      </x:c>
      <x:c r="F299" s="24" t="n">
        <x:f>ABS(D299-E299)</x:f>
        <x:v>0.30383038303830384</x:v>
      </x:c>
    </x:row>
    <x:row r="300" ht="23" customHeight="1">
      <x:c r="A300" s="10" t="str">
        <x:v>M3</x:v>
      </x:c>
      <x:c r="B300" s="10" t="str">
        <x:v>N_H1</x:v>
      </x:c>
      <x:c r="C300" s="10" t="n">
        <x:v>5</x:v>
      </x:c>
      <x:c r="D300" s="24" t="n">
        <x:v>0.7927000000000001</x:v>
      </x:c>
      <x:c r="E300" s="24" t="n">
        <x:v>0.07360736073607362</x:v>
      </x:c>
      <x:c r="F300" s="24" t="n">
        <x:f>ABS(D300-E300)</x:f>
        <x:v>0.7190926392639264</x:v>
      </x:c>
    </x:row>
    <x:row r="301" ht="23" customHeight="1">
      <x:c r="A301" s="10" t="str">
        <x:v>M3</x:v>
      </x:c>
      <x:c r="B301" s="10" t="str">
        <x:v>N_H1</x:v>
      </x:c>
      <x:c r="C301" s="10" t="n">
        <x:v>6</x:v>
      </x:c>
      <x:c r="D301" s="24" t="n">
        <x:v>0.013500000000000002</x:v>
      </x:c>
      <x:c r="E301" s="24" t="n">
        <x:v>0.025002500250025005</x:v>
      </x:c>
      <x:c r="F301" s="24" t="n">
        <x:f>ABS(D301-E301)</x:f>
        <x:v>0.011502500250025003</x:v>
      </x:c>
    </x:row>
    <x:row r="302" ht="23" customHeight="1">
      <x:c r="A302" s="10" t="str">
        <x:v>M3</x:v>
      </x:c>
      <x:c r="B302" s="10" t="str">
        <x:v>N_H1</x:v>
      </x:c>
      <x:c r="C302" s="10" t="n">
        <x:v>7</x:v>
      </x:c>
      <x:c r="D302" s="24" t="n">
        <x:v>0.0108</x:v>
      </x:c>
      <x:c r="E302" s="24" t="n">
        <x:v>0.023602360236023606</x:v>
      </x:c>
      <x:c r="F302" s="24" t="n">
        <x:f>ABS(D302-E302)</x:f>
        <x:v>0.012802360236023606</x:v>
      </x:c>
    </x:row>
    <x:row r="303" ht="23" customHeight="1">
      <x:c r="A303" s="10" t="str">
        <x:v>M3</x:v>
      </x:c>
      <x:c r="B303" s="10" t="str">
        <x:v>N_H1</x:v>
      </x:c>
      <x:c r="C303" s="10" t="n">
        <x:v>8</x:v>
      </x:c>
      <x:c r="D303" s="24" t="n">
        <x:v>0.027700000000000006</x:v>
      </x:c>
      <x:c r="E303" s="24" t="n">
        <x:v>0.026302630263026306</x:v>
      </x:c>
      <x:c r="F303" s="24" t="n">
        <x:f>ABS(D303-E303)</x:f>
        <x:v>0.0013973697369736998</x:v>
      </x:c>
    </x:row>
    <x:row r="304" ht="23" customHeight="1">
      <x:c r="A304" s="10" t="str">
        <x:v>M3</x:v>
      </x:c>
      <x:c r="B304" s="10" t="str">
        <x:v>N_H1</x:v>
      </x:c>
      <x:c r="C304" s="10" t="n">
        <x:v>9</x:v>
      </x:c>
      <x:c r="D304" s="24" t="n">
        <x:v>0.07160000000000001</x:v>
      </x:c>
      <x:c r="E304" s="24" t="n">
        <x:v>0.020902090209020906</x:v>
      </x:c>
      <x:c r="F304" s="24" t="n">
        <x:f>ABS(D304-E304)</x:f>
        <x:v>0.0506979097909791</x:v>
      </x:c>
    </x:row>
    <x:row r="305" ht="23" customHeight="1">
      <x:c r="A305" s="10" t="str">
        <x:v>M3</x:v>
      </x:c>
      <x:c r="B305" s="10" t="str">
        <x:v>N_H1</x:v>
      </x:c>
      <x:c r="C305" s="10" t="n">
        <x:v>10</x:v>
      </x:c>
      <x:c r="D305" s="24" t="n">
        <x:v>0</x:v>
      </x:c>
      <x:c r="E305" s="24" t="n">
        <x:v>0</x:v>
      </x:c>
      <x:c r="F305" s="24" t="n">
        <x:f>ABS(D305-E305)</x:f>
        <x:v>0</x:v>
      </x:c>
    </x:row>
    <x:row r="306" ht="23" customHeight="1">
      <x:c r="A306" s="10" t="str">
        <x:v>M3</x:v>
      </x:c>
      <x:c r="B306" s="10" t="str">
        <x:v>C_H0</x:v>
      </x:c>
      <x:c r="C306" s="10" t="n">
        <x:v>1</x:v>
      </x:c>
      <x:c r="D306" s="24" t="n">
        <x:v>0</x:v>
      </x:c>
      <x:c r="E306" s="24" t="n">
        <x:v>0.0027002700270027003</x:v>
      </x:c>
      <x:c r="F306" s="24" t="n">
        <x:f>ABS(D306-E306)</x:f>
        <x:v>0.0027002700270027003</x:v>
      </x:c>
    </x:row>
    <x:row r="307" ht="23" customHeight="1">
      <x:c r="A307" s="10" t="str">
        <x:v>M3</x:v>
      </x:c>
      <x:c r="B307" s="10" t="str">
        <x:v>C_H0</x:v>
      </x:c>
      <x:c r="C307" s="10" t="n">
        <x:v>2</x:v>
      </x:c>
      <x:c r="D307" s="24" t="n">
        <x:v>0.2384</x:v>
      </x:c>
      <x:c r="E307" s="24" t="n">
        <x:v>0.10061006100610062</x:v>
      </x:c>
      <x:c r="F307" s="24" t="n">
        <x:f>ABS(D307-E307)</x:f>
        <x:v>0.13778993899389938</x:v>
      </x:c>
    </x:row>
    <x:row r="308" ht="23" customHeight="1">
      <x:c r="A308" s="10" t="str">
        <x:v>M3</x:v>
      </x:c>
      <x:c r="B308" s="10" t="str">
        <x:v>C_H0</x:v>
      </x:c>
      <x:c r="C308" s="10" t="n">
        <x:v>3</x:v>
      </x:c>
      <x:c r="D308" s="24" t="n">
        <x:v>0</x:v>
      </x:c>
      <x:c r="E308" s="24" t="n">
        <x:v>0.42344234423442345</x:v>
      </x:c>
      <x:c r="F308" s="24" t="n">
        <x:f>ABS(D308-E308)</x:f>
        <x:v>0.42344234423442345</x:v>
      </x:c>
    </x:row>
    <x:row r="309" ht="23" customHeight="1">
      <x:c r="A309" s="10" t="str">
        <x:v>M3</x:v>
      </x:c>
      <x:c r="B309" s="10" t="str">
        <x:v>C_H0</x:v>
      </x:c>
      <x:c r="C309" s="10" t="n">
        <x:v>4</x:v>
      </x:c>
      <x:c r="D309" s="24" t="n">
        <x:v>0</x:v>
      </x:c>
      <x:c r="E309" s="24" t="n">
        <x:v>0.30383038303830384</x:v>
      </x:c>
      <x:c r="F309" s="24" t="n">
        <x:f>ABS(D309-E309)</x:f>
        <x:v>0.30383038303830384</x:v>
      </x:c>
    </x:row>
    <x:row r="310" ht="23" customHeight="1">
      <x:c r="A310" s="10" t="str">
        <x:v>M3</x:v>
      </x:c>
      <x:c r="B310" s="10" t="str">
        <x:v>C_H0</x:v>
      </x:c>
      <x:c r="C310" s="10" t="n">
        <x:v>5</x:v>
      </x:c>
      <x:c r="D310" s="24" t="n">
        <x:v>0.7615999999999999</x:v>
      </x:c>
      <x:c r="E310" s="24" t="n">
        <x:v>0.07360736073607362</x:v>
      </x:c>
      <x:c r="F310" s="24" t="n">
        <x:f>ABS(D310-E310)</x:f>
        <x:v>0.6879926392639263</x:v>
      </x:c>
    </x:row>
    <x:row r="311" ht="23" customHeight="1">
      <x:c r="A311" s="10" t="str">
        <x:v>M3</x:v>
      </x:c>
      <x:c r="B311" s="10" t="str">
        <x:v>C_H0</x:v>
      </x:c>
      <x:c r="C311" s="10" t="n">
        <x:v>6</x:v>
      </x:c>
      <x:c r="D311" s="24" t="n">
        <x:v>0</x:v>
      </x:c>
      <x:c r="E311" s="24" t="n">
        <x:v>0.025002500250025005</x:v>
      </x:c>
      <x:c r="F311" s="24" t="n">
        <x:f>ABS(D311-E311)</x:f>
        <x:v>0.025002500250025005</x:v>
      </x:c>
    </x:row>
    <x:row r="312" ht="23" customHeight="1">
      <x:c r="A312" s="10" t="str">
        <x:v>M3</x:v>
      </x:c>
      <x:c r="B312" s="10" t="str">
        <x:v>C_H0</x:v>
      </x:c>
      <x:c r="C312" s="10" t="n">
        <x:v>7</x:v>
      </x:c>
      <x:c r="D312" s="24" t="n">
        <x:v>0</x:v>
      </x:c>
      <x:c r="E312" s="24" t="n">
        <x:v>0.023602360236023606</x:v>
      </x:c>
      <x:c r="F312" s="24" t="n">
        <x:f>ABS(D312-E312)</x:f>
        <x:v>0.023602360236023606</x:v>
      </x:c>
    </x:row>
    <x:row r="313" ht="23" customHeight="1">
      <x:c r="A313" s="10" t="str">
        <x:v>M3</x:v>
      </x:c>
      <x:c r="B313" s="10" t="str">
        <x:v>C_H0</x:v>
      </x:c>
      <x:c r="C313" s="10" t="n">
        <x:v>8</x:v>
      </x:c>
      <x:c r="D313" s="24" t="n">
        <x:v>0</x:v>
      </x:c>
      <x:c r="E313" s="24" t="n">
        <x:v>0.026302630263026306</x:v>
      </x:c>
      <x:c r="F313" s="24" t="n">
        <x:f>ABS(D313-E313)</x:f>
        <x:v>0.026302630263026306</x:v>
      </x:c>
    </x:row>
    <x:row r="314" ht="23" customHeight="1">
      <x:c r="A314" s="10" t="str">
        <x:v>M3</x:v>
      </x:c>
      <x:c r="B314" s="10" t="str">
        <x:v>C_H0</x:v>
      </x:c>
      <x:c r="C314" s="10" t="n">
        <x:v>9</x:v>
      </x:c>
      <x:c r="D314" s="24" t="n">
        <x:v>0</x:v>
      </x:c>
      <x:c r="E314" s="24" t="n">
        <x:v>0.020902090209020906</x:v>
      </x:c>
      <x:c r="F314" s="24" t="n">
        <x:f>ABS(D314-E314)</x:f>
        <x:v>0.020902090209020906</x:v>
      </x:c>
    </x:row>
    <x:row r="315" ht="23" customHeight="1">
      <x:c r="A315" s="10" t="str">
        <x:v>M3</x:v>
      </x:c>
      <x:c r="B315" s="10" t="str">
        <x:v>C_H0</x:v>
      </x:c>
      <x:c r="C315" s="10" t="n">
        <x:v>10</x:v>
      </x:c>
      <x:c r="D315" s="24" t="n">
        <x:v>0</x:v>
      </x:c>
      <x:c r="E315" s="24" t="n">
        <x:v>0</x:v>
      </x:c>
      <x:c r="F315" s="24" t="n">
        <x:f>ABS(D315-E315)</x:f>
        <x:v>0</x:v>
      </x:c>
    </x:row>
    <x:row r="316" ht="23" customHeight="1">
      <x:c r="A316" s="10" t="str">
        <x:v>M3</x:v>
      </x:c>
      <x:c r="B316" s="10" t="str">
        <x:v>C_H1</x:v>
      </x:c>
      <x:c r="C316" s="10" t="n">
        <x:v>1</x:v>
      </x:c>
      <x:c r="D316" s="24" t="n">
        <x:v>0</x:v>
      </x:c>
      <x:c r="E316" s="24" t="n">
        <x:v>0.0027002700270027003</x:v>
      </x:c>
      <x:c r="F316" s="24" t="n">
        <x:f>ABS(D316-E316)</x:f>
        <x:v>0.0027002700270027003</x:v>
      </x:c>
    </x:row>
    <x:row r="317" ht="23" customHeight="1">
      <x:c r="A317" s="10" t="str">
        <x:v>M3</x:v>
      </x:c>
      <x:c r="B317" s="10" t="str">
        <x:v>C_H1</x:v>
      </x:c>
      <x:c r="C317" s="10" t="n">
        <x:v>2</x:v>
      </x:c>
      <x:c r="D317" s="24" t="n">
        <x:v>0.2181</x:v>
      </x:c>
      <x:c r="E317" s="24" t="n">
        <x:v>0.10061006100610062</x:v>
      </x:c>
      <x:c r="F317" s="24" t="n">
        <x:f>ABS(D317-E317)</x:f>
        <x:v>0.11748993899389937</x:v>
      </x:c>
    </x:row>
    <x:row r="318" ht="23" customHeight="1">
      <x:c r="A318" s="10" t="str">
        <x:v>M3</x:v>
      </x:c>
      <x:c r="B318" s="10" t="str">
        <x:v>C_H1</x:v>
      </x:c>
      <x:c r="C318" s="10" t="n">
        <x:v>3</x:v>
      </x:c>
      <x:c r="D318" s="24" t="n">
        <x:v>0</x:v>
      </x:c>
      <x:c r="E318" s="24" t="n">
        <x:v>0.42344234423442345</x:v>
      </x:c>
      <x:c r="F318" s="24" t="n">
        <x:f>ABS(D318-E318)</x:f>
        <x:v>0.42344234423442345</x:v>
      </x:c>
    </x:row>
    <x:row r="319" ht="23" customHeight="1">
      <x:c r="A319" s="10" t="str">
        <x:v>M3</x:v>
      </x:c>
      <x:c r="B319" s="10" t="str">
        <x:v>C_H1</x:v>
      </x:c>
      <x:c r="C319" s="10" t="n">
        <x:v>4</x:v>
      </x:c>
      <x:c r="D319" s="24" t="n">
        <x:v>0</x:v>
      </x:c>
      <x:c r="E319" s="24" t="n">
        <x:v>0.30383038303830384</x:v>
      </x:c>
      <x:c r="F319" s="24" t="n">
        <x:f>ABS(D319-E319)</x:f>
        <x:v>0.30383038303830384</x:v>
      </x:c>
    </x:row>
    <x:row r="320" ht="23" customHeight="1">
      <x:c r="A320" s="10" t="str">
        <x:v>M3</x:v>
      </x:c>
      <x:c r="B320" s="10" t="str">
        <x:v>C_H1</x:v>
      </x:c>
      <x:c r="C320" s="10" t="n">
        <x:v>5</x:v>
      </x:c>
      <x:c r="D320" s="24" t="n">
        <x:v>0.7615999999999999</x:v>
      </x:c>
      <x:c r="E320" s="24" t="n">
        <x:v>0.07360736073607362</x:v>
      </x:c>
      <x:c r="F320" s="24" t="n">
        <x:f>ABS(D320-E320)</x:f>
        <x:v>0.6879926392639263</x:v>
      </x:c>
    </x:row>
    <x:row r="321" ht="23" customHeight="1">
      <x:c r="A321" s="10" t="str">
        <x:v>M3</x:v>
      </x:c>
      <x:c r="B321" s="10" t="str">
        <x:v>C_H1</x:v>
      </x:c>
      <x:c r="C321" s="10" t="n">
        <x:v>6</x:v>
      </x:c>
      <x:c r="D321" s="24" t="n">
        <x:v>0</x:v>
      </x:c>
      <x:c r="E321" s="24" t="n">
        <x:v>0.025002500250025005</x:v>
      </x:c>
      <x:c r="F321" s="24" t="n">
        <x:f>ABS(D321-E321)</x:f>
        <x:v>0.025002500250025005</x:v>
      </x:c>
    </x:row>
    <x:row r="322" ht="23" customHeight="1">
      <x:c r="A322" s="10" t="str">
        <x:v>M3</x:v>
      </x:c>
      <x:c r="B322" s="10" t="str">
        <x:v>C_H1</x:v>
      </x:c>
      <x:c r="C322" s="10" t="n">
        <x:v>7</x:v>
      </x:c>
      <x:c r="D322" s="24" t="n">
        <x:v>0.0203</x:v>
      </x:c>
      <x:c r="E322" s="24" t="n">
        <x:v>0.023602360236023606</x:v>
      </x:c>
      <x:c r="F322" s="24" t="n">
        <x:f>ABS(D322-E322)</x:f>
        <x:v>0.0033023602360236076</x:v>
      </x:c>
    </x:row>
    <x:row r="323" ht="23" customHeight="1">
      <x:c r="A323" s="10" t="str">
        <x:v>M3</x:v>
      </x:c>
      <x:c r="B323" s="10" t="str">
        <x:v>C_H1</x:v>
      </x:c>
      <x:c r="C323" s="10" t="n">
        <x:v>8</x:v>
      </x:c>
      <x:c r="D323" s="24" t="n">
        <x:v>0</x:v>
      </x:c>
      <x:c r="E323" s="24" t="n">
        <x:v>0.026302630263026306</x:v>
      </x:c>
      <x:c r="F323" s="24" t="n">
        <x:f>ABS(D323-E323)</x:f>
        <x:v>0.026302630263026306</x:v>
      </x:c>
    </x:row>
    <x:row r="324" ht="23" customHeight="1">
      <x:c r="A324" s="10" t="str">
        <x:v>M3</x:v>
      </x:c>
      <x:c r="B324" s="10" t="str">
        <x:v>C_H1</x:v>
      </x:c>
      <x:c r="C324" s="10" t="n">
        <x:v>9</x:v>
      </x:c>
      <x:c r="D324" s="24" t="n">
        <x:v>0</x:v>
      </x:c>
      <x:c r="E324" s="24" t="n">
        <x:v>0.020902090209020906</x:v>
      </x:c>
      <x:c r="F324" s="24" t="n">
        <x:f>ABS(D324-E324)</x:f>
        <x:v>0.020902090209020906</x:v>
      </x:c>
    </x:row>
    <x:row r="325" ht="23" customHeight="1">
      <x:c r="A325" s="10" t="str">
        <x:v>M3</x:v>
      </x:c>
      <x:c r="B325" s="10" t="str">
        <x:v>C_H1</x:v>
      </x:c>
      <x:c r="C325" s="10" t="n">
        <x:v>10</x:v>
      </x:c>
      <x:c r="D325" s="24" t="n">
        <x:v>0</x:v>
      </x:c>
      <x:c r="E325" s="24" t="n">
        <x:v>0</x:v>
      </x:c>
      <x:c r="F325" s="24" t="n">
        <x:f>ABS(D325-E325)</x:f>
        <x:v>0</x:v>
      </x:c>
    </x:row>
    <x:row r="326" ht="23" customHeight="1">
      <x:c r="A326" s="10" t="str">
        <x:v>M3</x:v>
      </x:c>
      <x:c r="B326" s="10" t="str">
        <x:v>G_H0</x:v>
      </x:c>
      <x:c r="C326" s="10" t="n">
        <x:v>1</x:v>
      </x:c>
      <x:c r="D326" s="24" t="n">
        <x:v>0</x:v>
      </x:c>
      <x:c r="E326" s="24" t="n">
        <x:v>0.0027002700270027003</x:v>
      </x:c>
      <x:c r="F326" s="24" t="n">
        <x:f>ABS(D326-E326)</x:f>
        <x:v>0.0027002700270027003</x:v>
      </x:c>
    </x:row>
    <x:row r="327" ht="23" customHeight="1">
      <x:c r="A327" s="10" t="str">
        <x:v>M3</x:v>
      </x:c>
      <x:c r="B327" s="10" t="str">
        <x:v>G_H0</x:v>
      </x:c>
      <x:c r="C327" s="10" t="n">
        <x:v>2</x:v>
      </x:c>
      <x:c r="D327" s="24" t="n">
        <x:v>0.1506</x:v>
      </x:c>
      <x:c r="E327" s="24" t="n">
        <x:v>0.10061006100610062</x:v>
      </x:c>
      <x:c r="F327" s="24" t="n">
        <x:f>ABS(D327-E327)</x:f>
        <x:v>0.04998993899389939</x:v>
      </x:c>
    </x:row>
    <x:row r="328" ht="23" customHeight="1">
      <x:c r="A328" s="10" t="str">
        <x:v>M3</x:v>
      </x:c>
      <x:c r="B328" s="10" t="str">
        <x:v>G_H0</x:v>
      </x:c>
      <x:c r="C328" s="10" t="n">
        <x:v>3</x:v>
      </x:c>
      <x:c r="D328" s="24" t="n">
        <x:v>0.49219999999999997</x:v>
      </x:c>
      <x:c r="E328" s="24" t="n">
        <x:v>0.42344234423442345</x:v>
      </x:c>
      <x:c r="F328" s="24" t="n">
        <x:f>ABS(D328-E328)</x:f>
        <x:v>0.06875765576557652</x:v>
      </x:c>
    </x:row>
    <x:row r="329" ht="23" customHeight="1">
      <x:c r="A329" s="10" t="str">
        <x:v>M3</x:v>
      </x:c>
      <x:c r="B329" s="10" t="str">
        <x:v>G_H0</x:v>
      </x:c>
      <x:c r="C329" s="10" t="n">
        <x:v>4</x:v>
      </x:c>
      <x:c r="D329" s="24" t="n">
        <x:v>0.289</x:v>
      </x:c>
      <x:c r="E329" s="24" t="n">
        <x:v>0.30383038303830384</x:v>
      </x:c>
      <x:c r="F329" s="24" t="n">
        <x:f>ABS(D329-E329)</x:f>
        <x:v>0.014830383038303863</x:v>
      </x:c>
    </x:row>
    <x:row r="330" ht="23" customHeight="1">
      <x:c r="A330" s="10" t="str">
        <x:v>M3</x:v>
      </x:c>
      <x:c r="B330" s="10" t="str">
        <x:v>G_H0</x:v>
      </x:c>
      <x:c r="C330" s="10" t="n">
        <x:v>5</x:v>
      </x:c>
      <x:c r="D330" s="24" t="n">
        <x:v>0.0641</x:v>
      </x:c>
      <x:c r="E330" s="24" t="n">
        <x:v>0.07360736073607362</x:v>
      </x:c>
      <x:c r="F330" s="24" t="n">
        <x:f>ABS(D330-E330)</x:f>
        <x:v>0.009507360736073611</x:v>
      </x:c>
    </x:row>
    <x:row r="331" ht="23" customHeight="1">
      <x:c r="A331" s="10" t="str">
        <x:v>M3</x:v>
      </x:c>
      <x:c r="B331" s="10" t="str">
        <x:v>G_H0</x:v>
      </x:c>
      <x:c r="C331" s="10" t="n">
        <x:v>6</x:v>
      </x:c>
      <x:c r="D331" s="24" t="n">
        <x:v>0.0040999999999999995</x:v>
      </x:c>
      <x:c r="E331" s="24" t="n">
        <x:v>0.025002500250025005</x:v>
      </x:c>
      <x:c r="F331" s="24" t="n">
        <x:f>ABS(D331-E331)</x:f>
        <x:v>0.020902500250025005</x:v>
      </x:c>
    </x:row>
    <x:row r="332" ht="23" customHeight="1">
      <x:c r="A332" s="10" t="str">
        <x:v>M3</x:v>
      </x:c>
      <x:c r="B332" s="10" t="str">
        <x:v>G_H0</x:v>
      </x:c>
      <x:c r="C332" s="10" t="n">
        <x:v>7</x:v>
      </x:c>
      <x:c r="D332" s="24" t="n">
        <x:v>0</x:v>
      </x:c>
      <x:c r="E332" s="24" t="n">
        <x:v>0.023602360236023606</x:v>
      </x:c>
      <x:c r="F332" s="24" t="n">
        <x:f>ABS(D332-E332)</x:f>
        <x:v>0.023602360236023606</x:v>
      </x:c>
    </x:row>
    <x:row r="333" ht="23" customHeight="1">
      <x:c r="A333" s="10" t="str">
        <x:v>M3</x:v>
      </x:c>
      <x:c r="B333" s="10" t="str">
        <x:v>G_H0</x:v>
      </x:c>
      <x:c r="C333" s="10" t="n">
        <x:v>8</x:v>
      </x:c>
      <x:c r="D333" s="24" t="n">
        <x:v>0</x:v>
      </x:c>
      <x:c r="E333" s="24" t="n">
        <x:v>0.026302630263026306</x:v>
      </x:c>
      <x:c r="F333" s="24" t="n">
        <x:f>ABS(D333-E333)</x:f>
        <x:v>0.026302630263026306</x:v>
      </x:c>
    </x:row>
    <x:row r="334" ht="23" customHeight="1">
      <x:c r="A334" s="10" t="str">
        <x:v>M3</x:v>
      </x:c>
      <x:c r="B334" s="10" t="str">
        <x:v>G_H0</x:v>
      </x:c>
      <x:c r="C334" s="10" t="n">
        <x:v>9</x:v>
      </x:c>
      <x:c r="D334" s="24" t="n">
        <x:v>0</x:v>
      </x:c>
      <x:c r="E334" s="24" t="n">
        <x:v>0.020902090209020906</x:v>
      </x:c>
      <x:c r="F334" s="24" t="n">
        <x:f>ABS(D334-E334)</x:f>
        <x:v>0.020902090209020906</x:v>
      </x:c>
    </x:row>
    <x:row r="335" ht="23" customHeight="1">
      <x:c r="A335" s="10" t="str">
        <x:v>M3</x:v>
      </x:c>
      <x:c r="B335" s="10" t="str">
        <x:v>G_H0</x:v>
      </x:c>
      <x:c r="C335" s="10" t="n">
        <x:v>10</x:v>
      </x:c>
      <x:c r="D335" s="24" t="n">
        <x:v>0</x:v>
      </x:c>
      <x:c r="E335" s="24" t="n">
        <x:v>0</x:v>
      </x:c>
      <x:c r="F335" s="24" t="n">
        <x:f>ABS(D335-E335)</x:f>
        <x:v>0</x:v>
      </x:c>
    </x:row>
    <x:row r="336" ht="23" customHeight="1">
      <x:c r="A336" s="10" t="str">
        <x:v>M3</x:v>
      </x:c>
      <x:c r="B336" s="10" t="str">
        <x:v>G_H1</x:v>
      </x:c>
      <x:c r="C336" s="10" t="n">
        <x:v>1</x:v>
      </x:c>
      <x:c r="D336" s="24" t="n">
        <x:v>0</x:v>
      </x:c>
      <x:c r="E336" s="24" t="n">
        <x:v>0.0027002700270027003</x:v>
      </x:c>
      <x:c r="F336" s="24" t="n">
        <x:f>ABS(D336-E336)</x:f>
        <x:v>0.0027002700270027003</x:v>
      </x:c>
    </x:row>
    <x:row r="337" ht="23" customHeight="1">
      <x:c r="A337" s="10" t="str">
        <x:v>M3</x:v>
      </x:c>
      <x:c r="B337" s="10" t="str">
        <x:v>G_H1</x:v>
      </x:c>
      <x:c r="C337" s="10" t="n">
        <x:v>2</x:v>
      </x:c>
      <x:c r="D337" s="24" t="n">
        <x:v>0.1128</x:v>
      </x:c>
      <x:c r="E337" s="24" t="n">
        <x:v>0.10061006100610062</x:v>
      </x:c>
      <x:c r="F337" s="24" t="n">
        <x:f>ABS(D337-E337)</x:f>
        <x:v>0.012189938993899377</x:v>
      </x:c>
    </x:row>
    <x:row r="338" ht="23" customHeight="1">
      <x:c r="A338" s="10" t="str">
        <x:v>M3</x:v>
      </x:c>
      <x:c r="B338" s="10" t="str">
        <x:v>G_H1</x:v>
      </x:c>
      <x:c r="C338" s="10" t="n">
        <x:v>3</x:v>
      </x:c>
      <x:c r="D338" s="24" t="n">
        <x:v>0.46659999999999996</x:v>
      </x:c>
      <x:c r="E338" s="24" t="n">
        <x:v>0.42344234423442345</x:v>
      </x:c>
      <x:c r="F338" s="24" t="n">
        <x:f>ABS(D338-E338)</x:f>
        <x:v>0.04315765576557651</x:v>
      </x:c>
    </x:row>
    <x:row r="339" ht="23" customHeight="1">
      <x:c r="A339" s="10" t="str">
        <x:v>M3</x:v>
      </x:c>
      <x:c r="B339" s="10" t="str">
        <x:v>G_H1</x:v>
      </x:c>
      <x:c r="C339" s="10" t="n">
        <x:v>4</x:v>
      </x:c>
      <x:c r="D339" s="24" t="n">
        <x:v>0.3423</x:v>
      </x:c>
      <x:c r="E339" s="24" t="n">
        <x:v>0.30383038303830384</x:v>
      </x:c>
      <x:c r="F339" s="24" t="n">
        <x:f>ABS(D339-E339)</x:f>
        <x:v>0.03846961696169615</x:v>
      </x:c>
    </x:row>
    <x:row r="340" ht="23" customHeight="1">
      <x:c r="A340" s="10" t="str">
        <x:v>M3</x:v>
      </x:c>
      <x:c r="B340" s="10" t="str">
        <x:v>G_H1</x:v>
      </x:c>
      <x:c r="C340" s="10" t="n">
        <x:v>5</x:v>
      </x:c>
      <x:c r="D340" s="24" t="n">
        <x:v>0.0729</x:v>
      </x:c>
      <x:c r="E340" s="24" t="n">
        <x:v>0.07360736073607362</x:v>
      </x:c>
      <x:c r="F340" s="24" t="n">
        <x:f>ABS(D340-E340)</x:f>
        <x:v>0.0007073607360736089</x:v>
      </x:c>
    </x:row>
    <x:row r="341" ht="23" customHeight="1">
      <x:c r="A341" s="10" t="str">
        <x:v>M3</x:v>
      </x:c>
      <x:c r="B341" s="10" t="str">
        <x:v>G_H1</x:v>
      </x:c>
      <x:c r="C341" s="10" t="n">
        <x:v>6</x:v>
      </x:c>
      <x:c r="D341" s="24" t="n">
        <x:v>0.0054</x:v>
      </x:c>
      <x:c r="E341" s="24" t="n">
        <x:v>0.025002500250025005</x:v>
      </x:c>
      <x:c r="F341" s="24" t="n">
        <x:f>ABS(D341-E341)</x:f>
        <x:v>0.019602500250025003</x:v>
      </x:c>
    </x:row>
    <x:row r="342" ht="23" customHeight="1">
      <x:c r="A342" s="10" t="str">
        <x:v>M3</x:v>
      </x:c>
      <x:c r="B342" s="10" t="str">
        <x:v>G_H1</x:v>
      </x:c>
      <x:c r="C342" s="10" t="n">
        <x:v>7</x:v>
      </x:c>
      <x:c r="D342" s="24" t="n">
        <x:v>0</x:v>
      </x:c>
      <x:c r="E342" s="24" t="n">
        <x:v>0.023602360236023606</x:v>
      </x:c>
      <x:c r="F342" s="24" t="n">
        <x:f>ABS(D342-E342)</x:f>
        <x:v>0.023602360236023606</x:v>
      </x:c>
    </x:row>
    <x:row r="343" ht="23" customHeight="1">
      <x:c r="A343" s="10" t="str">
        <x:v>M3</x:v>
      </x:c>
      <x:c r="B343" s="10" t="str">
        <x:v>G_H1</x:v>
      </x:c>
      <x:c r="C343" s="10" t="n">
        <x:v>8</x:v>
      </x:c>
      <x:c r="D343" s="24" t="n">
        <x:v>0</x:v>
      </x:c>
      <x:c r="E343" s="24" t="n">
        <x:v>0.026302630263026306</x:v>
      </x:c>
      <x:c r="F343" s="24" t="n">
        <x:f>ABS(D343-E343)</x:f>
        <x:v>0.026302630263026306</x:v>
      </x:c>
    </x:row>
    <x:row r="344" ht="23" customHeight="1">
      <x:c r="A344" s="10" t="str">
        <x:v>M3</x:v>
      </x:c>
      <x:c r="B344" s="10" t="str">
        <x:v>G_H1</x:v>
      </x:c>
      <x:c r="C344" s="10" t="n">
        <x:v>9</x:v>
      </x:c>
      <x:c r="D344" s="24" t="n">
        <x:v>0</x:v>
      </x:c>
      <x:c r="E344" s="24" t="n">
        <x:v>0.020902090209020906</x:v>
      </x:c>
      <x:c r="F344" s="24" t="n">
        <x:f>ABS(D344-E344)</x:f>
        <x:v>0.020902090209020906</x:v>
      </x:c>
    </x:row>
    <x:row r="345" ht="23" customHeight="1">
      <x:c r="A345" s="10" t="str">
        <x:v>M3</x:v>
      </x:c>
      <x:c r="B345" s="10" t="str">
        <x:v>G_H1</x:v>
      </x:c>
      <x:c r="C345" s="10" t="n">
        <x:v>10</x:v>
      </x:c>
      <x:c r="D345" s="24" t="n">
        <x:v>0</x:v>
      </x:c>
      <x:c r="E345" s="24" t="n">
        <x:v>0</x:v>
      </x:c>
      <x:c r="F345" s="24" t="n">
        <x:f>ABS(D345-E345)</x:f>
        <x:v>0</x:v>
      </x:c>
    </x:row>
    <x:row r="346" ht="23" customHeight="1">
      <x:c r="A346" s="10" t="str">
        <x:v>M3</x:v>
      </x:c>
      <x:c r="B346" s="10" t="str">
        <x:v>NC_H0</x:v>
      </x:c>
      <x:c r="C346" s="10" t="n">
        <x:v>1</x:v>
      </x:c>
      <x:c r="D346" s="24" t="n">
        <x:v>0</x:v>
      </x:c>
      <x:c r="E346" s="24" t="n">
        <x:v>0.0027002700270027003</x:v>
      </x:c>
      <x:c r="F346" s="24" t="n">
        <x:f>ABS(D346-E346)</x:f>
        <x:v>0.0027002700270027003</x:v>
      </x:c>
    </x:row>
    <x:row r="347" ht="23" customHeight="1">
      <x:c r="A347" s="10" t="str">
        <x:v>M3</x:v>
      </x:c>
      <x:c r="B347" s="10" t="str">
        <x:v>NC_H0</x:v>
      </x:c>
      <x:c r="C347" s="10" t="n">
        <x:v>2</x:v>
      </x:c>
      <x:c r="D347" s="24" t="n">
        <x:v>0.21270000000000003</x:v>
      </x:c>
      <x:c r="E347" s="24" t="n">
        <x:v>0.10061006100610062</x:v>
      </x:c>
      <x:c r="F347" s="24" t="n">
        <x:f>ABS(D347-E347)</x:f>
        <x:v>0.11208993899389941</x:v>
      </x:c>
    </x:row>
    <x:row r="348" ht="23" customHeight="1">
      <x:c r="A348" s="10" t="str">
        <x:v>M3</x:v>
      </x:c>
      <x:c r="B348" s="10" t="str">
        <x:v>NC_H0</x:v>
      </x:c>
      <x:c r="C348" s="10" t="n">
        <x:v>3</x:v>
      </x:c>
      <x:c r="D348" s="24" t="n">
        <x:v>0.013500000000000002</x:v>
      </x:c>
      <x:c r="E348" s="24" t="n">
        <x:v>0.42344234423442345</x:v>
      </x:c>
      <x:c r="F348" s="24" t="n">
        <x:f>ABS(D348-E348)</x:f>
        <x:v>0.40994234423442344</x:v>
      </x:c>
    </x:row>
    <x:row r="349" ht="23" customHeight="1">
      <x:c r="A349" s="10" t="str">
        <x:v>M3</x:v>
      </x:c>
      <x:c r="B349" s="10" t="str">
        <x:v>NC_H0</x:v>
      </x:c>
      <x:c r="C349" s="10" t="n">
        <x:v>4</x:v>
      </x:c>
      <x:c r="D349" s="24" t="n">
        <x:v>0</x:v>
      </x:c>
      <x:c r="E349" s="24" t="n">
        <x:v>0.30383038303830384</x:v>
      </x:c>
      <x:c r="F349" s="24" t="n">
        <x:f>ABS(D349-E349)</x:f>
        <x:v>0.30383038303830384</x:v>
      </x:c>
    </x:row>
    <x:row r="350" ht="23" customHeight="1">
      <x:c r="A350" s="10" t="str">
        <x:v>M3</x:v>
      </x:c>
      <x:c r="B350" s="10" t="str">
        <x:v>NC_H0</x:v>
      </x:c>
      <x:c r="C350" s="10" t="n">
        <x:v>5</x:v>
      </x:c>
      <x:c r="D350" s="24" t="n">
        <x:v>0.7157000000000001</x:v>
      </x:c>
      <x:c r="E350" s="24" t="n">
        <x:v>0.07360736073607362</x:v>
      </x:c>
      <x:c r="F350" s="24" t="n">
        <x:f>ABS(D350-E350)</x:f>
        <x:v>0.6420926392639265</x:v>
      </x:c>
    </x:row>
    <x:row r="351" ht="23" customHeight="1">
      <x:c r="A351" s="10" t="str">
        <x:v>M3</x:v>
      </x:c>
      <x:c r="B351" s="10" t="str">
        <x:v>NC_H0</x:v>
      </x:c>
      <x:c r="C351" s="10" t="n">
        <x:v>6</x:v>
      </x:c>
      <x:c r="D351" s="24" t="n">
        <x:v>0.0041</x:v>
      </x:c>
      <x:c r="E351" s="24" t="n">
        <x:v>0.025002500250025005</x:v>
      </x:c>
      <x:c r="F351" s="24" t="n">
        <x:f>ABS(D351-E351)</x:f>
        <x:v>0.020902500250025005</x:v>
      </x:c>
    </x:row>
    <x:row r="352" ht="23" customHeight="1">
      <x:c r="A352" s="10" t="str">
        <x:v>M3</x:v>
      </x:c>
      <x:c r="B352" s="10" t="str">
        <x:v>NC_H0</x:v>
      </x:c>
      <x:c r="C352" s="10" t="n">
        <x:v>7</x:v>
      </x:c>
      <x:c r="D352" s="24" t="n">
        <x:v>0.0041</x:v>
      </x:c>
      <x:c r="E352" s="24" t="n">
        <x:v>0.023602360236023606</x:v>
      </x:c>
      <x:c r="F352" s="24" t="n">
        <x:f>ABS(D352-E352)</x:f>
        <x:v>0.019502360236023607</x:v>
      </x:c>
    </x:row>
    <x:row r="353" ht="23" customHeight="1">
      <x:c r="A353" s="10" t="str">
        <x:v>M3</x:v>
      </x:c>
      <x:c r="B353" s="10" t="str">
        <x:v>NC_H0</x:v>
      </x:c>
      <x:c r="C353" s="10" t="n">
        <x:v>8</x:v>
      </x:c>
      <x:c r="D353" s="24" t="n">
        <x:v>0.023600000000000003</x:v>
      </x:c>
      <x:c r="E353" s="24" t="n">
        <x:v>0.026302630263026306</x:v>
      </x:c>
      <x:c r="F353" s="24" t="n">
        <x:f>ABS(D353-E353)</x:f>
        <x:v>0.002702630263026303</x:v>
      </x:c>
    </x:row>
    <x:row r="354" ht="23" customHeight="1">
      <x:c r="A354" s="10" t="str">
        <x:v>M3</x:v>
      </x:c>
      <x:c r="B354" s="10" t="str">
        <x:v>NC_H0</x:v>
      </x:c>
      <x:c r="C354" s="10" t="n">
        <x:v>9</x:v>
      </x:c>
      <x:c r="D354" s="24" t="n">
        <x:v>0.026300000000000004</x:v>
      </x:c>
      <x:c r="E354" s="24" t="n">
        <x:v>0.020902090209020906</x:v>
      </x:c>
      <x:c r="F354" s="24" t="n">
        <x:f>ABS(D354-E354)</x:f>
        <x:v>0.0053979097909790975</x:v>
      </x:c>
    </x:row>
    <x:row r="355" ht="23" customHeight="1">
      <x:c r="A355" s="10" t="str">
        <x:v>M3</x:v>
      </x:c>
      <x:c r="B355" s="10" t="str">
        <x:v>NC_H0</x:v>
      </x:c>
      <x:c r="C355" s="10" t="n">
        <x:v>10</x:v>
      </x:c>
      <x:c r="D355" s="24" t="n">
        <x:v>0</x:v>
      </x:c>
      <x:c r="E355" s="24" t="n">
        <x:v>0</x:v>
      </x:c>
      <x:c r="F355" s="24" t="n">
        <x:f>ABS(D355-E355)</x:f>
        <x:v>0</x:v>
      </x:c>
    </x:row>
    <x:row r="356" ht="23" customHeight="1">
      <x:c r="A356" s="10" t="str">
        <x:v>M3</x:v>
      </x:c>
      <x:c r="B356" s="10" t="str">
        <x:v>NC_H1</x:v>
      </x:c>
      <x:c r="C356" s="10" t="n">
        <x:v>1</x:v>
      </x:c>
      <x:c r="D356" s="24" t="n">
        <x:v>0</x:v>
      </x:c>
      <x:c r="E356" s="24" t="n">
        <x:v>0.0027002700270027003</x:v>
      </x:c>
      <x:c r="F356" s="24" t="n">
        <x:f>ABS(D356-E356)</x:f>
        <x:v>0.0027002700270027003</x:v>
      </x:c>
    </x:row>
    <x:row r="357" ht="23" customHeight="1">
      <x:c r="A357" s="10" t="str">
        <x:v>M3</x:v>
      </x:c>
      <x:c r="B357" s="10" t="str">
        <x:v>NC_H1</x:v>
      </x:c>
      <x:c r="C357" s="10" t="n">
        <x:v>2</x:v>
      </x:c>
      <x:c r="D357" s="24" t="n">
        <x:v>0.19513902780556117</x:v>
      </x:c>
      <x:c r="E357" s="24" t="n">
        <x:v>0.10061006100610062</x:v>
      </x:c>
      <x:c r="F357" s="24" t="n">
        <x:f>ABS(D357-E357)</x:f>
        <x:v>0.09452896679946055</x:v>
      </x:c>
    </x:row>
    <x:row r="358" ht="23" customHeight="1">
      <x:c r="A358" s="10" t="str">
        <x:v>M3</x:v>
      </x:c>
      <x:c r="B358" s="10" t="str">
        <x:v>NC_H1</x:v>
      </x:c>
      <x:c r="C358" s="10" t="n">
        <x:v>3</x:v>
      </x:c>
      <x:c r="D358" s="24" t="n">
        <x:v>0.007401480296059213</x:v>
      </x:c>
      <x:c r="E358" s="24" t="n">
        <x:v>0.42344234423442345</x:v>
      </x:c>
      <x:c r="F358" s="24" t="n">
        <x:f>ABS(D358-E358)</x:f>
        <x:v>0.41604086393836426</x:v>
      </x:c>
    </x:row>
    <x:row r="359" ht="23" customHeight="1">
      <x:c r="A359" s="10" t="str">
        <x:v>M3</x:v>
      </x:c>
      <x:c r="B359" s="10" t="str">
        <x:v>NC_H1</x:v>
      </x:c>
      <x:c r="C359" s="10" t="n">
        <x:v>4</x:v>
      </x:c>
      <x:c r="D359" s="24" t="n">
        <x:v>0</x:v>
      </x:c>
      <x:c r="E359" s="24" t="n">
        <x:v>0.30383038303830384</x:v>
      </x:c>
      <x:c r="F359" s="24" t="n">
        <x:f>ABS(D359-E359)</x:f>
        <x:v>0.30383038303830384</x:v>
      </x:c>
    </x:row>
    <x:row r="360" ht="23" customHeight="1">
      <x:c r="A360" s="10" t="str">
        <x:v>M3</x:v>
      </x:c>
      <x:c r="B360" s="10" t="str">
        <x:v>NC_H1</x:v>
      </x:c>
      <x:c r="C360" s="10" t="n">
        <x:v>5</x:v>
      </x:c>
      <x:c r="D360" s="24" t="n">
        <x:v>0.7158431686337268</x:v>
      </x:c>
      <x:c r="E360" s="24" t="n">
        <x:v>0.07360736073607362</x:v>
      </x:c>
      <x:c r="F360" s="24" t="n">
        <x:f>ABS(D360-E360)</x:f>
        <x:v>0.6422358078976531</x:v>
      </x:c>
    </x:row>
    <x:row r="361" ht="23" customHeight="1">
      <x:c r="A361" s="10" t="str">
        <x:v>M3</x:v>
      </x:c>
      <x:c r="B361" s="10" t="str">
        <x:v>NC_H1</x:v>
      </x:c>
      <x:c r="C361" s="10" t="n">
        <x:v>6</x:v>
      </x:c>
      <x:c r="D361" s="24" t="n">
        <x:v>0.010102020404080819</x:v>
      </x:c>
      <x:c r="E361" s="24" t="n">
        <x:v>0.025002500250025005</x:v>
      </x:c>
      <x:c r="F361" s="24" t="n">
        <x:f>ABS(D361-E361)</x:f>
        <x:v>0.014900479845944186</x:v>
      </x:c>
    </x:row>
    <x:row r="362" ht="23" customHeight="1">
      <x:c r="A362" s="10" t="str">
        <x:v>M3</x:v>
      </x:c>
      <x:c r="B362" s="10" t="str">
        <x:v>NC_H1</x:v>
      </x:c>
      <x:c r="C362" s="10" t="n">
        <x:v>7</x:v>
      </x:c>
      <x:c r="D362" s="24" t="n">
        <x:v>0.021604320864172837</x:v>
      </x:c>
      <x:c r="E362" s="24" t="n">
        <x:v>0.023602360236023606</x:v>
      </x:c>
      <x:c r="F362" s="24" t="n">
        <x:f>ABS(D362-E362)</x:f>
        <x:v>0.001998039371850769</x:v>
      </x:c>
    </x:row>
    <x:row r="363" ht="23" customHeight="1">
      <x:c r="A363" s="10" t="str">
        <x:v>M3</x:v>
      </x:c>
      <x:c r="B363" s="10" t="str">
        <x:v>NC_H1</x:v>
      </x:c>
      <x:c r="C363" s="10" t="n">
        <x:v>8</x:v>
      </x:c>
      <x:c r="D363" s="24" t="n">
        <x:v>0.02360472094418884</x:v>
      </x:c>
      <x:c r="E363" s="24" t="n">
        <x:v>0.026302630263026306</x:v>
      </x:c>
      <x:c r="F363" s="24" t="n">
        <x:f>ABS(D363-E363)</x:f>
        <x:v>0.002697909318837465</x:v>
      </x:c>
    </x:row>
    <x:row r="364" ht="23" customHeight="1">
      <x:c r="A364" s="10" t="str">
        <x:v>M3</x:v>
      </x:c>
      <x:c r="B364" s="10" t="str">
        <x:v>NC_H1</x:v>
      </x:c>
      <x:c r="C364" s="10" t="n">
        <x:v>9</x:v>
      </x:c>
      <x:c r="D364" s="24" t="n">
        <x:v>0.026305261052210444</x:v>
      </x:c>
      <x:c r="E364" s="24" t="n">
        <x:v>0.020902090209020906</x:v>
      </x:c>
      <x:c r="F364" s="24" t="n">
        <x:f>ABS(D364-E364)</x:f>
        <x:v>0.005403170843189538</x:v>
      </x:c>
    </x:row>
    <x:row r="365" ht="23" customHeight="1">
      <x:c r="A365" s="10" t="str">
        <x:v>M3</x:v>
      </x:c>
      <x:c r="B365" s="10" t="str">
        <x:v>NC_H1</x:v>
      </x:c>
      <x:c r="C365" s="10" t="n">
        <x:v>10</x:v>
      </x:c>
      <x:c r="D365" s="24" t="n">
        <x:v>0</x:v>
      </x:c>
      <x:c r="E365" s="24" t="n">
        <x:v>0</x:v>
      </x:c>
      <x:c r="F365" s="24" t="n">
        <x:f>ABS(D365-E365)</x:f>
        <x:v>0</x:v>
      </x:c>
    </x:row>
    <x:row r="366" ht="23" customHeight="1">
      <x:c r="A366" s="10" t="str">
        <x:v>M3</x:v>
      </x:c>
      <x:c r="B366" s="10" t="str">
        <x:v>NG_H0</x:v>
      </x:c>
      <x:c r="C366" s="10" t="n">
        <x:v>1</x:v>
      </x:c>
      <x:c r="D366" s="24" t="n">
        <x:v>0</x:v>
      </x:c>
      <x:c r="E366" s="24" t="n">
        <x:v>0.0027002700270027003</x:v>
      </x:c>
      <x:c r="F366" s="24" t="n">
        <x:f>ABS(D366-E366)</x:f>
        <x:v>0.0027002700270027003</x:v>
      </x:c>
    </x:row>
    <x:row r="367" ht="23" customHeight="1">
      <x:c r="A367" s="10" t="str">
        <x:v>M3</x:v>
      </x:c>
      <x:c r="B367" s="10" t="str">
        <x:v>NG_H0</x:v>
      </x:c>
      <x:c r="C367" s="10" t="n">
        <x:v>2</x:v>
      </x:c>
      <x:c r="D367" s="24" t="n">
        <x:v>0.12830000000000003</x:v>
      </x:c>
      <x:c r="E367" s="24" t="n">
        <x:v>0.10061006100610062</x:v>
      </x:c>
      <x:c r="F367" s="24" t="n">
        <x:f>ABS(D367-E367)</x:f>
        <x:v>0.027689938993899404</x:v>
      </x:c>
    </x:row>
    <x:row r="368" ht="23" customHeight="1">
      <x:c r="A368" s="10" t="str">
        <x:v>M3</x:v>
      </x:c>
      <x:c r="B368" s="10" t="str">
        <x:v>NG_H0</x:v>
      </x:c>
      <x:c r="C368" s="10" t="n">
        <x:v>3</x:v>
      </x:c>
      <x:c r="D368" s="24" t="n">
        <x:v>0.43750000000000006</x:v>
      </x:c>
      <x:c r="E368" s="24" t="n">
        <x:v>0.42344234423442345</x:v>
      </x:c>
      <x:c r="F368" s="24" t="n">
        <x:f>ABS(D368-E368)</x:f>
        <x:v>0.014057655765576604</x:v>
      </x:c>
    </x:row>
    <x:row r="369" ht="23" customHeight="1">
      <x:c r="A369" s="10" t="str">
        <x:v>M3</x:v>
      </x:c>
      <x:c r="B369" s="10" t="str">
        <x:v>NG_H0</x:v>
      </x:c>
      <x:c r="C369" s="10" t="n">
        <x:v>4</x:v>
      </x:c>
      <x:c r="D369" s="24" t="n">
        <x:v>0.26330000000000003</x:v>
      </x:c>
      <x:c r="E369" s="24" t="n">
        <x:v>0.30383038303830384</x:v>
      </x:c>
      <x:c r="F369" s="24" t="n">
        <x:f>ABS(D369-E369)</x:f>
        <x:v>0.04053038303830381</x:v>
      </x:c>
    </x:row>
    <x:row r="370" ht="23" customHeight="1">
      <x:c r="A370" s="10" t="str">
        <x:v>M3</x:v>
      </x:c>
      <x:c r="B370" s="10" t="str">
        <x:v>NG_H0</x:v>
      </x:c>
      <x:c r="C370" s="10" t="n">
        <x:v>5</x:v>
      </x:c>
      <x:c r="D370" s="24" t="n">
        <x:v>0.059400000000000015</x:v>
      </x:c>
      <x:c r="E370" s="24" t="n">
        <x:v>0.07360736073607362</x:v>
      </x:c>
      <x:c r="F370" s="24" t="n">
        <x:f>ABS(D370-E370)</x:f>
        <x:v>0.0142073607360736</x:v>
      </x:c>
    </x:row>
    <x:row r="371" ht="23" customHeight="1">
      <x:c r="A371" s="10" t="str">
        <x:v>M3</x:v>
      </x:c>
      <x:c r="B371" s="10" t="str">
        <x:v>NG_H0</x:v>
      </x:c>
      <x:c r="C371" s="10" t="n">
        <x:v>6</x:v>
      </x:c>
      <x:c r="D371" s="24" t="n">
        <x:v>0.008100000000000001</x:v>
      </x:c>
      <x:c r="E371" s="24" t="n">
        <x:v>0.025002500250025005</x:v>
      </x:c>
      <x:c r="F371" s="24" t="n">
        <x:f>ABS(D371-E371)</x:f>
        <x:v>0.016902500250025</x:v>
      </x:c>
    </x:row>
    <x:row r="372" ht="23" customHeight="1">
      <x:c r="A372" s="10" t="str">
        <x:v>M3</x:v>
      </x:c>
      <x:c r="B372" s="10" t="str">
        <x:v>NG_H0</x:v>
      </x:c>
      <x:c r="C372" s="10" t="n">
        <x:v>7</x:v>
      </x:c>
      <x:c r="D372" s="24" t="n">
        <x:v>0.0041</x:v>
      </x:c>
      <x:c r="E372" s="24" t="n">
        <x:v>0.023602360236023606</x:v>
      </x:c>
      <x:c r="F372" s="24" t="n">
        <x:f>ABS(D372-E372)</x:f>
        <x:v>0.019502360236023607</x:v>
      </x:c>
    </x:row>
    <x:row r="373" ht="23" customHeight="1">
      <x:c r="A373" s="10" t="str">
        <x:v>M3</x:v>
      </x:c>
      <x:c r="B373" s="10" t="str">
        <x:v>NG_H0</x:v>
      </x:c>
      <x:c r="C373" s="10" t="n">
        <x:v>8</x:v>
      </x:c>
      <x:c r="D373" s="24" t="n">
        <x:v>0.027700000000000006</x:v>
      </x:c>
      <x:c r="E373" s="24" t="n">
        <x:v>0.026302630263026306</x:v>
      </x:c>
      <x:c r="F373" s="24" t="n">
        <x:f>ABS(D373-E373)</x:f>
        <x:v>0.0013973697369736998</x:v>
      </x:c>
    </x:row>
    <x:row r="374" ht="23" customHeight="1">
      <x:c r="A374" s="10" t="str">
        <x:v>M3</x:v>
      </x:c>
      <x:c r="B374" s="10" t="str">
        <x:v>NG_H0</x:v>
      </x:c>
      <x:c r="C374" s="10" t="n">
        <x:v>9</x:v>
      </x:c>
      <x:c r="D374" s="24" t="n">
        <x:v>0.07160000000000001</x:v>
      </x:c>
      <x:c r="E374" s="24" t="n">
        <x:v>0.020902090209020906</x:v>
      </x:c>
      <x:c r="F374" s="24" t="n">
        <x:f>ABS(D374-E374)</x:f>
        <x:v>0.0506979097909791</x:v>
      </x:c>
    </x:row>
    <x:row r="375" ht="23" customHeight="1">
      <x:c r="A375" s="10" t="str">
        <x:v>M3</x:v>
      </x:c>
      <x:c r="B375" s="10" t="str">
        <x:v>NG_H0</x:v>
      </x:c>
      <x:c r="C375" s="10" t="n">
        <x:v>10</x:v>
      </x:c>
      <x:c r="D375" s="24" t="n">
        <x:v>0</x:v>
      </x:c>
      <x:c r="E375" s="24" t="n">
        <x:v>0</x:v>
      </x:c>
      <x:c r="F375" s="24" t="n">
        <x:f>ABS(D375-E375)</x:f>
        <x:v>0</x:v>
      </x:c>
    </x:row>
    <x:row r="376" ht="23" customHeight="1">
      <x:c r="A376" s="10" t="str">
        <x:v>M3</x:v>
      </x:c>
      <x:c r="B376" s="10" t="str">
        <x:v>NG_H1</x:v>
      </x:c>
      <x:c r="C376" s="10" t="n">
        <x:v>1</x:v>
      </x:c>
      <x:c r="D376" s="24" t="n">
        <x:v>0</x:v>
      </x:c>
      <x:c r="E376" s="24" t="n">
        <x:v>0.0027002700270027003</x:v>
      </x:c>
      <x:c r="F376" s="24" t="n">
        <x:f>ABS(D376-E376)</x:f>
        <x:v>0.0027002700270027003</x:v>
      </x:c>
    </x:row>
    <x:row r="377" ht="23" customHeight="1">
      <x:c r="A377" s="10" t="str">
        <x:v>M3</x:v>
      </x:c>
      <x:c r="B377" s="10" t="str">
        <x:v>NG_H1</x:v>
      </x:c>
      <x:c r="C377" s="10" t="n">
        <x:v>2</x:v>
      </x:c>
      <x:c r="D377" s="24" t="n">
        <x:v>0.10400000000000002</x:v>
      </x:c>
      <x:c r="E377" s="24" t="n">
        <x:v>0.10061006100610062</x:v>
      </x:c>
      <x:c r="F377" s="24" t="n">
        <x:f>ABS(D377-E377)</x:f>
        <x:v>0.0033899389938994023</x:v>
      </x:c>
    </x:row>
    <x:row r="378" ht="23" customHeight="1">
      <x:c r="A378" s="10" t="str">
        <x:v>M3</x:v>
      </x:c>
      <x:c r="B378" s="10" t="str">
        <x:v>NG_H1</x:v>
      </x:c>
      <x:c r="C378" s="10" t="n">
        <x:v>3</x:v>
      </x:c>
      <x:c r="D378" s="24" t="n">
        <x:v>0.3862</x:v>
      </x:c>
      <x:c r="E378" s="24" t="n">
        <x:v>0.42344234423442345</x:v>
      </x:c>
      <x:c r="F378" s="24" t="n">
        <x:f>ABS(D378-E378)</x:f>
        <x:v>0.03724234423442346</x:v>
      </x:c>
    </x:row>
    <x:row r="379" ht="23" customHeight="1">
      <x:c r="A379" s="10" t="str">
        <x:v>M3</x:v>
      </x:c>
      <x:c r="B379" s="10" t="str">
        <x:v>NG_H1</x:v>
      </x:c>
      <x:c r="C379" s="10" t="n">
        <x:v>4</x:v>
      </x:c>
      <x:c r="D379" s="24" t="n">
        <x:v>0.31800000000000006</x:v>
      </x:c>
      <x:c r="E379" s="24" t="n">
        <x:v>0.30383038303830384</x:v>
      </x:c>
      <x:c r="F379" s="24" t="n">
        <x:f>ABS(D379-E379)</x:f>
        <x:v>0.014169616961696219</x:v>
      </x:c>
    </x:row>
    <x:row r="380" ht="23" customHeight="1">
      <x:c r="A380" s="10" t="str">
        <x:v>M3</x:v>
      </x:c>
      <x:c r="B380" s="10" t="str">
        <x:v>NG_H1</x:v>
      </x:c>
      <x:c r="C380" s="10" t="n">
        <x:v>5</x:v>
      </x:c>
      <x:c r="D380" s="24" t="n">
        <x:v>0.06280000000000001</x:v>
      </x:c>
      <x:c r="E380" s="24" t="n">
        <x:v>0.07360736073607362</x:v>
      </x:c>
      <x:c r="F380" s="24" t="n">
        <x:f>ABS(D380-E380)</x:f>
        <x:v>0.010807360736073607</x:v>
      </x:c>
    </x:row>
    <x:row r="381" ht="23" customHeight="1">
      <x:c r="A381" s="10" t="str">
        <x:v>M3</x:v>
      </x:c>
      <x:c r="B381" s="10" t="str">
        <x:v>NG_H1</x:v>
      </x:c>
      <x:c r="C381" s="10" t="n">
        <x:v>6</x:v>
      </x:c>
      <x:c r="D381" s="24" t="n">
        <x:v>0.018900000000000004</x:v>
      </x:c>
      <x:c r="E381" s="24" t="n">
        <x:v>0.025002500250025005</x:v>
      </x:c>
      <x:c r="F381" s="24" t="n">
        <x:f>ABS(D381-E381)</x:f>
        <x:v>0.006102500250025001</x:v>
      </x:c>
    </x:row>
    <x:row r="382" ht="23" customHeight="1">
      <x:c r="A382" s="10" t="str">
        <x:v>M3</x:v>
      </x:c>
      <x:c r="B382" s="10" t="str">
        <x:v>NG_H1</x:v>
      </x:c>
      <x:c r="C382" s="10" t="n">
        <x:v>7</x:v>
      </x:c>
      <x:c r="D382" s="24" t="n">
        <x:v>0.0108</x:v>
      </x:c>
      <x:c r="E382" s="24" t="n">
        <x:v>0.023602360236023606</x:v>
      </x:c>
      <x:c r="F382" s="24" t="n">
        <x:f>ABS(D382-E382)</x:f>
        <x:v>0.012802360236023606</x:v>
      </x:c>
    </x:row>
    <x:row r="383" ht="23" customHeight="1">
      <x:c r="A383" s="10" t="str">
        <x:v>M3</x:v>
      </x:c>
      <x:c r="B383" s="10" t="str">
        <x:v>NG_H1</x:v>
      </x:c>
      <x:c r="C383" s="10" t="n">
        <x:v>8</x:v>
      </x:c>
      <x:c r="D383" s="24" t="n">
        <x:v>0.027700000000000006</x:v>
      </x:c>
      <x:c r="E383" s="24" t="n">
        <x:v>0.026302630263026306</x:v>
      </x:c>
      <x:c r="F383" s="24" t="n">
        <x:f>ABS(D383-E383)</x:f>
        <x:v>0.0013973697369736998</x:v>
      </x:c>
    </x:row>
    <x:row r="384" ht="23" customHeight="1">
      <x:c r="A384" s="10" t="str">
        <x:v>M3</x:v>
      </x:c>
      <x:c r="B384" s="10" t="str">
        <x:v>NG_H1</x:v>
      </x:c>
      <x:c r="C384" s="10" t="n">
        <x:v>9</x:v>
      </x:c>
      <x:c r="D384" s="24" t="n">
        <x:v>0.07160000000000001</x:v>
      </x:c>
      <x:c r="E384" s="24" t="n">
        <x:v>0.020902090209020906</x:v>
      </x:c>
      <x:c r="F384" s="24" t="n">
        <x:f>ABS(D384-E384)</x:f>
        <x:v>0.0506979097909791</x:v>
      </x:c>
    </x:row>
    <x:row r="385" ht="23" customHeight="1">
      <x:c r="A385" s="10" t="str">
        <x:v>M3</x:v>
      </x:c>
      <x:c r="B385" s="10" t="str">
        <x:v>NG_H1</x:v>
      </x:c>
      <x:c r="C385" s="10" t="n">
        <x:v>10</x:v>
      </x:c>
      <x:c r="D385" s="24" t="n">
        <x:v>0</x:v>
      </x:c>
      <x:c r="E385" s="24" t="n">
        <x:v>0</x:v>
      </x:c>
      <x:c r="F385" s="24" t="n">
        <x:f>ABS(D385-E385)</x:f>
        <x:v>0</x:v>
      </x:c>
    </x:row>
    <x:row r="386" ht="23" customHeight="1">
      <x:c r="A386" s="10" t="str">
        <x:v>M3</x:v>
      </x:c>
      <x:c r="B386" s="10" t="str">
        <x:v>CG_H0</x:v>
      </x:c>
      <x:c r="C386" s="10" t="n">
        <x:v>1</x:v>
      </x:c>
      <x:c r="D386" s="24" t="n">
        <x:v>0</x:v>
      </x:c>
      <x:c r="E386" s="24" t="n">
        <x:v>0.0027002700270027003</x:v>
      </x:c>
      <x:c r="F386" s="24" t="n">
        <x:f>ABS(D386-E386)</x:f>
        <x:v>0.0027002700270027003</x:v>
      </x:c>
    </x:row>
    <x:row r="387" ht="23" customHeight="1">
      <x:c r="A387" s="10" t="str">
        <x:v>M3</x:v>
      </x:c>
      <x:c r="B387" s="10" t="str">
        <x:v>CG_H0</x:v>
      </x:c>
      <x:c r="C387" s="10" t="n">
        <x:v>2</x:v>
      </x:c>
      <x:c r="D387" s="24" t="n">
        <x:v>0.17149999999999999</x:v>
      </x:c>
      <x:c r="E387" s="24" t="n">
        <x:v>0.10061006100610062</x:v>
      </x:c>
      <x:c r="F387" s="24" t="n">
        <x:f>ABS(D387-E387)</x:f>
        <x:v>0.07088993899389937</x:v>
      </x:c>
    </x:row>
    <x:row r="388" ht="23" customHeight="1">
      <x:c r="A388" s="10" t="str">
        <x:v>M3</x:v>
      </x:c>
      <x:c r="B388" s="10" t="str">
        <x:v>CG_H0</x:v>
      </x:c>
      <x:c r="C388" s="10" t="n">
        <x:v>3</x:v>
      </x:c>
      <x:c r="D388" s="24" t="n">
        <x:v>0.47130000000000005</x:v>
      </x:c>
      <x:c r="E388" s="24" t="n">
        <x:v>0.42344234423442345</x:v>
      </x:c>
      <x:c r="F388" s="24" t="n">
        <x:f>ABS(D388-E388)</x:f>
        <x:v>0.0478576557655766</x:v>
      </x:c>
    </x:row>
    <x:row r="389" ht="23" customHeight="1">
      <x:c r="A389" s="10" t="str">
        <x:v>M3</x:v>
      </x:c>
      <x:c r="B389" s="10" t="str">
        <x:v>CG_H0</x:v>
      </x:c>
      <x:c r="C389" s="10" t="n">
        <x:v>4</x:v>
      </x:c>
      <x:c r="D389" s="24" t="n">
        <x:v>0.289</x:v>
      </x:c>
      <x:c r="E389" s="24" t="n">
        <x:v>0.30383038303830384</x:v>
      </x:c>
      <x:c r="F389" s="24" t="n">
        <x:f>ABS(D389-E389)</x:f>
        <x:v>0.014830383038303863</x:v>
      </x:c>
    </x:row>
    <x:row r="390" ht="23" customHeight="1">
      <x:c r="A390" s="10" t="str">
        <x:v>M3</x:v>
      </x:c>
      <x:c r="B390" s="10" t="str">
        <x:v>CG_H0</x:v>
      </x:c>
      <x:c r="C390" s="10" t="n">
        <x:v>5</x:v>
      </x:c>
      <x:c r="D390" s="24" t="n">
        <x:v>0.0641</x:v>
      </x:c>
      <x:c r="E390" s="24" t="n">
        <x:v>0.07360736073607362</x:v>
      </x:c>
      <x:c r="F390" s="24" t="n">
        <x:f>ABS(D390-E390)</x:f>
        <x:v>0.009507360736073611</x:v>
      </x:c>
    </x:row>
    <x:row r="391" ht="23" customHeight="1">
      <x:c r="A391" s="10" t="str">
        <x:v>M3</x:v>
      </x:c>
      <x:c r="B391" s="10" t="str">
        <x:v>CG_H0</x:v>
      </x:c>
      <x:c r="C391" s="10" t="n">
        <x:v>6</x:v>
      </x:c>
      <x:c r="D391" s="24" t="n">
        <x:v>0.0040999999999999995</x:v>
      </x:c>
      <x:c r="E391" s="24" t="n">
        <x:v>0.025002500250025005</x:v>
      </x:c>
      <x:c r="F391" s="24" t="n">
        <x:f>ABS(D391-E391)</x:f>
        <x:v>0.020902500250025005</x:v>
      </x:c>
    </x:row>
    <x:row r="392" ht="23" customHeight="1">
      <x:c r="A392" s="10" t="str">
        <x:v>M3</x:v>
      </x:c>
      <x:c r="B392" s="10" t="str">
        <x:v>CG_H0</x:v>
      </x:c>
      <x:c r="C392" s="10" t="n">
        <x:v>7</x:v>
      </x:c>
      <x:c r="D392" s="24" t="n">
        <x:v>0</x:v>
      </x:c>
      <x:c r="E392" s="24" t="n">
        <x:v>0.023602360236023606</x:v>
      </x:c>
      <x:c r="F392" s="24" t="n">
        <x:f>ABS(D392-E392)</x:f>
        <x:v>0.023602360236023606</x:v>
      </x:c>
    </x:row>
    <x:row r="393" ht="23" customHeight="1">
      <x:c r="A393" s="10" t="str">
        <x:v>M3</x:v>
      </x:c>
      <x:c r="B393" s="10" t="str">
        <x:v>CG_H0</x:v>
      </x:c>
      <x:c r="C393" s="10" t="n">
        <x:v>8</x:v>
      </x:c>
      <x:c r="D393" s="24" t="n">
        <x:v>0</x:v>
      </x:c>
      <x:c r="E393" s="24" t="n">
        <x:v>0.026302630263026306</x:v>
      </x:c>
      <x:c r="F393" s="24" t="n">
        <x:f>ABS(D393-E393)</x:f>
        <x:v>0.026302630263026306</x:v>
      </x:c>
    </x:row>
    <x:row r="394" ht="23" customHeight="1">
      <x:c r="A394" s="10" t="str">
        <x:v>M3</x:v>
      </x:c>
      <x:c r="B394" s="10" t="str">
        <x:v>CG_H0</x:v>
      </x:c>
      <x:c r="C394" s="10" t="n">
        <x:v>9</x:v>
      </x:c>
      <x:c r="D394" s="24" t="n">
        <x:v>0</x:v>
      </x:c>
      <x:c r="E394" s="24" t="n">
        <x:v>0.020902090209020906</x:v>
      </x:c>
      <x:c r="F394" s="24" t="n">
        <x:f>ABS(D394-E394)</x:f>
        <x:v>0.020902090209020906</x:v>
      </x:c>
    </x:row>
    <x:row r="395" ht="23" customHeight="1">
      <x:c r="A395" s="10" t="str">
        <x:v>M3</x:v>
      </x:c>
      <x:c r="B395" s="10" t="str">
        <x:v>CG_H0</x:v>
      </x:c>
      <x:c r="C395" s="10" t="n">
        <x:v>10</x:v>
      </x:c>
      <x:c r="D395" s="24" t="n">
        <x:v>0</x:v>
      </x:c>
      <x:c r="E395" s="24" t="n">
        <x:v>0</x:v>
      </x:c>
      <x:c r="F395" s="24" t="n">
        <x:f>ABS(D395-E395)</x:f>
        <x:v>0</x:v>
      </x:c>
    </x:row>
    <x:row r="396" ht="23" customHeight="1">
      <x:c r="A396" s="10" t="str">
        <x:v>M3</x:v>
      </x:c>
      <x:c r="B396" s="10" t="str">
        <x:v>CG_H1</x:v>
      </x:c>
      <x:c r="C396" s="10" t="n">
        <x:v>1</x:v>
      </x:c>
      <x:c r="D396" s="24" t="n">
        <x:v>0</x:v>
      </x:c>
      <x:c r="E396" s="24" t="n">
        <x:v>0.0027002700270027003</x:v>
      </x:c>
      <x:c r="F396" s="24" t="n">
        <x:f>ABS(D396-E396)</x:f>
        <x:v>0.0027002700270027003</x:v>
      </x:c>
    </x:row>
    <x:row r="397" ht="23" customHeight="1">
      <x:c r="A397" s="10" t="str">
        <x:v>M3</x:v>
      </x:c>
      <x:c r="B397" s="10" t="str">
        <x:v>CG_H1</x:v>
      </x:c>
      <x:c r="C397" s="10" t="n">
        <x:v>2</x:v>
      </x:c>
      <x:c r="D397" s="24" t="n">
        <x:v>0.1268873112688731</x:v>
      </x:c>
      <x:c r="E397" s="24" t="n">
        <x:v>0.10061006100610062</x:v>
      </x:c>
      <x:c r="F397" s="24" t="n">
        <x:f>ABS(D397-E397)</x:f>
        <x:v>0.026277250262772472</x:v>
      </x:c>
    </x:row>
    <x:row r="398" ht="23" customHeight="1">
      <x:c r="A398" s="10" t="str">
        <x:v>M3</x:v>
      </x:c>
      <x:c r="B398" s="10" t="str">
        <x:v>CG_H1</x:v>
      </x:c>
      <x:c r="C398" s="10" t="n">
        <x:v>3</x:v>
      </x:c>
      <x:c r="D398" s="24" t="n">
        <x:v>0.44425557444255576</x:v>
      </x:c>
      <x:c r="E398" s="24" t="n">
        <x:v>0.42344234423442345</x:v>
      </x:c>
      <x:c r="F398" s="24" t="n">
        <x:f>ABS(D398-E398)</x:f>
        <x:v>0.020813230208132305</x:v>
      </x:c>
    </x:row>
    <x:row r="399" ht="23" customHeight="1">
      <x:c r="A399" s="10" t="str">
        <x:v>M3</x:v>
      </x:c>
      <x:c r="B399" s="10" t="str">
        <x:v>CG_H1</x:v>
      </x:c>
      <x:c r="C399" s="10" t="n">
        <x:v>4</x:v>
      </x:c>
      <x:c r="D399" s="24" t="n">
        <x:v>0.3308669133086692</x:v>
      </x:c>
      <x:c r="E399" s="24" t="n">
        <x:v>0.30383038303830384</x:v>
      </x:c>
      <x:c r="F399" s="24" t="n">
        <x:f>ABS(D399-E399)</x:f>
        <x:v>0.027036530270365344</x:v>
      </x:c>
    </x:row>
    <x:row r="400" ht="23" customHeight="1">
      <x:c r="A400" s="10" t="str">
        <x:v>M3</x:v>
      </x:c>
      <x:c r="B400" s="10" t="str">
        <x:v>CG_H1</x:v>
      </x:c>
      <x:c r="C400" s="10" t="n">
        <x:v>5</x:v>
      </x:c>
      <x:c r="D400" s="24" t="n">
        <x:v>0.0715928407159284</x:v>
      </x:c>
      <x:c r="E400" s="24" t="n">
        <x:v>0.07360736073607362</x:v>
      </x:c>
      <x:c r="F400" s="24" t="n">
        <x:f>ABS(D400-E400)</x:f>
        <x:v>0.0020145200201452107</x:v>
      </x:c>
    </x:row>
    <x:row r="401" ht="23" customHeight="1">
      <x:c r="A401" s="10" t="str">
        <x:v>M3</x:v>
      </x:c>
      <x:c r="B401" s="10" t="str">
        <x:v>CG_H1</x:v>
      </x:c>
      <x:c r="C401" s="10" t="n">
        <x:v>6</x:v>
      </x:c>
      <x:c r="D401" s="24" t="n">
        <x:v>0.0060993900609939</x:v>
      </x:c>
      <x:c r="E401" s="24" t="n">
        <x:v>0.025002500250025005</x:v>
      </x:c>
      <x:c r="F401" s="24" t="n">
        <x:f>ABS(D401-E401)</x:f>
        <x:v>0.018903110189031104</x:v>
      </x:c>
    </x:row>
    <x:row r="402" ht="23" customHeight="1">
      <x:c r="A402" s="10" t="str">
        <x:v>M3</x:v>
      </x:c>
      <x:c r="B402" s="10" t="str">
        <x:v>CG_H1</x:v>
      </x:c>
      <x:c r="C402" s="10" t="n">
        <x:v>7</x:v>
      </x:c>
      <x:c r="D402" s="24" t="n">
        <x:v>0.020297970202979698</x:v>
      </x:c>
      <x:c r="E402" s="24" t="n">
        <x:v>0.023602360236023606</x:v>
      </x:c>
      <x:c r="F402" s="24" t="n">
        <x:f>ABS(D402-E402)</x:f>
        <x:v>0.0033043900330439087</x:v>
      </x:c>
    </x:row>
    <x:row r="403" ht="23" customHeight="1">
      <x:c r="A403" s="10" t="str">
        <x:v>M3</x:v>
      </x:c>
      <x:c r="B403" s="10" t="str">
        <x:v>CG_H1</x:v>
      </x:c>
      <x:c r="C403" s="10" t="n">
        <x:v>8</x:v>
      </x:c>
      <x:c r="D403" s="24" t="n">
        <x:v>0</x:v>
      </x:c>
      <x:c r="E403" s="24" t="n">
        <x:v>0.026302630263026306</x:v>
      </x:c>
      <x:c r="F403" s="24" t="n">
        <x:f>ABS(D403-E403)</x:f>
        <x:v>0.026302630263026306</x:v>
      </x:c>
    </x:row>
    <x:row r="404" ht="23" customHeight="1">
      <x:c r="A404" s="10" t="str">
        <x:v>M3</x:v>
      </x:c>
      <x:c r="B404" s="10" t="str">
        <x:v>CG_H1</x:v>
      </x:c>
      <x:c r="C404" s="10" t="n">
        <x:v>9</x:v>
      </x:c>
      <x:c r="D404" s="24" t="n">
        <x:v>0</x:v>
      </x:c>
      <x:c r="E404" s="24" t="n">
        <x:v>0.020902090209020906</x:v>
      </x:c>
      <x:c r="F404" s="24" t="n">
        <x:f>ABS(D404-E404)</x:f>
        <x:v>0.020902090209020906</x:v>
      </x:c>
    </x:row>
    <x:row r="405" ht="23" customHeight="1">
      <x:c r="A405" s="10" t="str">
        <x:v>M3</x:v>
      </x:c>
      <x:c r="B405" s="10" t="str">
        <x:v>CG_H1</x:v>
      </x:c>
      <x:c r="C405" s="10" t="n">
        <x:v>10</x:v>
      </x:c>
      <x:c r="D405" s="24" t="n">
        <x:v>0</x:v>
      </x:c>
      <x:c r="E405" s="24" t="n">
        <x:v>0</x:v>
      </x:c>
      <x:c r="F405" s="24" t="n">
        <x:f>ABS(D405-E405)</x:f>
        <x:v>0</x:v>
      </x:c>
    </x:row>
    <x:row r="406" ht="23" customHeight="1">
      <x:c r="A406" s="10" t="str">
        <x:v>M3</x:v>
      </x:c>
      <x:c r="B406" s="10" t="str">
        <x:v>NCG_H0</x:v>
      </x:c>
      <x:c r="C406" s="10" t="n">
        <x:v>1</x:v>
      </x:c>
      <x:c r="D406" s="24" t="n">
        <x:v>0</x:v>
      </x:c>
      <x:c r="E406" s="24" t="n">
        <x:v>0.0027002700270027003</x:v>
      </x:c>
      <x:c r="F406" s="24" t="n">
        <x:f>ABS(D406-E406)</x:f>
        <x:v>0.0027002700270027003</x:v>
      </x:c>
    </x:row>
    <x:row r="407" ht="23" customHeight="1">
      <x:c r="A407" s="10" t="str">
        <x:v>M3</x:v>
      </x:c>
      <x:c r="B407" s="10" t="str">
        <x:v>NCG_H0</x:v>
      </x:c>
      <x:c r="C407" s="10" t="n">
        <x:v>2</x:v>
      </x:c>
      <x:c r="D407" s="24" t="n">
        <x:v>0.13770000000000002</x:v>
      </x:c>
      <x:c r="E407" s="24" t="n">
        <x:v>0.10061006100610062</x:v>
      </x:c>
      <x:c r="F407" s="24" t="n">
        <x:f>ABS(D407-E407)</x:f>
        <x:v>0.037089938993899396</x:v>
      </x:c>
    </x:row>
    <x:row r="408" ht="23" customHeight="1">
      <x:c r="A408" s="10" t="str">
        <x:v>M3</x:v>
      </x:c>
      <x:c r="B408" s="10" t="str">
        <x:v>NCG_H0</x:v>
      </x:c>
      <x:c r="C408" s="10" t="n">
        <x:v>3</x:v>
      </x:c>
      <x:c r="D408" s="24" t="n">
        <x:v>0.46930000000000005</x:v>
      </x:c>
      <x:c r="E408" s="24" t="n">
        <x:v>0.42344234423442345</x:v>
      </x:c>
      <x:c r="F408" s="24" t="n">
        <x:f>ABS(D408-E408)</x:f>
        <x:v>0.0458576557655766</x:v>
      </x:c>
    </x:row>
    <x:row r="409" ht="23" customHeight="1">
      <x:c r="A409" s="10" t="str">
        <x:v>M3</x:v>
      </x:c>
      <x:c r="B409" s="10" t="str">
        <x:v>NCG_H0</x:v>
      </x:c>
      <x:c r="C409" s="10" t="n">
        <x:v>4</x:v>
      </x:c>
      <x:c r="D409" s="24" t="n">
        <x:v>0.25930000000000003</x:v>
      </x:c>
      <x:c r="E409" s="24" t="n">
        <x:v>0.30383038303830384</x:v>
      </x:c>
      <x:c r="F409" s="24" t="n">
        <x:f>ABS(D409-E409)</x:f>
        <x:v>0.04453038303830381</x:v>
      </x:c>
    </x:row>
    <x:row r="410" ht="23" customHeight="1">
      <x:c r="A410" s="10" t="str">
        <x:v>M3</x:v>
      </x:c>
      <x:c r="B410" s="10" t="str">
        <x:v>NCG_H0</x:v>
      </x:c>
      <x:c r="C410" s="10" t="n">
        <x:v>5</x:v>
      </x:c>
      <x:c r="D410" s="24" t="n">
        <x:v>0.0689</x:v>
      </x:c>
      <x:c r="E410" s="24" t="n">
        <x:v>0.07360736073607362</x:v>
      </x:c>
      <x:c r="F410" s="24" t="n">
        <x:f>ABS(D410-E410)</x:f>
        <x:v>0.0047073607360736125</x:v>
      </x:c>
    </x:row>
    <x:row r="411" ht="23" customHeight="1">
      <x:c r="A411" s="10" t="str">
        <x:v>M3</x:v>
      </x:c>
      <x:c r="B411" s="10" t="str">
        <x:v>NCG_H0</x:v>
      </x:c>
      <x:c r="C411" s="10" t="n">
        <x:v>6</x:v>
      </x:c>
      <x:c r="D411" s="24" t="n">
        <x:v>0.0108</x:v>
      </x:c>
      <x:c r="E411" s="24" t="n">
        <x:v>0.025002500250025005</x:v>
      </x:c>
      <x:c r="F411" s="24" t="n">
        <x:f>ABS(D411-E411)</x:f>
        <x:v>0.014202500250025004</x:v>
      </x:c>
    </x:row>
    <x:row r="412" ht="23" customHeight="1">
      <x:c r="A412" s="10" t="str">
        <x:v>M3</x:v>
      </x:c>
      <x:c r="B412" s="10" t="str">
        <x:v>NCG_H0</x:v>
      </x:c>
      <x:c r="C412" s="10" t="n">
        <x:v>7</x:v>
      </x:c>
      <x:c r="D412" s="24" t="n">
        <x:v>0.0041</x:v>
      </x:c>
      <x:c r="E412" s="24" t="n">
        <x:v>0.023602360236023606</x:v>
      </x:c>
      <x:c r="F412" s="24" t="n">
        <x:f>ABS(D412-E412)</x:f>
        <x:v>0.019502360236023607</x:v>
      </x:c>
    </x:row>
    <x:row r="413" ht="23" customHeight="1">
      <x:c r="A413" s="10" t="str">
        <x:v>M3</x:v>
      </x:c>
      <x:c r="B413" s="10" t="str">
        <x:v>NCG_H0</x:v>
      </x:c>
      <x:c r="C413" s="10" t="n">
        <x:v>8</x:v>
      </x:c>
      <x:c r="D413" s="24" t="n">
        <x:v>0.023600000000000003</x:v>
      </x:c>
      <x:c r="E413" s="24" t="n">
        <x:v>0.026302630263026306</x:v>
      </x:c>
      <x:c r="F413" s="24" t="n">
        <x:f>ABS(D413-E413)</x:f>
        <x:v>0.002702630263026303</x:v>
      </x:c>
    </x:row>
    <x:row r="414" ht="23" customHeight="1">
      <x:c r="A414" s="10" t="str">
        <x:v>M3</x:v>
      </x:c>
      <x:c r="B414" s="10" t="str">
        <x:v>NCG_H0</x:v>
      </x:c>
      <x:c r="C414" s="10" t="n">
        <x:v>9</x:v>
      </x:c>
      <x:c r="D414" s="24" t="n">
        <x:v>0.026300000000000004</x:v>
      </x:c>
      <x:c r="E414" s="24" t="n">
        <x:v>0.020902090209020906</x:v>
      </x:c>
      <x:c r="F414" s="24" t="n">
        <x:f>ABS(D414-E414)</x:f>
        <x:v>0.0053979097909790975</x:v>
      </x:c>
    </x:row>
    <x:row r="415" ht="23" customHeight="1">
      <x:c r="A415" s="10" t="str">
        <x:v>M3</x:v>
      </x:c>
      <x:c r="B415" s="10" t="str">
        <x:v>NCG_H0</x:v>
      </x:c>
      <x:c r="C415" s="10" t="n">
        <x:v>10</x:v>
      </x:c>
      <x:c r="D415" s="24" t="n">
        <x:v>0</x:v>
      </x:c>
      <x:c r="E415" s="24" t="n">
        <x:v>0</x:v>
      </x:c>
      <x:c r="F415" s="24" t="n">
        <x:f>ABS(D415-E415)</x:f>
        <x:v>0</x:v>
      </x:c>
    </x:row>
    <x:row r="416" ht="23" customHeight="1">
      <x:c r="A416" s="10" t="str">
        <x:v>M3</x:v>
      </x:c>
      <x:c r="B416" s="10" t="str">
        <x:v>NCG_H1</x:v>
      </x:c>
      <x:c r="C416" s="10" t="n">
        <x:v>1</x:v>
      </x:c>
      <x:c r="D416" s="24" t="n">
        <x:v>0</x:v>
      </x:c>
      <x:c r="E416" s="24" t="n">
        <x:v>0.0027002700270027003</x:v>
      </x:c>
      <x:c r="F416" s="24" t="n">
        <x:f>ABS(D416-E416)</x:f>
        <x:v>0.0027002700270027003</x:v>
      </x:c>
    </x:row>
    <x:row r="417" ht="23" customHeight="1">
      <x:c r="A417" s="10" t="str">
        <x:v>M3</x:v>
      </x:c>
      <x:c r="B417" s="10" t="str">
        <x:v>NCG_H1</x:v>
      </x:c>
      <x:c r="C417" s="10" t="n">
        <x:v>2</x:v>
      </x:c>
      <x:c r="D417" s="24" t="n">
        <x:v>0.09720972097209722</x:v>
      </x:c>
      <x:c r="E417" s="24" t="n">
        <x:v>0.10061006100610062</x:v>
      </x:c>
      <x:c r="F417" s="24" t="n">
        <x:f>ABS(D417-E417)</x:f>
        <x:v>0.003400340034003399</x:v>
      </x:c>
    </x:row>
    <x:row r="418" ht="23" customHeight="1">
      <x:c r="A418" s="10" t="str">
        <x:v>M3</x:v>
      </x:c>
      <x:c r="B418" s="10" t="str">
        <x:v>NCG_H1</x:v>
      </x:c>
      <x:c r="C418" s="10" t="n">
        <x:v>3</x:v>
      </x:c>
      <x:c r="D418" s="24" t="n">
        <x:v>0.4342434243424343</x:v>
      </x:c>
      <x:c r="E418" s="24" t="n">
        <x:v>0.42344234423442345</x:v>
      </x:c>
      <x:c r="F418" s="24" t="n">
        <x:f>ABS(D418-E418)</x:f>
        <x:v>0.010801080108010841</x:v>
      </x:c>
    </x:row>
    <x:row r="419" ht="23" customHeight="1">
      <x:c r="A419" s="10" t="str">
        <x:v>M3</x:v>
      </x:c>
      <x:c r="B419" s="10" t="str">
        <x:v>NCG_H1</x:v>
      </x:c>
      <x:c r="C419" s="10" t="n">
        <x:v>4</x:v>
      </x:c>
      <x:c r="D419" s="24" t="n">
        <x:v>0.307930793079308</x:v>
      </x:c>
      <x:c r="E419" s="24" t="n">
        <x:v>0.30383038303830384</x:v>
      </x:c>
      <x:c r="F419" s="24" t="n">
        <x:f>ABS(D419-E419)</x:f>
        <x:v>0.004100410041004143</x:v>
      </x:c>
    </x:row>
    <x:row r="420" ht="23" customHeight="1">
      <x:c r="A420" s="10" t="str">
        <x:v>M3</x:v>
      </x:c>
      <x:c r="B420" s="10" t="str">
        <x:v>NCG_H1</x:v>
      </x:c>
      <x:c r="C420" s="10" t="n">
        <x:v>5</x:v>
      </x:c>
      <x:c r="D420" s="24" t="n">
        <x:v>0.0702070207020702</x:v>
      </x:c>
      <x:c r="E420" s="24" t="n">
        <x:v>0.07360736073607362</x:v>
      </x:c>
      <x:c r="F420" s="24" t="n">
        <x:f>ABS(D420-E420)</x:f>
        <x:v>0.003400340034003413</x:v>
      </x:c>
    </x:row>
    <x:row r="421" ht="23" customHeight="1">
      <x:c r="A421" s="10" t="str">
        <x:v>M3</x:v>
      </x:c>
      <x:c r="B421" s="10" t="str">
        <x:v>NCG_H1</x:v>
      </x:c>
      <x:c r="C421" s="10" t="n">
        <x:v>6</x:v>
      </x:c>
      <x:c r="D421" s="24" t="n">
        <x:v>0.018901890189018902</x:v>
      </x:c>
      <x:c r="E421" s="24" t="n">
        <x:v>0.025002500250025005</x:v>
      </x:c>
      <x:c r="F421" s="24" t="n">
        <x:f>ABS(D421-E421)</x:f>
        <x:v>0.006100610061006102</x:v>
      </x:c>
    </x:row>
    <x:row r="422" ht="23" customHeight="1">
      <x:c r="A422" s="10" t="str">
        <x:v>M3</x:v>
      </x:c>
      <x:c r="B422" s="10" t="str">
        <x:v>NCG_H1</x:v>
      </x:c>
      <x:c r="C422" s="10" t="n">
        <x:v>7</x:v>
      </x:c>
      <x:c r="D422" s="24" t="n">
        <x:v>0.021602160216021602</x:v>
      </x:c>
      <x:c r="E422" s="24" t="n">
        <x:v>0.023602360236023606</x:v>
      </x:c>
      <x:c r="F422" s="24" t="n">
        <x:f>ABS(D422-E422)</x:f>
        <x:v>0.002000200020002004</x:v>
      </x:c>
    </x:row>
    <x:row r="423" ht="23" customHeight="1">
      <x:c r="A423" s="10" t="str">
        <x:v>M3</x:v>
      </x:c>
      <x:c r="B423" s="10" t="str">
        <x:v>NCG_H1</x:v>
      </x:c>
      <x:c r="C423" s="10" t="n">
        <x:v>8</x:v>
      </x:c>
      <x:c r="D423" s="24" t="n">
        <x:v>0.023602360236023606</x:v>
      </x:c>
      <x:c r="E423" s="24" t="n">
        <x:v>0.026302630263026306</x:v>
      </x:c>
      <x:c r="F423" s="24" t="n">
        <x:f>ABS(D423-E423)</x:f>
        <x:v>0.0027002700270027</x:v>
      </x:c>
    </x:row>
    <x:row r="424" ht="23" customHeight="1">
      <x:c r="A424" s="10" t="str">
        <x:v>M3</x:v>
      </x:c>
      <x:c r="B424" s="10" t="str">
        <x:v>NCG_H1</x:v>
      </x:c>
      <x:c r="C424" s="10" t="n">
        <x:v>9</x:v>
      </x:c>
      <x:c r="D424" s="24" t="n">
        <x:v>0.026302630263026306</x:v>
      </x:c>
      <x:c r="E424" s="24" t="n">
        <x:v>0.020902090209020906</x:v>
      </x:c>
      <x:c r="F424" s="24" t="n">
        <x:f>ABS(D424-E424)</x:f>
        <x:v>0.0054005400540054</x:v>
      </x:c>
    </x:row>
    <x:row r="425" ht="23" customHeight="1">
      <x:c r="A425" s="10" t="str">
        <x:v>M3</x:v>
      </x:c>
      <x:c r="B425" s="10" t="str">
        <x:v>NCG_H1</x:v>
      </x:c>
      <x:c r="C425" s="10" t="n">
        <x:v>10</x:v>
      </x:c>
      <x:c r="D425" s="24" t="n">
        <x:v>0</x:v>
      </x:c>
      <x:c r="E425" s="24" t="n">
        <x:v>0</x:v>
      </x:c>
      <x:c r="F425" s="24" t="n">
        <x:f>ABS(D425-E425)</x:f>
        <x:v>0</x:v>
      </x:c>
    </x:row>
    <x:row r="426" ht="23" customHeight="1">
      <x:c r="A426" s="10" t="str">
        <x:v>M4</x:v>
      </x:c>
      <x:c r="B426" s="10" t="str">
        <x:v>N_H0</x:v>
      </x:c>
      <x:c r="C426" s="10" t="n">
        <x:v>1</x:v>
      </x:c>
      <x:c r="D426" s="24" t="n">
        <x:v>0</x:v>
      </x:c>
      <x:c r="E426" s="24" t="n">
        <x:v>0.0024</x:v>
      </x:c>
      <x:c r="F426" s="24" t="n">
        <x:f>ABS(D426-E426)</x:f>
        <x:v>0.0024</x:v>
      </x:c>
    </x:row>
    <x:row r="427" ht="23" customHeight="1">
      <x:c r="A427" s="10" t="str">
        <x:v>M4</x:v>
      </x:c>
      <x:c r="B427" s="10" t="str">
        <x:v>N_H0</x:v>
      </x:c>
      <x:c r="C427" s="10" t="n">
        <x:v>2</x:v>
      </x:c>
      <x:c r="D427" s="24" t="n">
        <x:v>0.1159</x:v>
      </x:c>
      <x:c r="E427" s="24" t="n">
        <x:v>0.14529999999999998</x:v>
      </x:c>
      <x:c r="F427" s="24" t="n">
        <x:f>ABS(D427-E427)</x:f>
        <x:v>0.02939999999999998</x:v>
      </x:c>
    </x:row>
    <x:row r="428" ht="23" customHeight="1">
      <x:c r="A428" s="10" t="str">
        <x:v>M4</x:v>
      </x:c>
      <x:c r="B428" s="10" t="str">
        <x:v>N_H0</x:v>
      </x:c>
      <x:c r="C428" s="10" t="n">
        <x:v>3</x:v>
      </x:c>
      <x:c r="D428" s="24" t="n">
        <x:v>0.0127</x:v>
      </x:c>
      <x:c r="E428" s="24" t="n">
        <x:v>0.6076</x:v>
      </x:c>
      <x:c r="F428" s="24" t="n">
        <x:f>ABS(D428-E428)</x:f>
        <x:v>0.5949</x:v>
      </x:c>
    </x:row>
    <x:row r="429" ht="23" customHeight="1">
      <x:c r="A429" s="10" t="str">
        <x:v>M4</x:v>
      </x:c>
      <x:c r="B429" s="10" t="str">
        <x:v>N_H0</x:v>
      </x:c>
      <x:c r="C429" s="10" t="n">
        <x:v>4</x:v>
      </x:c>
      <x:c r="D429" s="24" t="n">
        <x:v>0</x:v>
      </x:c>
      <x:c r="E429" s="24" t="n">
        <x:v>0.1748</x:v>
      </x:c>
      <x:c r="F429" s="24" t="n">
        <x:f>ABS(D429-E429)</x:f>
        <x:v>0.1748</x:v>
      </x:c>
    </x:row>
    <x:row r="430" ht="23" customHeight="1">
      <x:c r="A430" s="10" t="str">
        <x:v>M4</x:v>
      </x:c>
      <x:c r="B430" s="10" t="str">
        <x:v>N_H0</x:v>
      </x:c>
      <x:c r="C430" s="10" t="n">
        <x:v>5</x:v>
      </x:c>
      <x:c r="D430" s="24" t="n">
        <x:v>0.8162</x:v>
      </x:c>
      <x:c r="E430" s="24" t="n">
        <x:v>0.026099999999999998</x:v>
      </x:c>
      <x:c r="F430" s="24" t="n">
        <x:f>ABS(D430-E430)</x:f>
        <x:v>0.7901</x:v>
      </x:c>
    </x:row>
    <x:row r="431" ht="23" customHeight="1">
      <x:c r="A431" s="10" t="str">
        <x:v>M4</x:v>
      </x:c>
      <x:c r="B431" s="10" t="str">
        <x:v>N_H0</x:v>
      </x:c>
      <x:c r="C431" s="10" t="n">
        <x:v>6</x:v>
      </x:c>
      <x:c r="D431" s="24" t="n">
        <x:v>0</x:v>
      </x:c>
      <x:c r="E431" s="24" t="n">
        <x:v>0.0026</x:v>
      </x:c>
      <x:c r="F431" s="24" t="n">
        <x:f>ABS(D431-E431)</x:f>
        <x:v>0.0026</x:v>
      </x:c>
    </x:row>
    <x:row r="432" ht="23" customHeight="1">
      <x:c r="A432" s="10" t="str">
        <x:v>M4</x:v>
      </x:c>
      <x:c r="B432" s="10" t="str">
        <x:v>N_H0</x:v>
      </x:c>
      <x:c r="C432" s="10" t="n">
        <x:v>7</x:v>
      </x:c>
      <x:c r="D432" s="24" t="n">
        <x:v>0.005699999999999999</x:v>
      </x:c>
      <x:c r="E432" s="24" t="n">
        <x:v>0.005699999999999999</x:v>
      </x:c>
      <x:c r="F432" s="24" t="n">
        <x:f>ABS(D432-E432)</x:f>
        <x:v>0</x:v>
      </x:c>
    </x:row>
    <x:row r="433" ht="23" customHeight="1">
      <x:c r="A433" s="10" t="str">
        <x:v>M4</x:v>
      </x:c>
      <x:c r="B433" s="10" t="str">
        <x:v>N_H0</x:v>
      </x:c>
      <x:c r="C433" s="10" t="n">
        <x:v>8</x:v>
      </x:c>
      <x:c r="D433" s="24" t="n">
        <x:v>0.0108</x:v>
      </x:c>
      <x:c r="E433" s="24" t="n">
        <x:v>0.0128</x:v>
      </x:c>
      <x:c r="F433" s="24" t="n">
        <x:f>ABS(D433-E433)</x:f>
        <x:v>0.002</x:v>
      </x:c>
    </x:row>
    <x:row r="434" ht="23" customHeight="1">
      <x:c r="A434" s="10" t="str">
        <x:v>M4</x:v>
      </x:c>
      <x:c r="B434" s="10" t="str">
        <x:v>N_H0</x:v>
      </x:c>
      <x:c r="C434" s="10" t="n">
        <x:v>9</x:v>
      </x:c>
      <x:c r="D434" s="24" t="n">
        <x:v>0.0387</x:v>
      </x:c>
      <x:c r="E434" s="24" t="n">
        <x:v>0.0227</x:v>
      </x:c>
      <x:c r="F434" s="24" t="n">
        <x:f>ABS(D434-E434)</x:f>
        <x:v>0.015999999999999997</x:v>
      </x:c>
    </x:row>
    <x:row r="435" ht="23" customHeight="1">
      <x:c r="A435" s="10" t="str">
        <x:v>M4</x:v>
      </x:c>
      <x:c r="B435" s="10" t="str">
        <x:v>N_H0</x:v>
      </x:c>
      <x:c r="C435" s="10" t="n">
        <x:v>10</x:v>
      </x:c>
      <x:c r="D435" s="24" t="n">
        <x:v>0</x:v>
      </x:c>
      <x:c r="E435" s="24" t="n">
        <x:v>0</x:v>
      </x:c>
      <x:c r="F435" s="24" t="n">
        <x:f>ABS(D435-E435)</x:f>
        <x:v>0</x:v>
      </x:c>
    </x:row>
    <x:row r="436" ht="23" customHeight="1">
      <x:c r="A436" s="10" t="str">
        <x:v>M4</x:v>
      </x:c>
      <x:c r="B436" s="10" t="str">
        <x:v>N_H1</x:v>
      </x:c>
      <x:c r="C436" s="10" t="n">
        <x:v>1</x:v>
      </x:c>
      <x:c r="D436" s="24" t="n">
        <x:v>0</x:v>
      </x:c>
      <x:c r="E436" s="24" t="n">
        <x:v>0.0024</x:v>
      </x:c>
      <x:c r="F436" s="24" t="n">
        <x:f>ABS(D436-E436)</x:f>
        <x:v>0.0024</x:v>
      </x:c>
    </x:row>
    <x:row r="437" ht="23" customHeight="1">
      <x:c r="A437" s="10" t="str">
        <x:v>M4</x:v>
      </x:c>
      <x:c r="B437" s="10" t="str">
        <x:v>N_H1</x:v>
      </x:c>
      <x:c r="C437" s="10" t="n">
        <x:v>2</x:v>
      </x:c>
      <x:c r="D437" s="24" t="n">
        <x:v>0.1159</x:v>
      </x:c>
      <x:c r="E437" s="24" t="n">
        <x:v>0.14529999999999998</x:v>
      </x:c>
      <x:c r="F437" s="24" t="n">
        <x:f>ABS(D437-E437)</x:f>
        <x:v>0.02939999999999998</x:v>
      </x:c>
    </x:row>
    <x:row r="438" ht="23" customHeight="1">
      <x:c r="A438" s="10" t="str">
        <x:v>M4</x:v>
      </x:c>
      <x:c r="B438" s="10" t="str">
        <x:v>N_H1</x:v>
      </x:c>
      <x:c r="C438" s="10" t="n">
        <x:v>3</x:v>
      </x:c>
      <x:c r="D438" s="24" t="n">
        <x:v>0.0127</x:v>
      </x:c>
      <x:c r="E438" s="24" t="n">
        <x:v>0.6076</x:v>
      </x:c>
      <x:c r="F438" s="24" t="n">
        <x:f>ABS(D438-E438)</x:f>
        <x:v>0.5949</x:v>
      </x:c>
    </x:row>
    <x:row r="439" ht="23" customHeight="1">
      <x:c r="A439" s="10" t="str">
        <x:v>M4</x:v>
      </x:c>
      <x:c r="B439" s="10" t="str">
        <x:v>N_H1</x:v>
      </x:c>
      <x:c r="C439" s="10" t="n">
        <x:v>4</x:v>
      </x:c>
      <x:c r="D439" s="24" t="n">
        <x:v>0</x:v>
      </x:c>
      <x:c r="E439" s="24" t="n">
        <x:v>0.1748</x:v>
      </x:c>
      <x:c r="F439" s="24" t="n">
        <x:f>ABS(D439-E439)</x:f>
        <x:v>0.1748</x:v>
      </x:c>
    </x:row>
    <x:row r="440" ht="23" customHeight="1">
      <x:c r="A440" s="10" t="str">
        <x:v>M4</x:v>
      </x:c>
      <x:c r="B440" s="10" t="str">
        <x:v>N_H1</x:v>
      </x:c>
      <x:c r="C440" s="10" t="n">
        <x:v>5</x:v>
      </x:c>
      <x:c r="D440" s="24" t="n">
        <x:v>0.8162</x:v>
      </x:c>
      <x:c r="E440" s="24" t="n">
        <x:v>0.026099999999999998</x:v>
      </x:c>
      <x:c r="F440" s="24" t="n">
        <x:f>ABS(D440-E440)</x:f>
        <x:v>0.7901</x:v>
      </x:c>
    </x:row>
    <x:row r="441" ht="23" customHeight="1">
      <x:c r="A441" s="10" t="str">
        <x:v>M4</x:v>
      </x:c>
      <x:c r="B441" s="10" t="str">
        <x:v>N_H1</x:v>
      </x:c>
      <x:c r="C441" s="10" t="n">
        <x:v>6</x:v>
      </x:c>
      <x:c r="D441" s="24" t="n">
        <x:v>0</x:v>
      </x:c>
      <x:c r="E441" s="24" t="n">
        <x:v>0.0026</x:v>
      </x:c>
      <x:c r="F441" s="24" t="n">
        <x:f>ABS(D441-E441)</x:f>
        <x:v>0.0026</x:v>
      </x:c>
    </x:row>
    <x:row r="442" ht="23" customHeight="1">
      <x:c r="A442" s="10" t="str">
        <x:v>M4</x:v>
      </x:c>
      <x:c r="B442" s="10" t="str">
        <x:v>N_H1</x:v>
      </x:c>
      <x:c r="C442" s="10" t="n">
        <x:v>7</x:v>
      </x:c>
      <x:c r="D442" s="24" t="n">
        <x:v>0.005699999999999999</x:v>
      </x:c>
      <x:c r="E442" s="24" t="n">
        <x:v>0.005699999999999999</x:v>
      </x:c>
      <x:c r="F442" s="24" t="n">
        <x:f>ABS(D442-E442)</x:f>
        <x:v>0</x:v>
      </x:c>
    </x:row>
    <x:row r="443" ht="23" customHeight="1">
      <x:c r="A443" s="10" t="str">
        <x:v>M4</x:v>
      </x:c>
      <x:c r="B443" s="10" t="str">
        <x:v>N_H1</x:v>
      </x:c>
      <x:c r="C443" s="10" t="n">
        <x:v>8</x:v>
      </x:c>
      <x:c r="D443" s="24" t="n">
        <x:v>0.0108</x:v>
      </x:c>
      <x:c r="E443" s="24" t="n">
        <x:v>0.0128</x:v>
      </x:c>
      <x:c r="F443" s="24" t="n">
        <x:f>ABS(D443-E443)</x:f>
        <x:v>0.002</x:v>
      </x:c>
    </x:row>
    <x:row r="444" ht="23" customHeight="1">
      <x:c r="A444" s="10" t="str">
        <x:v>M4</x:v>
      </x:c>
      <x:c r="B444" s="10" t="str">
        <x:v>N_H1</x:v>
      </x:c>
      <x:c r="C444" s="10" t="n">
        <x:v>9</x:v>
      </x:c>
      <x:c r="D444" s="24" t="n">
        <x:v>0.0387</x:v>
      </x:c>
      <x:c r="E444" s="24" t="n">
        <x:v>0.0227</x:v>
      </x:c>
      <x:c r="F444" s="24" t="n">
        <x:f>ABS(D444-E444)</x:f>
        <x:v>0.015999999999999997</x:v>
      </x:c>
    </x:row>
    <x:row r="445" ht="23" customHeight="1">
      <x:c r="A445" s="10" t="str">
        <x:v>M4</x:v>
      </x:c>
      <x:c r="B445" s="10" t="str">
        <x:v>N_H1</x:v>
      </x:c>
      <x:c r="C445" s="10" t="n">
        <x:v>10</x:v>
      </x:c>
      <x:c r="D445" s="24" t="n">
        <x:v>0</x:v>
      </x:c>
      <x:c r="E445" s="24" t="n">
        <x:v>0</x:v>
      </x:c>
      <x:c r="F445" s="24" t="n">
        <x:f>ABS(D445-E445)</x:f>
        <x:v>0</x:v>
      </x:c>
    </x:row>
    <x:row r="446" ht="23" customHeight="1">
      <x:c r="A446" s="10" t="str">
        <x:v>M4</x:v>
      </x:c>
      <x:c r="B446" s="10" t="str">
        <x:v>C_H0</x:v>
      </x:c>
      <x:c r="C446" s="10" t="n">
        <x:v>1</x:v>
      </x:c>
      <x:c r="D446" s="24" t="n">
        <x:v>0</x:v>
      </x:c>
      <x:c r="E446" s="24" t="n">
        <x:v>0.0024</x:v>
      </x:c>
      <x:c r="F446" s="24" t="n">
        <x:f>ABS(D446-E446)</x:f>
        <x:v>0.0024</x:v>
      </x:c>
    </x:row>
    <x:row r="447" ht="23" customHeight="1">
      <x:c r="A447" s="10" t="str">
        <x:v>M4</x:v>
      </x:c>
      <x:c r="B447" s="10" t="str">
        <x:v>C_H0</x:v>
      </x:c>
      <x:c r="C447" s="10" t="n">
        <x:v>2</x:v>
      </x:c>
      <x:c r="D447" s="24" t="n">
        <x:v>0.17300000000000001</x:v>
      </x:c>
      <x:c r="E447" s="24" t="n">
        <x:v>0.14529999999999998</x:v>
      </x:c>
      <x:c r="F447" s="24" t="n">
        <x:f>ABS(D447-E447)</x:f>
        <x:v>0.02770000000000003</x:v>
      </x:c>
    </x:row>
    <x:row r="448" ht="23" customHeight="1">
      <x:c r="A448" s="10" t="str">
        <x:v>M4</x:v>
      </x:c>
      <x:c r="B448" s="10" t="str">
        <x:v>C_H0</x:v>
      </x:c>
      <x:c r="C448" s="10" t="n">
        <x:v>3</x:v>
      </x:c>
      <x:c r="D448" s="24" t="n">
        <x:v>0</x:v>
      </x:c>
      <x:c r="E448" s="24" t="n">
        <x:v>0.6076</x:v>
      </x:c>
      <x:c r="F448" s="24" t="n">
        <x:f>ABS(D448-E448)</x:f>
        <x:v>0.6076</x:v>
      </x:c>
    </x:row>
    <x:row r="449" ht="23" customHeight="1">
      <x:c r="A449" s="10" t="str">
        <x:v>M4</x:v>
      </x:c>
      <x:c r="B449" s="10" t="str">
        <x:v>C_H0</x:v>
      </x:c>
      <x:c r="C449" s="10" t="n">
        <x:v>4</x:v>
      </x:c>
      <x:c r="D449" s="24" t="n">
        <x:v>0</x:v>
      </x:c>
      <x:c r="E449" s="24" t="n">
        <x:v>0.1748</x:v>
      </x:c>
      <x:c r="F449" s="24" t="n">
        <x:f>ABS(D449-E449)</x:f>
        <x:v>0.1748</x:v>
      </x:c>
    </x:row>
    <x:row r="450" ht="23" customHeight="1">
      <x:c r="A450" s="10" t="str">
        <x:v>M4</x:v>
      </x:c>
      <x:c r="B450" s="10" t="str">
        <x:v>C_H0</x:v>
      </x:c>
      <x:c r="C450" s="10" t="n">
        <x:v>5</x:v>
      </x:c>
      <x:c r="D450" s="24" t="n">
        <x:v>0.8270000000000001</x:v>
      </x:c>
      <x:c r="E450" s="24" t="n">
        <x:v>0.026099999999999998</x:v>
      </x:c>
      <x:c r="F450" s="24" t="n">
        <x:f>ABS(D450-E450)</x:f>
        <x:v>0.8009000000000001</x:v>
      </x:c>
    </x:row>
    <x:row r="451" ht="23" customHeight="1">
      <x:c r="A451" s="10" t="str">
        <x:v>M4</x:v>
      </x:c>
      <x:c r="B451" s="10" t="str">
        <x:v>C_H0</x:v>
      </x:c>
      <x:c r="C451" s="10" t="n">
        <x:v>6</x:v>
      </x:c>
      <x:c r="D451" s="24" t="n">
        <x:v>0</x:v>
      </x:c>
      <x:c r="E451" s="24" t="n">
        <x:v>0.0026</x:v>
      </x:c>
      <x:c r="F451" s="24" t="n">
        <x:f>ABS(D451-E451)</x:f>
        <x:v>0.0026</x:v>
      </x:c>
    </x:row>
    <x:row r="452" ht="23" customHeight="1">
      <x:c r="A452" s="10" t="str">
        <x:v>M4</x:v>
      </x:c>
      <x:c r="B452" s="10" t="str">
        <x:v>C_H0</x:v>
      </x:c>
      <x:c r="C452" s="10" t="n">
        <x:v>7</x:v>
      </x:c>
      <x:c r="D452" s="24" t="n">
        <x:v>0</x:v>
      </x:c>
      <x:c r="E452" s="24" t="n">
        <x:v>0.005699999999999999</x:v>
      </x:c>
      <x:c r="F452" s="24" t="n">
        <x:f>ABS(D452-E452)</x:f>
        <x:v>0.005699999999999999</x:v>
      </x:c>
    </x:row>
    <x:row r="453" ht="23" customHeight="1">
      <x:c r="A453" s="10" t="str">
        <x:v>M4</x:v>
      </x:c>
      <x:c r="B453" s="10" t="str">
        <x:v>C_H0</x:v>
      </x:c>
      <x:c r="C453" s="10" t="n">
        <x:v>8</x:v>
      </x:c>
      <x:c r="D453" s="24" t="n">
        <x:v>0</x:v>
      </x:c>
      <x:c r="E453" s="24" t="n">
        <x:v>0.0128</x:v>
      </x:c>
      <x:c r="F453" s="24" t="n">
        <x:f>ABS(D453-E453)</x:f>
        <x:v>0.0128</x:v>
      </x:c>
    </x:row>
    <x:row r="454" ht="23" customHeight="1">
      <x:c r="A454" s="10" t="str">
        <x:v>M4</x:v>
      </x:c>
      <x:c r="B454" s="10" t="str">
        <x:v>C_H0</x:v>
      </x:c>
      <x:c r="C454" s="10" t="n">
        <x:v>9</x:v>
      </x:c>
      <x:c r="D454" s="24" t="n">
        <x:v>0</x:v>
      </x:c>
      <x:c r="E454" s="24" t="n">
        <x:v>0.0227</x:v>
      </x:c>
      <x:c r="F454" s="24" t="n">
        <x:f>ABS(D454-E454)</x:f>
        <x:v>0.0227</x:v>
      </x:c>
    </x:row>
    <x:row r="455" ht="23" customHeight="1">
      <x:c r="A455" s="10" t="str">
        <x:v>M4</x:v>
      </x:c>
      <x:c r="B455" s="10" t="str">
        <x:v>C_H0</x:v>
      </x:c>
      <x:c r="C455" s="10" t="n">
        <x:v>10</x:v>
      </x:c>
      <x:c r="D455" s="24" t="n">
        <x:v>0</x:v>
      </x:c>
      <x:c r="E455" s="24" t="n">
        <x:v>0</x:v>
      </x:c>
      <x:c r="F455" s="24" t="n">
        <x:f>ABS(D455-E455)</x:f>
        <x:v>0</x:v>
      </x:c>
    </x:row>
    <x:row r="456" ht="23" customHeight="1">
      <x:c r="A456" s="10" t="str">
        <x:v>M4</x:v>
      </x:c>
      <x:c r="B456" s="10" t="str">
        <x:v>C_H1</x:v>
      </x:c>
      <x:c r="C456" s="10" t="n">
        <x:v>1</x:v>
      </x:c>
      <x:c r="D456" s="24" t="n">
        <x:v>0</x:v>
      </x:c>
      <x:c r="E456" s="24" t="n">
        <x:v>0.0024</x:v>
      </x:c>
      <x:c r="F456" s="24" t="n">
        <x:f>ABS(D456-E456)</x:f>
        <x:v>0.0024</x:v>
      </x:c>
    </x:row>
    <x:row r="457" ht="23" customHeight="1">
      <x:c r="A457" s="10" t="str">
        <x:v>M4</x:v>
      </x:c>
      <x:c r="B457" s="10" t="str">
        <x:v>C_H1</x:v>
      </x:c>
      <x:c r="C457" s="10" t="n">
        <x:v>2</x:v>
      </x:c>
      <x:c r="D457" s="24" t="n">
        <x:v>0.1728</x:v>
      </x:c>
      <x:c r="E457" s="24" t="n">
        <x:v>0.14529999999999998</x:v>
      </x:c>
      <x:c r="F457" s="24" t="n">
        <x:f>ABS(D457-E457)</x:f>
        <x:v>0.027500000000000024</x:v>
      </x:c>
    </x:row>
    <x:row r="458" ht="23" customHeight="1">
      <x:c r="A458" s="10" t="str">
        <x:v>M4</x:v>
      </x:c>
      <x:c r="B458" s="10" t="str">
        <x:v>C_H1</x:v>
      </x:c>
      <x:c r="C458" s="10" t="n">
        <x:v>3</x:v>
      </x:c>
      <x:c r="D458" s="24" t="n">
        <x:v>0</x:v>
      </x:c>
      <x:c r="E458" s="24" t="n">
        <x:v>0.6076</x:v>
      </x:c>
      <x:c r="F458" s="24" t="n">
        <x:f>ABS(D458-E458)</x:f>
        <x:v>0.6076</x:v>
      </x:c>
    </x:row>
    <x:row r="459" ht="23" customHeight="1">
      <x:c r="A459" s="10" t="str">
        <x:v>M4</x:v>
      </x:c>
      <x:c r="B459" s="10" t="str">
        <x:v>C_H1</x:v>
      </x:c>
      <x:c r="C459" s="10" t="n">
        <x:v>4</x:v>
      </x:c>
      <x:c r="D459" s="24" t="n">
        <x:v>0</x:v>
      </x:c>
      <x:c r="E459" s="24" t="n">
        <x:v>0.1748</x:v>
      </x:c>
      <x:c r="F459" s="24" t="n">
        <x:f>ABS(D459-E459)</x:f>
        <x:v>0.1748</x:v>
      </x:c>
    </x:row>
    <x:row r="460" ht="23" customHeight="1">
      <x:c r="A460" s="10" t="str">
        <x:v>M4</x:v>
      </x:c>
      <x:c r="B460" s="10" t="str">
        <x:v>C_H1</x:v>
      </x:c>
      <x:c r="C460" s="10" t="n">
        <x:v>5</x:v>
      </x:c>
      <x:c r="D460" s="24" t="n">
        <x:v>0.8270000000000001</x:v>
      </x:c>
      <x:c r="E460" s="24" t="n">
        <x:v>0.026099999999999998</x:v>
      </x:c>
      <x:c r="F460" s="24" t="n">
        <x:f>ABS(D460-E460)</x:f>
        <x:v>0.8009000000000001</x:v>
      </x:c>
    </x:row>
    <x:row r="461" ht="23" customHeight="1">
      <x:c r="A461" s="10" t="str">
        <x:v>M4</x:v>
      </x:c>
      <x:c r="B461" s="10" t="str">
        <x:v>C_H1</x:v>
      </x:c>
      <x:c r="C461" s="10" t="n">
        <x:v>6</x:v>
      </x:c>
      <x:c r="D461" s="24" t="n">
        <x:v>0</x:v>
      </x:c>
      <x:c r="E461" s="24" t="n">
        <x:v>0.0026</x:v>
      </x:c>
      <x:c r="F461" s="24" t="n">
        <x:f>ABS(D461-E461)</x:f>
        <x:v>0.0026</x:v>
      </x:c>
    </x:row>
    <x:row r="462" ht="23" customHeight="1">
      <x:c r="A462" s="10" t="str">
        <x:v>M4</x:v>
      </x:c>
      <x:c r="B462" s="10" t="str">
        <x:v>C_H1</x:v>
      </x:c>
      <x:c r="C462" s="10" t="n">
        <x:v>7</x:v>
      </x:c>
      <x:c r="D462" s="24" t="n">
        <x:v>0.0002</x:v>
      </x:c>
      <x:c r="E462" s="24" t="n">
        <x:v>0.005699999999999999</x:v>
      </x:c>
      <x:c r="F462" s="24" t="n">
        <x:f>ABS(D462-E462)</x:f>
        <x:v>0.0055</x:v>
      </x:c>
    </x:row>
    <x:row r="463" ht="23" customHeight="1">
      <x:c r="A463" s="10" t="str">
        <x:v>M4</x:v>
      </x:c>
      <x:c r="B463" s="10" t="str">
        <x:v>C_H1</x:v>
      </x:c>
      <x:c r="C463" s="10" t="n">
        <x:v>8</x:v>
      </x:c>
      <x:c r="D463" s="24" t="n">
        <x:v>0</x:v>
      </x:c>
      <x:c r="E463" s="24" t="n">
        <x:v>0.0128</x:v>
      </x:c>
      <x:c r="F463" s="24" t="n">
        <x:f>ABS(D463-E463)</x:f>
        <x:v>0.0128</x:v>
      </x:c>
    </x:row>
    <x:row r="464" ht="23" customHeight="1">
      <x:c r="A464" s="10" t="str">
        <x:v>M4</x:v>
      </x:c>
      <x:c r="B464" s="10" t="str">
        <x:v>C_H1</x:v>
      </x:c>
      <x:c r="C464" s="10" t="n">
        <x:v>9</x:v>
      </x:c>
      <x:c r="D464" s="24" t="n">
        <x:v>0</x:v>
      </x:c>
      <x:c r="E464" s="24" t="n">
        <x:v>0.0227</x:v>
      </x:c>
      <x:c r="F464" s="24" t="n">
        <x:f>ABS(D464-E464)</x:f>
        <x:v>0.0227</x:v>
      </x:c>
    </x:row>
    <x:row r="465" ht="23" customHeight="1">
      <x:c r="A465" s="10" t="str">
        <x:v>M4</x:v>
      </x:c>
      <x:c r="B465" s="10" t="str">
        <x:v>C_H1</x:v>
      </x:c>
      <x:c r="C465" s="10" t="n">
        <x:v>10</x:v>
      </x:c>
      <x:c r="D465" s="24" t="n">
        <x:v>0</x:v>
      </x:c>
      <x:c r="E465" s="24" t="n">
        <x:v>0</x:v>
      </x:c>
      <x:c r="F465" s="24" t="n">
        <x:f>ABS(D465-E465)</x:f>
        <x:v>0</x:v>
      </x:c>
    </x:row>
    <x:row r="466" ht="23" customHeight="1">
      <x:c r="A466" s="10" t="str">
        <x:v>M4</x:v>
      </x:c>
      <x:c r="B466" s="10" t="str">
        <x:v>G_H0</x:v>
      </x:c>
      <x:c r="C466" s="10" t="n">
        <x:v>1</x:v>
      </x:c>
      <x:c r="D466" s="24" t="n">
        <x:v>0</x:v>
      </x:c>
      <x:c r="E466" s="24" t="n">
        <x:v>0.0024</x:v>
      </x:c>
      <x:c r="F466" s="24" t="n">
        <x:f>ABS(D466-E466)</x:f>
        <x:v>0.0024</x:v>
      </x:c>
    </x:row>
    <x:row r="467" ht="23" customHeight="1">
      <x:c r="A467" s="10" t="str">
        <x:v>M4</x:v>
      </x:c>
      <x:c r="B467" s="10" t="str">
        <x:v>G_H0</x:v>
      </x:c>
      <x:c r="C467" s="10" t="n">
        <x:v>2</x:v>
      </x:c>
      <x:c r="D467" s="24" t="n">
        <x:v>0.14790000000000003</x:v>
      </x:c>
      <x:c r="E467" s="24" t="n">
        <x:v>0.14529999999999998</x:v>
      </x:c>
      <x:c r="F467" s="24" t="n">
        <x:f>ABS(D467-E467)</x:f>
        <x:v>0.0026000000000000467</x:v>
      </x:c>
    </x:row>
    <x:row r="468" ht="23" customHeight="1">
      <x:c r="A468" s="10" t="str">
        <x:v>M4</x:v>
      </x:c>
      <x:c r="B468" s="10" t="str">
        <x:v>G_H0</x:v>
      </x:c>
      <x:c r="C468" s="10" t="n">
        <x:v>3</x:v>
      </x:c>
      <x:c r="D468" s="24" t="n">
        <x:v>0.7213</x:v>
      </x:c>
      <x:c r="E468" s="24" t="n">
        <x:v>0.6076</x:v>
      </x:c>
      <x:c r="F468" s="24" t="n">
        <x:f>ABS(D468-E468)</x:f>
        <x:v>0.11370000000000002</x:v>
      </x:c>
    </x:row>
    <x:row r="469" ht="23" customHeight="1">
      <x:c r="A469" s="10" t="str">
        <x:v>M4</x:v>
      </x:c>
      <x:c r="B469" s="10" t="str">
        <x:v>G_H0</x:v>
      </x:c>
      <x:c r="C469" s="10" t="n">
        <x:v>4</x:v>
      </x:c>
      <x:c r="D469" s="24" t="n">
        <x:v>0.11610000000000001</x:v>
      </x:c>
      <x:c r="E469" s="24" t="n">
        <x:v>0.1748</x:v>
      </x:c>
      <x:c r="F469" s="24" t="n">
        <x:f>ABS(D469-E469)</x:f>
        <x:v>0.0587</x:v>
      </x:c>
    </x:row>
    <x:row r="470" ht="23" customHeight="1">
      <x:c r="A470" s="10" t="str">
        <x:v>M4</x:v>
      </x:c>
      <x:c r="B470" s="10" t="str">
        <x:v>G_H0</x:v>
      </x:c>
      <x:c r="C470" s="10" t="n">
        <x:v>5</x:v>
      </x:c>
      <x:c r="D470" s="24" t="n">
        <x:v>0.014100000000000001</x:v>
      </x:c>
      <x:c r="E470" s="24" t="n">
        <x:v>0.026099999999999998</x:v>
      </x:c>
      <x:c r="F470" s="24" t="n">
        <x:f>ABS(D470-E470)</x:f>
        <x:v>0.011999999999999997</x:v>
      </x:c>
    </x:row>
    <x:row r="471" ht="23" customHeight="1">
      <x:c r="A471" s="10" t="str">
        <x:v>M4</x:v>
      </x:c>
      <x:c r="B471" s="10" t="str">
        <x:v>G_H0</x:v>
      </x:c>
      <x:c r="C471" s="10" t="n">
        <x:v>6</x:v>
      </x:c>
      <x:c r="D471" s="24" t="n">
        <x:v>0.0006000000000000002</x:v>
      </x:c>
      <x:c r="E471" s="24" t="n">
        <x:v>0.0026</x:v>
      </x:c>
      <x:c r="F471" s="24" t="n">
        <x:f>ABS(D471-E471)</x:f>
        <x:v>0.0019999999999999996</x:v>
      </x:c>
    </x:row>
    <x:row r="472" ht="23" customHeight="1">
      <x:c r="A472" s="10" t="str">
        <x:v>M4</x:v>
      </x:c>
      <x:c r="B472" s="10" t="str">
        <x:v>G_H0</x:v>
      </x:c>
      <x:c r="C472" s="10" t="n">
        <x:v>7</x:v>
      </x:c>
      <x:c r="D472" s="24" t="n">
        <x:v>0</x:v>
      </x:c>
      <x:c r="E472" s="24" t="n">
        <x:v>0.005699999999999999</x:v>
      </x:c>
      <x:c r="F472" s="24" t="n">
        <x:f>ABS(D472-E472)</x:f>
        <x:v>0.005699999999999999</x:v>
      </x:c>
    </x:row>
    <x:row r="473" ht="23" customHeight="1">
      <x:c r="A473" s="10" t="str">
        <x:v>M4</x:v>
      </x:c>
      <x:c r="B473" s="10" t="str">
        <x:v>G_H0</x:v>
      </x:c>
      <x:c r="C473" s="10" t="n">
        <x:v>8</x:v>
      </x:c>
      <x:c r="D473" s="24" t="n">
        <x:v>0</x:v>
      </x:c>
      <x:c r="E473" s="24" t="n">
        <x:v>0.0128</x:v>
      </x:c>
      <x:c r="F473" s="24" t="n">
        <x:f>ABS(D473-E473)</x:f>
        <x:v>0.0128</x:v>
      </x:c>
    </x:row>
    <x:row r="474" ht="23" customHeight="1">
      <x:c r="A474" s="10" t="str">
        <x:v>M4</x:v>
      </x:c>
      <x:c r="B474" s="10" t="str">
        <x:v>G_H0</x:v>
      </x:c>
      <x:c r="C474" s="10" t="n">
        <x:v>9</x:v>
      </x:c>
      <x:c r="D474" s="24" t="n">
        <x:v>0</x:v>
      </x:c>
      <x:c r="E474" s="24" t="n">
        <x:v>0.0227</x:v>
      </x:c>
      <x:c r="F474" s="24" t="n">
        <x:f>ABS(D474-E474)</x:f>
        <x:v>0.0227</x:v>
      </x:c>
    </x:row>
    <x:row r="475" ht="23" customHeight="1">
      <x:c r="A475" s="10" t="str">
        <x:v>M4</x:v>
      </x:c>
      <x:c r="B475" s="10" t="str">
        <x:v>G_H0</x:v>
      </x:c>
      <x:c r="C475" s="10" t="n">
        <x:v>10</x:v>
      </x:c>
      <x:c r="D475" s="24" t="n">
        <x:v>0</x:v>
      </x:c>
      <x:c r="E475" s="24" t="n">
        <x:v>0</x:v>
      </x:c>
      <x:c r="F475" s="24" t="n">
        <x:f>ABS(D475-E475)</x:f>
        <x:v>0</x:v>
      </x:c>
    </x:row>
    <x:row r="476" ht="23" customHeight="1">
      <x:c r="A476" s="10" t="str">
        <x:v>M4</x:v>
      </x:c>
      <x:c r="B476" s="10" t="str">
        <x:v>G_H1</x:v>
      </x:c>
      <x:c r="C476" s="10" t="n">
        <x:v>1</x:v>
      </x:c>
      <x:c r="D476" s="24" t="n">
        <x:v>0</x:v>
      </x:c>
      <x:c r="E476" s="24" t="n">
        <x:v>0.0024</x:v>
      </x:c>
      <x:c r="F476" s="24" t="n">
        <x:f>ABS(D476-E476)</x:f>
        <x:v>0.0024</x:v>
      </x:c>
    </x:row>
    <x:row r="477" ht="23" customHeight="1">
      <x:c r="A477" s="10" t="str">
        <x:v>M4</x:v>
      </x:c>
      <x:c r="B477" s="10" t="str">
        <x:v>G_H1</x:v>
      </x:c>
      <x:c r="C477" s="10" t="n">
        <x:v>2</x:v>
      </x:c>
      <x:c r="D477" s="24" t="n">
        <x:v>0.10438956104389562</x:v>
      </x:c>
      <x:c r="E477" s="24" t="n">
        <x:v>0.14529999999999998</x:v>
      </x:c>
      <x:c r="F477" s="24" t="n">
        <x:f>ABS(D477-E477)</x:f>
        <x:v>0.04091043895610437</x:v>
      </x:c>
    </x:row>
    <x:row r="478" ht="23" customHeight="1">
      <x:c r="A478" s="10" t="str">
        <x:v>M4</x:v>
      </x:c>
      <x:c r="B478" s="10" t="str">
        <x:v>G_H1</x:v>
      </x:c>
      <x:c r="C478" s="10" t="n">
        <x:v>3</x:v>
      </x:c>
      <x:c r="D478" s="24" t="n">
        <x:v>0.7387261273872613</x:v>
      </x:c>
      <x:c r="E478" s="24" t="n">
        <x:v>0.6076</x:v>
      </x:c>
      <x:c r="F478" s="24" t="n">
        <x:f>ABS(D478-E478)</x:f>
        <x:v>0.13112612738726126</x:v>
      </x:c>
    </x:row>
    <x:row r="479" ht="23" customHeight="1">
      <x:c r="A479" s="10" t="str">
        <x:v>M4</x:v>
      </x:c>
      <x:c r="B479" s="10" t="str">
        <x:v>G_H1</x:v>
      </x:c>
      <x:c r="C479" s="10" t="n">
        <x:v>4</x:v>
      </x:c>
      <x:c r="D479" s="24" t="n">
        <x:v>0.13888611138886112</x:v>
      </x:c>
      <x:c r="E479" s="24" t="n">
        <x:v>0.1748</x:v>
      </x:c>
      <x:c r="F479" s="24" t="n">
        <x:f>ABS(D479-E479)</x:f>
        <x:v>0.035913888611138894</x:v>
      </x:c>
    </x:row>
    <x:row r="480" ht="23" customHeight="1">
      <x:c r="A480" s="10" t="str">
        <x:v>M4</x:v>
      </x:c>
      <x:c r="B480" s="10" t="str">
        <x:v>G_H1</x:v>
      </x:c>
      <x:c r="C480" s="10" t="n">
        <x:v>5</x:v>
      </x:c>
      <x:c r="D480" s="24" t="n">
        <x:v>0.0173982601739826</x:v>
      </x:c>
      <x:c r="E480" s="24" t="n">
        <x:v>0.026099999999999998</x:v>
      </x:c>
      <x:c r="F480" s="24" t="n">
        <x:f>ABS(D480-E480)</x:f>
        <x:v>0.008701739826017397</x:v>
      </x:c>
    </x:row>
    <x:row r="481" ht="23" customHeight="1">
      <x:c r="A481" s="10" t="str">
        <x:v>M4</x:v>
      </x:c>
      <x:c r="B481" s="10" t="str">
        <x:v>G_H1</x:v>
      </x:c>
      <x:c r="C481" s="10" t="n">
        <x:v>6</x:v>
      </x:c>
      <x:c r="D481" s="24" t="n">
        <x:v>0.0005999400059994002</x:v>
      </x:c>
      <x:c r="E481" s="24" t="n">
        <x:v>0.0026</x:v>
      </x:c>
      <x:c r="F481" s="24" t="n">
        <x:f>ABS(D481-E481)</x:f>
        <x:v>0.0020000599940006</x:v>
      </x:c>
    </x:row>
    <x:row r="482" ht="23" customHeight="1">
      <x:c r="A482" s="10" t="str">
        <x:v>M4</x:v>
      </x:c>
      <x:c r="B482" s="10" t="str">
        <x:v>G_H1</x:v>
      </x:c>
      <x:c r="C482" s="10" t="n">
        <x:v>7</x:v>
      </x:c>
      <x:c r="D482" s="24" t="n">
        <x:v>0</x:v>
      </x:c>
      <x:c r="E482" s="24" t="n">
        <x:v>0.005699999999999999</x:v>
      </x:c>
      <x:c r="F482" s="24" t="n">
        <x:f>ABS(D482-E482)</x:f>
        <x:v>0.005699999999999999</x:v>
      </x:c>
    </x:row>
    <x:row r="483" ht="23" customHeight="1">
      <x:c r="A483" s="10" t="str">
        <x:v>M4</x:v>
      </x:c>
      <x:c r="B483" s="10" t="str">
        <x:v>G_H1</x:v>
      </x:c>
      <x:c r="C483" s="10" t="n">
        <x:v>8</x:v>
      </x:c>
      <x:c r="D483" s="24" t="n">
        <x:v>0</x:v>
      </x:c>
      <x:c r="E483" s="24" t="n">
        <x:v>0.0128</x:v>
      </x:c>
      <x:c r="F483" s="24" t="n">
        <x:f>ABS(D483-E483)</x:f>
        <x:v>0.0128</x:v>
      </x:c>
    </x:row>
    <x:row r="484" ht="23" customHeight="1">
      <x:c r="A484" s="10" t="str">
        <x:v>M4</x:v>
      </x:c>
      <x:c r="B484" s="10" t="str">
        <x:v>G_H1</x:v>
      </x:c>
      <x:c r="C484" s="10" t="n">
        <x:v>9</x:v>
      </x:c>
      <x:c r="D484" s="24" t="n">
        <x:v>0</x:v>
      </x:c>
      <x:c r="E484" s="24" t="n">
        <x:v>0.0227</x:v>
      </x:c>
      <x:c r="F484" s="24" t="n">
        <x:f>ABS(D484-E484)</x:f>
        <x:v>0.0227</x:v>
      </x:c>
    </x:row>
    <x:row r="485" ht="23" customHeight="1">
      <x:c r="A485" s="10" t="str">
        <x:v>M4</x:v>
      </x:c>
      <x:c r="B485" s="10" t="str">
        <x:v>G_H1</x:v>
      </x:c>
      <x:c r="C485" s="10" t="n">
        <x:v>10</x:v>
      </x:c>
      <x:c r="D485" s="24" t="n">
        <x:v>0</x:v>
      </x:c>
      <x:c r="E485" s="24" t="n">
        <x:v>0</x:v>
      </x:c>
      <x:c r="F485" s="24" t="n">
        <x:f>ABS(D485-E485)</x:f>
        <x:v>0</x:v>
      </x:c>
    </x:row>
    <x:row r="486" ht="23" customHeight="1">
      <x:c r="A486" s="10" t="str">
        <x:v>M4</x:v>
      </x:c>
      <x:c r="B486" s="10" t="str">
        <x:v>NC_H0</x:v>
      </x:c>
      <x:c r="C486" s="10" t="n">
        <x:v>1</x:v>
      </x:c>
      <x:c r="D486" s="24" t="n">
        <x:v>0</x:v>
      </x:c>
      <x:c r="E486" s="24" t="n">
        <x:v>0.0024</x:v>
      </x:c>
      <x:c r="F486" s="24" t="n">
        <x:f>ABS(D486-E486)</x:f>
        <x:v>0.0024</x:v>
      </x:c>
    </x:row>
    <x:row r="487" ht="23" customHeight="1">
      <x:c r="A487" s="10" t="str">
        <x:v>M4</x:v>
      </x:c>
      <x:c r="B487" s="10" t="str">
        <x:v>NC_H0</x:v>
      </x:c>
      <x:c r="C487" s="10" t="n">
        <x:v>2</x:v>
      </x:c>
      <x:c r="D487" s="24" t="n">
        <x:v>0.2003</x:v>
      </x:c>
      <x:c r="E487" s="24" t="n">
        <x:v>0.14529999999999998</x:v>
      </x:c>
      <x:c r="F487" s="24" t="n">
        <x:f>ABS(D487-E487)</x:f>
        <x:v>0.05500000000000002</x:v>
      </x:c>
    </x:row>
    <x:row r="488" ht="23" customHeight="1">
      <x:c r="A488" s="10" t="str">
        <x:v>M4</x:v>
      </x:c>
      <x:c r="B488" s="10" t="str">
        <x:v>NC_H0</x:v>
      </x:c>
      <x:c r="C488" s="10" t="n">
        <x:v>3</x:v>
      </x:c>
      <x:c r="D488" s="24" t="n">
        <x:v>0.0121</x:v>
      </x:c>
      <x:c r="E488" s="24" t="n">
        <x:v>0.6076</x:v>
      </x:c>
      <x:c r="F488" s="24" t="n">
        <x:f>ABS(D488-E488)</x:f>
        <x:v>0.5955</x:v>
      </x:c>
    </x:row>
    <x:row r="489" ht="23" customHeight="1">
      <x:c r="A489" s="10" t="str">
        <x:v>M4</x:v>
      </x:c>
      <x:c r="B489" s="10" t="str">
        <x:v>NC_H0</x:v>
      </x:c>
      <x:c r="C489" s="10" t="n">
        <x:v>4</x:v>
      </x:c>
      <x:c r="D489" s="24" t="n">
        <x:v>0</x:v>
      </x:c>
      <x:c r="E489" s="24" t="n">
        <x:v>0.1748</x:v>
      </x:c>
      <x:c r="F489" s="24" t="n">
        <x:f>ABS(D489-E489)</x:f>
        <x:v>0.1748</x:v>
      </x:c>
    </x:row>
    <x:row r="490" ht="23" customHeight="1">
      <x:c r="A490" s="10" t="str">
        <x:v>M4</x:v>
      </x:c>
      <x:c r="B490" s="10" t="str">
        <x:v>NC_H0</x:v>
      </x:c>
      <x:c r="C490" s="10" t="n">
        <x:v>5</x:v>
      </x:c>
      <x:c r="D490" s="24" t="n">
        <x:v>0.7461</x:v>
      </x:c>
      <x:c r="E490" s="24" t="n">
        <x:v>0.026099999999999998</x:v>
      </x:c>
      <x:c r="F490" s="24" t="n">
        <x:f>ABS(D490-E490)</x:f>
        <x:v>0.72</x:v>
      </x:c>
    </x:row>
    <x:row r="491" ht="23" customHeight="1">
      <x:c r="A491" s="10" t="str">
        <x:v>M4</x:v>
      </x:c>
      <x:c r="B491" s="10" t="str">
        <x:v>NC_H0</x:v>
      </x:c>
      <x:c r="C491" s="10" t="n">
        <x:v>6</x:v>
      </x:c>
      <x:c r="D491" s="24" t="n">
        <x:v>0</x:v>
      </x:c>
      <x:c r="E491" s="24" t="n">
        <x:v>0.0026</x:v>
      </x:c>
      <x:c r="F491" s="24" t="n">
        <x:f>ABS(D491-E491)</x:f>
        <x:v>0.0026</x:v>
      </x:c>
    </x:row>
    <x:row r="492" ht="23" customHeight="1">
      <x:c r="A492" s="10" t="str">
        <x:v>M4</x:v>
      </x:c>
      <x:c r="B492" s="10" t="str">
        <x:v>NC_H0</x:v>
      </x:c>
      <x:c r="C492" s="10" t="n">
        <x:v>7</x:v>
      </x:c>
      <x:c r="D492" s="24" t="n">
        <x:v>0.0048</x:v>
      </x:c>
      <x:c r="E492" s="24" t="n">
        <x:v>0.005699999999999999</x:v>
      </x:c>
      <x:c r="F492" s="24" t="n">
        <x:f>ABS(D492-E492)</x:f>
        <x:v>0.0008999999999999998</x:v>
      </x:c>
    </x:row>
    <x:row r="493" ht="23" customHeight="1">
      <x:c r="A493" s="10" t="str">
        <x:v>M4</x:v>
      </x:c>
      <x:c r="B493" s="10" t="str">
        <x:v>NC_H0</x:v>
      </x:c>
      <x:c r="C493" s="10" t="n">
        <x:v>8</x:v>
      </x:c>
      <x:c r="D493" s="24" t="n">
        <x:v>0.0105</x:v>
      </x:c>
      <x:c r="E493" s="24" t="n">
        <x:v>0.0128</x:v>
      </x:c>
      <x:c r="F493" s="24" t="n">
        <x:f>ABS(D493-E493)</x:f>
        <x:v>0.0023</x:v>
      </x:c>
    </x:row>
    <x:row r="494" ht="23" customHeight="1">
      <x:c r="A494" s="10" t="str">
        <x:v>M4</x:v>
      </x:c>
      <x:c r="B494" s="10" t="str">
        <x:v>NC_H0</x:v>
      </x:c>
      <x:c r="C494" s="10" t="n">
        <x:v>9</x:v>
      </x:c>
      <x:c r="D494" s="24" t="n">
        <x:v>0.0262</x:v>
      </x:c>
      <x:c r="E494" s="24" t="n">
        <x:v>0.0227</x:v>
      </x:c>
      <x:c r="F494" s="24" t="n">
        <x:f>ABS(D494-E494)</x:f>
        <x:v>0.0034999999999999996</x:v>
      </x:c>
    </x:row>
    <x:row r="495" ht="23" customHeight="1">
      <x:c r="A495" s="10" t="str">
        <x:v>M4</x:v>
      </x:c>
      <x:c r="B495" s="10" t="str">
        <x:v>NC_H0</x:v>
      </x:c>
      <x:c r="C495" s="10" t="n">
        <x:v>10</x:v>
      </x:c>
      <x:c r="D495" s="24" t="n">
        <x:v>0</x:v>
      </x:c>
      <x:c r="E495" s="24" t="n">
        <x:v>0</x:v>
      </x:c>
      <x:c r="F495" s="24" t="n">
        <x:f>ABS(D495-E495)</x:f>
        <x:v>0</x:v>
      </x:c>
    </x:row>
    <x:row r="496" ht="23" customHeight="1">
      <x:c r="A496" s="10" t="str">
        <x:v>M4</x:v>
      </x:c>
      <x:c r="B496" s="10" t="str">
        <x:v>NC_H1</x:v>
      </x:c>
      <x:c r="C496" s="10" t="n">
        <x:v>1</x:v>
      </x:c>
      <x:c r="D496" s="24" t="n">
        <x:v>0</x:v>
      </x:c>
      <x:c r="E496" s="24" t="n">
        <x:v>0.0024</x:v>
      </x:c>
      <x:c r="F496" s="24" t="n">
        <x:f>ABS(D496-E496)</x:f>
        <x:v>0.0024</x:v>
      </x:c>
    </x:row>
    <x:row r="497" ht="23" customHeight="1">
      <x:c r="A497" s="10" t="str">
        <x:v>M4</x:v>
      </x:c>
      <x:c r="B497" s="10" t="str">
        <x:v>NC_H1</x:v>
      </x:c>
      <x:c r="C497" s="10" t="n">
        <x:v>2</x:v>
      </x:c>
      <x:c r="D497" s="24" t="n">
        <x:v>0.20010000000000003</x:v>
      </x:c>
      <x:c r="E497" s="24" t="n">
        <x:v>0.14529999999999998</x:v>
      </x:c>
      <x:c r="F497" s="24" t="n">
        <x:f>ABS(D497-E497)</x:f>
        <x:v>0.05480000000000004</x:v>
      </x:c>
    </x:row>
    <x:row r="498" ht="23" customHeight="1">
      <x:c r="A498" s="10" t="str">
        <x:v>M4</x:v>
      </x:c>
      <x:c r="B498" s="10" t="str">
        <x:v>NC_H1</x:v>
      </x:c>
      <x:c r="C498" s="10" t="n">
        <x:v>3</x:v>
      </x:c>
      <x:c r="D498" s="24" t="n">
        <x:v>0.0121</x:v>
      </x:c>
      <x:c r="E498" s="24" t="n">
        <x:v>0.6076</x:v>
      </x:c>
      <x:c r="F498" s="24" t="n">
        <x:f>ABS(D498-E498)</x:f>
        <x:v>0.5955</x:v>
      </x:c>
    </x:row>
    <x:row r="499" ht="23" customHeight="1">
      <x:c r="A499" s="10" t="str">
        <x:v>M4</x:v>
      </x:c>
      <x:c r="B499" s="10" t="str">
        <x:v>NC_H1</x:v>
      </x:c>
      <x:c r="C499" s="10" t="n">
        <x:v>4</x:v>
      </x:c>
      <x:c r="D499" s="24" t="n">
        <x:v>0</x:v>
      </x:c>
      <x:c r="E499" s="24" t="n">
        <x:v>0.1748</x:v>
      </x:c>
      <x:c r="F499" s="24" t="n">
        <x:f>ABS(D499-E499)</x:f>
        <x:v>0.1748</x:v>
      </x:c>
    </x:row>
    <x:row r="500" ht="23" customHeight="1">
      <x:c r="A500" s="10" t="str">
        <x:v>M4</x:v>
      </x:c>
      <x:c r="B500" s="10" t="str">
        <x:v>NC_H1</x:v>
      </x:c>
      <x:c r="C500" s="10" t="n">
        <x:v>5</x:v>
      </x:c>
      <x:c r="D500" s="24" t="n">
        <x:v>0.7461</x:v>
      </x:c>
      <x:c r="E500" s="24" t="n">
        <x:v>0.026099999999999998</x:v>
      </x:c>
      <x:c r="F500" s="24" t="n">
        <x:f>ABS(D500-E500)</x:f>
        <x:v>0.72</x:v>
      </x:c>
    </x:row>
    <x:row r="501" ht="23" customHeight="1">
      <x:c r="A501" s="10" t="str">
        <x:v>M4</x:v>
      </x:c>
      <x:c r="B501" s="10" t="str">
        <x:v>NC_H1</x:v>
      </x:c>
      <x:c r="C501" s="10" t="n">
        <x:v>6</x:v>
      </x:c>
      <x:c r="D501" s="24" t="n">
        <x:v>0</x:v>
      </x:c>
      <x:c r="E501" s="24" t="n">
        <x:v>0.0026</x:v>
      </x:c>
      <x:c r="F501" s="24" t="n">
        <x:f>ABS(D501-E501)</x:f>
        <x:v>0.0026</x:v>
      </x:c>
    </x:row>
    <x:row r="502" ht="23" customHeight="1">
      <x:c r="A502" s="10" t="str">
        <x:v>M4</x:v>
      </x:c>
      <x:c r="B502" s="10" t="str">
        <x:v>NC_H1</x:v>
      </x:c>
      <x:c r="C502" s="10" t="n">
        <x:v>7</x:v>
      </x:c>
      <x:c r="D502" s="24" t="n">
        <x:v>0.005</x:v>
      </x:c>
      <x:c r="E502" s="24" t="n">
        <x:v>0.005699999999999999</x:v>
      </x:c>
      <x:c r="F502" s="24" t="n">
        <x:f>ABS(D502-E502)</x:f>
        <x:v>0.0006999999999999992</x:v>
      </x:c>
    </x:row>
    <x:row r="503" ht="23" customHeight="1">
      <x:c r="A503" s="10" t="str">
        <x:v>M4</x:v>
      </x:c>
      <x:c r="B503" s="10" t="str">
        <x:v>NC_H1</x:v>
      </x:c>
      <x:c r="C503" s="10" t="n">
        <x:v>8</x:v>
      </x:c>
      <x:c r="D503" s="24" t="n">
        <x:v>0.0105</x:v>
      </x:c>
      <x:c r="E503" s="24" t="n">
        <x:v>0.0128</x:v>
      </x:c>
      <x:c r="F503" s="24" t="n">
        <x:f>ABS(D503-E503)</x:f>
        <x:v>0.0023</x:v>
      </x:c>
    </x:row>
    <x:row r="504" ht="23" customHeight="1">
      <x:c r="A504" s="10" t="str">
        <x:v>M4</x:v>
      </x:c>
      <x:c r="B504" s="10" t="str">
        <x:v>NC_H1</x:v>
      </x:c>
      <x:c r="C504" s="10" t="n">
        <x:v>9</x:v>
      </x:c>
      <x:c r="D504" s="24" t="n">
        <x:v>0.0262</x:v>
      </x:c>
      <x:c r="E504" s="24" t="n">
        <x:v>0.0227</x:v>
      </x:c>
      <x:c r="F504" s="24" t="n">
        <x:f>ABS(D504-E504)</x:f>
        <x:v>0.0034999999999999996</x:v>
      </x:c>
    </x:row>
    <x:row r="505" ht="23" customHeight="1">
      <x:c r="A505" s="10" t="str">
        <x:v>M4</x:v>
      </x:c>
      <x:c r="B505" s="10" t="str">
        <x:v>NC_H1</x:v>
      </x:c>
      <x:c r="C505" s="10" t="n">
        <x:v>10</x:v>
      </x:c>
      <x:c r="D505" s="24" t="n">
        <x:v>0</x:v>
      </x:c>
      <x:c r="E505" s="24" t="n">
        <x:v>0</x:v>
      </x:c>
      <x:c r="F505" s="24" t="n">
        <x:f>ABS(D505-E505)</x:f>
        <x:v>0</x:v>
      </x:c>
    </x:row>
    <x:row r="506" ht="23" customHeight="1">
      <x:c r="A506" s="10" t="str">
        <x:v>M4</x:v>
      </x:c>
      <x:c r="B506" s="10" t="str">
        <x:v>NG_H0</x:v>
      </x:c>
      <x:c r="C506" s="10" t="n">
        <x:v>1</x:v>
      </x:c>
      <x:c r="D506" s="24" t="n">
        <x:v>0</x:v>
      </x:c>
      <x:c r="E506" s="24" t="n">
        <x:v>0.0024</x:v>
      </x:c>
      <x:c r="F506" s="24" t="n">
        <x:f>ABS(D506-E506)</x:f>
        <x:v>0.0024</x:v>
      </x:c>
    </x:row>
    <x:row r="507" ht="23" customHeight="1">
      <x:c r="A507" s="10" t="str">
        <x:v>M4</x:v>
      </x:c>
      <x:c r="B507" s="10" t="str">
        <x:v>NG_H0</x:v>
      </x:c>
      <x:c r="C507" s="10" t="n">
        <x:v>2</x:v>
      </x:c>
      <x:c r="D507" s="24" t="n">
        <x:v>0.1521</x:v>
      </x:c>
      <x:c r="E507" s="24" t="n">
        <x:v>0.14529999999999998</x:v>
      </x:c>
      <x:c r="F507" s="24" t="n">
        <x:f>ABS(D507-E507)</x:f>
        <x:v>0.006800000000000028</x:v>
      </x:c>
    </x:row>
    <x:row r="508" ht="23" customHeight="1">
      <x:c r="A508" s="10" t="str">
        <x:v>M4</x:v>
      </x:c>
      <x:c r="B508" s="10" t="str">
        <x:v>NG_H0</x:v>
      </x:c>
      <x:c r="C508" s="10" t="n">
        <x:v>3</x:v>
      </x:c>
      <x:c r="D508" s="24" t="n">
        <x:v>0.6703</x:v>
      </x:c>
      <x:c r="E508" s="24" t="n">
        <x:v>0.6076</x:v>
      </x:c>
      <x:c r="F508" s="24" t="n">
        <x:f>ABS(D508-E508)</x:f>
        <x:v>0.06269999999999998</x:v>
      </x:c>
    </x:row>
    <x:row r="509" ht="23" customHeight="1">
      <x:c r="A509" s="10" t="str">
        <x:v>M4</x:v>
      </x:c>
      <x:c r="B509" s="10" t="str">
        <x:v>NG_H0</x:v>
      </x:c>
      <x:c r="C509" s="10" t="n">
        <x:v>4</x:v>
      </x:c>
      <x:c r="D509" s="24" t="n">
        <x:v>0.1079</x:v>
      </x:c>
      <x:c r="E509" s="24" t="n">
        <x:v>0.1748</x:v>
      </x:c>
      <x:c r="F509" s="24" t="n">
        <x:f>ABS(D509-E509)</x:f>
        <x:v>0.06690000000000002</x:v>
      </x:c>
    </x:row>
    <x:row r="510" ht="23" customHeight="1">
      <x:c r="A510" s="10" t="str">
        <x:v>M4</x:v>
      </x:c>
      <x:c r="B510" s="10" t="str">
        <x:v>NG_H0</x:v>
      </x:c>
      <x:c r="C510" s="10" t="n">
        <x:v>5</x:v>
      </x:c>
      <x:c r="D510" s="24" t="n">
        <x:v>0.0139</x:v>
      </x:c>
      <x:c r="E510" s="24" t="n">
        <x:v>0.026099999999999998</x:v>
      </x:c>
      <x:c r="F510" s="24" t="n">
        <x:f>ABS(D510-E510)</x:f>
        <x:v>0.012199999999999999</x:v>
      </x:c>
    </x:row>
    <x:row r="511" ht="23" customHeight="1">
      <x:c r="A511" s="10" t="str">
        <x:v>M4</x:v>
      </x:c>
      <x:c r="B511" s="10" t="str">
        <x:v>NG_H0</x:v>
      </x:c>
      <x:c r="C511" s="10" t="n">
        <x:v>6</x:v>
      </x:c>
      <x:c r="D511" s="24" t="n">
        <x:v>0.0006</x:v>
      </x:c>
      <x:c r="E511" s="24" t="n">
        <x:v>0.0026</x:v>
      </x:c>
      <x:c r="F511" s="24" t="n">
        <x:f>ABS(D511-E511)</x:f>
        <x:v>0.002</x:v>
      </x:c>
    </x:row>
    <x:row r="512" ht="23" customHeight="1">
      <x:c r="A512" s="10" t="str">
        <x:v>M4</x:v>
      </x:c>
      <x:c r="B512" s="10" t="str">
        <x:v>NG_H0</x:v>
      </x:c>
      <x:c r="C512" s="10" t="n">
        <x:v>7</x:v>
      </x:c>
      <x:c r="D512" s="24" t="n">
        <x:v>0.005699999999999999</x:v>
      </x:c>
      <x:c r="E512" s="24" t="n">
        <x:v>0.005699999999999999</x:v>
      </x:c>
      <x:c r="F512" s="24" t="n">
        <x:f>ABS(D512-E512)</x:f>
        <x:v>0</x:v>
      </x:c>
    </x:row>
    <x:row r="513" ht="23" customHeight="1">
      <x:c r="A513" s="10" t="str">
        <x:v>M4</x:v>
      </x:c>
      <x:c r="B513" s="10" t="str">
        <x:v>NG_H0</x:v>
      </x:c>
      <x:c r="C513" s="10" t="n">
        <x:v>8</x:v>
      </x:c>
      <x:c r="D513" s="24" t="n">
        <x:v>0.0108</x:v>
      </x:c>
      <x:c r="E513" s="24" t="n">
        <x:v>0.0128</x:v>
      </x:c>
      <x:c r="F513" s="24" t="n">
        <x:f>ABS(D513-E513)</x:f>
        <x:v>0.002</x:v>
      </x:c>
    </x:row>
    <x:row r="514" ht="23" customHeight="1">
      <x:c r="A514" s="10" t="str">
        <x:v>M4</x:v>
      </x:c>
      <x:c r="B514" s="10" t="str">
        <x:v>NG_H0</x:v>
      </x:c>
      <x:c r="C514" s="10" t="n">
        <x:v>9</x:v>
      </x:c>
      <x:c r="D514" s="24" t="n">
        <x:v>0.0387</x:v>
      </x:c>
      <x:c r="E514" s="24" t="n">
        <x:v>0.0227</x:v>
      </x:c>
      <x:c r="F514" s="24" t="n">
        <x:f>ABS(D514-E514)</x:f>
        <x:v>0.015999999999999997</x:v>
      </x:c>
    </x:row>
    <x:row r="515" ht="23" customHeight="1">
      <x:c r="A515" s="10" t="str">
        <x:v>M4</x:v>
      </x:c>
      <x:c r="B515" s="10" t="str">
        <x:v>NG_H0</x:v>
      </x:c>
      <x:c r="C515" s="10" t="n">
        <x:v>10</x:v>
      </x:c>
      <x:c r="D515" s="24" t="n">
        <x:v>0</x:v>
      </x:c>
      <x:c r="E515" s="24" t="n">
        <x:v>0</x:v>
      </x:c>
      <x:c r="F515" s="24" t="n">
        <x:f>ABS(D515-E515)</x:f>
        <x:v>0</x:v>
      </x:c>
    </x:row>
    <x:row r="516" ht="23" customHeight="1">
      <x:c r="A516" s="10" t="str">
        <x:v>M4</x:v>
      </x:c>
      <x:c r="B516" s="10" t="str">
        <x:v>NG_H1</x:v>
      </x:c>
      <x:c r="C516" s="10" t="n">
        <x:v>1</x:v>
      </x:c>
      <x:c r="D516" s="24" t="n">
        <x:v>0</x:v>
      </x:c>
      <x:c r="E516" s="24" t="n">
        <x:v>0.0024</x:v>
      </x:c>
      <x:c r="F516" s="24" t="n">
        <x:f>ABS(D516-E516)</x:f>
        <x:v>0.0024</x:v>
      </x:c>
    </x:row>
    <x:row r="517" ht="23" customHeight="1">
      <x:c r="A517" s="10" t="str">
        <x:v>M4</x:v>
      </x:c>
      <x:c r="B517" s="10" t="str">
        <x:v>NG_H1</x:v>
      </x:c>
      <x:c r="C517" s="10" t="n">
        <x:v>2</x:v>
      </x:c>
      <x:c r="D517" s="24" t="n">
        <x:v>0.1277</x:v>
      </x:c>
      <x:c r="E517" s="24" t="n">
        <x:v>0.14529999999999998</x:v>
      </x:c>
      <x:c r="F517" s="24" t="n">
        <x:f>ABS(D517-E517)</x:f>
        <x:v>0.017599999999999977</x:v>
      </x:c>
    </x:row>
    <x:row r="518" ht="23" customHeight="1">
      <x:c r="A518" s="10" t="str">
        <x:v>M4</x:v>
      </x:c>
      <x:c r="B518" s="10" t="str">
        <x:v>NG_H1</x:v>
      </x:c>
      <x:c r="C518" s="10" t="n">
        <x:v>3</x:v>
      </x:c>
      <x:c r="D518" s="24" t="n">
        <x:v>0.672</x:v>
      </x:c>
      <x:c r="E518" s="24" t="n">
        <x:v>0.6076</x:v>
      </x:c>
      <x:c r="F518" s="24" t="n">
        <x:f>ABS(D518-E518)</x:f>
        <x:v>0.06440000000000001</x:v>
      </x:c>
    </x:row>
    <x:row r="519" ht="23" customHeight="1">
      <x:c r="A519" s="10" t="str">
        <x:v>M4</x:v>
      </x:c>
      <x:c r="B519" s="10" t="str">
        <x:v>NG_H1</x:v>
      </x:c>
      <x:c r="C519" s="10" t="n">
        <x:v>4</x:v>
      </x:c>
      <x:c r="D519" s="24" t="n">
        <x:v>0.1273</x:v>
      </x:c>
      <x:c r="E519" s="24" t="n">
        <x:v>0.1748</x:v>
      </x:c>
      <x:c r="F519" s="24" t="n">
        <x:f>ABS(D519-E519)</x:f>
        <x:v>0.047500000000000014</x:v>
      </x:c>
    </x:row>
    <x:row r="520" ht="23" customHeight="1">
      <x:c r="A520" s="10" t="str">
        <x:v>M4</x:v>
      </x:c>
      <x:c r="B520" s="10" t="str">
        <x:v>NG_H1</x:v>
      </x:c>
      <x:c r="C520" s="10" t="n">
        <x:v>5</x:v>
      </x:c>
      <x:c r="D520" s="24" t="n">
        <x:v>0.0172</x:v>
      </x:c>
      <x:c r="E520" s="24" t="n">
        <x:v>0.026099999999999998</x:v>
      </x:c>
      <x:c r="F520" s="24" t="n">
        <x:f>ABS(D520-E520)</x:f>
        <x:v>0.008899999999999998</x:v>
      </x:c>
    </x:row>
    <x:row r="521" ht="23" customHeight="1">
      <x:c r="A521" s="10" t="str">
        <x:v>M4</x:v>
      </x:c>
      <x:c r="B521" s="10" t="str">
        <x:v>NG_H1</x:v>
      </x:c>
      <x:c r="C521" s="10" t="n">
        <x:v>6</x:v>
      </x:c>
      <x:c r="D521" s="24" t="n">
        <x:v>0.0006</x:v>
      </x:c>
      <x:c r="E521" s="24" t="n">
        <x:v>0.0026</x:v>
      </x:c>
      <x:c r="F521" s="24" t="n">
        <x:f>ABS(D521-E521)</x:f>
        <x:v>0.002</x:v>
      </x:c>
    </x:row>
    <x:row r="522" ht="23" customHeight="1">
      <x:c r="A522" s="10" t="str">
        <x:v>M4</x:v>
      </x:c>
      <x:c r="B522" s="10" t="str">
        <x:v>NG_H1</x:v>
      </x:c>
      <x:c r="C522" s="10" t="n">
        <x:v>7</x:v>
      </x:c>
      <x:c r="D522" s="24" t="n">
        <x:v>0.005699999999999999</x:v>
      </x:c>
      <x:c r="E522" s="24" t="n">
        <x:v>0.005699999999999999</x:v>
      </x:c>
      <x:c r="F522" s="24" t="n">
        <x:f>ABS(D522-E522)</x:f>
        <x:v>0</x:v>
      </x:c>
    </x:row>
    <x:row r="523" ht="23" customHeight="1">
      <x:c r="A523" s="10" t="str">
        <x:v>M4</x:v>
      </x:c>
      <x:c r="B523" s="10" t="str">
        <x:v>NG_H1</x:v>
      </x:c>
      <x:c r="C523" s="10" t="n">
        <x:v>8</x:v>
      </x:c>
      <x:c r="D523" s="24" t="n">
        <x:v>0.0108</x:v>
      </x:c>
      <x:c r="E523" s="24" t="n">
        <x:v>0.0128</x:v>
      </x:c>
      <x:c r="F523" s="24" t="n">
        <x:f>ABS(D523-E523)</x:f>
        <x:v>0.002</x:v>
      </x:c>
    </x:row>
    <x:row r="524" ht="23" customHeight="1">
      <x:c r="A524" s="10" t="str">
        <x:v>M4</x:v>
      </x:c>
      <x:c r="B524" s="10" t="str">
        <x:v>NG_H1</x:v>
      </x:c>
      <x:c r="C524" s="10" t="n">
        <x:v>9</x:v>
      </x:c>
      <x:c r="D524" s="24" t="n">
        <x:v>0.0387</x:v>
      </x:c>
      <x:c r="E524" s="24" t="n">
        <x:v>0.0227</x:v>
      </x:c>
      <x:c r="F524" s="24" t="n">
        <x:f>ABS(D524-E524)</x:f>
        <x:v>0.015999999999999997</x:v>
      </x:c>
    </x:row>
    <x:row r="525" ht="23" customHeight="1">
      <x:c r="A525" s="10" t="str">
        <x:v>M4</x:v>
      </x:c>
      <x:c r="B525" s="10" t="str">
        <x:v>NG_H1</x:v>
      </x:c>
      <x:c r="C525" s="10" t="n">
        <x:v>10</x:v>
      </x:c>
      <x:c r="D525" s="24" t="n">
        <x:v>0</x:v>
      </x:c>
      <x:c r="E525" s="24" t="n">
        <x:v>0</x:v>
      </x:c>
      <x:c r="F525" s="24" t="n">
        <x:f>ABS(D525-E525)</x:f>
        <x:v>0</x:v>
      </x:c>
    </x:row>
    <x:row r="526" ht="23" customHeight="1">
      <x:c r="A526" s="10" t="str">
        <x:v>M4</x:v>
      </x:c>
      <x:c r="B526" s="10" t="str">
        <x:v>CG_H0</x:v>
      </x:c>
      <x:c r="C526" s="10" t="n">
        <x:v>1</x:v>
      </x:c>
      <x:c r="D526" s="24" t="n">
        <x:v>0</x:v>
      </x:c>
      <x:c r="E526" s="24" t="n">
        <x:v>0.0024</x:v>
      </x:c>
      <x:c r="F526" s="24" t="n">
        <x:f>ABS(D526-E526)</x:f>
        <x:v>0.0024</x:v>
      </x:c>
    </x:row>
    <x:row r="527" ht="23" customHeight="1">
      <x:c r="A527" s="10" t="str">
        <x:v>M4</x:v>
      </x:c>
      <x:c r="B527" s="10" t="str">
        <x:v>CG_H0</x:v>
      </x:c>
      <x:c r="C527" s="10" t="n">
        <x:v>2</x:v>
      </x:c>
      <x:c r="D527" s="24" t="n">
        <x:v>0.209</x:v>
      </x:c>
      <x:c r="E527" s="24" t="n">
        <x:v>0.14529999999999998</x:v>
      </x:c>
      <x:c r="F527" s="24" t="n">
        <x:f>ABS(D527-E527)</x:f>
        <x:v>0.0637</x:v>
      </x:c>
    </x:row>
    <x:row r="528" ht="23" customHeight="1">
      <x:c r="A528" s="10" t="str">
        <x:v>M4</x:v>
      </x:c>
      <x:c r="B528" s="10" t="str">
        <x:v>CG_H0</x:v>
      </x:c>
      <x:c r="C528" s="10" t="n">
        <x:v>3</x:v>
      </x:c>
      <x:c r="D528" s="24" t="n">
        <x:v>0.6604000000000001</x:v>
      </x:c>
      <x:c r="E528" s="24" t="n">
        <x:v>0.6076</x:v>
      </x:c>
      <x:c r="F528" s="24" t="n">
        <x:f>ABS(D528-E528)</x:f>
        <x:v>0.05280000000000007</x:v>
      </x:c>
    </x:row>
    <x:row r="529" ht="23" customHeight="1">
      <x:c r="A529" s="10" t="str">
        <x:v>M4</x:v>
      </x:c>
      <x:c r="B529" s="10" t="str">
        <x:v>CG_H0</x:v>
      </x:c>
      <x:c r="C529" s="10" t="n">
        <x:v>4</x:v>
      </x:c>
      <x:c r="D529" s="24" t="n">
        <x:v>0.1159</x:v>
      </x:c>
      <x:c r="E529" s="24" t="n">
        <x:v>0.1748</x:v>
      </x:c>
      <x:c r="F529" s="24" t="n">
        <x:f>ABS(D529-E529)</x:f>
        <x:v>0.05890000000000001</x:v>
      </x:c>
    </x:row>
    <x:row r="530" ht="23" customHeight="1">
      <x:c r="A530" s="10" t="str">
        <x:v>M4</x:v>
      </x:c>
      <x:c r="B530" s="10" t="str">
        <x:v>CG_H0</x:v>
      </x:c>
      <x:c r="C530" s="10" t="n">
        <x:v>5</x:v>
      </x:c>
      <x:c r="D530" s="24" t="n">
        <x:v>0.0141</x:v>
      </x:c>
      <x:c r="E530" s="24" t="n">
        <x:v>0.026099999999999998</x:v>
      </x:c>
      <x:c r="F530" s="24" t="n">
        <x:f>ABS(D530-E530)</x:f>
        <x:v>0.011999999999999999</x:v>
      </x:c>
    </x:row>
    <x:row r="531" ht="23" customHeight="1">
      <x:c r="A531" s="10" t="str">
        <x:v>M4</x:v>
      </x:c>
      <x:c r="B531" s="10" t="str">
        <x:v>CG_H0</x:v>
      </x:c>
      <x:c r="C531" s="10" t="n">
        <x:v>6</x:v>
      </x:c>
      <x:c r="D531" s="24" t="n">
        <x:v>0.0006</x:v>
      </x:c>
      <x:c r="E531" s="24" t="n">
        <x:v>0.0026</x:v>
      </x:c>
      <x:c r="F531" s="24" t="n">
        <x:f>ABS(D531-E531)</x:f>
        <x:v>0.002</x:v>
      </x:c>
    </x:row>
    <x:row r="532" ht="23" customHeight="1">
      <x:c r="A532" s="10" t="str">
        <x:v>M4</x:v>
      </x:c>
      <x:c r="B532" s="10" t="str">
        <x:v>CG_H0</x:v>
      </x:c>
      <x:c r="C532" s="10" t="n">
        <x:v>7</x:v>
      </x:c>
      <x:c r="D532" s="24" t="n">
        <x:v>0</x:v>
      </x:c>
      <x:c r="E532" s="24" t="n">
        <x:v>0.005699999999999999</x:v>
      </x:c>
      <x:c r="F532" s="24" t="n">
        <x:f>ABS(D532-E532)</x:f>
        <x:v>0.005699999999999999</x:v>
      </x:c>
    </x:row>
    <x:row r="533" ht="23" customHeight="1">
      <x:c r="A533" s="10" t="str">
        <x:v>M4</x:v>
      </x:c>
      <x:c r="B533" s="10" t="str">
        <x:v>CG_H0</x:v>
      </x:c>
      <x:c r="C533" s="10" t="n">
        <x:v>8</x:v>
      </x:c>
      <x:c r="D533" s="24" t="n">
        <x:v>0</x:v>
      </x:c>
      <x:c r="E533" s="24" t="n">
        <x:v>0.0128</x:v>
      </x:c>
      <x:c r="F533" s="24" t="n">
        <x:f>ABS(D533-E533)</x:f>
        <x:v>0.0128</x:v>
      </x:c>
    </x:row>
    <x:row r="534" ht="23" customHeight="1">
      <x:c r="A534" s="10" t="str">
        <x:v>M4</x:v>
      </x:c>
      <x:c r="B534" s="10" t="str">
        <x:v>CG_H0</x:v>
      </x:c>
      <x:c r="C534" s="10" t="n">
        <x:v>9</x:v>
      </x:c>
      <x:c r="D534" s="24" t="n">
        <x:v>0</x:v>
      </x:c>
      <x:c r="E534" s="24" t="n">
        <x:v>0.0227</x:v>
      </x:c>
      <x:c r="F534" s="24" t="n">
        <x:f>ABS(D534-E534)</x:f>
        <x:v>0.0227</x:v>
      </x:c>
    </x:row>
    <x:row r="535" ht="23" customHeight="1">
      <x:c r="A535" s="10" t="str">
        <x:v>M4</x:v>
      </x:c>
      <x:c r="B535" s="10" t="str">
        <x:v>CG_H0</x:v>
      </x:c>
      <x:c r="C535" s="10" t="n">
        <x:v>10</x:v>
      </x:c>
      <x:c r="D535" s="24" t="n">
        <x:v>0</x:v>
      </x:c>
      <x:c r="E535" s="24" t="n">
        <x:v>0</x:v>
      </x:c>
      <x:c r="F535" s="24" t="n">
        <x:f>ABS(D535-E535)</x:f>
        <x:v>0</x:v>
      </x:c>
    </x:row>
    <x:row r="536" ht="23" customHeight="1">
      <x:c r="A536" s="10" t="str">
        <x:v>M4</x:v>
      </x:c>
      <x:c r="B536" s="10" t="str">
        <x:v>CG_H1</x:v>
      </x:c>
      <x:c r="C536" s="10" t="n">
        <x:v>1</x:v>
      </x:c>
      <x:c r="D536" s="24" t="n">
        <x:v>0</x:v>
      </x:c>
      <x:c r="E536" s="24" t="n">
        <x:v>0.0024</x:v>
      </x:c>
      <x:c r="F536" s="24" t="n">
        <x:f>ABS(D536-E536)</x:f>
        <x:v>0.0024</x:v>
      </x:c>
    </x:row>
    <x:row r="537" ht="23" customHeight="1">
      <x:c r="A537" s="10" t="str">
        <x:v>M4</x:v>
      </x:c>
      <x:c r="B537" s="10" t="str">
        <x:v>CG_H1</x:v>
      </x:c>
      <x:c r="C537" s="10" t="n">
        <x:v>2</x:v>
      </x:c>
      <x:c r="D537" s="24" t="n">
        <x:v>0.16469999999999999</x:v>
      </x:c>
      <x:c r="E537" s="24" t="n">
        <x:v>0.14529999999999998</x:v>
      </x:c>
      <x:c r="F537" s="24" t="n">
        <x:f>ABS(D537-E537)</x:f>
        <x:v>0.0194</x:v>
      </x:c>
    </x:row>
    <x:row r="538" ht="23" customHeight="1">
      <x:c r="A538" s="10" t="str">
        <x:v>M4</x:v>
      </x:c>
      <x:c r="B538" s="10" t="str">
        <x:v>CG_H1</x:v>
      </x:c>
      <x:c r="C538" s="10" t="n">
        <x:v>3</x:v>
      </x:c>
      <x:c r="D538" s="24" t="n">
        <x:v>0.6826000000000001</x:v>
      </x:c>
      <x:c r="E538" s="24" t="n">
        <x:v>0.6076</x:v>
      </x:c>
      <x:c r="F538" s="24" t="n">
        <x:f>ABS(D538-E538)</x:f>
        <x:v>0.07500000000000007</x:v>
      </x:c>
    </x:row>
    <x:row r="539" ht="23" customHeight="1">
      <x:c r="A539" s="10" t="str">
        <x:v>M4</x:v>
      </x:c>
      <x:c r="B539" s="10" t="str">
        <x:v>CG_H1</x:v>
      </x:c>
      <x:c r="C539" s="10" t="n">
        <x:v>4</x:v>
      </x:c>
      <x:c r="D539" s="24" t="n">
        <x:v>0.13449999999999998</x:v>
      </x:c>
      <x:c r="E539" s="24" t="n">
        <x:v>0.1748</x:v>
      </x:c>
      <x:c r="F539" s="24" t="n">
        <x:f>ABS(D539-E539)</x:f>
        <x:v>0.04030000000000003</x:v>
      </x:c>
    </x:row>
    <x:row r="540" ht="23" customHeight="1">
      <x:c r="A540" s="10" t="str">
        <x:v>M4</x:v>
      </x:c>
      <x:c r="B540" s="10" t="str">
        <x:v>CG_H1</x:v>
      </x:c>
      <x:c r="C540" s="10" t="n">
        <x:v>5</x:v>
      </x:c>
      <x:c r="D540" s="24" t="n">
        <x:v>0.0174</x:v>
      </x:c>
      <x:c r="E540" s="24" t="n">
        <x:v>0.026099999999999998</x:v>
      </x:c>
      <x:c r="F540" s="24" t="n">
        <x:f>ABS(D540-E540)</x:f>
        <x:v>0.0087</x:v>
      </x:c>
    </x:row>
    <x:row r="541" ht="23" customHeight="1">
      <x:c r="A541" s="10" t="str">
        <x:v>M4</x:v>
      </x:c>
      <x:c r="B541" s="10" t="str">
        <x:v>CG_H1</x:v>
      </x:c>
      <x:c r="C541" s="10" t="n">
        <x:v>6</x:v>
      </x:c>
      <x:c r="D541" s="24" t="n">
        <x:v>0.0006</x:v>
      </x:c>
      <x:c r="E541" s="24" t="n">
        <x:v>0.0026</x:v>
      </x:c>
      <x:c r="F541" s="24" t="n">
        <x:f>ABS(D541-E541)</x:f>
        <x:v>0.002</x:v>
      </x:c>
    </x:row>
    <x:row r="542" ht="23" customHeight="1">
      <x:c r="A542" s="10" t="str">
        <x:v>M4</x:v>
      </x:c>
      <x:c r="B542" s="10" t="str">
        <x:v>CG_H1</x:v>
      </x:c>
      <x:c r="C542" s="10" t="n">
        <x:v>7</x:v>
      </x:c>
      <x:c r="D542" s="24" t="n">
        <x:v>0.0002</x:v>
      </x:c>
      <x:c r="E542" s="24" t="n">
        <x:v>0.005699999999999999</x:v>
      </x:c>
      <x:c r="F542" s="24" t="n">
        <x:f>ABS(D542-E542)</x:f>
        <x:v>0.0055</x:v>
      </x:c>
    </x:row>
    <x:row r="543" ht="23" customHeight="1">
      <x:c r="A543" s="10" t="str">
        <x:v>M4</x:v>
      </x:c>
      <x:c r="B543" s="10" t="str">
        <x:v>CG_H1</x:v>
      </x:c>
      <x:c r="C543" s="10" t="n">
        <x:v>8</x:v>
      </x:c>
      <x:c r="D543" s="24" t="n">
        <x:v>0</x:v>
      </x:c>
      <x:c r="E543" s="24" t="n">
        <x:v>0.0128</x:v>
      </x:c>
      <x:c r="F543" s="24" t="n">
        <x:f>ABS(D543-E543)</x:f>
        <x:v>0.0128</x:v>
      </x:c>
    </x:row>
    <x:row r="544" ht="23" customHeight="1">
      <x:c r="A544" s="10" t="str">
        <x:v>M4</x:v>
      </x:c>
      <x:c r="B544" s="10" t="str">
        <x:v>CG_H1</x:v>
      </x:c>
      <x:c r="C544" s="10" t="n">
        <x:v>9</x:v>
      </x:c>
      <x:c r="D544" s="24" t="n">
        <x:v>0</x:v>
      </x:c>
      <x:c r="E544" s="24" t="n">
        <x:v>0.0227</x:v>
      </x:c>
      <x:c r="F544" s="24" t="n">
        <x:f>ABS(D544-E544)</x:f>
        <x:v>0.0227</x:v>
      </x:c>
    </x:row>
    <x:row r="545" ht="23" customHeight="1">
      <x:c r="A545" s="10" t="str">
        <x:v>M4</x:v>
      </x:c>
      <x:c r="B545" s="10" t="str">
        <x:v>CG_H1</x:v>
      </x:c>
      <x:c r="C545" s="10" t="n">
        <x:v>10</x:v>
      </x:c>
      <x:c r="D545" s="24" t="n">
        <x:v>0</x:v>
      </x:c>
      <x:c r="E545" s="24" t="n">
        <x:v>0</x:v>
      </x:c>
      <x:c r="F545" s="24" t="n">
        <x:f>ABS(D545-E545)</x:f>
        <x:v>0</x:v>
      </x:c>
    </x:row>
    <x:row r="546" ht="23" customHeight="1">
      <x:c r="A546" s="10" t="str">
        <x:v>M4</x:v>
      </x:c>
      <x:c r="B546" s="10" t="str">
        <x:v>NCG_H0</x:v>
      </x:c>
      <x:c r="C546" s="10" t="n">
        <x:v>1</x:v>
      </x:c>
      <x:c r="D546" s="24" t="n">
        <x:v>0</x:v>
      </x:c>
      <x:c r="E546" s="24" t="n">
        <x:v>0.0024</x:v>
      </x:c>
      <x:c r="F546" s="24" t="n">
        <x:f>ABS(D546-E546)</x:f>
        <x:v>0.0024</x:v>
      </x:c>
    </x:row>
    <x:row r="547" ht="23" customHeight="1">
      <x:c r="A547" s="10" t="str">
        <x:v>M4</x:v>
      </x:c>
      <x:c r="B547" s="10" t="str">
        <x:v>NCG_H0</x:v>
      </x:c>
      <x:c r="C547" s="10" t="n">
        <x:v>2</x:v>
      </x:c>
      <x:c r="D547" s="24" t="n">
        <x:v>0.1568843115688431</x:v>
      </x:c>
      <x:c r="E547" s="24" t="n">
        <x:v>0.14529999999999998</x:v>
      </x:c>
      <x:c r="F547" s="24" t="n">
        <x:f>ABS(D547-E547)</x:f>
        <x:v>0.011584311568843125</x:v>
      </x:c>
    </x:row>
    <x:row r="548" ht="23" customHeight="1">
      <x:c r="A548" s="10" t="str">
        <x:v>M4</x:v>
      </x:c>
      <x:c r="B548" s="10" t="str">
        <x:v>NCG_H0</x:v>
      </x:c>
      <x:c r="C548" s="10" t="n">
        <x:v>3</x:v>
      </x:c>
      <x:c r="D548" s="24" t="n">
        <x:v>0.6636336366363363</x:v>
      </x:c>
      <x:c r="E548" s="24" t="n">
        <x:v>0.6076</x:v>
      </x:c>
      <x:c r="F548" s="24" t="n">
        <x:f>ABS(D548-E548)</x:f>
        <x:v>0.056033636636336315</x:v>
      </x:c>
    </x:row>
    <x:row r="549" ht="23" customHeight="1">
      <x:c r="A549" s="10" t="str">
        <x:v>M4</x:v>
      </x:c>
      <x:c r="B549" s="10" t="str">
        <x:v>NCG_H0</x:v>
      </x:c>
      <x:c r="C549" s="10" t="n">
        <x:v>4</x:v>
      </x:c>
      <x:c r="D549" s="24" t="n">
        <x:v>0.1193880611938806</x:v>
      </x:c>
      <x:c r="E549" s="24" t="n">
        <x:v>0.1748</x:v>
      </x:c>
      <x:c r="F549" s="24" t="n">
        <x:f>ABS(D549-E549)</x:f>
        <x:v>0.055411938806119415</x:v>
      </x:c>
    </x:row>
    <x:row r="550" ht="23" customHeight="1">
      <x:c r="A550" s="10" t="str">
        <x:v>M4</x:v>
      </x:c>
      <x:c r="B550" s="10" t="str">
        <x:v>NCG_H0</x:v>
      </x:c>
      <x:c r="C550" s="10" t="n">
        <x:v>5</x:v>
      </x:c>
      <x:c r="D550" s="24" t="n">
        <x:v>0.017998200179982</x:v>
      </x:c>
      <x:c r="E550" s="24" t="n">
        <x:v>0.026099999999999998</x:v>
      </x:c>
      <x:c r="F550" s="24" t="n">
        <x:f>ABS(D550-E550)</x:f>
        <x:v>0.008101799820017998</x:v>
      </x:c>
    </x:row>
    <x:row r="551" ht="23" customHeight="1">
      <x:c r="A551" s="10" t="str">
        <x:v>M4</x:v>
      </x:c>
      <x:c r="B551" s="10" t="str">
        <x:v>NCG_H0</x:v>
      </x:c>
      <x:c r="C551" s="10" t="n">
        <x:v>6</x:v>
      </x:c>
      <x:c r="D551" s="24" t="n">
        <x:v>0.0005999400059994001</x:v>
      </x:c>
      <x:c r="E551" s="24" t="n">
        <x:v>0.0026</x:v>
      </x:c>
      <x:c r="F551" s="24" t="n">
        <x:f>ABS(D551-E551)</x:f>
        <x:v>0.0020000599940006</x:v>
      </x:c>
    </x:row>
    <x:row r="552" ht="23" customHeight="1">
      <x:c r="A552" s="10" t="str">
        <x:v>M4</x:v>
      </x:c>
      <x:c r="B552" s="10" t="str">
        <x:v>NCG_H0</x:v>
      </x:c>
      <x:c r="C552" s="10" t="n">
        <x:v>7</x:v>
      </x:c>
      <x:c r="D552" s="24" t="n">
        <x:v>0.0047995200479952005</x:v>
      </x:c>
      <x:c r="E552" s="24" t="n">
        <x:v>0.005699999999999999</x:v>
      </x:c>
      <x:c r="F552" s="24" t="n">
        <x:f>ABS(D552-E552)</x:f>
        <x:v>0.0009004799520047988</x:v>
      </x:c>
    </x:row>
    <x:row r="553" ht="23" customHeight="1">
      <x:c r="A553" s="10" t="str">
        <x:v>M4</x:v>
      </x:c>
      <x:c r="B553" s="10" t="str">
        <x:v>NCG_H0</x:v>
      </x:c>
      <x:c r="C553" s="10" t="n">
        <x:v>8</x:v>
      </x:c>
      <x:c r="D553" s="24" t="n">
        <x:v>0.0104989501049895</x:v>
      </x:c>
      <x:c r="E553" s="24" t="n">
        <x:v>0.0128</x:v>
      </x:c>
      <x:c r="F553" s="24" t="n">
        <x:f>ABS(D553-E553)</x:f>
        <x:v>0.002301049895010501</x:v>
      </x:c>
    </x:row>
    <x:row r="554" ht="23" customHeight="1">
      <x:c r="A554" s="10" t="str">
        <x:v>M4</x:v>
      </x:c>
      <x:c r="B554" s="10" t="str">
        <x:v>NCG_H0</x:v>
      </x:c>
      <x:c r="C554" s="10" t="n">
        <x:v>9</x:v>
      </x:c>
      <x:c r="D554" s="24" t="n">
        <x:v>0.026197380261973803</x:v>
      </x:c>
      <x:c r="E554" s="24" t="n">
        <x:v>0.0227</x:v>
      </x:c>
      <x:c r="F554" s="24" t="n">
        <x:f>ABS(D554-E554)</x:f>
        <x:v>0.0034973802619738016</x:v>
      </x:c>
    </x:row>
    <x:row r="555" ht="23" customHeight="1">
      <x:c r="A555" s="10" t="str">
        <x:v>M4</x:v>
      </x:c>
      <x:c r="B555" s="10" t="str">
        <x:v>NCG_H0</x:v>
      </x:c>
      <x:c r="C555" s="10" t="n">
        <x:v>10</x:v>
      </x:c>
      <x:c r="D555" s="24" t="n">
        <x:v>0</x:v>
      </x:c>
      <x:c r="E555" s="24" t="n">
        <x:v>0</x:v>
      </x:c>
      <x:c r="F555" s="24" t="n">
        <x:f>ABS(D555-E555)</x:f>
        <x:v>0</x:v>
      </x:c>
    </x:row>
    <x:row r="556" ht="23" customHeight="1">
      <x:c r="A556" s="10" t="str">
        <x:v>M4</x:v>
      </x:c>
      <x:c r="B556" s="10" t="str">
        <x:v>NCG_H1</x:v>
      </x:c>
      <x:c r="C556" s="10" t="n">
        <x:v>1</x:v>
      </x:c>
      <x:c r="D556" s="24" t="n">
        <x:v>0</x:v>
      </x:c>
      <x:c r="E556" s="24" t="n">
        <x:v>0.0024</x:v>
      </x:c>
      <x:c r="F556" s="24" t="n">
        <x:f>ABS(D556-E556)</x:f>
        <x:v>0.0024</x:v>
      </x:c>
    </x:row>
    <x:row r="557" ht="23" customHeight="1">
      <x:c r="A557" s="10" t="str">
        <x:v>M4</x:v>
      </x:c>
      <x:c r="B557" s="10" t="str">
        <x:v>NCG_H1</x:v>
      </x:c>
      <x:c r="C557" s="10" t="n">
        <x:v>2</x:v>
      </x:c>
      <x:c r="D557" s="24" t="n">
        <x:v>0.1349730053989202</x:v>
      </x:c>
      <x:c r="E557" s="24" t="n">
        <x:v>0.14529999999999998</x:v>
      </x:c>
      <x:c r="F557" s="24" t="n">
        <x:f>ABS(D557-E557)</x:f>
        <x:v>0.010326994601079775</x:v>
      </x:c>
    </x:row>
    <x:row r="558" ht="23" customHeight="1">
      <x:c r="A558" s="10" t="str">
        <x:v>M4</x:v>
      </x:c>
      <x:c r="B558" s="10" t="str">
        <x:v>NCG_H1</x:v>
      </x:c>
      <x:c r="C558" s="10" t="n">
        <x:v>3</x:v>
      </x:c>
      <x:c r="D558" s="24" t="n">
        <x:v>0.6555688862227552</x:v>
      </x:c>
      <x:c r="E558" s="24" t="n">
        <x:v>0.6076</x:v>
      </x:c>
      <x:c r="F558" s="24" t="n">
        <x:f>ABS(D558-E558)</x:f>
        <x:v>0.04796888622275519</x:v>
      </x:c>
    </x:row>
    <x:row r="559" ht="23" customHeight="1">
      <x:c r="A559" s="10" t="str">
        <x:v>M4</x:v>
      </x:c>
      <x:c r="B559" s="10" t="str">
        <x:v>NCG_H1</x:v>
      </x:c>
      <x:c r="C559" s="10" t="n">
        <x:v>4</x:v>
      </x:c>
      <x:c r="D559" s="24" t="n">
        <x:v>0.14457108578284342</x:v>
      </x:c>
      <x:c r="E559" s="24" t="n">
        <x:v>0.1748</x:v>
      </x:c>
      <x:c r="F559" s="24" t="n">
        <x:f>ABS(D559-E559)</x:f>
        <x:v>0.030228914217156594</x:v>
      </x:c>
    </x:row>
    <x:row r="560" ht="23" customHeight="1">
      <x:c r="A560" s="10" t="str">
        <x:v>M4</x:v>
      </x:c>
      <x:c r="B560" s="10" t="str">
        <x:v>NCG_H1</x:v>
      </x:c>
      <x:c r="C560" s="10" t="n">
        <x:v>5</x:v>
      </x:c>
      <x:c r="D560" s="24" t="n">
        <x:v>0.02259548090381923</x:v>
      </x:c>
      <x:c r="E560" s="24" t="n">
        <x:v>0.026099999999999998</x:v>
      </x:c>
      <x:c r="F560" s="24" t="n">
        <x:f>ABS(D560-E560)</x:f>
        <x:v>0.0035045190961807693</x:v>
      </x:c>
    </x:row>
    <x:row r="561" ht="23" customHeight="1">
      <x:c r="A561" s="10" t="str">
        <x:v>M4</x:v>
      </x:c>
      <x:c r="B561" s="10" t="str">
        <x:v>NCG_H1</x:v>
      </x:c>
      <x:c r="C561" s="10" t="n">
        <x:v>6</x:v>
      </x:c>
      <x:c r="D561" s="24" t="n">
        <x:v>0.0005998800239952009</x:v>
      </x:c>
      <x:c r="E561" s="24" t="n">
        <x:v>0.0026</x:v>
      </x:c>
      <x:c r="F561" s="24" t="n">
        <x:f>ABS(D561-E561)</x:f>
        <x:v>0.002000119976004799</x:v>
      </x:c>
    </x:row>
    <x:row r="562" ht="23" customHeight="1">
      <x:c r="A562" s="10" t="str">
        <x:v>M4</x:v>
      </x:c>
      <x:c r="B562" s="10" t="str">
        <x:v>NCG_H1</x:v>
      </x:c>
      <x:c r="C562" s="10" t="n">
        <x:v>7</x:v>
      </x:c>
      <x:c r="D562" s="24" t="n">
        <x:v>0.004999000199960008</x:v>
      </x:c>
      <x:c r="E562" s="24" t="n">
        <x:v>0.005699999999999999</x:v>
      </x:c>
      <x:c r="F562" s="24" t="n">
        <x:f>ABS(D562-E562)</x:f>
        <x:v>0.0007009998000399916</x:v>
      </x:c>
    </x:row>
    <x:row r="563" ht="23" customHeight="1">
      <x:c r="A563" s="10" t="str">
        <x:v>M4</x:v>
      </x:c>
      <x:c r="B563" s="10" t="str">
        <x:v>NCG_H1</x:v>
      </x:c>
      <x:c r="C563" s="10" t="n">
        <x:v>8</x:v>
      </x:c>
      <x:c r="D563" s="24" t="n">
        <x:v>0.010497900419916016</x:v>
      </x:c>
      <x:c r="E563" s="24" t="n">
        <x:v>0.0128</x:v>
      </x:c>
      <x:c r="F563" s="24" t="n">
        <x:f>ABS(D563-E563)</x:f>
        <x:v>0.0023020995800839845</x:v>
      </x:c>
    </x:row>
    <x:row r="564" ht="23" customHeight="1">
      <x:c r="A564" s="10" t="str">
        <x:v>M4</x:v>
      </x:c>
      <x:c r="B564" s="10" t="str">
        <x:v>NCG_H1</x:v>
      </x:c>
      <x:c r="C564" s="10" t="n">
        <x:v>9</x:v>
      </x:c>
      <x:c r="D564" s="24" t="n">
        <x:v>0.02619476104779044</x:v>
      </x:c>
      <x:c r="E564" s="24" t="n">
        <x:v>0.0227</x:v>
      </x:c>
      <x:c r="F564" s="24" t="n">
        <x:f>ABS(D564-E564)</x:f>
        <x:v>0.0034947610477904373</x:v>
      </x:c>
    </x:row>
    <x:row r="565" ht="23" customHeight="1">
      <x:c r="A565" s="10" t="str">
        <x:v>M4</x:v>
      </x:c>
      <x:c r="B565" s="10" t="str">
        <x:v>NCG_H1</x:v>
      </x:c>
      <x:c r="C565" s="10" t="n">
        <x:v>10</x:v>
      </x:c>
      <x:c r="D565" s="24" t="n">
        <x:v>0</x:v>
      </x:c>
      <x:c r="E565" s="24" t="n">
        <x:v>0</x:v>
      </x:c>
      <x:c r="F565" s="24" t="n">
        <x:f>ABS(D565-E565)</x:f>
        <x:v>0</x:v>
      </x:c>
    </x:row>
    <x:row r="566" ht="23" customHeight="1">
      <x:c r="A566" s="10" t="str">
        <x:v>M5</x:v>
      </x:c>
      <x:c r="B566" s="10" t="str">
        <x:v>N_H0</x:v>
      </x:c>
      <x:c r="C566" s="10" t="n">
        <x:v>1</x:v>
      </x:c>
      <x:c r="D566" s="24" t="n">
        <x:v>0</x:v>
      </x:c>
      <x:c r="E566" s="24" t="n">
        <x:v>0.004600920184036806</x:v>
      </x:c>
      <x:c r="F566" s="24" t="n">
        <x:f>ABS(D566-E566)</x:f>
        <x:v>0.004600920184036806</x:v>
      </x:c>
    </x:row>
    <x:row r="567" ht="23" customHeight="1">
      <x:c r="A567" s="10" t="str">
        <x:v>M5</x:v>
      </x:c>
      <x:c r="B567" s="10" t="str">
        <x:v>N_H0</x:v>
      </x:c>
      <x:c r="C567" s="10" t="n">
        <x:v>2</x:v>
      </x:c>
      <x:c r="D567" s="24" t="n">
        <x:v>0.10589999999999998</x:v>
      </x:c>
      <x:c r="E567" s="24" t="n">
        <x:v>0.1505301060212042</x:v>
      </x:c>
      <x:c r="F567" s="24" t="n">
        <x:f>ABS(D567-E567)</x:f>
        <x:v>0.04463010602120422</x:v>
      </x:c>
    </x:row>
    <x:row r="568" ht="23" customHeight="1">
      <x:c r="A568" s="10" t="str">
        <x:v>M5</x:v>
      </x:c>
      <x:c r="B568" s="10" t="str">
        <x:v>N_H0</x:v>
      </x:c>
      <x:c r="C568" s="10" t="n">
        <x:v>3</x:v>
      </x:c>
      <x:c r="D568" s="24" t="n">
        <x:v>0.0321</x:v>
      </x:c>
      <x:c r="E568" s="24" t="n">
        <x:v>0.39787957591518297</x:v>
      </x:c>
      <x:c r="F568" s="24" t="n">
        <x:f>ABS(D568-E568)</x:f>
        <x:v>0.36577957591518295</x:v>
      </x:c>
    </x:row>
    <x:row r="569" ht="23" customHeight="1">
      <x:c r="A569" s="10" t="str">
        <x:v>M5</x:v>
      </x:c>
      <x:c r="B569" s="10" t="str">
        <x:v>N_H0</x:v>
      </x:c>
      <x:c r="C569" s="10" t="n">
        <x:v>4</x:v>
      </x:c>
      <x:c r="D569" s="24" t="n">
        <x:v>0</x:v>
      </x:c>
      <x:c r="E569" s="24" t="n">
        <x:v>0.23984796959391874</x:v>
      </x:c>
      <x:c r="F569" s="24" t="n">
        <x:f>ABS(D569-E569)</x:f>
        <x:v>0.23984796959391874</x:v>
      </x:c>
    </x:row>
    <x:row r="570" ht="23" customHeight="1">
      <x:c r="A570" s="10" t="str">
        <x:v>M5</x:v>
      </x:c>
      <x:c r="B570" s="10" t="str">
        <x:v>N_H0</x:v>
      </x:c>
      <x:c r="C570" s="10" t="n">
        <x:v>5</x:v>
      </x:c>
      <x:c r="D570" s="24" t="n">
        <x:v>0.7686999999999999</x:v>
      </x:c>
      <x:c r="E570" s="24" t="n">
        <x:v>0.10532106421284254</x:v>
      </x:c>
      <x:c r="F570" s="24" t="n">
        <x:f>ABS(D570-E570)</x:f>
        <x:v>0.6633789357871573</x:v>
      </x:c>
    </x:row>
    <x:row r="571" ht="23" customHeight="1">
      <x:c r="A571" s="10" t="str">
        <x:v>M5</x:v>
      </x:c>
      <x:c r="B571" s="10" t="str">
        <x:v>N_H0</x:v>
      </x:c>
      <x:c r="C571" s="10" t="n">
        <x:v>6</x:v>
      </x:c>
      <x:c r="D571" s="24" t="n">
        <x:v>0</x:v>
      </x:c>
      <x:c r="E571" s="24" t="n">
        <x:v>0.03030606121224244</x:v>
      </x:c>
      <x:c r="F571" s="24" t="n">
        <x:f>ABS(D571-E571)</x:f>
        <x:v>0.03030606121224244</x:v>
      </x:c>
    </x:row>
    <x:row r="572" ht="23" customHeight="1">
      <x:c r="A572" s="10" t="str">
        <x:v>M5</x:v>
      </x:c>
      <x:c r="B572" s="10" t="str">
        <x:v>N_H0</x:v>
      </x:c>
      <x:c r="C572" s="10" t="n">
        <x:v>7</x:v>
      </x:c>
      <x:c r="D572" s="24" t="n">
        <x:v>0.03149999999999999</x:v>
      </x:c>
      <x:c r="E572" s="24" t="n">
        <x:v>0.03030606121224244</x:v>
      </x:c>
      <x:c r="F572" s="24" t="n">
        <x:f>ABS(D572-E572)</x:f>
        <x:v>0.0011939387877575522</x:v>
      </x:c>
    </x:row>
    <x:row r="573" ht="23" customHeight="1">
      <x:c r="A573" s="10" t="str">
        <x:v>M5</x:v>
      </x:c>
      <x:c r="B573" s="10" t="str">
        <x:v>N_H0</x:v>
      </x:c>
      <x:c r="C573" s="10" t="n">
        <x:v>8</x:v>
      </x:c>
      <x:c r="D573" s="24" t="n">
        <x:v>0.018899999999999997</x:v>
      </x:c>
      <x:c r="E573" s="24" t="n">
        <x:v>0.02120424084816963</x:v>
      </x:c>
      <x:c r="F573" s="24" t="n">
        <x:f>ABS(D573-E573)</x:f>
        <x:v>0.0023042408481696343</x:v>
      </x:c>
    </x:row>
    <x:row r="574" ht="23" customHeight="1">
      <x:c r="A574" s="10" t="str">
        <x:v>M5</x:v>
      </x:c>
      <x:c r="B574" s="10" t="str">
        <x:v>N_H0</x:v>
      </x:c>
      <x:c r="C574" s="10" t="n">
        <x:v>9</x:v>
      </x:c>
      <x:c r="D574" s="24" t="n">
        <x:v>0.042899999999999994</x:v>
      </x:c>
      <x:c r="E574" s="24" t="n">
        <x:v>0.020004000800160026</x:v>
      </x:c>
      <x:c r="F574" s="24" t="n">
        <x:f>ABS(D574-E574)</x:f>
        <x:v>0.022895999199839968</x:v>
      </x:c>
    </x:row>
    <x:row r="575" ht="23" customHeight="1">
      <x:c r="A575" s="10" t="str">
        <x:v>M5</x:v>
      </x:c>
      <x:c r="B575" s="10" t="str">
        <x:v>N_H0</x:v>
      </x:c>
      <x:c r="C575" s="10" t="n">
        <x:v>10</x:v>
      </x:c>
      <x:c r="D575" s="24" t="n">
        <x:v>0</x:v>
      </x:c>
      <x:c r="E575" s="24" t="n">
        <x:v>0</x:v>
      </x:c>
      <x:c r="F575" s="24" t="n">
        <x:f>ABS(D575-E575)</x:f>
        <x:v>0</x:v>
      </x:c>
    </x:row>
    <x:row r="576" ht="23" customHeight="1">
      <x:c r="A576" s="10" t="str">
        <x:v>M5</x:v>
      </x:c>
      <x:c r="B576" s="10" t="str">
        <x:v>N_H1</x:v>
      </x:c>
      <x:c r="C576" s="10" t="n">
        <x:v>1</x:v>
      </x:c>
      <x:c r="D576" s="24" t="n">
        <x:v>0</x:v>
      </x:c>
      <x:c r="E576" s="24" t="n">
        <x:v>0.004600920184036806</x:v>
      </x:c>
      <x:c r="F576" s="24" t="n">
        <x:f>ABS(D576-E576)</x:f>
        <x:v>0.004600920184036806</x:v>
      </x:c>
    </x:row>
    <x:row r="577" ht="23" customHeight="1">
      <x:c r="A577" s="10" t="str">
        <x:v>M5</x:v>
      </x:c>
      <x:c r="B577" s="10" t="str">
        <x:v>N_H1</x:v>
      </x:c>
      <x:c r="C577" s="10" t="n">
        <x:v>2</x:v>
      </x:c>
      <x:c r="D577" s="24" t="n">
        <x:v>0.10589999999999998</x:v>
      </x:c>
      <x:c r="E577" s="24" t="n">
        <x:v>0.1505301060212042</x:v>
      </x:c>
      <x:c r="F577" s="24" t="n">
        <x:f>ABS(D577-E577)</x:f>
        <x:v>0.04463010602120422</x:v>
      </x:c>
    </x:row>
    <x:row r="578" ht="23" customHeight="1">
      <x:c r="A578" s="10" t="str">
        <x:v>M5</x:v>
      </x:c>
      <x:c r="B578" s="10" t="str">
        <x:v>N_H1</x:v>
      </x:c>
      <x:c r="C578" s="10" t="n">
        <x:v>3</x:v>
      </x:c>
      <x:c r="D578" s="24" t="n">
        <x:v>0.012599999999999998</x:v>
      </x:c>
      <x:c r="E578" s="24" t="n">
        <x:v>0.39787957591518297</x:v>
      </x:c>
      <x:c r="F578" s="24" t="n">
        <x:f>ABS(D578-E578)</x:f>
        <x:v>0.38527957591518297</x:v>
      </x:c>
    </x:row>
    <x:row r="579" ht="23" customHeight="1">
      <x:c r="A579" s="10" t="str">
        <x:v>M5</x:v>
      </x:c>
      <x:c r="B579" s="10" t="str">
        <x:v>N_H1</x:v>
      </x:c>
      <x:c r="C579" s="10" t="n">
        <x:v>4</x:v>
      </x:c>
      <x:c r="D579" s="24" t="n">
        <x:v>0</x:v>
      </x:c>
      <x:c r="E579" s="24" t="n">
        <x:v>0.23984796959391874</x:v>
      </x:c>
      <x:c r="F579" s="24" t="n">
        <x:f>ABS(D579-E579)</x:f>
        <x:v>0.23984796959391874</x:v>
      </x:c>
    </x:row>
    <x:row r="580" ht="23" customHeight="1">
      <x:c r="A580" s="10" t="str">
        <x:v>M5</x:v>
      </x:c>
      <x:c r="B580" s="10" t="str">
        <x:v>N_H1</x:v>
      </x:c>
      <x:c r="C580" s="10" t="n">
        <x:v>5</x:v>
      </x:c>
      <x:c r="D580" s="24" t="n">
        <x:v>0.7686999999999999</x:v>
      </x:c>
      <x:c r="E580" s="24" t="n">
        <x:v>0.10532106421284254</x:v>
      </x:c>
      <x:c r="F580" s="24" t="n">
        <x:f>ABS(D580-E580)</x:f>
        <x:v>0.6633789357871573</x:v>
      </x:c>
    </x:row>
    <x:row r="581" ht="23" customHeight="1">
      <x:c r="A581" s="10" t="str">
        <x:v>M5</x:v>
      </x:c>
      <x:c r="B581" s="10" t="str">
        <x:v>N_H1</x:v>
      </x:c>
      <x:c r="C581" s="10" t="n">
        <x:v>6</x:v>
      </x:c>
      <x:c r="D581" s="24" t="n">
        <x:v>0.019499999999999997</x:v>
      </x:c>
      <x:c r="E581" s="24" t="n">
        <x:v>0.03030606121224244</x:v>
      </x:c>
      <x:c r="F581" s="24" t="n">
        <x:f>ABS(D581-E581)</x:f>
        <x:v>0.010806061212242445</x:v>
      </x:c>
    </x:row>
    <x:row r="582" ht="23" customHeight="1">
      <x:c r="A582" s="10" t="str">
        <x:v>M5</x:v>
      </x:c>
      <x:c r="B582" s="10" t="str">
        <x:v>N_H1</x:v>
      </x:c>
      <x:c r="C582" s="10" t="n">
        <x:v>7</x:v>
      </x:c>
      <x:c r="D582" s="24" t="n">
        <x:v>0.03149999999999999</x:v>
      </x:c>
      <x:c r="E582" s="24" t="n">
        <x:v>0.03030606121224244</x:v>
      </x:c>
      <x:c r="F582" s="24" t="n">
        <x:f>ABS(D582-E582)</x:f>
        <x:v>0.0011939387877575522</x:v>
      </x:c>
    </x:row>
    <x:row r="583" ht="23" customHeight="1">
      <x:c r="A583" s="10" t="str">
        <x:v>M5</x:v>
      </x:c>
      <x:c r="B583" s="10" t="str">
        <x:v>N_H1</x:v>
      </x:c>
      <x:c r="C583" s="10" t="n">
        <x:v>8</x:v>
      </x:c>
      <x:c r="D583" s="24" t="n">
        <x:v>0.018899999999999997</x:v>
      </x:c>
      <x:c r="E583" s="24" t="n">
        <x:v>0.02120424084816963</x:v>
      </x:c>
      <x:c r="F583" s="24" t="n">
        <x:f>ABS(D583-E583)</x:f>
        <x:v>0.0023042408481696343</x:v>
      </x:c>
    </x:row>
    <x:row r="584" ht="23" customHeight="1">
      <x:c r="A584" s="10" t="str">
        <x:v>M5</x:v>
      </x:c>
      <x:c r="B584" s="10" t="str">
        <x:v>N_H1</x:v>
      </x:c>
      <x:c r="C584" s="10" t="n">
        <x:v>9</x:v>
      </x:c>
      <x:c r="D584" s="24" t="n">
        <x:v>0.042899999999999994</x:v>
      </x:c>
      <x:c r="E584" s="24" t="n">
        <x:v>0.020004000800160026</x:v>
      </x:c>
      <x:c r="F584" s="24" t="n">
        <x:f>ABS(D584-E584)</x:f>
        <x:v>0.022895999199839968</x:v>
      </x:c>
    </x:row>
    <x:row r="585" ht="23" customHeight="1">
      <x:c r="A585" s="10" t="str">
        <x:v>M5</x:v>
      </x:c>
      <x:c r="B585" s="10" t="str">
        <x:v>N_H1</x:v>
      </x:c>
      <x:c r="C585" s="10" t="n">
        <x:v>10</x:v>
      </x:c>
      <x:c r="D585" s="24" t="n">
        <x:v>0</x:v>
      </x:c>
      <x:c r="E585" s="24" t="n">
        <x:v>0</x:v>
      </x:c>
      <x:c r="F585" s="24" t="n">
        <x:f>ABS(D585-E585)</x:f>
        <x:v>0</x:v>
      </x:c>
    </x:row>
    <x:row r="586" ht="23" customHeight="1">
      <x:c r="A586" s="10" t="str">
        <x:v>M5</x:v>
      </x:c>
      <x:c r="B586" s="10" t="str">
        <x:v>C_H0</x:v>
      </x:c>
      <x:c r="C586" s="10" t="n">
        <x:v>1</x:v>
      </x:c>
      <x:c r="D586" s="24" t="n">
        <x:v>0</x:v>
      </x:c>
      <x:c r="E586" s="24" t="n">
        <x:v>0.004600920184036806</x:v>
      </x:c>
      <x:c r="F586" s="24" t="n">
        <x:f>ABS(D586-E586)</x:f>
        <x:v>0.004600920184036806</x:v>
      </x:c>
    </x:row>
    <x:row r="587" ht="23" customHeight="1">
      <x:c r="A587" s="10" t="str">
        <x:v>M5</x:v>
      </x:c>
      <x:c r="B587" s="10" t="str">
        <x:v>C_H0</x:v>
      </x:c>
      <x:c r="C587" s="10" t="n">
        <x:v>2</x:v>
      </x:c>
      <x:c r="D587" s="24" t="n">
        <x:v>0.2833</x:v>
      </x:c>
      <x:c r="E587" s="24" t="n">
        <x:v>0.1505301060212042</x:v>
      </x:c>
      <x:c r="F587" s="24" t="n">
        <x:f>ABS(D587-E587)</x:f>
        <x:v>0.1327698939787958</x:v>
      </x:c>
    </x:row>
    <x:row r="588" ht="23" customHeight="1">
      <x:c r="A588" s="10" t="str">
        <x:v>M5</x:v>
      </x:c>
      <x:c r="B588" s="10" t="str">
        <x:v>C_H0</x:v>
      </x:c>
      <x:c r="C588" s="10" t="n">
        <x:v>3</x:v>
      </x:c>
      <x:c r="D588" s="24" t="n">
        <x:v>0</x:v>
      </x:c>
      <x:c r="E588" s="24" t="n">
        <x:v>0.39787957591518297</x:v>
      </x:c>
      <x:c r="F588" s="24" t="n">
        <x:f>ABS(D588-E588)</x:f>
        <x:v>0.39787957591518297</x:v>
      </x:c>
    </x:row>
    <x:row r="589" ht="23" customHeight="1">
      <x:c r="A589" s="10" t="str">
        <x:v>M5</x:v>
      </x:c>
      <x:c r="B589" s="10" t="str">
        <x:v>C_H0</x:v>
      </x:c>
      <x:c r="C589" s="10" t="n">
        <x:v>4</x:v>
      </x:c>
      <x:c r="D589" s="24" t="n">
        <x:v>0</x:v>
      </x:c>
      <x:c r="E589" s="24" t="n">
        <x:v>0.23984796959391874</x:v>
      </x:c>
      <x:c r="F589" s="24" t="n">
        <x:f>ABS(D589-E589)</x:f>
        <x:v>0.23984796959391874</x:v>
      </x:c>
    </x:row>
    <x:row r="590" ht="23" customHeight="1">
      <x:c r="A590" s="10" t="str">
        <x:v>M5</x:v>
      </x:c>
      <x:c r="B590" s="10" t="str">
        <x:v>C_H0</x:v>
      </x:c>
      <x:c r="C590" s="10" t="n">
        <x:v>5</x:v>
      </x:c>
      <x:c r="D590" s="24" t="n">
        <x:v>0.7167</x:v>
      </x:c>
      <x:c r="E590" s="24" t="n">
        <x:v>0.10532106421284254</x:v>
      </x:c>
      <x:c r="F590" s="24" t="n">
        <x:f>ABS(D590-E590)</x:f>
        <x:v>0.6113789357871575</x:v>
      </x:c>
    </x:row>
    <x:row r="591" ht="23" customHeight="1">
      <x:c r="A591" s="10" t="str">
        <x:v>M5</x:v>
      </x:c>
      <x:c r="B591" s="10" t="str">
        <x:v>C_H0</x:v>
      </x:c>
      <x:c r="C591" s="10" t="n">
        <x:v>6</x:v>
      </x:c>
      <x:c r="D591" s="24" t="n">
        <x:v>0</x:v>
      </x:c>
      <x:c r="E591" s="24" t="n">
        <x:v>0.03030606121224244</x:v>
      </x:c>
      <x:c r="F591" s="24" t="n">
        <x:f>ABS(D591-E591)</x:f>
        <x:v>0.03030606121224244</x:v>
      </x:c>
    </x:row>
    <x:row r="592" ht="23" customHeight="1">
      <x:c r="A592" s="10" t="str">
        <x:v>M5</x:v>
      </x:c>
      <x:c r="B592" s="10" t="str">
        <x:v>C_H0</x:v>
      </x:c>
      <x:c r="C592" s="10" t="n">
        <x:v>7</x:v>
      </x:c>
      <x:c r="D592" s="24" t="n">
        <x:v>0</x:v>
      </x:c>
      <x:c r="E592" s="24" t="n">
        <x:v>0.03030606121224244</x:v>
      </x:c>
      <x:c r="F592" s="24" t="n">
        <x:f>ABS(D592-E592)</x:f>
        <x:v>0.03030606121224244</x:v>
      </x:c>
    </x:row>
    <x:row r="593" ht="23" customHeight="1">
      <x:c r="A593" s="10" t="str">
        <x:v>M5</x:v>
      </x:c>
      <x:c r="B593" s="10" t="str">
        <x:v>C_H0</x:v>
      </x:c>
      <x:c r="C593" s="10" t="n">
        <x:v>8</x:v>
      </x:c>
      <x:c r="D593" s="24" t="n">
        <x:v>0</x:v>
      </x:c>
      <x:c r="E593" s="24" t="n">
        <x:v>0.02120424084816963</x:v>
      </x:c>
      <x:c r="F593" s="24" t="n">
        <x:f>ABS(D593-E593)</x:f>
        <x:v>0.02120424084816963</x:v>
      </x:c>
    </x:row>
    <x:row r="594" ht="23" customHeight="1">
      <x:c r="A594" s="10" t="str">
        <x:v>M5</x:v>
      </x:c>
      <x:c r="B594" s="10" t="str">
        <x:v>C_H0</x:v>
      </x:c>
      <x:c r="C594" s="10" t="n">
        <x:v>9</x:v>
      </x:c>
      <x:c r="D594" s="24" t="n">
        <x:v>0</x:v>
      </x:c>
      <x:c r="E594" s="24" t="n">
        <x:v>0.020004000800160026</x:v>
      </x:c>
      <x:c r="F594" s="24" t="n">
        <x:f>ABS(D594-E594)</x:f>
        <x:v>0.020004000800160026</x:v>
      </x:c>
    </x:row>
    <x:row r="595" ht="23" customHeight="1">
      <x:c r="A595" s="10" t="str">
        <x:v>M5</x:v>
      </x:c>
      <x:c r="B595" s="10" t="str">
        <x:v>C_H0</x:v>
      </x:c>
      <x:c r="C595" s="10" t="n">
        <x:v>10</x:v>
      </x:c>
      <x:c r="D595" s="24" t="n">
        <x:v>0</x:v>
      </x:c>
      <x:c r="E595" s="24" t="n">
        <x:v>0</x:v>
      </x:c>
      <x:c r="F595" s="24" t="n">
        <x:f>ABS(D595-E595)</x:f>
        <x:v>0</x:v>
      </x:c>
    </x:row>
    <x:row r="596" ht="23" customHeight="1">
      <x:c r="A596" s="10" t="str">
        <x:v>M5</x:v>
      </x:c>
      <x:c r="B596" s="10" t="str">
        <x:v>C_H1</x:v>
      </x:c>
      <x:c r="C596" s="10" t="n">
        <x:v>1</x:v>
      </x:c>
      <x:c r="D596" s="24" t="n">
        <x:v>0</x:v>
      </x:c>
      <x:c r="E596" s="24" t="n">
        <x:v>0.004600920184036806</x:v>
      </x:c>
      <x:c r="F596" s="24" t="n">
        <x:f>ABS(D596-E596)</x:f>
        <x:v>0.004600920184036806</x:v>
      </x:c>
    </x:row>
    <x:row r="597" ht="23" customHeight="1">
      <x:c r="A597" s="10" t="str">
        <x:v>M5</x:v>
      </x:c>
      <x:c r="B597" s="10" t="str">
        <x:v>C_H1</x:v>
      </x:c>
      <x:c r="C597" s="10" t="n">
        <x:v>2</x:v>
      </x:c>
      <x:c r="D597" s="24" t="n">
        <x:v>0.2810718928107189</x:v>
      </x:c>
      <x:c r="E597" s="24" t="n">
        <x:v>0.1505301060212042</x:v>
      </x:c>
      <x:c r="F597" s="24" t="n">
        <x:f>ABS(D597-E597)</x:f>
        <x:v>0.13054178678951472</x:v>
      </x:c>
    </x:row>
    <x:row r="598" ht="23" customHeight="1">
      <x:c r="A598" s="10" t="str">
        <x:v>M5</x:v>
      </x:c>
      <x:c r="B598" s="10" t="str">
        <x:v>C_H1</x:v>
      </x:c>
      <x:c r="C598" s="10" t="n">
        <x:v>3</x:v>
      </x:c>
      <x:c r="D598" s="24" t="n">
        <x:v>0</x:v>
      </x:c>
      <x:c r="E598" s="24" t="n">
        <x:v>0.39787957591518297</x:v>
      </x:c>
      <x:c r="F598" s="24" t="n">
        <x:f>ABS(D598-E598)</x:f>
        <x:v>0.39787957591518297</x:v>
      </x:c>
    </x:row>
    <x:row r="599" ht="23" customHeight="1">
      <x:c r="A599" s="10" t="str">
        <x:v>M5</x:v>
      </x:c>
      <x:c r="B599" s="10" t="str">
        <x:v>C_H1</x:v>
      </x:c>
      <x:c r="C599" s="10" t="n">
        <x:v>4</x:v>
      </x:c>
      <x:c r="D599" s="24" t="n">
        <x:v>0</x:v>
      </x:c>
      <x:c r="E599" s="24" t="n">
        <x:v>0.23984796959391874</x:v>
      </x:c>
      <x:c r="F599" s="24" t="n">
        <x:f>ABS(D599-E599)</x:f>
        <x:v>0.23984796959391874</x:v>
      </x:c>
    </x:row>
    <x:row r="600" ht="23" customHeight="1">
      <x:c r="A600" s="10" t="str">
        <x:v>M5</x:v>
      </x:c>
      <x:c r="B600" s="10" t="str">
        <x:v>C_H1</x:v>
      </x:c>
      <x:c r="C600" s="10" t="n">
        <x:v>5</x:v>
      </x:c>
      <x:c r="D600" s="24" t="n">
        <x:v>0.7166283371662833</x:v>
      </x:c>
      <x:c r="E600" s="24" t="n">
        <x:v>0.10532106421284254</x:v>
      </x:c>
      <x:c r="F600" s="24" t="n">
        <x:f>ABS(D600-E600)</x:f>
        <x:v>0.6113072729534408</x:v>
      </x:c>
    </x:row>
    <x:row r="601" ht="23" customHeight="1">
      <x:c r="A601" s="10" t="str">
        <x:v>M5</x:v>
      </x:c>
      <x:c r="B601" s="10" t="str">
        <x:v>C_H1</x:v>
      </x:c>
      <x:c r="C601" s="10" t="n">
        <x:v>6</x:v>
      </x:c>
      <x:c r="D601" s="24" t="n">
        <x:v>0</x:v>
      </x:c>
      <x:c r="E601" s="24" t="n">
        <x:v>0.03030606121224244</x:v>
      </x:c>
      <x:c r="F601" s="24" t="n">
        <x:f>ABS(D601-E601)</x:f>
        <x:v>0.03030606121224244</x:v>
      </x:c>
    </x:row>
    <x:row r="602" ht="23" customHeight="1">
      <x:c r="A602" s="10" t="str">
        <x:v>M5</x:v>
      </x:c>
      <x:c r="B602" s="10" t="str">
        <x:v>C_H1</x:v>
      </x:c>
      <x:c r="C602" s="10" t="n">
        <x:v>7</x:v>
      </x:c>
      <x:c r="D602" s="24" t="n">
        <x:v>0.0022997700229977</x:v>
      </x:c>
      <x:c r="E602" s="24" t="n">
        <x:v>0.03030606121224244</x:v>
      </x:c>
      <x:c r="F602" s="24" t="n">
        <x:f>ABS(D602-E602)</x:f>
        <x:v>0.02800629118924474</x:v>
      </x:c>
    </x:row>
    <x:row r="603" ht="23" customHeight="1">
      <x:c r="A603" s="10" t="str">
        <x:v>M5</x:v>
      </x:c>
      <x:c r="B603" s="10" t="str">
        <x:v>C_H1</x:v>
      </x:c>
      <x:c r="C603" s="10" t="n">
        <x:v>8</x:v>
      </x:c>
      <x:c r="D603" s="24" t="n">
        <x:v>0</x:v>
      </x:c>
      <x:c r="E603" s="24" t="n">
        <x:v>0.02120424084816963</x:v>
      </x:c>
      <x:c r="F603" s="24" t="n">
        <x:f>ABS(D603-E603)</x:f>
        <x:v>0.02120424084816963</x:v>
      </x:c>
    </x:row>
    <x:row r="604" ht="23" customHeight="1">
      <x:c r="A604" s="10" t="str">
        <x:v>M5</x:v>
      </x:c>
      <x:c r="B604" s="10" t="str">
        <x:v>C_H1</x:v>
      </x:c>
      <x:c r="C604" s="10" t="n">
        <x:v>9</x:v>
      </x:c>
      <x:c r="D604" s="24" t="n">
        <x:v>0</x:v>
      </x:c>
      <x:c r="E604" s="24" t="n">
        <x:v>0.020004000800160026</x:v>
      </x:c>
      <x:c r="F604" s="24" t="n">
        <x:f>ABS(D604-E604)</x:f>
        <x:v>0.020004000800160026</x:v>
      </x:c>
    </x:row>
    <x:row r="605" ht="23" customHeight="1">
      <x:c r="A605" s="10" t="str">
        <x:v>M5</x:v>
      </x:c>
      <x:c r="B605" s="10" t="str">
        <x:v>C_H1</x:v>
      </x:c>
      <x:c r="C605" s="10" t="n">
        <x:v>10</x:v>
      </x:c>
      <x:c r="D605" s="24" t="n">
        <x:v>0</x:v>
      </x:c>
      <x:c r="E605" s="24" t="n">
        <x:v>0</x:v>
      </x:c>
      <x:c r="F605" s="24" t="n">
        <x:f>ABS(D605-E605)</x:f>
        <x:v>0</x:v>
      </x:c>
    </x:row>
    <x:row r="606" ht="23" customHeight="1">
      <x:c r="A606" s="10" t="str">
        <x:v>M5</x:v>
      </x:c>
      <x:c r="B606" s="10" t="str">
        <x:v>G_H0</x:v>
      </x:c>
      <x:c r="C606" s="10" t="n">
        <x:v>1</x:v>
      </x:c>
      <x:c r="D606" s="24" t="n">
        <x:v>0</x:v>
      </x:c>
      <x:c r="E606" s="24" t="n">
        <x:v>0.004600920184036806</x:v>
      </x:c>
      <x:c r="F606" s="24" t="n">
        <x:f>ABS(D606-E606)</x:f>
        <x:v>0.004600920184036806</x:v>
      </x:c>
    </x:row>
    <x:row r="607" ht="23" customHeight="1">
      <x:c r="A607" s="10" t="str">
        <x:v>M5</x:v>
      </x:c>
      <x:c r="B607" s="10" t="str">
        <x:v>G_H0</x:v>
      </x:c>
      <x:c r="C607" s="10" t="n">
        <x:v>2</x:v>
      </x:c>
      <x:c r="D607" s="24" t="n">
        <x:v>0.1328</x:v>
      </x:c>
      <x:c r="E607" s="24" t="n">
        <x:v>0.1505301060212042</x:v>
      </x:c>
      <x:c r="F607" s="24" t="n">
        <x:f>ABS(D607-E607)</x:f>
        <x:v>0.0177301060212042</x:v>
      </x:c>
    </x:row>
    <x:row r="608" ht="23" customHeight="1">
      <x:c r="A608" s="10" t="str">
        <x:v>M5</x:v>
      </x:c>
      <x:c r="B608" s="10" t="str">
        <x:v>G_H0</x:v>
      </x:c>
      <x:c r="C608" s="10" t="n">
        <x:v>3</x:v>
      </x:c>
      <x:c r="D608" s="24" t="n">
        <x:v>0.5547</x:v>
      </x:c>
      <x:c r="E608" s="24" t="n">
        <x:v>0.39787957591518297</x:v>
      </x:c>
      <x:c r="F608" s="24" t="n">
        <x:f>ABS(D608-E608)</x:f>
        <x:v>0.156820424084817</x:v>
      </x:c>
    </x:row>
    <x:row r="609" ht="23" customHeight="1">
      <x:c r="A609" s="10" t="str">
        <x:v>M5</x:v>
      </x:c>
      <x:c r="B609" s="10" t="str">
        <x:v>G_H0</x:v>
      </x:c>
      <x:c r="C609" s="10" t="n">
        <x:v>4</x:v>
      </x:c>
      <x:c r="D609" s="24" t="n">
        <x:v>0.2078</x:v>
      </x:c>
      <x:c r="E609" s="24" t="n">
        <x:v>0.23984796959391874</x:v>
      </x:c>
      <x:c r="F609" s="24" t="n">
        <x:f>ABS(D609-E609)</x:f>
        <x:v>0.03204796959391873</x:v>
      </x:c>
    </x:row>
    <x:row r="610" ht="23" customHeight="1">
      <x:c r="A610" s="10" t="str">
        <x:v>M5</x:v>
      </x:c>
      <x:c r="B610" s="10" t="str">
        <x:v>G_H0</x:v>
      </x:c>
      <x:c r="C610" s="10" t="n">
        <x:v>5</x:v>
      </x:c>
      <x:c r="D610" s="24" t="n">
        <x:v>0.1013</x:v>
      </x:c>
      <x:c r="E610" s="24" t="n">
        <x:v>0.10532106421284254</x:v>
      </x:c>
      <x:c r="F610" s="24" t="n">
        <x:f>ABS(D610-E610)</x:f>
        <x:v>0.00402106421284254</x:v>
      </x:c>
    </x:row>
    <x:row r="611" ht="23" customHeight="1">
      <x:c r="A611" s="10" t="str">
        <x:v>M5</x:v>
      </x:c>
      <x:c r="B611" s="10" t="str">
        <x:v>G_H0</x:v>
      </x:c>
      <x:c r="C611" s="10" t="n">
        <x:v>6</x:v>
      </x:c>
      <x:c r="D611" s="24" t="n">
        <x:v>0.0034000000000000002</x:v>
      </x:c>
      <x:c r="E611" s="24" t="n">
        <x:v>0.03030606121224244</x:v>
      </x:c>
      <x:c r="F611" s="24" t="n">
        <x:f>ABS(D611-E611)</x:f>
        <x:v>0.02690606121224244</x:v>
      </x:c>
    </x:row>
    <x:row r="612" ht="23" customHeight="1">
      <x:c r="A612" s="10" t="str">
        <x:v>M5</x:v>
      </x:c>
      <x:c r="B612" s="10" t="str">
        <x:v>G_H0</x:v>
      </x:c>
      <x:c r="C612" s="10" t="n">
        <x:v>7</x:v>
      </x:c>
      <x:c r="D612" s="24" t="n">
        <x:v>0</x:v>
      </x:c>
      <x:c r="E612" s="24" t="n">
        <x:v>0.03030606121224244</x:v>
      </x:c>
      <x:c r="F612" s="24" t="n">
        <x:f>ABS(D612-E612)</x:f>
        <x:v>0.03030606121224244</x:v>
      </x:c>
    </x:row>
    <x:row r="613" ht="23" customHeight="1">
      <x:c r="A613" s="10" t="str">
        <x:v>M5</x:v>
      </x:c>
      <x:c r="B613" s="10" t="str">
        <x:v>G_H0</x:v>
      </x:c>
      <x:c r="C613" s="10" t="n">
        <x:v>8</x:v>
      </x:c>
      <x:c r="D613" s="24" t="n">
        <x:v>0</x:v>
      </x:c>
      <x:c r="E613" s="24" t="n">
        <x:v>0.02120424084816963</x:v>
      </x:c>
      <x:c r="F613" s="24" t="n">
        <x:f>ABS(D613-E613)</x:f>
        <x:v>0.02120424084816963</x:v>
      </x:c>
    </x:row>
    <x:row r="614" ht="23" customHeight="1">
      <x:c r="A614" s="10" t="str">
        <x:v>M5</x:v>
      </x:c>
      <x:c r="B614" s="10" t="str">
        <x:v>G_H0</x:v>
      </x:c>
      <x:c r="C614" s="10" t="n">
        <x:v>9</x:v>
      </x:c>
      <x:c r="D614" s="24" t="n">
        <x:v>0</x:v>
      </x:c>
      <x:c r="E614" s="24" t="n">
        <x:v>0.020004000800160026</x:v>
      </x:c>
      <x:c r="F614" s="24" t="n">
        <x:f>ABS(D614-E614)</x:f>
        <x:v>0.020004000800160026</x:v>
      </x:c>
    </x:row>
    <x:row r="615" ht="23" customHeight="1">
      <x:c r="A615" s="10" t="str">
        <x:v>M5</x:v>
      </x:c>
      <x:c r="B615" s="10" t="str">
        <x:v>G_H0</x:v>
      </x:c>
      <x:c r="C615" s="10" t="n">
        <x:v>10</x:v>
      </x:c>
      <x:c r="D615" s="24" t="n">
        <x:v>0</x:v>
      </x:c>
      <x:c r="E615" s="24" t="n">
        <x:v>0</x:v>
      </x:c>
      <x:c r="F615" s="24" t="n">
        <x:f>ABS(D615-E615)</x:f>
        <x:v>0</x:v>
      </x:c>
    </x:row>
    <x:row r="616" ht="23" customHeight="1">
      <x:c r="A616" s="10" t="str">
        <x:v>M5</x:v>
      </x:c>
      <x:c r="B616" s="10" t="str">
        <x:v>G_H1</x:v>
      </x:c>
      <x:c r="C616" s="10" t="n">
        <x:v>1</x:v>
      </x:c>
      <x:c r="D616" s="24" t="n">
        <x:v>0</x:v>
      </x:c>
      <x:c r="E616" s="24" t="n">
        <x:v>0.004600920184036806</x:v>
      </x:c>
      <x:c r="F616" s="24" t="n">
        <x:f>ABS(D616-E616)</x:f>
        <x:v>0.004600920184036806</x:v>
      </x:c>
    </x:row>
    <x:row r="617" ht="23" customHeight="1">
      <x:c r="A617" s="10" t="str">
        <x:v>M5</x:v>
      </x:c>
      <x:c r="B617" s="10" t="str">
        <x:v>G_H1</x:v>
      </x:c>
      <x:c r="C617" s="10" t="n">
        <x:v>2</x:v>
      </x:c>
      <x:c r="D617" s="24" t="n">
        <x:v>0.11281128112811281</x:v>
      </x:c>
      <x:c r="E617" s="24" t="n">
        <x:v>0.1505301060212042</x:v>
      </x:c>
      <x:c r="F617" s="24" t="n">
        <x:f>ABS(D617-E617)</x:f>
        <x:v>0.03771882489309139</x:v>
      </x:c>
    </x:row>
    <x:row r="618" ht="23" customHeight="1">
      <x:c r="A618" s="10" t="str">
        <x:v>M5</x:v>
      </x:c>
      <x:c r="B618" s="10" t="str">
        <x:v>G_H1</x:v>
      </x:c>
      <x:c r="C618" s="10" t="n">
        <x:v>3</x:v>
      </x:c>
      <x:c r="D618" s="24" t="n">
        <x:v>0.532953295329533</x:v>
      </x:c>
      <x:c r="E618" s="24" t="n">
        <x:v>0.39787957591518297</x:v>
      </x:c>
      <x:c r="F618" s="24" t="n">
        <x:f>ABS(D618-E618)</x:f>
        <x:v>0.13507371941434998</x:v>
      </x:c>
    </x:row>
    <x:row r="619" ht="23" customHeight="1">
      <x:c r="A619" s="10" t="str">
        <x:v>M5</x:v>
      </x:c>
      <x:c r="B619" s="10" t="str">
        <x:v>G_H1</x:v>
      </x:c>
      <x:c r="C619" s="10" t="n">
        <x:v>4</x:v>
      </x:c>
      <x:c r="D619" s="24" t="n">
        <x:v>0.24382438243824386</x:v>
      </x:c>
      <x:c r="E619" s="24" t="n">
        <x:v>0.23984796959391874</x:v>
      </x:c>
      <x:c r="F619" s="24" t="n">
        <x:f>ABS(D619-E619)</x:f>
        <x:v>0.003976412844325122</x:v>
      </x:c>
    </x:row>
    <x:row r="620" ht="23" customHeight="1">
      <x:c r="A620" s="10" t="str">
        <x:v>M5</x:v>
      </x:c>
      <x:c r="B620" s="10" t="str">
        <x:v>G_H1</x:v>
      </x:c>
      <x:c r="C620" s="10" t="n">
        <x:v>5</x:v>
      </x:c>
      <x:c r="D620" s="24" t="n">
        <x:v>0.10701070107010702</x:v>
      </x:c>
      <x:c r="E620" s="24" t="n">
        <x:v>0.10532106421284254</x:v>
      </x:c>
      <x:c r="F620" s="24" t="n">
        <x:f>ABS(D620-E620)</x:f>
        <x:v>0.001689636857264476</x:v>
      </x:c>
    </x:row>
    <x:row r="621" ht="23" customHeight="1">
      <x:c r="A621" s="10" t="str">
        <x:v>M5</x:v>
      </x:c>
      <x:c r="B621" s="10" t="str">
        <x:v>G_H1</x:v>
      </x:c>
      <x:c r="C621" s="10" t="n">
        <x:v>6</x:v>
      </x:c>
      <x:c r="D621" s="24" t="n">
        <x:v>0.0034003400340034007</x:v>
      </x:c>
      <x:c r="E621" s="24" t="n">
        <x:v>0.03030606121224244</x:v>
      </x:c>
      <x:c r="F621" s="24" t="n">
        <x:f>ABS(D621-E621)</x:f>
        <x:v>0.026905721178239042</x:v>
      </x:c>
    </x:row>
    <x:row r="622" ht="23" customHeight="1">
      <x:c r="A622" s="10" t="str">
        <x:v>M5</x:v>
      </x:c>
      <x:c r="B622" s="10" t="str">
        <x:v>G_H1</x:v>
      </x:c>
      <x:c r="C622" s="10" t="n">
        <x:v>7</x:v>
      </x:c>
      <x:c r="D622" s="24" t="n">
        <x:v>0</x:v>
      </x:c>
      <x:c r="E622" s="24" t="n">
        <x:v>0.03030606121224244</x:v>
      </x:c>
      <x:c r="F622" s="24" t="n">
        <x:f>ABS(D622-E622)</x:f>
        <x:v>0.03030606121224244</x:v>
      </x:c>
    </x:row>
    <x:row r="623" ht="23" customHeight="1">
      <x:c r="A623" s="10" t="str">
        <x:v>M5</x:v>
      </x:c>
      <x:c r="B623" s="10" t="str">
        <x:v>G_H1</x:v>
      </x:c>
      <x:c r="C623" s="10" t="n">
        <x:v>8</x:v>
      </x:c>
      <x:c r="D623" s="24" t="n">
        <x:v>0</x:v>
      </x:c>
      <x:c r="E623" s="24" t="n">
        <x:v>0.02120424084816963</x:v>
      </x:c>
      <x:c r="F623" s="24" t="n">
        <x:f>ABS(D623-E623)</x:f>
        <x:v>0.02120424084816963</x:v>
      </x:c>
    </x:row>
    <x:row r="624" ht="23" customHeight="1">
      <x:c r="A624" s="10" t="str">
        <x:v>M5</x:v>
      </x:c>
      <x:c r="B624" s="10" t="str">
        <x:v>G_H1</x:v>
      </x:c>
      <x:c r="C624" s="10" t="n">
        <x:v>9</x:v>
      </x:c>
      <x:c r="D624" s="24" t="n">
        <x:v>0</x:v>
      </x:c>
      <x:c r="E624" s="24" t="n">
        <x:v>0.020004000800160026</x:v>
      </x:c>
      <x:c r="F624" s="24" t="n">
        <x:f>ABS(D624-E624)</x:f>
        <x:v>0.020004000800160026</x:v>
      </x:c>
    </x:row>
    <x:row r="625" ht="23" customHeight="1">
      <x:c r="A625" s="10" t="str">
        <x:v>M5</x:v>
      </x:c>
      <x:c r="B625" s="10" t="str">
        <x:v>G_H1</x:v>
      </x:c>
      <x:c r="C625" s="10" t="n">
        <x:v>10</x:v>
      </x:c>
      <x:c r="D625" s="24" t="n">
        <x:v>0</x:v>
      </x:c>
      <x:c r="E625" s="24" t="n">
        <x:v>0</x:v>
      </x:c>
      <x:c r="F625" s="24" t="n">
        <x:f>ABS(D625-E625)</x:f>
        <x:v>0</x:v>
      </x:c>
    </x:row>
    <x:row r="626" ht="23" customHeight="1">
      <x:c r="A626" s="10" t="str">
        <x:v>M5</x:v>
      </x:c>
      <x:c r="B626" s="10" t="str">
        <x:v>NC_H0</x:v>
      </x:c>
      <x:c r="C626" s="10" t="n">
        <x:v>1</x:v>
      </x:c>
      <x:c r="D626" s="24" t="n">
        <x:v>0</x:v>
      </x:c>
      <x:c r="E626" s="24" t="n">
        <x:v>0.004600920184036806</x:v>
      </x:c>
      <x:c r="F626" s="24" t="n">
        <x:f>ABS(D626-E626)</x:f>
        <x:v>0.004600920184036806</x:v>
      </x:c>
    </x:row>
    <x:row r="627" ht="23" customHeight="1">
      <x:c r="A627" s="10" t="str">
        <x:v>M5</x:v>
      </x:c>
      <x:c r="B627" s="10" t="str">
        <x:v>NC_H0</x:v>
      </x:c>
      <x:c r="C627" s="10" t="n">
        <x:v>2</x:v>
      </x:c>
      <x:c r="D627" s="24" t="n">
        <x:v>0.2519</x:v>
      </x:c>
      <x:c r="E627" s="24" t="n">
        <x:v>0.1505301060212042</x:v>
      </x:c>
      <x:c r="F627" s="24" t="n">
        <x:f>ABS(D627-E627)</x:f>
        <x:v>0.10136989397879581</x:v>
      </x:c>
    </x:row>
    <x:row r="628" ht="23" customHeight="1">
      <x:c r="A628" s="10" t="str">
        <x:v>M5</x:v>
      </x:c>
      <x:c r="B628" s="10" t="str">
        <x:v>NC_H0</x:v>
      </x:c>
      <x:c r="C628" s="10" t="n">
        <x:v>3</x:v>
      </x:c>
      <x:c r="D628" s="24" t="n">
        <x:v>0.030899999999999997</x:v>
      </x:c>
      <x:c r="E628" s="24" t="n">
        <x:v>0.39787957591518297</x:v>
      </x:c>
      <x:c r="F628" s="24" t="n">
        <x:f>ABS(D628-E628)</x:f>
        <x:v>0.366979575915183</x:v>
      </x:c>
    </x:row>
    <x:row r="629" ht="23" customHeight="1">
      <x:c r="A629" s="10" t="str">
        <x:v>M5</x:v>
      </x:c>
      <x:c r="B629" s="10" t="str">
        <x:v>NC_H0</x:v>
      </x:c>
      <x:c r="C629" s="10" t="n">
        <x:v>4</x:v>
      </x:c>
      <x:c r="D629" s="24" t="n">
        <x:v>0</x:v>
      </x:c>
      <x:c r="E629" s="24" t="n">
        <x:v>0.23984796959391874</x:v>
      </x:c>
      <x:c r="F629" s="24" t="n">
        <x:f>ABS(D629-E629)</x:f>
        <x:v>0.23984796959391874</x:v>
      </x:c>
    </x:row>
    <x:row r="630" ht="23" customHeight="1">
      <x:c r="A630" s="10" t="str">
        <x:v>M5</x:v>
      </x:c>
      <x:c r="B630" s="10" t="str">
        <x:v>NC_H0</x:v>
      </x:c>
      <x:c r="C630" s="10" t="n">
        <x:v>5</x:v>
      </x:c>
      <x:c r="D630" s="24" t="n">
        <x:v>0.6474</x:v>
      </x:c>
      <x:c r="E630" s="24" t="n">
        <x:v>0.10532106421284254</x:v>
      </x:c>
      <x:c r="F630" s="24" t="n">
        <x:f>ABS(D630-E630)</x:f>
        <x:v>0.5420789357871574</x:v>
      </x:c>
    </x:row>
    <x:row r="631" ht="23" customHeight="1">
      <x:c r="A631" s="10" t="str">
        <x:v>M5</x:v>
      </x:c>
      <x:c r="B631" s="10" t="str">
        <x:v>NC_H0</x:v>
      </x:c>
      <x:c r="C631" s="10" t="n">
        <x:v>6</x:v>
      </x:c>
      <x:c r="D631" s="24" t="n">
        <x:v>0</x:v>
      </x:c>
      <x:c r="E631" s="24" t="n">
        <x:v>0.03030606121224244</x:v>
      </x:c>
      <x:c r="F631" s="24" t="n">
        <x:f>ABS(D631-E631)</x:f>
        <x:v>0.03030606121224244</x:v>
      </x:c>
    </x:row>
    <x:row r="632" ht="23" customHeight="1">
      <x:c r="A632" s="10" t="str">
        <x:v>M5</x:v>
      </x:c>
      <x:c r="B632" s="10" t="str">
        <x:v>NC_H0</x:v>
      </x:c>
      <x:c r="C632" s="10" t="n">
        <x:v>7</x:v>
      </x:c>
      <x:c r="D632" s="24" t="n">
        <x:v>0.027999999999999997</x:v>
      </x:c>
      <x:c r="E632" s="24" t="n">
        <x:v>0.03030606121224244</x:v>
      </x:c>
      <x:c r="F632" s="24" t="n">
        <x:f>ABS(D632-E632)</x:f>
        <x:v>0.002306061212242444</x:v>
      </x:c>
    </x:row>
    <x:row r="633" ht="23" customHeight="1">
      <x:c r="A633" s="10" t="str">
        <x:v>M5</x:v>
      </x:c>
      <x:c r="B633" s="10" t="str">
        <x:v>NC_H0</x:v>
      </x:c>
      <x:c r="C633" s="10" t="n">
        <x:v>8</x:v>
      </x:c>
      <x:c r="D633" s="24" t="n">
        <x:v>0.0189</x:v>
      </x:c>
      <x:c r="E633" s="24" t="n">
        <x:v>0.02120424084816963</x:v>
      </x:c>
      <x:c r="F633" s="24" t="n">
        <x:f>ABS(D633-E633)</x:f>
        <x:v>0.002304240848169631</x:v>
      </x:c>
    </x:row>
    <x:row r="634" ht="23" customHeight="1">
      <x:c r="A634" s="10" t="str">
        <x:v>M5</x:v>
      </x:c>
      <x:c r="B634" s="10" t="str">
        <x:v>NC_H0</x:v>
      </x:c>
      <x:c r="C634" s="10" t="n">
        <x:v>9</x:v>
      </x:c>
      <x:c r="D634" s="24" t="n">
        <x:v>0.0229</x:v>
      </x:c>
      <x:c r="E634" s="24" t="n">
        <x:v>0.020004000800160026</x:v>
      </x:c>
      <x:c r="F634" s="24" t="n">
        <x:f>ABS(D634-E634)</x:f>
        <x:v>0.0028959991998399742</x:v>
      </x:c>
    </x:row>
    <x:row r="635" ht="23" customHeight="1">
      <x:c r="A635" s="10" t="str">
        <x:v>M5</x:v>
      </x:c>
      <x:c r="B635" s="10" t="str">
        <x:v>NC_H0</x:v>
      </x:c>
      <x:c r="C635" s="10" t="n">
        <x:v>10</x:v>
      </x:c>
      <x:c r="D635" s="24" t="n">
        <x:v>0</x:v>
      </x:c>
      <x:c r="E635" s="24" t="n">
        <x:v>0</x:v>
      </x:c>
      <x:c r="F635" s="24" t="n">
        <x:f>ABS(D635-E635)</x:f>
        <x:v>0</x:v>
      </x:c>
    </x:row>
    <x:row r="636" ht="23" customHeight="1">
      <x:c r="A636" s="10" t="str">
        <x:v>M5</x:v>
      </x:c>
      <x:c r="B636" s="10" t="str">
        <x:v>NC_H1</x:v>
      </x:c>
      <x:c r="C636" s="10" t="n">
        <x:v>1</x:v>
      </x:c>
      <x:c r="D636" s="24" t="n">
        <x:v>0</x:v>
      </x:c>
      <x:c r="E636" s="24" t="n">
        <x:v>0.004600920184036806</x:v>
      </x:c>
      <x:c r="F636" s="24" t="n">
        <x:f>ABS(D636-E636)</x:f>
        <x:v>0.004600920184036806</x:v>
      </x:c>
    </x:row>
    <x:row r="637" ht="23" customHeight="1">
      <x:c r="A637" s="10" t="str">
        <x:v>M5</x:v>
      </x:c>
      <x:c r="B637" s="10" t="str">
        <x:v>NC_H1</x:v>
      </x:c>
      <x:c r="C637" s="10" t="n">
        <x:v>2</x:v>
      </x:c>
      <x:c r="D637" s="24" t="n">
        <x:v>0.24839999999999995</x:v>
      </x:c>
      <x:c r="E637" s="24" t="n">
        <x:v>0.1505301060212042</x:v>
      </x:c>
      <x:c r="F637" s="24" t="n">
        <x:f>ABS(D637-E637)</x:f>
        <x:v>0.09786989397879575</x:v>
      </x:c>
    </x:row>
    <x:row r="638" ht="23" customHeight="1">
      <x:c r="A638" s="10" t="str">
        <x:v>M5</x:v>
      </x:c>
      <x:c r="B638" s="10" t="str">
        <x:v>NC_H1</x:v>
      </x:c>
      <x:c r="C638" s="10" t="n">
        <x:v>3</x:v>
      </x:c>
      <x:c r="D638" s="24" t="n">
        <x:v>0.011999999999999997</x:v>
      </x:c>
      <x:c r="E638" s="24" t="n">
        <x:v>0.39787957591518297</x:v>
      </x:c>
      <x:c r="F638" s="24" t="n">
        <x:f>ABS(D638-E638)</x:f>
        <x:v>0.38587957591518296</x:v>
      </x:c>
    </x:row>
    <x:row r="639" ht="23" customHeight="1">
      <x:c r="A639" s="10" t="str">
        <x:v>M5</x:v>
      </x:c>
      <x:c r="B639" s="10" t="str">
        <x:v>NC_H1</x:v>
      </x:c>
      <x:c r="C639" s="10" t="n">
        <x:v>4</x:v>
      </x:c>
      <x:c r="D639" s="24" t="n">
        <x:v>0</x:v>
      </x:c>
      <x:c r="E639" s="24" t="n">
        <x:v>0.23984796959391874</x:v>
      </x:c>
      <x:c r="F639" s="24" t="n">
        <x:f>ABS(D639-E639)</x:f>
        <x:v>0.23984796959391874</x:v>
      </x:c>
    </x:row>
    <x:row r="640" ht="23" customHeight="1">
      <x:c r="A640" s="10" t="str">
        <x:v>M5</x:v>
      </x:c>
      <x:c r="B640" s="10" t="str">
        <x:v>NC_H1</x:v>
      </x:c>
      <x:c r="C640" s="10" t="n">
        <x:v>5</x:v>
      </x:c>
      <x:c r="D640" s="24" t="n">
        <x:v>0.6473999999999998</x:v>
      </x:c>
      <x:c r="E640" s="24" t="n">
        <x:v>0.10532106421284254</x:v>
      </x:c>
      <x:c r="F640" s="24" t="n">
        <x:f>ABS(D640-E640)</x:f>
        <x:v>0.5420789357871572</x:v>
      </x:c>
    </x:row>
    <x:row r="641" ht="23" customHeight="1">
      <x:c r="A641" s="10" t="str">
        <x:v>M5</x:v>
      </x:c>
      <x:c r="B641" s="10" t="str">
        <x:v>NC_H1</x:v>
      </x:c>
      <x:c r="C641" s="10" t="n">
        <x:v>6</x:v>
      </x:c>
      <x:c r="D641" s="24" t="n">
        <x:v>0.018899999999999997</x:v>
      </x:c>
      <x:c r="E641" s="24" t="n">
        <x:v>0.03030606121224244</x:v>
      </x:c>
      <x:c r="F641" s="24" t="n">
        <x:f>ABS(D641-E641)</x:f>
        <x:v>0.011406061212242444</x:v>
      </x:c>
    </x:row>
    <x:row r="642" ht="23" customHeight="1">
      <x:c r="A642" s="10" t="str">
        <x:v>M5</x:v>
      </x:c>
      <x:c r="B642" s="10" t="str">
        <x:v>NC_H1</x:v>
      </x:c>
      <x:c r="C642" s="10" t="n">
        <x:v>7</x:v>
      </x:c>
      <x:c r="D642" s="24" t="n">
        <x:v>0.03149999999999999</x:v>
      </x:c>
      <x:c r="E642" s="24" t="n">
        <x:v>0.03030606121224244</x:v>
      </x:c>
      <x:c r="F642" s="24" t="n">
        <x:f>ABS(D642-E642)</x:f>
        <x:v>0.0011939387877575522</x:v>
      </x:c>
    </x:row>
    <x:row r="643" ht="23" customHeight="1">
      <x:c r="A643" s="10" t="str">
        <x:v>M5</x:v>
      </x:c>
      <x:c r="B643" s="10" t="str">
        <x:v>NC_H1</x:v>
      </x:c>
      <x:c r="C643" s="10" t="n">
        <x:v>8</x:v>
      </x:c>
      <x:c r="D643" s="24" t="n">
        <x:v>0.018899999999999997</x:v>
      </x:c>
      <x:c r="E643" s="24" t="n">
        <x:v>0.02120424084816963</x:v>
      </x:c>
      <x:c r="F643" s="24" t="n">
        <x:f>ABS(D643-E643)</x:f>
        <x:v>0.0023042408481696343</x:v>
      </x:c>
    </x:row>
    <x:row r="644" ht="23" customHeight="1">
      <x:c r="A644" s="10" t="str">
        <x:v>M5</x:v>
      </x:c>
      <x:c r="B644" s="10" t="str">
        <x:v>NC_H1</x:v>
      </x:c>
      <x:c r="C644" s="10" t="n">
        <x:v>9</x:v>
      </x:c>
      <x:c r="D644" s="24" t="n">
        <x:v>0.022899999999999997</x:v>
      </x:c>
      <x:c r="E644" s="24" t="n">
        <x:v>0.020004000800160026</x:v>
      </x:c>
      <x:c r="F644" s="24" t="n">
        <x:f>ABS(D644-E644)</x:f>
        <x:v>0.0028959991998399708</x:v>
      </x:c>
    </x:row>
    <x:row r="645" ht="23" customHeight="1">
      <x:c r="A645" s="10" t="str">
        <x:v>M5</x:v>
      </x:c>
      <x:c r="B645" s="10" t="str">
        <x:v>NC_H1</x:v>
      </x:c>
      <x:c r="C645" s="10" t="n">
        <x:v>10</x:v>
      </x:c>
      <x:c r="D645" s="24" t="n">
        <x:v>0</x:v>
      </x:c>
      <x:c r="E645" s="24" t="n">
        <x:v>0</x:v>
      </x:c>
      <x:c r="F645" s="24" t="n">
        <x:f>ABS(D645-E645)</x:f>
        <x:v>0</x:v>
      </x:c>
    </x:row>
    <x:row r="646" ht="23" customHeight="1">
      <x:c r="A646" s="10" t="str">
        <x:v>M5</x:v>
      </x:c>
      <x:c r="B646" s="10" t="str">
        <x:v>NG_H0</x:v>
      </x:c>
      <x:c r="C646" s="10" t="n">
        <x:v>1</x:v>
      </x:c>
      <x:c r="D646" s="24" t="n">
        <x:v>0</x:v>
      </x:c>
      <x:c r="E646" s="24" t="n">
        <x:v>0.004600920184036806</x:v>
      </x:c>
      <x:c r="F646" s="24" t="n">
        <x:f>ABS(D646-E646)</x:f>
        <x:v>0.004600920184036806</x:v>
      </x:c>
    </x:row>
    <x:row r="647" ht="23" customHeight="1">
      <x:c r="A647" s="10" t="str">
        <x:v>M5</x:v>
      </x:c>
      <x:c r="B647" s="10" t="str">
        <x:v>NG_H0</x:v>
      </x:c>
      <x:c r="C647" s="10" t="n">
        <x:v>2</x:v>
      </x:c>
      <x:c r="D647" s="24" t="n">
        <x:v>0.16659999999999997</x:v>
      </x:c>
      <x:c r="E647" s="24" t="n">
        <x:v>0.1505301060212042</x:v>
      </x:c>
      <x:c r="F647" s="24" t="n">
        <x:f>ABS(D647-E647)</x:f>
        <x:v>0.01606989397879577</x:v>
      </x:c>
    </x:row>
    <x:row r="648" ht="23" customHeight="1">
      <x:c r="A648" s="10" t="str">
        <x:v>M5</x:v>
      </x:c>
      <x:c r="B648" s="10" t="str">
        <x:v>NG_H0</x:v>
      </x:c>
      <x:c r="C648" s="10" t="n">
        <x:v>3</x:v>
      </x:c>
      <x:c r="D648" s="24" t="n">
        <x:v>0.4418999999999999</x:v>
      </x:c>
      <x:c r="E648" s="24" t="n">
        <x:v>0.39787957591518297</x:v>
      </x:c>
      <x:c r="F648" s="24" t="n">
        <x:f>ABS(D648-E648)</x:f>
        <x:v>0.044020424084816934</x:v>
      </x:c>
    </x:row>
    <x:row r="649" ht="23" customHeight="1">
      <x:c r="A649" s="10" t="str">
        <x:v>M5</x:v>
      </x:c>
      <x:c r="B649" s="10" t="str">
        <x:v>NG_H0</x:v>
      </x:c>
      <x:c r="C649" s="10" t="n">
        <x:v>4</x:v>
      </x:c>
      <x:c r="D649" s="24" t="n">
        <x:v>0.19579999999999995</x:v>
      </x:c>
      <x:c r="E649" s="24" t="n">
        <x:v>0.23984796959391874</x:v>
      </x:c>
      <x:c r="F649" s="24" t="n">
        <x:f>ABS(D649-E649)</x:f>
        <x:v>0.044047969593918795</x:v>
      </x:c>
    </x:row>
    <x:row r="650" ht="23" customHeight="1">
      <x:c r="A650" s="10" t="str">
        <x:v>M5</x:v>
      </x:c>
      <x:c r="B650" s="10" t="str">
        <x:v>NG_H0</x:v>
      </x:c>
      <x:c r="C650" s="10" t="n">
        <x:v>5</x:v>
      </x:c>
      <x:c r="D650" s="24" t="n">
        <x:v>0.09899999999999999</x:v>
      </x:c>
      <x:c r="E650" s="24" t="n">
        <x:v>0.10532106421284254</x:v>
      </x:c>
      <x:c r="F650" s="24" t="n">
        <x:f>ABS(D650-E650)</x:f>
        <x:v>0.00632106421284255</x:v>
      </x:c>
    </x:row>
    <x:row r="651" ht="23" customHeight="1">
      <x:c r="A651" s="10" t="str">
        <x:v>M5</x:v>
      </x:c>
      <x:c r="B651" s="10" t="str">
        <x:v>NG_H0</x:v>
      </x:c>
      <x:c r="C651" s="10" t="n">
        <x:v>6</x:v>
      </x:c>
      <x:c r="D651" s="24" t="n">
        <x:v>0.0034</x:v>
      </x:c>
      <x:c r="E651" s="24" t="n">
        <x:v>0.03030606121224244</x:v>
      </x:c>
      <x:c r="F651" s="24" t="n">
        <x:f>ABS(D651-E651)</x:f>
        <x:v>0.02690606121224244</x:v>
      </x:c>
    </x:row>
    <x:row r="652" ht="23" customHeight="1">
      <x:c r="A652" s="10" t="str">
        <x:v>M5</x:v>
      </x:c>
      <x:c r="B652" s="10" t="str">
        <x:v>NG_H0</x:v>
      </x:c>
      <x:c r="C652" s="10" t="n">
        <x:v>7</x:v>
      </x:c>
      <x:c r="D652" s="24" t="n">
        <x:v>0.03149999999999999</x:v>
      </x:c>
      <x:c r="E652" s="24" t="n">
        <x:v>0.03030606121224244</x:v>
      </x:c>
      <x:c r="F652" s="24" t="n">
        <x:f>ABS(D652-E652)</x:f>
        <x:v>0.0011939387877575522</x:v>
      </x:c>
    </x:row>
    <x:row r="653" ht="23" customHeight="1">
      <x:c r="A653" s="10" t="str">
        <x:v>M5</x:v>
      </x:c>
      <x:c r="B653" s="10" t="str">
        <x:v>NG_H0</x:v>
      </x:c>
      <x:c r="C653" s="10" t="n">
        <x:v>8</x:v>
      </x:c>
      <x:c r="D653" s="24" t="n">
        <x:v>0.018899999999999997</x:v>
      </x:c>
      <x:c r="E653" s="24" t="n">
        <x:v>0.02120424084816963</x:v>
      </x:c>
      <x:c r="F653" s="24" t="n">
        <x:f>ABS(D653-E653)</x:f>
        <x:v>0.0023042408481696343</x:v>
      </x:c>
    </x:row>
    <x:row r="654" ht="23" customHeight="1">
      <x:c r="A654" s="10" t="str">
        <x:v>M5</x:v>
      </x:c>
      <x:c r="B654" s="10" t="str">
        <x:v>NG_H0</x:v>
      </x:c>
      <x:c r="C654" s="10" t="n">
        <x:v>9</x:v>
      </x:c>
      <x:c r="D654" s="24" t="n">
        <x:v>0.0418</x:v>
      </x:c>
      <x:c r="E654" s="24" t="n">
        <x:v>0.020004000800160026</x:v>
      </x:c>
      <x:c r="F654" s="24" t="n">
        <x:f>ABS(D654-E654)</x:f>
        <x:v>0.02179599919983997</x:v>
      </x:c>
    </x:row>
    <x:row r="655" ht="23" customHeight="1">
      <x:c r="A655" s="10" t="str">
        <x:v>M5</x:v>
      </x:c>
      <x:c r="B655" s="10" t="str">
        <x:v>NG_H0</x:v>
      </x:c>
      <x:c r="C655" s="10" t="n">
        <x:v>10</x:v>
      </x:c>
      <x:c r="D655" s="24" t="n">
        <x:v>0.0010999999999999998</x:v>
      </x:c>
      <x:c r="E655" s="24" t="n">
        <x:v>0</x:v>
      </x:c>
      <x:c r="F655" s="24" t="n">
        <x:f>ABS(D655-E655)</x:f>
        <x:v>0.0010999999999999998</x:v>
      </x:c>
    </x:row>
    <x:row r="656" ht="23" customHeight="1">
      <x:c r="A656" s="10" t="str">
        <x:v>M5</x:v>
      </x:c>
      <x:c r="B656" s="10" t="str">
        <x:v>NG_H1</x:v>
      </x:c>
      <x:c r="C656" s="10" t="n">
        <x:v>1</x:v>
      </x:c>
      <x:c r="D656" s="24" t="n">
        <x:v>0</x:v>
      </x:c>
      <x:c r="E656" s="24" t="n">
        <x:v>0.004600920184036806</x:v>
      </x:c>
      <x:c r="F656" s="24" t="n">
        <x:f>ABS(D656-E656)</x:f>
        <x:v>0.004600920184036806</x:v>
      </x:c>
    </x:row>
    <x:row r="657" ht="23" customHeight="1">
      <x:c r="A657" s="10" t="str">
        <x:v>M5</x:v>
      </x:c>
      <x:c r="B657" s="10" t="str">
        <x:v>NG_H1</x:v>
      </x:c>
      <x:c r="C657" s="10" t="n">
        <x:v>2</x:v>
      </x:c>
      <x:c r="D657" s="24" t="n">
        <x:v>0.15459999999999996</x:v>
      </x:c>
      <x:c r="E657" s="24" t="n">
        <x:v>0.1505301060212042</x:v>
      </x:c>
      <x:c r="F657" s="24" t="n">
        <x:f>ABS(D657-E657)</x:f>
        <x:v>0.004069893978795758</x:v>
      </x:c>
    </x:row>
    <x:row r="658" ht="23" customHeight="1">
      <x:c r="A658" s="10" t="str">
        <x:v>M5</x:v>
      </x:c>
      <x:c r="B658" s="10" t="str">
        <x:v>NG_H1</x:v>
      </x:c>
      <x:c r="C658" s="10" t="n">
        <x:v>3</x:v>
      </x:c>
      <x:c r="D658" s="24" t="n">
        <x:v>0.3954999999999999</x:v>
      </x:c>
      <x:c r="E658" s="24" t="n">
        <x:v>0.39787957591518297</x:v>
      </x:c>
      <x:c r="F658" s="24" t="n">
        <x:f>ABS(D658-E658)</x:f>
        <x:v>0.002379575915183063</x:v>
      </x:c>
    </x:row>
    <x:row r="659" ht="23" customHeight="1">
      <x:c r="A659" s="10" t="str">
        <x:v>M5</x:v>
      </x:c>
      <x:c r="B659" s="10" t="str">
        <x:v>NG_H1</x:v>
      </x:c>
      <x:c r="C659" s="10" t="n">
        <x:v>4</x:v>
      </x:c>
      <x:c r="D659" s="24" t="n">
        <x:v>0.22949999999999995</x:v>
      </x:c>
      <x:c r="E659" s="24" t="n">
        <x:v>0.23984796959391874</x:v>
      </x:c>
      <x:c r="F659" s="24" t="n">
        <x:f>ABS(D659-E659)</x:f>
        <x:v>0.010347969593918788</x:v>
      </x:c>
    </x:row>
    <x:row r="660" ht="23" customHeight="1">
      <x:c r="A660" s="10" t="str">
        <x:v>M5</x:v>
      </x:c>
      <x:c r="B660" s="10" t="str">
        <x:v>NG_H1</x:v>
      </x:c>
      <x:c r="C660" s="10" t="n">
        <x:v>5</x:v>
      </x:c>
      <x:c r="D660" s="24" t="n">
        <x:v>0.10419999999999999</x:v>
      </x:c>
      <x:c r="E660" s="24" t="n">
        <x:v>0.10532106421284254</x:v>
      </x:c>
      <x:c r="F660" s="24" t="n">
        <x:f>ABS(D660-E660)</x:f>
        <x:v>0.001121064212842554</x:v>
      </x:c>
    </x:row>
    <x:row r="661" ht="23" customHeight="1">
      <x:c r="A661" s="10" t="str">
        <x:v>M5</x:v>
      </x:c>
      <x:c r="B661" s="10" t="str">
        <x:v>NG_H1</x:v>
      </x:c>
      <x:c r="C661" s="10" t="n">
        <x:v>6</x:v>
      </x:c>
      <x:c r="D661" s="24" t="n">
        <x:v>0.022899999999999997</x:v>
      </x:c>
      <x:c r="E661" s="24" t="n">
        <x:v>0.03030606121224244</x:v>
      </x:c>
      <x:c r="F661" s="24" t="n">
        <x:f>ABS(D661-E661)</x:f>
        <x:v>0.007406061212242444</x:v>
      </x:c>
    </x:row>
    <x:row r="662" ht="23" customHeight="1">
      <x:c r="A662" s="10" t="str">
        <x:v>M5</x:v>
      </x:c>
      <x:c r="B662" s="10" t="str">
        <x:v>NG_H1</x:v>
      </x:c>
      <x:c r="C662" s="10" t="n">
        <x:v>7</x:v>
      </x:c>
      <x:c r="D662" s="24" t="n">
        <x:v>0.03149999999999999</x:v>
      </x:c>
      <x:c r="E662" s="24" t="n">
        <x:v>0.03030606121224244</x:v>
      </x:c>
      <x:c r="F662" s="24" t="n">
        <x:f>ABS(D662-E662)</x:f>
        <x:v>0.0011939387877575522</x:v>
      </x:c>
    </x:row>
    <x:row r="663" ht="23" customHeight="1">
      <x:c r="A663" s="10" t="str">
        <x:v>M5</x:v>
      </x:c>
      <x:c r="B663" s="10" t="str">
        <x:v>NG_H1</x:v>
      </x:c>
      <x:c r="C663" s="10" t="n">
        <x:v>8</x:v>
      </x:c>
      <x:c r="D663" s="24" t="n">
        <x:v>0.018899999999999997</x:v>
      </x:c>
      <x:c r="E663" s="24" t="n">
        <x:v>0.02120424084816963</x:v>
      </x:c>
      <x:c r="F663" s="24" t="n">
        <x:f>ABS(D663-E663)</x:f>
        <x:v>0.0023042408481696343</x:v>
      </x:c>
    </x:row>
    <x:row r="664" ht="23" customHeight="1">
      <x:c r="A664" s="10" t="str">
        <x:v>M5</x:v>
      </x:c>
      <x:c r="B664" s="10" t="str">
        <x:v>NG_H1</x:v>
      </x:c>
      <x:c r="C664" s="10" t="n">
        <x:v>9</x:v>
      </x:c>
      <x:c r="D664" s="24" t="n">
        <x:v>0.0418</x:v>
      </x:c>
      <x:c r="E664" s="24" t="n">
        <x:v>0.020004000800160026</x:v>
      </x:c>
      <x:c r="F664" s="24" t="n">
        <x:f>ABS(D664-E664)</x:f>
        <x:v>0.02179599919983997</x:v>
      </x:c>
    </x:row>
    <x:row r="665" ht="23" customHeight="1">
      <x:c r="A665" s="10" t="str">
        <x:v>M5</x:v>
      </x:c>
      <x:c r="B665" s="10" t="str">
        <x:v>NG_H1</x:v>
      </x:c>
      <x:c r="C665" s="10" t="n">
        <x:v>10</x:v>
      </x:c>
      <x:c r="D665" s="24" t="n">
        <x:v>0.0010999999999999998</x:v>
      </x:c>
      <x:c r="E665" s="24" t="n">
        <x:v>0</x:v>
      </x:c>
      <x:c r="F665" s="24" t="n">
        <x:f>ABS(D665-E665)</x:f>
        <x:v>0.0010999999999999998</x:v>
      </x:c>
    </x:row>
    <x:row r="666" ht="23" customHeight="1">
      <x:c r="A666" s="10" t="str">
        <x:v>M5</x:v>
      </x:c>
      <x:c r="B666" s="10" t="str">
        <x:v>CG_H0</x:v>
      </x:c>
      <x:c r="C666" s="10" t="n">
        <x:v>1</x:v>
      </x:c>
      <x:c r="D666" s="24" t="n">
        <x:v>0.0034003400340034007</x:v>
      </x:c>
      <x:c r="E666" s="24" t="n">
        <x:v>0.004600920184036806</x:v>
      </x:c>
      <x:c r="F666" s="24" t="n">
        <x:f>ABS(D666-E666)</x:f>
        <x:v>0.0012005801500334055</x:v>
      </x:c>
    </x:row>
    <x:row r="667" ht="23" customHeight="1">
      <x:c r="A667" s="10" t="str">
        <x:v>M5</x:v>
      </x:c>
      <x:c r="B667" s="10" t="str">
        <x:v>CG_H0</x:v>
      </x:c>
      <x:c r="C667" s="10" t="n">
        <x:v>2</x:v>
      </x:c>
      <x:c r="D667" s="24" t="n">
        <x:v>0.22552255225522555</x:v>
      </x:c>
      <x:c r="E667" s="24" t="n">
        <x:v>0.1505301060212042</x:v>
      </x:c>
      <x:c r="F667" s="24" t="n">
        <x:f>ABS(D667-E667)</x:f>
        <x:v>0.07499244623402135</x:v>
      </x:c>
    </x:row>
    <x:row r="668" ht="23" customHeight="1">
      <x:c r="A668" s="10" t="str">
        <x:v>M5</x:v>
      </x:c>
      <x:c r="B668" s="10" t="str">
        <x:v>CG_H0</x:v>
      </x:c>
      <x:c r="C668" s="10" t="n">
        <x:v>3</x:v>
      </x:c>
      <x:c r="D668" s="24" t="n">
        <x:v>0.47914791479147917</x:v>
      </x:c>
      <x:c r="E668" s="24" t="n">
        <x:v>0.39787957591518297</x:v>
      </x:c>
      <x:c r="F668" s="24" t="n">
        <x:f>ABS(D668-E668)</x:f>
        <x:v>0.0812683388762962</x:v>
      </x:c>
    </x:row>
    <x:row r="669" ht="23" customHeight="1">
      <x:c r="A669" s="10" t="str">
        <x:v>M5</x:v>
      </x:c>
      <x:c r="B669" s="10" t="str">
        <x:v>CG_H0</x:v>
      </x:c>
      <x:c r="C669" s="10" t="n">
        <x:v>4</x:v>
      </x:c>
      <x:c r="D669" s="24" t="n">
        <x:v>0.18721872187218722</x:v>
      </x:c>
      <x:c r="E669" s="24" t="n">
        <x:v>0.23984796959391874</x:v>
      </x:c>
      <x:c r="F669" s="24" t="n">
        <x:f>ABS(D669-E669)</x:f>
        <x:v>0.052629247721731526</x:v>
      </x:c>
    </x:row>
    <x:row r="670" ht="23" customHeight="1">
      <x:c r="A670" s="10" t="str">
        <x:v>M5</x:v>
      </x:c>
      <x:c r="B670" s="10" t="str">
        <x:v>CG_H0</x:v>
      </x:c>
      <x:c r="C670" s="10" t="n">
        <x:v>5</x:v>
      </x:c>
      <x:c r="D670" s="24" t="n">
        <x:v>0.10131013101310132</x:v>
      </x:c>
      <x:c r="E670" s="24" t="n">
        <x:v>0.10532106421284254</x:v>
      </x:c>
      <x:c r="F670" s="24" t="n">
        <x:f>ABS(D670-E670)</x:f>
        <x:v>0.004010933199741218</x:v>
      </x:c>
    </x:row>
    <x:row r="671" ht="23" customHeight="1">
      <x:c r="A671" s="10" t="str">
        <x:v>M5</x:v>
      </x:c>
      <x:c r="B671" s="10" t="str">
        <x:v>CG_H0</x:v>
      </x:c>
      <x:c r="C671" s="10" t="n">
        <x:v>6</x:v>
      </x:c>
      <x:c r="D671" s="24" t="n">
        <x:v>0.0034003400340034007</x:v>
      </x:c>
      <x:c r="E671" s="24" t="n">
        <x:v>0.03030606121224244</x:v>
      </x:c>
      <x:c r="F671" s="24" t="n">
        <x:f>ABS(D671-E671)</x:f>
        <x:v>0.026905721178239042</x:v>
      </x:c>
    </x:row>
    <x:row r="672" ht="23" customHeight="1">
      <x:c r="A672" s="10" t="str">
        <x:v>M5</x:v>
      </x:c>
      <x:c r="B672" s="10" t="str">
        <x:v>CG_H0</x:v>
      </x:c>
      <x:c r="C672" s="10" t="n">
        <x:v>7</x:v>
      </x:c>
      <x:c r="D672" s="24" t="n">
        <x:v>0</x:v>
      </x:c>
      <x:c r="E672" s="24" t="n">
        <x:v>0.03030606121224244</x:v>
      </x:c>
      <x:c r="F672" s="24" t="n">
        <x:f>ABS(D672-E672)</x:f>
        <x:v>0.03030606121224244</x:v>
      </x:c>
    </x:row>
    <x:row r="673" ht="23" customHeight="1">
      <x:c r="A673" s="10" t="str">
        <x:v>M5</x:v>
      </x:c>
      <x:c r="B673" s="10" t="str">
        <x:v>CG_H0</x:v>
      </x:c>
      <x:c r="C673" s="10" t="n">
        <x:v>8</x:v>
      </x:c>
      <x:c r="D673" s="24" t="n">
        <x:v>0</x:v>
      </x:c>
      <x:c r="E673" s="24" t="n">
        <x:v>0.02120424084816963</x:v>
      </x:c>
      <x:c r="F673" s="24" t="n">
        <x:f>ABS(D673-E673)</x:f>
        <x:v>0.02120424084816963</x:v>
      </x:c>
    </x:row>
    <x:row r="674" ht="23" customHeight="1">
      <x:c r="A674" s="10" t="str">
        <x:v>M5</x:v>
      </x:c>
      <x:c r="B674" s="10" t="str">
        <x:v>CG_H0</x:v>
      </x:c>
      <x:c r="C674" s="10" t="n">
        <x:v>9</x:v>
      </x:c>
      <x:c r="D674" s="24" t="n">
        <x:v>0</x:v>
      </x:c>
      <x:c r="E674" s="24" t="n">
        <x:v>0.020004000800160026</x:v>
      </x:c>
      <x:c r="F674" s="24" t="n">
        <x:f>ABS(D674-E674)</x:f>
        <x:v>0.020004000800160026</x:v>
      </x:c>
    </x:row>
    <x:row r="675" ht="23" customHeight="1">
      <x:c r="A675" s="10" t="str">
        <x:v>M5</x:v>
      </x:c>
      <x:c r="B675" s="10" t="str">
        <x:v>CG_H0</x:v>
      </x:c>
      <x:c r="C675" s="10" t="n">
        <x:v>10</x:v>
      </x:c>
      <x:c r="D675" s="24" t="n">
        <x:v>0</x:v>
      </x:c>
      <x:c r="E675" s="24" t="n">
        <x:v>0</x:v>
      </x:c>
      <x:c r="F675" s="24" t="n">
        <x:f>ABS(D675-E675)</x:f>
        <x:v>0</x:v>
      </x:c>
    </x:row>
    <x:row r="676" ht="23" customHeight="1">
      <x:c r="A676" s="10" t="str">
        <x:v>M5</x:v>
      </x:c>
      <x:c r="B676" s="10" t="str">
        <x:v>CG_H1</x:v>
      </x:c>
      <x:c r="C676" s="10" t="n">
        <x:v>1</x:v>
      </x:c>
      <x:c r="D676" s="24" t="n">
        <x:v>0.0034</x:v>
      </x:c>
      <x:c r="E676" s="24" t="n">
        <x:v>0.004600920184036806</x:v>
      </x:c>
      <x:c r="F676" s="24" t="n">
        <x:f>ABS(D676-E676)</x:f>
        <x:v>0.0012009201840368065</x:v>
      </x:c>
    </x:row>
    <x:row r="677" ht="23" customHeight="1">
      <x:c r="A677" s="10" t="str">
        <x:v>M5</x:v>
      </x:c>
      <x:c r="B677" s="10" t="str">
        <x:v>CG_H1</x:v>
      </x:c>
      <x:c r="C677" s="10" t="n">
        <x:v>2</x:v>
      </x:c>
      <x:c r="D677" s="24" t="n">
        <x:v>0.19809999999999994</x:v>
      </x:c>
      <x:c r="E677" s="24" t="n">
        <x:v>0.1505301060212042</x:v>
      </x:c>
      <x:c r="F677" s="24" t="n">
        <x:f>ABS(D677-E677)</x:f>
        <x:v>0.04756989397879574</x:v>
      </x:c>
    </x:row>
    <x:row r="678" ht="23" customHeight="1">
      <x:c r="A678" s="10" t="str">
        <x:v>M5</x:v>
      </x:c>
      <x:c r="B678" s="10" t="str">
        <x:v>CG_H1</x:v>
      </x:c>
      <x:c r="C678" s="10" t="n">
        <x:v>3</x:v>
      </x:c>
      <x:c r="D678" s="24" t="n">
        <x:v>0.4734</x:v>
      </x:c>
      <x:c r="E678" s="24" t="n">
        <x:v>0.39787957591518297</x:v>
      </x:c>
      <x:c r="F678" s="24" t="n">
        <x:f>ABS(D678-E678)</x:f>
        <x:v>0.07552042408481702</x:v>
      </x:c>
    </x:row>
    <x:row r="679" ht="23" customHeight="1">
      <x:c r="A679" s="10" t="str">
        <x:v>M5</x:v>
      </x:c>
      <x:c r="B679" s="10" t="str">
        <x:v>CG_H1</x:v>
      </x:c>
      <x:c r="C679" s="10" t="n">
        <x:v>4</x:v>
      </x:c>
      <x:c r="D679" s="24" t="n">
        <x:v>0.21239999999999998</x:v>
      </x:c>
      <x:c r="E679" s="24" t="n">
        <x:v>0.23984796959391874</x:v>
      </x:c>
      <x:c r="F679" s="24" t="n">
        <x:f>ABS(D679-E679)</x:f>
        <x:v>0.027447969593918764</x:v>
      </x:c>
    </x:row>
    <x:row r="680" ht="23" customHeight="1">
      <x:c r="A680" s="10" t="str">
        <x:v>M5</x:v>
      </x:c>
      <x:c r="B680" s="10" t="str">
        <x:v>CG_H1</x:v>
      </x:c>
      <x:c r="C680" s="10" t="n">
        <x:v>5</x:v>
      </x:c>
      <x:c r="D680" s="24" t="n">
        <x:v>0.107</x:v>
      </x:c>
      <x:c r="E680" s="24" t="n">
        <x:v>0.10532106421284254</x:v>
      </x:c>
      <x:c r="F680" s="24" t="n">
        <x:f>ABS(D680-E680)</x:f>
        <x:v>0.0016789357871574567</x:v>
      </x:c>
    </x:row>
    <x:row r="681" ht="23" customHeight="1">
      <x:c r="A681" s="10" t="str">
        <x:v>M5</x:v>
      </x:c>
      <x:c r="B681" s="10" t="str">
        <x:v>CG_H1</x:v>
      </x:c>
      <x:c r="C681" s="10" t="n">
        <x:v>6</x:v>
      </x:c>
      <x:c r="D681" s="24" t="n">
        <x:v>0.0034</x:v>
      </x:c>
      <x:c r="E681" s="24" t="n">
        <x:v>0.03030606121224244</x:v>
      </x:c>
      <x:c r="F681" s="24" t="n">
        <x:f>ABS(D681-E681)</x:f>
        <x:v>0.02690606121224244</x:v>
      </x:c>
    </x:row>
    <x:row r="682" ht="23" customHeight="1">
      <x:c r="A682" s="10" t="str">
        <x:v>M5</x:v>
      </x:c>
      <x:c r="B682" s="10" t="str">
        <x:v>CG_H1</x:v>
      </x:c>
      <x:c r="C682" s="10" t="n">
        <x:v>7</x:v>
      </x:c>
      <x:c r="D682" s="24" t="n">
        <x:v>0.0022999999999999995</x:v>
      </x:c>
      <x:c r="E682" s="24" t="n">
        <x:v>0.03030606121224244</x:v>
      </x:c>
      <x:c r="F682" s="24" t="n">
        <x:f>ABS(D682-E682)</x:f>
        <x:v>0.02800606121224244</x:v>
      </x:c>
    </x:row>
    <x:row r="683" ht="23" customHeight="1">
      <x:c r="A683" s="10" t="str">
        <x:v>M5</x:v>
      </x:c>
      <x:c r="B683" s="10" t="str">
        <x:v>CG_H1</x:v>
      </x:c>
      <x:c r="C683" s="10" t="n">
        <x:v>8</x:v>
      </x:c>
      <x:c r="D683" s="24" t="n">
        <x:v>0</x:v>
      </x:c>
      <x:c r="E683" s="24" t="n">
        <x:v>0.02120424084816963</x:v>
      </x:c>
      <x:c r="F683" s="24" t="n">
        <x:f>ABS(D683-E683)</x:f>
        <x:v>0.02120424084816963</x:v>
      </x:c>
    </x:row>
    <x:row r="684" ht="23" customHeight="1">
      <x:c r="A684" s="10" t="str">
        <x:v>M5</x:v>
      </x:c>
      <x:c r="B684" s="10" t="str">
        <x:v>CG_H1</x:v>
      </x:c>
      <x:c r="C684" s="10" t="n">
        <x:v>9</x:v>
      </x:c>
      <x:c r="D684" s="24" t="n">
        <x:v>0</x:v>
      </x:c>
      <x:c r="E684" s="24" t="n">
        <x:v>0.020004000800160026</x:v>
      </x:c>
      <x:c r="F684" s="24" t="n">
        <x:f>ABS(D684-E684)</x:f>
        <x:v>0.020004000800160026</x:v>
      </x:c>
    </x:row>
    <x:row r="685" ht="23" customHeight="1">
      <x:c r="A685" s="10" t="str">
        <x:v>M5</x:v>
      </x:c>
      <x:c r="B685" s="10" t="str">
        <x:v>CG_H1</x:v>
      </x:c>
      <x:c r="C685" s="10" t="n">
        <x:v>10</x:v>
      </x:c>
      <x:c r="D685" s="24" t="n">
        <x:v>0</x:v>
      </x:c>
      <x:c r="E685" s="24" t="n">
        <x:v>0</x:v>
      </x:c>
      <x:c r="F685" s="24" t="n">
        <x:f>ABS(D685-E685)</x:f>
        <x:v>0</x:v>
      </x:c>
    </x:row>
    <x:row r="686" ht="23" customHeight="1">
      <x:c r="A686" s="10" t="str">
        <x:v>M5</x:v>
      </x:c>
      <x:c r="B686" s="10" t="str">
        <x:v>NCG_H0</x:v>
      </x:c>
      <x:c r="C686" s="10" t="n">
        <x:v>1</x:v>
      </x:c>
      <x:c r="D686" s="24" t="n">
        <x:v>0.0011001100110011</x:v>
      </x:c>
      <x:c r="E686" s="24" t="n">
        <x:v>0.004600920184036806</x:v>
      </x:c>
      <x:c r="F686" s="24" t="n">
        <x:f>ABS(D686-E686)</x:f>
        <x:v>0.0035008101730357065</x:v>
      </x:c>
    </x:row>
    <x:row r="687" ht="23" customHeight="1">
      <x:c r="A687" s="10" t="str">
        <x:v>M5</x:v>
      </x:c>
      <x:c r="B687" s="10" t="str">
        <x:v>NCG_H0</x:v>
      </x:c>
      <x:c r="C687" s="10" t="n">
        <x:v>2</x:v>
      </x:c>
      <x:c r="D687" s="24" t="n">
        <x:v>0.17231723172317231</x:v>
      </x:c>
      <x:c r="E687" s="24" t="n">
        <x:v>0.1505301060212042</x:v>
      </x:c>
      <x:c r="F687" s="24" t="n">
        <x:f>ABS(D687-E687)</x:f>
        <x:v>0.021787125701968113</x:v>
      </x:c>
    </x:row>
    <x:row r="688" ht="23" customHeight="1">
      <x:c r="A688" s="10" t="str">
        <x:v>M5</x:v>
      </x:c>
      <x:c r="B688" s="10" t="str">
        <x:v>NCG_H0</x:v>
      </x:c>
      <x:c r="C688" s="10" t="n">
        <x:v>3</x:v>
      </x:c>
      <x:c r="D688" s="24" t="n">
        <x:v>0.4253425342534253</x:v>
      </x:c>
      <x:c r="E688" s="24" t="n">
        <x:v>0.39787957591518297</x:v>
      </x:c>
      <x:c r="F688" s="24" t="n">
        <x:f>ABS(D688-E688)</x:f>
        <x:v>0.027462958338242305</x:v>
      </x:c>
    </x:row>
    <x:row r="689" ht="23" customHeight="1">
      <x:c r="A689" s="10" t="str">
        <x:v>M5</x:v>
      </x:c>
      <x:c r="B689" s="10" t="str">
        <x:v>NCG_H0</x:v>
      </x:c>
      <x:c r="C689" s="10" t="n">
        <x:v>4</x:v>
      </x:c>
      <x:c r="D689" s="24" t="n">
        <x:v>0.2192219221922192</x:v>
      </x:c>
      <x:c r="E689" s="24" t="n">
        <x:v>0.23984796959391874</x:v>
      </x:c>
      <x:c r="F689" s="24" t="n">
        <x:f>ABS(D689-E689)</x:f>
        <x:v>0.020626047401699543</x:v>
      </x:c>
    </x:row>
    <x:row r="690" ht="23" customHeight="1">
      <x:c r="A690" s="10" t="str">
        <x:v>M5</x:v>
      </x:c>
      <x:c r="B690" s="10" t="str">
        <x:v>NCG_H0</x:v>
      </x:c>
      <x:c r="C690" s="10" t="n">
        <x:v>5</x:v>
      </x:c>
      <x:c r="D690" s="24" t="n">
        <x:v>0.1076107610761076</x:v>
      </x:c>
      <x:c r="E690" s="24" t="n">
        <x:v>0.10532106421284254</x:v>
      </x:c>
      <x:c r="F690" s="24" t="n">
        <x:f>ABS(D690-E690)</x:f>
        <x:v>0.0022896968632650644</x:v>
      </x:c>
    </x:row>
    <x:row r="691" ht="23" customHeight="1">
      <x:c r="A691" s="10" t="str">
        <x:v>M5</x:v>
      </x:c>
      <x:c r="B691" s="10" t="str">
        <x:v>NCG_H0</x:v>
      </x:c>
      <x:c r="C691" s="10" t="n">
        <x:v>6</x:v>
      </x:c>
      <x:c r="D691" s="24" t="n">
        <x:v>0.0046004600460046</x:v>
      </x:c>
      <x:c r="E691" s="24" t="n">
        <x:v>0.03030606121224244</x:v>
      </x:c>
      <x:c r="F691" s="24" t="n">
        <x:f>ABS(D691-E691)</x:f>
        <x:v>0.02570560116623784</x:v>
      </x:c>
    </x:row>
    <x:row r="692" ht="23" customHeight="1">
      <x:c r="A692" s="10" t="str">
        <x:v>M5</x:v>
      </x:c>
      <x:c r="B692" s="10" t="str">
        <x:v>NCG_H0</x:v>
      </x:c>
      <x:c r="C692" s="10" t="n">
        <x:v>7</x:v>
      </x:c>
      <x:c r="D692" s="24" t="n">
        <x:v>0.028002800280028</x:v>
      </x:c>
      <x:c r="E692" s="24" t="n">
        <x:v>0.03030606121224244</x:v>
      </x:c>
      <x:c r="F692" s="24" t="n">
        <x:f>ABS(D692-E692)</x:f>
        <x:v>0.0023032609322144425</x:v>
      </x:c>
    </x:row>
    <x:row r="693" ht="23" customHeight="1">
      <x:c r="A693" s="10" t="str">
        <x:v>M5</x:v>
      </x:c>
      <x:c r="B693" s="10" t="str">
        <x:v>NCG_H0</x:v>
      </x:c>
      <x:c r="C693" s="10" t="n">
        <x:v>8</x:v>
      </x:c>
      <x:c r="D693" s="24" t="n">
        <x:v>0.0189018901890189</x:v>
      </x:c>
      <x:c r="E693" s="24" t="n">
        <x:v>0.02120424084816963</x:v>
      </x:c>
      <x:c r="F693" s="24" t="n">
        <x:f>ABS(D693-E693)</x:f>
        <x:v>0.002302350659150732</x:v>
      </x:c>
    </x:row>
    <x:row r="694" ht="23" customHeight="1">
      <x:c r="A694" s="10" t="str">
        <x:v>M5</x:v>
      </x:c>
      <x:c r="B694" s="10" t="str">
        <x:v>NCG_H0</x:v>
      </x:c>
      <x:c r="C694" s="10" t="n">
        <x:v>9</x:v>
      </x:c>
      <x:c r="D694" s="24" t="n">
        <x:v>0.0229022902290229</x:v>
      </x:c>
      <x:c r="E694" s="24" t="n">
        <x:v>0.020004000800160026</x:v>
      </x:c>
      <x:c r="F694" s="24" t="n">
        <x:f>ABS(D694-E694)</x:f>
        <x:v>0.002898289428862874</x:v>
      </x:c>
    </x:row>
    <x:row r="695" ht="23" customHeight="1">
      <x:c r="A695" s="10" t="str">
        <x:v>M5</x:v>
      </x:c>
      <x:c r="B695" s="10" t="str">
        <x:v>NCG_H0</x:v>
      </x:c>
      <x:c r="C695" s="10" t="n">
        <x:v>10</x:v>
      </x:c>
      <x:c r="D695" s="24" t="n">
        <x:v>0</x:v>
      </x:c>
      <x:c r="E695" s="24" t="n">
        <x:v>0</x:v>
      </x:c>
      <x:c r="F695" s="24" t="n">
        <x:f>ABS(D695-E695)</x:f>
        <x:v>0</x:v>
      </x:c>
    </x:row>
    <x:row r="696" ht="23" customHeight="1">
      <x:c r="A696" s="10" t="str">
        <x:v>M5</x:v>
      </x:c>
      <x:c r="B696" s="10" t="str">
        <x:v>NCG_H1</x:v>
      </x:c>
      <x:c r="C696" s="10" t="n">
        <x:v>1</x:v>
      </x:c>
      <x:c r="D696" s="24" t="n">
        <x:v>0.0011</x:v>
      </x:c>
      <x:c r="E696" s="24" t="n">
        <x:v>0.004600920184036806</x:v>
      </x:c>
      <x:c r="F696" s="24" t="n">
        <x:f>ABS(D696-E696)</x:f>
        <x:v>0.003500920184036806</x:v>
      </x:c>
    </x:row>
    <x:row r="697" ht="23" customHeight="1">
      <x:c r="A697" s="10" t="str">
        <x:v>M5</x:v>
      </x:c>
      <x:c r="B697" s="10" t="str">
        <x:v>NCG_H1</x:v>
      </x:c>
      <x:c r="C697" s="10" t="n">
        <x:v>2</x:v>
      </x:c>
      <x:c r="D697" s="24" t="n">
        <x:v>0.1465</x:v>
      </x:c>
      <x:c r="E697" s="24" t="n">
        <x:v>0.1505301060212042</x:v>
      </x:c>
      <x:c r="F697" s="24" t="n">
        <x:f>ABS(D697-E697)</x:f>
        <x:v>0.004030106021204211</x:v>
      </x:c>
    </x:row>
    <x:row r="698" ht="23" customHeight="1">
      <x:c r="A698" s="10" t="str">
        <x:v>M5</x:v>
      </x:c>
      <x:c r="B698" s="10" t="str">
        <x:v>NCG_H1</x:v>
      </x:c>
      <x:c r="C698" s="10" t="n">
        <x:v>3</x:v>
      </x:c>
      <x:c r="D698" s="24" t="n">
        <x:v>0.3967</x:v>
      </x:c>
      <x:c r="E698" s="24" t="n">
        <x:v>0.39787957591518297</x:v>
      </x:c>
      <x:c r="F698" s="24" t="n">
        <x:f>ABS(D698-E698)</x:f>
        <x:v>0.0011795759151829732</x:v>
      </x:c>
    </x:row>
    <x:row r="699" ht="23" customHeight="1">
      <x:c r="A699" s="10" t="str">
        <x:v>M5</x:v>
      </x:c>
      <x:c r="B699" s="10" t="str">
        <x:v>NCG_H1</x:v>
      </x:c>
      <x:c r="C699" s="10" t="n">
        <x:v>4</x:v>
      </x:c>
      <x:c r="D699" s="24" t="n">
        <x:v>0.24789999999999998</x:v>
      </x:c>
      <x:c r="E699" s="24" t="n">
        <x:v>0.23984796959391874</x:v>
      </x:c>
      <x:c r="F699" s="24" t="n">
        <x:f>ABS(D699-E699)</x:f>
        <x:v>0.00805203040608124</x:v>
      </x:c>
    </x:row>
    <x:row r="700" ht="23" customHeight="1">
      <x:c r="A700" s="10" t="str">
        <x:v>M5</x:v>
      </x:c>
      <x:c r="B700" s="10" t="str">
        <x:v>NCG_H1</x:v>
      </x:c>
      <x:c r="C700" s="10" t="n">
        <x:v>5</x:v>
      </x:c>
      <x:c r="D700" s="24" t="n">
        <x:v>0.111</x:v>
      </x:c>
      <x:c r="E700" s="24" t="n">
        <x:v>0.10532106421284254</x:v>
      </x:c>
      <x:c r="F700" s="24" t="n">
        <x:f>ABS(D700-E700)</x:f>
        <x:v>0.00567893578715746</x:v>
      </x:c>
    </x:row>
    <x:row r="701" ht="23" customHeight="1">
      <x:c r="A701" s="10" t="str">
        <x:v>M5</x:v>
      </x:c>
      <x:c r="B701" s="10" t="str">
        <x:v>NCG_H1</x:v>
      </x:c>
      <x:c r="C701" s="10" t="n">
        <x:v>6</x:v>
      </x:c>
      <x:c r="D701" s="24" t="n">
        <x:v>0.0235</x:v>
      </x:c>
      <x:c r="E701" s="24" t="n">
        <x:v>0.03030606121224244</x:v>
      </x:c>
      <x:c r="F701" s="24" t="n">
        <x:f>ABS(D701-E701)</x:f>
        <x:v>0.006806061212242441</x:v>
      </x:c>
    </x:row>
    <x:row r="702" ht="23" customHeight="1">
      <x:c r="A702" s="10" t="str">
        <x:v>M5</x:v>
      </x:c>
      <x:c r="B702" s="10" t="str">
        <x:v>NCG_H1</x:v>
      </x:c>
      <x:c r="C702" s="10" t="n">
        <x:v>7</x:v>
      </x:c>
      <x:c r="D702" s="24" t="n">
        <x:v>0.0315</x:v>
      </x:c>
      <x:c r="E702" s="24" t="n">
        <x:v>0.03030606121224244</x:v>
      </x:c>
      <x:c r="F702" s="24" t="n">
        <x:f>ABS(D702-E702)</x:f>
        <x:v>0.0011939387877575591</x:v>
      </x:c>
    </x:row>
    <x:row r="703" ht="23" customHeight="1">
      <x:c r="A703" s="10" t="str">
        <x:v>M5</x:v>
      </x:c>
      <x:c r="B703" s="10" t="str">
        <x:v>NCG_H1</x:v>
      </x:c>
      <x:c r="C703" s="10" t="n">
        <x:v>8</x:v>
      </x:c>
      <x:c r="D703" s="24" t="n">
        <x:v>0.0189</x:v>
      </x:c>
      <x:c r="E703" s="24" t="n">
        <x:v>0.02120424084816963</x:v>
      </x:c>
      <x:c r="F703" s="24" t="n">
        <x:f>ABS(D703-E703)</x:f>
        <x:v>0.002304240848169631</x:v>
      </x:c>
    </x:row>
    <x:row r="704" ht="23" customHeight="1">
      <x:c r="A704" s="10" t="str">
        <x:v>M5</x:v>
      </x:c>
      <x:c r="B704" s="10" t="str">
        <x:v>NCG_H1</x:v>
      </x:c>
      <x:c r="C704" s="10" t="n">
        <x:v>9</x:v>
      </x:c>
      <x:c r="D704" s="24" t="n">
        <x:v>0.0229</x:v>
      </x:c>
      <x:c r="E704" s="24" t="n">
        <x:v>0.020004000800160026</x:v>
      </x:c>
      <x:c r="F704" s="24" t="n">
        <x:f>ABS(D704-E704)</x:f>
        <x:v>0.0028959991998399742</x:v>
      </x:c>
    </x:row>
    <x:row r="705" ht="23" customHeight="1">
      <x:c r="A705" s="10" t="str">
        <x:v>M5</x:v>
      </x:c>
      <x:c r="B705" s="10" t="str">
        <x:v>NCG_H1</x:v>
      </x:c>
      <x:c r="C705" s="10" t="n">
        <x:v>10</x:v>
      </x:c>
      <x:c r="D705" s="24" t="n">
        <x:v>0</x:v>
      </x:c>
      <x:c r="E705" s="24" t="n">
        <x:v>0</x:v>
      </x:c>
      <x:c r="F705" s="24" t="n">
        <x:f>ABS(D705-E705)</x:f>
        <x:v>0</x:v>
      </x:c>
    </x:row>
    <x:row r="706" ht="23" customHeight="1">
      <x:c r="A706" s="10" t="str">
        <x:v>M6</x:v>
      </x:c>
      <x:c r="B706" s="10" t="str">
        <x:v>N_H0</x:v>
      </x:c>
      <x:c r="C706" s="10" t="n">
        <x:v>1</x:v>
      </x:c>
      <x:c r="D706" s="24" t="n">
        <x:v>0</x:v>
      </x:c>
      <x:c r="E706" s="24" t="n">
        <x:v>0.0024002400240024004</x:v>
      </x:c>
      <x:c r="F706" s="24" t="n">
        <x:f>ABS(D706-E706)</x:f>
        <x:v>0.0024002400240024004</x:v>
      </x:c>
    </x:row>
    <x:row r="707" ht="23" customHeight="1">
      <x:c r="A707" s="10" t="str">
        <x:v>M6</x:v>
      </x:c>
      <x:c r="B707" s="10" t="str">
        <x:v>N_H0</x:v>
      </x:c>
      <x:c r="C707" s="10" t="n">
        <x:v>2</x:v>
      </x:c>
      <x:c r="D707" s="24" t="n">
        <x:v>0.1678832116788321</x:v>
      </x:c>
      <x:c r="E707" s="24" t="n">
        <x:v>0.1637163716371637</x:v>
      </x:c>
      <x:c r="F707" s="24" t="n">
        <x:f>ABS(D707-E707)</x:f>
        <x:v>0.004166840041668396</x:v>
      </x:c>
    </x:row>
    <x:row r="708" ht="23" customHeight="1">
      <x:c r="A708" s="10" t="str">
        <x:v>M6</x:v>
      </x:c>
      <x:c r="B708" s="10" t="str">
        <x:v>N_H0</x:v>
      </x:c>
      <x:c r="C708" s="10" t="n">
        <x:v>3</x:v>
      </x:c>
      <x:c r="D708" s="24" t="n">
        <x:v>0.0292970702929707</x:v>
      </x:c>
      <x:c r="E708" s="24" t="n">
        <x:v>0.3944394439443945</x:v>
      </x:c>
      <x:c r="F708" s="24" t="n">
        <x:f>ABS(D708-E708)</x:f>
        <x:v>0.3651423736514238</x:v>
      </x:c>
    </x:row>
    <x:row r="709" ht="23" customHeight="1">
      <x:c r="A709" s="10" t="str">
        <x:v>M6</x:v>
      </x:c>
      <x:c r="B709" s="10" t="str">
        <x:v>N_H0</x:v>
      </x:c>
      <x:c r="C709" s="10" t="n">
        <x:v>4</x:v>
      </x:c>
      <x:c r="D709" s="24" t="n">
        <x:v>0</x:v>
      </x:c>
      <x:c r="E709" s="24" t="n">
        <x:v>0.24202420242024203</x:v>
      </x:c>
      <x:c r="F709" s="24" t="n">
        <x:f>ABS(D709-E709)</x:f>
        <x:v>0.24202420242024203</x:v>
      </x:c>
    </x:row>
    <x:row r="710" ht="23" customHeight="1">
      <x:c r="A710" s="10" t="str">
        <x:v>M6</x:v>
      </x:c>
      <x:c r="B710" s="10" t="str">
        <x:v>N_H0</x:v>
      </x:c>
      <x:c r="C710" s="10" t="n">
        <x:v>5</x:v>
      </x:c>
      <x:c r="D710" s="24" t="n">
        <x:v>0.6668333166683331</x:v>
      </x:c>
      <x:c r="E710" s="24" t="n">
        <x:v>0.0636063606360636</x:v>
      </x:c>
      <x:c r="F710" s="24" t="n">
        <x:f>ABS(D710-E710)</x:f>
        <x:v>0.6032269560322695</x:v>
      </x:c>
    </x:row>
    <x:row r="711" ht="23" customHeight="1">
      <x:c r="A711" s="10" t="str">
        <x:v>M6</x:v>
      </x:c>
      <x:c r="B711" s="10" t="str">
        <x:v>N_H0</x:v>
      </x:c>
      <x:c r="C711" s="10" t="n">
        <x:v>6</x:v>
      </x:c>
      <x:c r="D711" s="24" t="n">
        <x:v>0</x:v>
      </x:c>
      <x:c r="E711" s="24" t="n">
        <x:v>0.023602360236023606</x:v>
      </x:c>
      <x:c r="F711" s="24" t="n">
        <x:f>ABS(D711-E711)</x:f>
        <x:v>0.023602360236023606</x:v>
      </x:c>
    </x:row>
    <x:row r="712" ht="23" customHeight="1">
      <x:c r="A712" s="10" t="str">
        <x:v>M6</x:v>
      </x:c>
      <x:c r="B712" s="10" t="str">
        <x:v>N_H0</x:v>
      </x:c>
      <x:c r="C712" s="10" t="n">
        <x:v>7</x:v>
      </x:c>
      <x:c r="D712" s="24" t="n">
        <x:v>0.052894710528947106</x:v>
      </x:c>
      <x:c r="E712" s="24" t="n">
        <x:v>0.04630463046304631</x:v>
      </x:c>
      <x:c r="F712" s="24" t="n">
        <x:f>ABS(D712-E712)</x:f>
        <x:v>0.006590080065900797</x:v>
      </x:c>
    </x:row>
    <x:row r="713" ht="23" customHeight="1">
      <x:c r="A713" s="10" t="str">
        <x:v>M6</x:v>
      </x:c>
      <x:c r="B713" s="10" t="str">
        <x:v>N_H0</x:v>
      </x:c>
      <x:c r="C713" s="10" t="n">
        <x:v>8</x:v>
      </x:c>
      <x:c r="D713" s="24" t="n">
        <x:v>0.0104989501049895</x:v>
      </x:c>
      <x:c r="E713" s="24" t="n">
        <x:v>0.0203020302030203</x:v>
      </x:c>
      <x:c r="F713" s="24" t="n">
        <x:f>ABS(D713-E713)</x:f>
        <x:v>0.009803080098030801</x:v>
      </x:c>
    </x:row>
    <x:row r="714" ht="23" customHeight="1">
      <x:c r="A714" s="10" t="str">
        <x:v>M6</x:v>
      </x:c>
      <x:c r="B714" s="10" t="str">
        <x:v>N_H0</x:v>
      </x:c>
      <x:c r="C714" s="10" t="n">
        <x:v>9</x:v>
      </x:c>
      <x:c r="D714" s="24" t="n">
        <x:v>0.0725927407259274</x:v>
      </x:c>
      <x:c r="E714" s="24" t="n">
        <x:v>0.04360436043604361</x:v>
      </x:c>
      <x:c r="F714" s="24" t="n">
        <x:f>ABS(D714-E714)</x:f>
        <x:v>0.02898838028988379</x:v>
      </x:c>
    </x:row>
    <x:row r="715" ht="23" customHeight="1">
      <x:c r="A715" s="10" t="str">
        <x:v>M6</x:v>
      </x:c>
      <x:c r="B715" s="10" t="str">
        <x:v>N_H0</x:v>
      </x:c>
      <x:c r="C715" s="10" t="n">
        <x:v>10</x:v>
      </x:c>
      <x:c r="D715" s="24" t="n">
        <x:v>0</x:v>
      </x:c>
      <x:c r="E715" s="24" t="n">
        <x:v>0</x:v>
      </x:c>
      <x:c r="F715" s="24" t="n">
        <x:f>ABS(D715-E715)</x:f>
        <x:v>0</x:v>
      </x:c>
    </x:row>
    <x:row r="716" ht="23" customHeight="1">
      <x:c r="A716" s="10" t="str">
        <x:v>M6</x:v>
      </x:c>
      <x:c r="B716" s="10" t="str">
        <x:v>N_H1</x:v>
      </x:c>
      <x:c r="C716" s="10" t="n">
        <x:v>1</x:v>
      </x:c>
      <x:c r="D716" s="24" t="n">
        <x:v>0</x:v>
      </x:c>
      <x:c r="E716" s="24" t="n">
        <x:v>0.0024002400240024004</x:v>
      </x:c>
      <x:c r="F716" s="24" t="n">
        <x:f>ABS(D716-E716)</x:f>
        <x:v>0.0024002400240024004</x:v>
      </x:c>
    </x:row>
    <x:row r="717" ht="23" customHeight="1">
      <x:c r="A717" s="10" t="str">
        <x:v>M6</x:v>
      </x:c>
      <x:c r="B717" s="10" t="str">
        <x:v>N_H1</x:v>
      </x:c>
      <x:c r="C717" s="10" t="n">
        <x:v>2</x:v>
      </x:c>
      <x:c r="D717" s="24" t="n">
        <x:v>0.1678832116788321</x:v>
      </x:c>
      <x:c r="E717" s="24" t="n">
        <x:v>0.1637163716371637</x:v>
      </x:c>
      <x:c r="F717" s="24" t="n">
        <x:f>ABS(D717-E717)</x:f>
        <x:v>0.004166840041668396</x:v>
      </x:c>
    </x:row>
    <x:row r="718" ht="23" customHeight="1">
      <x:c r="A718" s="10" t="str">
        <x:v>M6</x:v>
      </x:c>
      <x:c r="B718" s="10" t="str">
        <x:v>N_H1</x:v>
      </x:c>
      <x:c r="C718" s="10" t="n">
        <x:v>3</x:v>
      </x:c>
      <x:c r="D718" s="24" t="n">
        <x:v>0.0274972502749725</x:v>
      </x:c>
      <x:c r="E718" s="24" t="n">
        <x:v>0.3944394439443945</x:v>
      </x:c>
      <x:c r="F718" s="24" t="n">
        <x:f>ABS(D718-E718)</x:f>
        <x:v>0.366942193669422</x:v>
      </x:c>
    </x:row>
    <x:row r="719" ht="23" customHeight="1">
      <x:c r="A719" s="10" t="str">
        <x:v>M6</x:v>
      </x:c>
      <x:c r="B719" s="10" t="str">
        <x:v>N_H1</x:v>
      </x:c>
      <x:c r="C719" s="10" t="n">
        <x:v>4</x:v>
      </x:c>
      <x:c r="D719" s="24" t="n">
        <x:v>0</x:v>
      </x:c>
      <x:c r="E719" s="24" t="n">
        <x:v>0.24202420242024203</x:v>
      </x:c>
      <x:c r="F719" s="24" t="n">
        <x:f>ABS(D719-E719)</x:f>
        <x:v>0.24202420242024203</x:v>
      </x:c>
    </x:row>
    <x:row r="720" ht="23" customHeight="1">
      <x:c r="A720" s="10" t="str">
        <x:v>M6</x:v>
      </x:c>
      <x:c r="B720" s="10" t="str">
        <x:v>N_H1</x:v>
      </x:c>
      <x:c r="C720" s="10" t="n">
        <x:v>5</x:v>
      </x:c>
      <x:c r="D720" s="24" t="n">
        <x:v>0.6668333166683331</x:v>
      </x:c>
      <x:c r="E720" s="24" t="n">
        <x:v>0.0636063606360636</x:v>
      </x:c>
      <x:c r="F720" s="24" t="n">
        <x:f>ABS(D720-E720)</x:f>
        <x:v>0.6032269560322695</x:v>
      </x:c>
    </x:row>
    <x:row r="721" ht="23" customHeight="1">
      <x:c r="A721" s="10" t="str">
        <x:v>M6</x:v>
      </x:c>
      <x:c r="B721" s="10" t="str">
        <x:v>N_H1</x:v>
      </x:c>
      <x:c r="C721" s="10" t="n">
        <x:v>6</x:v>
      </x:c>
      <x:c r="D721" s="24" t="n">
        <x:v>0.0017998200179982</x:v>
      </x:c>
      <x:c r="E721" s="24" t="n">
        <x:v>0.023602360236023606</x:v>
      </x:c>
      <x:c r="F721" s="24" t="n">
        <x:f>ABS(D721-E721)</x:f>
        <x:v>0.021802540218025405</x:v>
      </x:c>
    </x:row>
    <x:row r="722" ht="23" customHeight="1">
      <x:c r="A722" s="10" t="str">
        <x:v>M6</x:v>
      </x:c>
      <x:c r="B722" s="10" t="str">
        <x:v>N_H1</x:v>
      </x:c>
      <x:c r="C722" s="10" t="n">
        <x:v>7</x:v>
      </x:c>
      <x:c r="D722" s="24" t="n">
        <x:v>0.052894710528947106</x:v>
      </x:c>
      <x:c r="E722" s="24" t="n">
        <x:v>0.04630463046304631</x:v>
      </x:c>
      <x:c r="F722" s="24" t="n">
        <x:f>ABS(D722-E722)</x:f>
        <x:v>0.006590080065900797</x:v>
      </x:c>
    </x:row>
    <x:row r="723" ht="23" customHeight="1">
      <x:c r="A723" s="10" t="str">
        <x:v>M6</x:v>
      </x:c>
      <x:c r="B723" s="10" t="str">
        <x:v>N_H1</x:v>
      </x:c>
      <x:c r="C723" s="10" t="n">
        <x:v>8</x:v>
      </x:c>
      <x:c r="D723" s="24" t="n">
        <x:v>0.0104989501049895</x:v>
      </x:c>
      <x:c r="E723" s="24" t="n">
        <x:v>0.0203020302030203</x:v>
      </x:c>
      <x:c r="F723" s="24" t="n">
        <x:f>ABS(D723-E723)</x:f>
        <x:v>0.009803080098030801</x:v>
      </x:c>
    </x:row>
    <x:row r="724" ht="23" customHeight="1">
      <x:c r="A724" s="10" t="str">
        <x:v>M6</x:v>
      </x:c>
      <x:c r="B724" s="10" t="str">
        <x:v>N_H1</x:v>
      </x:c>
      <x:c r="C724" s="10" t="n">
        <x:v>9</x:v>
      </x:c>
      <x:c r="D724" s="24" t="n">
        <x:v>0.0725927407259274</x:v>
      </x:c>
      <x:c r="E724" s="24" t="n">
        <x:v>0.04360436043604361</x:v>
      </x:c>
      <x:c r="F724" s="24" t="n">
        <x:f>ABS(D724-E724)</x:f>
        <x:v>0.02898838028988379</x:v>
      </x:c>
    </x:row>
    <x:row r="725" ht="23" customHeight="1">
      <x:c r="A725" s="10" t="str">
        <x:v>M6</x:v>
      </x:c>
      <x:c r="B725" s="10" t="str">
        <x:v>N_H1</x:v>
      </x:c>
      <x:c r="C725" s="10" t="n">
        <x:v>10</x:v>
      </x:c>
      <x:c r="D725" s="24" t="n">
        <x:v>0</x:v>
      </x:c>
      <x:c r="E725" s="24" t="n">
        <x:v>0</x:v>
      </x:c>
      <x:c r="F725" s="24" t="n">
        <x:f>ABS(D725-E725)</x:f>
        <x:v>0</x:v>
      </x:c>
    </x:row>
    <x:row r="726" ht="23" customHeight="1">
      <x:c r="A726" s="10" t="str">
        <x:v>M6</x:v>
      </x:c>
      <x:c r="B726" s="10" t="str">
        <x:v>C_H0</x:v>
      </x:c>
      <x:c r="C726" s="10" t="n">
        <x:v>1</x:v>
      </x:c>
      <x:c r="D726" s="24" t="n">
        <x:v>0</x:v>
      </x:c>
      <x:c r="E726" s="24" t="n">
        <x:v>0.0024002400240024004</x:v>
      </x:c>
      <x:c r="F726" s="24" t="n">
        <x:f>ABS(D726-E726)</x:f>
        <x:v>0.0024002400240024004</x:v>
      </x:c>
    </x:row>
    <x:row r="727" ht="23" customHeight="1">
      <x:c r="A727" s="10" t="str">
        <x:v>M6</x:v>
      </x:c>
      <x:c r="B727" s="10" t="str">
        <x:v>C_H0</x:v>
      </x:c>
      <x:c r="C727" s="10" t="n">
        <x:v>2</x:v>
      </x:c>
      <x:c r="D727" s="24" t="n">
        <x:v>0.3086</x:v>
      </x:c>
      <x:c r="E727" s="24" t="n">
        <x:v>0.1637163716371637</x:v>
      </x:c>
      <x:c r="F727" s="24" t="n">
        <x:f>ABS(D727-E727)</x:f>
        <x:v>0.14488362836283628</x:v>
      </x:c>
    </x:row>
    <x:row r="728" ht="23" customHeight="1">
      <x:c r="A728" s="10" t="str">
        <x:v>M6</x:v>
      </x:c>
      <x:c r="B728" s="10" t="str">
        <x:v>C_H0</x:v>
      </x:c>
      <x:c r="C728" s="10" t="n">
        <x:v>3</x:v>
      </x:c>
      <x:c r="D728" s="24" t="n">
        <x:v>0</x:v>
      </x:c>
      <x:c r="E728" s="24" t="n">
        <x:v>0.3944394439443945</x:v>
      </x:c>
      <x:c r="F728" s="24" t="n">
        <x:f>ABS(D728-E728)</x:f>
        <x:v>0.3944394439443945</x:v>
      </x:c>
    </x:row>
    <x:row r="729" ht="23" customHeight="1">
      <x:c r="A729" s="10" t="str">
        <x:v>M6</x:v>
      </x:c>
      <x:c r="B729" s="10" t="str">
        <x:v>C_H0</x:v>
      </x:c>
      <x:c r="C729" s="10" t="n">
        <x:v>4</x:v>
      </x:c>
      <x:c r="D729" s="24" t="n">
        <x:v>0</x:v>
      </x:c>
      <x:c r="E729" s="24" t="n">
        <x:v>0.24202420242024203</x:v>
      </x:c>
      <x:c r="F729" s="24" t="n">
        <x:f>ABS(D729-E729)</x:f>
        <x:v>0.24202420242024203</x:v>
      </x:c>
    </x:row>
    <x:row r="730" ht="23" customHeight="1">
      <x:c r="A730" s="10" t="str">
        <x:v>M6</x:v>
      </x:c>
      <x:c r="B730" s="10" t="str">
        <x:v>C_H0</x:v>
      </x:c>
      <x:c r="C730" s="10" t="n">
        <x:v>5</x:v>
      </x:c>
      <x:c r="D730" s="24" t="n">
        <x:v>0.6905</x:v>
      </x:c>
      <x:c r="E730" s="24" t="n">
        <x:v>0.0636063606360636</x:v>
      </x:c>
      <x:c r="F730" s="24" t="n">
        <x:f>ABS(D730-E730)</x:f>
        <x:v>0.6268936393639364</x:v>
      </x:c>
    </x:row>
    <x:row r="731" ht="23" customHeight="1">
      <x:c r="A731" s="10" t="str">
        <x:v>M6</x:v>
      </x:c>
      <x:c r="B731" s="10" t="str">
        <x:v>C_H0</x:v>
      </x:c>
      <x:c r="C731" s="10" t="n">
        <x:v>6</x:v>
      </x:c>
      <x:c r="D731" s="24" t="n">
        <x:v>0</x:v>
      </x:c>
      <x:c r="E731" s="24" t="n">
        <x:v>0.023602360236023606</x:v>
      </x:c>
      <x:c r="F731" s="24" t="n">
        <x:f>ABS(D731-E731)</x:f>
        <x:v>0.023602360236023606</x:v>
      </x:c>
    </x:row>
    <x:row r="732" ht="23" customHeight="1">
      <x:c r="A732" s="10" t="str">
        <x:v>M6</x:v>
      </x:c>
      <x:c r="B732" s="10" t="str">
        <x:v>C_H0</x:v>
      </x:c>
      <x:c r="C732" s="10" t="n">
        <x:v>7</x:v>
      </x:c>
      <x:c r="D732" s="24" t="n">
        <x:v>0.0009</x:v>
      </x:c>
      <x:c r="E732" s="24" t="n">
        <x:v>0.04630463046304631</x:v>
      </x:c>
      <x:c r="F732" s="24" t="n">
        <x:f>ABS(D732-E732)</x:f>
        <x:v>0.04540463046304631</x:v>
      </x:c>
    </x:row>
    <x:row r="733" ht="23" customHeight="1">
      <x:c r="A733" s="10" t="str">
        <x:v>M6</x:v>
      </x:c>
      <x:c r="B733" s="10" t="str">
        <x:v>C_H0</x:v>
      </x:c>
      <x:c r="C733" s="10" t="n">
        <x:v>8</x:v>
      </x:c>
      <x:c r="D733" s="24" t="n">
        <x:v>0</x:v>
      </x:c>
      <x:c r="E733" s="24" t="n">
        <x:v>0.0203020302030203</x:v>
      </x:c>
      <x:c r="F733" s="24" t="n">
        <x:f>ABS(D733-E733)</x:f>
        <x:v>0.0203020302030203</x:v>
      </x:c>
    </x:row>
    <x:row r="734" ht="23" customHeight="1">
      <x:c r="A734" s="10" t="str">
        <x:v>M6</x:v>
      </x:c>
      <x:c r="B734" s="10" t="str">
        <x:v>C_H0</x:v>
      </x:c>
      <x:c r="C734" s="10" t="n">
        <x:v>9</x:v>
      </x:c>
      <x:c r="D734" s="24" t="n">
        <x:v>0</x:v>
      </x:c>
      <x:c r="E734" s="24" t="n">
        <x:v>0.04360436043604361</x:v>
      </x:c>
      <x:c r="F734" s="24" t="n">
        <x:f>ABS(D734-E734)</x:f>
        <x:v>0.04360436043604361</x:v>
      </x:c>
    </x:row>
    <x:row r="735" ht="23" customHeight="1">
      <x:c r="A735" s="10" t="str">
        <x:v>M6</x:v>
      </x:c>
      <x:c r="B735" s="10" t="str">
        <x:v>C_H0</x:v>
      </x:c>
      <x:c r="C735" s="10" t="n">
        <x:v>10</x:v>
      </x:c>
      <x:c r="D735" s="24" t="n">
        <x:v>0</x:v>
      </x:c>
      <x:c r="E735" s="24" t="n">
        <x:v>0</x:v>
      </x:c>
      <x:c r="F735" s="24" t="n">
        <x:f>ABS(D735-E735)</x:f>
        <x:v>0</x:v>
      </x:c>
    </x:row>
    <x:row r="736" ht="23" customHeight="1">
      <x:c r="A736" s="10" t="str">
        <x:v>M6</x:v>
      </x:c>
      <x:c r="B736" s="10" t="str">
        <x:v>C_H1</x:v>
      </x:c>
      <x:c r="C736" s="10" t="n">
        <x:v>1</x:v>
      </x:c>
      <x:c r="D736" s="24" t="n">
        <x:v>0</x:v>
      </x:c>
      <x:c r="E736" s="24" t="n">
        <x:v>0.0024002400240024004</x:v>
      </x:c>
      <x:c r="F736" s="24" t="n">
        <x:f>ABS(D736-E736)</x:f>
        <x:v>0.0024002400240024004</x:v>
      </x:c>
    </x:row>
    <x:row r="737" ht="23" customHeight="1">
      <x:c r="A737" s="10" t="str">
        <x:v>M6</x:v>
      </x:c>
      <x:c r="B737" s="10" t="str">
        <x:v>C_H1</x:v>
      </x:c>
      <x:c r="C737" s="10" t="n">
        <x:v>2</x:v>
      </x:c>
      <x:c r="D737" s="24" t="n">
        <x:v>0.3086</x:v>
      </x:c>
      <x:c r="E737" s="24" t="n">
        <x:v>0.1637163716371637</x:v>
      </x:c>
      <x:c r="F737" s="24" t="n">
        <x:f>ABS(D737-E737)</x:f>
        <x:v>0.14488362836283628</x:v>
      </x:c>
    </x:row>
    <x:row r="738" ht="23" customHeight="1">
      <x:c r="A738" s="10" t="str">
        <x:v>M6</x:v>
      </x:c>
      <x:c r="B738" s="10" t="str">
        <x:v>C_H1</x:v>
      </x:c>
      <x:c r="C738" s="10" t="n">
        <x:v>3</x:v>
      </x:c>
      <x:c r="D738" s="24" t="n">
        <x:v>0</x:v>
      </x:c>
      <x:c r="E738" s="24" t="n">
        <x:v>0.3944394439443945</x:v>
      </x:c>
      <x:c r="F738" s="24" t="n">
        <x:f>ABS(D738-E738)</x:f>
        <x:v>0.3944394439443945</x:v>
      </x:c>
    </x:row>
    <x:row r="739" ht="23" customHeight="1">
      <x:c r="A739" s="10" t="str">
        <x:v>M6</x:v>
      </x:c>
      <x:c r="B739" s="10" t="str">
        <x:v>C_H1</x:v>
      </x:c>
      <x:c r="C739" s="10" t="n">
        <x:v>4</x:v>
      </x:c>
      <x:c r="D739" s="24" t="n">
        <x:v>0</x:v>
      </x:c>
      <x:c r="E739" s="24" t="n">
        <x:v>0.24202420242024203</x:v>
      </x:c>
      <x:c r="F739" s="24" t="n">
        <x:f>ABS(D739-E739)</x:f>
        <x:v>0.24202420242024203</x:v>
      </x:c>
    </x:row>
    <x:row r="740" ht="23" customHeight="1">
      <x:c r="A740" s="10" t="str">
        <x:v>M6</x:v>
      </x:c>
      <x:c r="B740" s="10" t="str">
        <x:v>C_H1</x:v>
      </x:c>
      <x:c r="C740" s="10" t="n">
        <x:v>5</x:v>
      </x:c>
      <x:c r="D740" s="24" t="n">
        <x:v>0.6905</x:v>
      </x:c>
      <x:c r="E740" s="24" t="n">
        <x:v>0.0636063606360636</x:v>
      </x:c>
      <x:c r="F740" s="24" t="n">
        <x:f>ABS(D740-E740)</x:f>
        <x:v>0.6268936393639364</x:v>
      </x:c>
    </x:row>
    <x:row r="741" ht="23" customHeight="1">
      <x:c r="A741" s="10" t="str">
        <x:v>M6</x:v>
      </x:c>
      <x:c r="B741" s="10" t="str">
        <x:v>C_H1</x:v>
      </x:c>
      <x:c r="C741" s="10" t="n">
        <x:v>6</x:v>
      </x:c>
      <x:c r="D741" s="24" t="n">
        <x:v>0</x:v>
      </x:c>
      <x:c r="E741" s="24" t="n">
        <x:v>0.023602360236023606</x:v>
      </x:c>
      <x:c r="F741" s="24" t="n">
        <x:f>ABS(D741-E741)</x:f>
        <x:v>0.023602360236023606</x:v>
      </x:c>
    </x:row>
    <x:row r="742" ht="23" customHeight="1">
      <x:c r="A742" s="10" t="str">
        <x:v>M6</x:v>
      </x:c>
      <x:c r="B742" s="10" t="str">
        <x:v>C_H1</x:v>
      </x:c>
      <x:c r="C742" s="10" t="n">
        <x:v>7</x:v>
      </x:c>
      <x:c r="D742" s="24" t="n">
        <x:v>0.0009</x:v>
      </x:c>
      <x:c r="E742" s="24" t="n">
        <x:v>0.04630463046304631</x:v>
      </x:c>
      <x:c r="F742" s="24" t="n">
        <x:f>ABS(D742-E742)</x:f>
        <x:v>0.04540463046304631</x:v>
      </x:c>
    </x:row>
    <x:row r="743" ht="23" customHeight="1">
      <x:c r="A743" s="10" t="str">
        <x:v>M6</x:v>
      </x:c>
      <x:c r="B743" s="10" t="str">
        <x:v>C_H1</x:v>
      </x:c>
      <x:c r="C743" s="10" t="n">
        <x:v>8</x:v>
      </x:c>
      <x:c r="D743" s="24" t="n">
        <x:v>0</x:v>
      </x:c>
      <x:c r="E743" s="24" t="n">
        <x:v>0.0203020302030203</x:v>
      </x:c>
      <x:c r="F743" s="24" t="n">
        <x:f>ABS(D743-E743)</x:f>
        <x:v>0.0203020302030203</x:v>
      </x:c>
    </x:row>
    <x:row r="744" ht="23" customHeight="1">
      <x:c r="A744" s="10" t="str">
        <x:v>M6</x:v>
      </x:c>
      <x:c r="B744" s="10" t="str">
        <x:v>C_H1</x:v>
      </x:c>
      <x:c r="C744" s="10" t="n">
        <x:v>9</x:v>
      </x:c>
      <x:c r="D744" s="24" t="n">
        <x:v>0</x:v>
      </x:c>
      <x:c r="E744" s="24" t="n">
        <x:v>0.04360436043604361</x:v>
      </x:c>
      <x:c r="F744" s="24" t="n">
        <x:f>ABS(D744-E744)</x:f>
        <x:v>0.04360436043604361</x:v>
      </x:c>
    </x:row>
    <x:row r="745" ht="23" customHeight="1">
      <x:c r="A745" s="10" t="str">
        <x:v>M6</x:v>
      </x:c>
      <x:c r="B745" s="10" t="str">
        <x:v>C_H1</x:v>
      </x:c>
      <x:c r="C745" s="10" t="n">
        <x:v>10</x:v>
      </x:c>
      <x:c r="D745" s="24" t="n">
        <x:v>0</x:v>
      </x:c>
      <x:c r="E745" s="24" t="n">
        <x:v>0</x:v>
      </x:c>
      <x:c r="F745" s="24" t="n">
        <x:f>ABS(D745-E745)</x:f>
        <x:v>0</x:v>
      </x:c>
    </x:row>
    <x:row r="746" ht="23" customHeight="1">
      <x:c r="A746" s="10" t="str">
        <x:v>M6</x:v>
      </x:c>
      <x:c r="B746" s="10" t="str">
        <x:v>G_H0</x:v>
      </x:c>
      <x:c r="C746" s="10" t="n">
        <x:v>1</x:v>
      </x:c>
      <x:c r="D746" s="24" t="n">
        <x:v>0</x:v>
      </x:c>
      <x:c r="E746" s="24" t="n">
        <x:v>0.0024002400240024004</x:v>
      </x:c>
      <x:c r="F746" s="24" t="n">
        <x:f>ABS(D746-E746)</x:f>
        <x:v>0.0024002400240024004</x:v>
      </x:c>
    </x:row>
    <x:row r="747" ht="23" customHeight="1">
      <x:c r="A747" s="10" t="str">
        <x:v>M6</x:v>
      </x:c>
      <x:c r="B747" s="10" t="str">
        <x:v>G_H0</x:v>
      </x:c>
      <x:c r="C747" s="10" t="n">
        <x:v>2</x:v>
      </x:c>
      <x:c r="D747" s="24" t="n">
        <x:v>0.17120000000000002</x:v>
      </x:c>
      <x:c r="E747" s="24" t="n">
        <x:v>0.1637163716371637</x:v>
      </x:c>
      <x:c r="F747" s="24" t="n">
        <x:f>ABS(D747-E747)</x:f>
        <x:v>0.007483628362836309</x:v>
      </x:c>
    </x:row>
    <x:row r="748" ht="23" customHeight="1">
      <x:c r="A748" s="10" t="str">
        <x:v>M6</x:v>
      </x:c>
      <x:c r="B748" s="10" t="str">
        <x:v>G_H0</x:v>
      </x:c>
      <x:c r="C748" s="10" t="n">
        <x:v>3</x:v>
      </x:c>
      <x:c r="D748" s="24" t="n">
        <x:v>0.5076</x:v>
      </x:c>
      <x:c r="E748" s="24" t="n">
        <x:v>0.3944394439443945</x:v>
      </x:c>
      <x:c r="F748" s="24" t="n">
        <x:f>ABS(D748-E748)</x:f>
        <x:v>0.11316055605560554</x:v>
      </x:c>
    </x:row>
    <x:row r="749" ht="23" customHeight="1">
      <x:c r="A749" s="10" t="str">
        <x:v>M6</x:v>
      </x:c>
      <x:c r="B749" s="10" t="str">
        <x:v>G_H0</x:v>
      </x:c>
      <x:c r="C749" s="10" t="n">
        <x:v>4</x:v>
      </x:c>
      <x:c r="D749" s="24" t="n">
        <x:v>0.2811</x:v>
      </x:c>
      <x:c r="E749" s="24" t="n">
        <x:v>0.24202420242024203</x:v>
      </x:c>
      <x:c r="F749" s="24" t="n">
        <x:f>ABS(D749-E749)</x:f>
        <x:v>0.03907579757975799</x:v>
      </x:c>
    </x:row>
    <x:row r="750" ht="23" customHeight="1">
      <x:c r="A750" s="10" t="str">
        <x:v>M6</x:v>
      </x:c>
      <x:c r="B750" s="10" t="str">
        <x:v>G_H0</x:v>
      </x:c>
      <x:c r="C750" s="10" t="n">
        <x:v>5</x:v>
      </x:c>
      <x:c r="D750" s="24" t="n">
        <x:v>0.029600000000000005</x:v>
      </x:c>
      <x:c r="E750" s="24" t="n">
        <x:v>0.0636063606360636</x:v>
      </x:c>
      <x:c r="F750" s="24" t="n">
        <x:f>ABS(D750-E750)</x:f>
        <x:v>0.034006360636063604</x:v>
      </x:c>
    </x:row>
    <x:row r="751" ht="23" customHeight="1">
      <x:c r="A751" s="10" t="str">
        <x:v>M6</x:v>
      </x:c>
      <x:c r="B751" s="10" t="str">
        <x:v>G_H0</x:v>
      </x:c>
      <x:c r="C751" s="10" t="n">
        <x:v>6</x:v>
      </x:c>
      <x:c r="D751" s="24" t="n">
        <x:v>0.010200000000000002</x:v>
      </x:c>
      <x:c r="E751" s="24" t="n">
        <x:v>0.023602360236023606</x:v>
      </x:c>
      <x:c r="F751" s="24" t="n">
        <x:f>ABS(D751-E751)</x:f>
        <x:v>0.013402360236023604</x:v>
      </x:c>
    </x:row>
    <x:row r="752" ht="23" customHeight="1">
      <x:c r="A752" s="10" t="str">
        <x:v>M6</x:v>
      </x:c>
      <x:c r="B752" s="10" t="str">
        <x:v>G_H0</x:v>
      </x:c>
      <x:c r="C752" s="10" t="n">
        <x:v>7</x:v>
      </x:c>
      <x:c r="D752" s="24" t="n">
        <x:v>0.0003000000000000001</x:v>
      </x:c>
      <x:c r="E752" s="24" t="n">
        <x:v>0.04630463046304631</x:v>
      </x:c>
      <x:c r="F752" s="24" t="n">
        <x:f>ABS(D752-E752)</x:f>
        <x:v>0.04600463046304631</x:v>
      </x:c>
    </x:row>
    <x:row r="753" ht="23" customHeight="1">
      <x:c r="A753" s="10" t="str">
        <x:v>M6</x:v>
      </x:c>
      <x:c r="B753" s="10" t="str">
        <x:v>G_H0</x:v>
      </x:c>
      <x:c r="C753" s="10" t="n">
        <x:v>8</x:v>
      </x:c>
      <x:c r="D753" s="24" t="n">
        <x:v>0</x:v>
      </x:c>
      <x:c r="E753" s="24" t="n">
        <x:v>0.0203020302030203</x:v>
      </x:c>
      <x:c r="F753" s="24" t="n">
        <x:f>ABS(D753-E753)</x:f>
        <x:v>0.0203020302030203</x:v>
      </x:c>
    </x:row>
    <x:row r="754" ht="23" customHeight="1">
      <x:c r="A754" s="10" t="str">
        <x:v>M6</x:v>
      </x:c>
      <x:c r="B754" s="10" t="str">
        <x:v>G_H0</x:v>
      </x:c>
      <x:c r="C754" s="10" t="n">
        <x:v>9</x:v>
      </x:c>
      <x:c r="D754" s="24" t="n">
        <x:v>0</x:v>
      </x:c>
      <x:c r="E754" s="24" t="n">
        <x:v>0.04360436043604361</x:v>
      </x:c>
      <x:c r="F754" s="24" t="n">
        <x:f>ABS(D754-E754)</x:f>
        <x:v>0.04360436043604361</x:v>
      </x:c>
    </x:row>
    <x:row r="755" ht="23" customHeight="1">
      <x:c r="A755" s="10" t="str">
        <x:v>M6</x:v>
      </x:c>
      <x:c r="B755" s="10" t="str">
        <x:v>G_H0</x:v>
      </x:c>
      <x:c r="C755" s="10" t="n">
        <x:v>10</x:v>
      </x:c>
      <x:c r="D755" s="24" t="n">
        <x:v>0</x:v>
      </x:c>
      <x:c r="E755" s="24" t="n">
        <x:v>0</x:v>
      </x:c>
      <x:c r="F755" s="24" t="n">
        <x:f>ABS(D755-E755)</x:f>
        <x:v>0</x:v>
      </x:c>
    </x:row>
    <x:row r="756" ht="23" customHeight="1">
      <x:c r="A756" s="10" t="str">
        <x:v>M6</x:v>
      </x:c>
      <x:c r="B756" s="10" t="str">
        <x:v>G_H1</x:v>
      </x:c>
      <x:c r="C756" s="10" t="n">
        <x:v>1</x:v>
      </x:c>
      <x:c r="D756" s="24" t="n">
        <x:v>0</x:v>
      </x:c>
      <x:c r="E756" s="24" t="n">
        <x:v>0.0024002400240024004</x:v>
      </x:c>
      <x:c r="F756" s="24" t="n">
        <x:f>ABS(D756-E756)</x:f>
        <x:v>0.0024002400240024004</x:v>
      </x:c>
    </x:row>
    <x:row r="757" ht="23" customHeight="1">
      <x:c r="A757" s="10" t="str">
        <x:v>M6</x:v>
      </x:c>
      <x:c r="B757" s="10" t="str">
        <x:v>G_H1</x:v>
      </x:c>
      <x:c r="C757" s="10" t="n">
        <x:v>2</x:v>
      </x:c>
      <x:c r="D757" s="24" t="n">
        <x:v>0.11020000000000002</x:v>
      </x:c>
      <x:c r="E757" s="24" t="n">
        <x:v>0.1637163716371637</x:v>
      </x:c>
      <x:c r="F757" s="24" t="n">
        <x:f>ABS(D757-E757)</x:f>
        <x:v>0.05351637163716369</x:v>
      </x:c>
    </x:row>
    <x:row r="758" ht="23" customHeight="1">
      <x:c r="A758" s="10" t="str">
        <x:v>M6</x:v>
      </x:c>
      <x:c r="B758" s="10" t="str">
        <x:v>G_H1</x:v>
      </x:c>
      <x:c r="C758" s="10" t="n">
        <x:v>3</x:v>
      </x:c>
      <x:c r="D758" s="24" t="n">
        <x:v>0.5258</x:v>
      </x:c>
      <x:c r="E758" s="24" t="n">
        <x:v>0.3944394439443945</x:v>
      </x:c>
      <x:c r="F758" s="24" t="n">
        <x:f>ABS(D758-E758)</x:f>
        <x:v>0.13136055605560554</x:v>
      </x:c>
    </x:row>
    <x:row r="759" ht="23" customHeight="1">
      <x:c r="A759" s="10" t="str">
        <x:v>M6</x:v>
      </x:c>
      <x:c r="B759" s="10" t="str">
        <x:v>G_H1</x:v>
      </x:c>
      <x:c r="C759" s="10" t="n">
        <x:v>4</x:v>
      </x:c>
      <x:c r="D759" s="24" t="n">
        <x:v>0.29610000000000003</x:v>
      </x:c>
      <x:c r="E759" s="24" t="n">
        <x:v>0.24202420242024203</x:v>
      </x:c>
      <x:c r="F759" s="24" t="n">
        <x:f>ABS(D759-E759)</x:f>
        <x:v>0.054075797579758</x:v>
      </x:c>
    </x:row>
    <x:row r="760" ht="23" customHeight="1">
      <x:c r="A760" s="10" t="str">
        <x:v>M6</x:v>
      </x:c>
      <x:c r="B760" s="10" t="str">
        <x:v>G_H1</x:v>
      </x:c>
      <x:c r="C760" s="10" t="n">
        <x:v>5</x:v>
      </x:c>
      <x:c r="D760" s="24" t="n">
        <x:v>0.057400000000000014</x:v>
      </x:c>
      <x:c r="E760" s="24" t="n">
        <x:v>0.0636063606360636</x:v>
      </x:c>
      <x:c r="F760" s="24" t="n">
        <x:f>ABS(D760-E760)</x:f>
        <x:v>0.006206360636063592</x:v>
      </x:c>
    </x:row>
    <x:row r="761" ht="23" customHeight="1">
      <x:c r="A761" s="10" t="str">
        <x:v>M6</x:v>
      </x:c>
      <x:c r="B761" s="10" t="str">
        <x:v>G_H1</x:v>
      </x:c>
      <x:c r="C761" s="10" t="n">
        <x:v>6</x:v>
      </x:c>
      <x:c r="D761" s="24" t="n">
        <x:v>0.010200000000000002</x:v>
      </x:c>
      <x:c r="E761" s="24" t="n">
        <x:v>0.023602360236023606</x:v>
      </x:c>
      <x:c r="F761" s="24" t="n">
        <x:f>ABS(D761-E761)</x:f>
        <x:v>0.013402360236023604</x:v>
      </x:c>
    </x:row>
    <x:row r="762" ht="23" customHeight="1">
      <x:c r="A762" s="10" t="str">
        <x:v>M6</x:v>
      </x:c>
      <x:c r="B762" s="10" t="str">
        <x:v>G_H1</x:v>
      </x:c>
      <x:c r="C762" s="10" t="n">
        <x:v>7</x:v>
      </x:c>
      <x:c r="D762" s="24" t="n">
        <x:v>0.0003000000000000001</x:v>
      </x:c>
      <x:c r="E762" s="24" t="n">
        <x:v>0.04630463046304631</x:v>
      </x:c>
      <x:c r="F762" s="24" t="n">
        <x:f>ABS(D762-E762)</x:f>
        <x:v>0.04600463046304631</x:v>
      </x:c>
    </x:row>
    <x:row r="763" ht="23" customHeight="1">
      <x:c r="A763" s="10" t="str">
        <x:v>M6</x:v>
      </x:c>
      <x:c r="B763" s="10" t="str">
        <x:v>G_H1</x:v>
      </x:c>
      <x:c r="C763" s="10" t="n">
        <x:v>8</x:v>
      </x:c>
      <x:c r="D763" s="24" t="n">
        <x:v>0</x:v>
      </x:c>
      <x:c r="E763" s="24" t="n">
        <x:v>0.0203020302030203</x:v>
      </x:c>
      <x:c r="F763" s="24" t="n">
        <x:f>ABS(D763-E763)</x:f>
        <x:v>0.0203020302030203</x:v>
      </x:c>
    </x:row>
    <x:row r="764" ht="23" customHeight="1">
      <x:c r="A764" s="10" t="str">
        <x:v>M6</x:v>
      </x:c>
      <x:c r="B764" s="10" t="str">
        <x:v>G_H1</x:v>
      </x:c>
      <x:c r="C764" s="10" t="n">
        <x:v>9</x:v>
      </x:c>
      <x:c r="D764" s="24" t="n">
        <x:v>0</x:v>
      </x:c>
      <x:c r="E764" s="24" t="n">
        <x:v>0.04360436043604361</x:v>
      </x:c>
      <x:c r="F764" s="24" t="n">
        <x:f>ABS(D764-E764)</x:f>
        <x:v>0.04360436043604361</x:v>
      </x:c>
    </x:row>
    <x:row r="765" ht="23" customHeight="1">
      <x:c r="A765" s="10" t="str">
        <x:v>M6</x:v>
      </x:c>
      <x:c r="B765" s="10" t="str">
        <x:v>G_H1</x:v>
      </x:c>
      <x:c r="C765" s="10" t="n">
        <x:v>10</x:v>
      </x:c>
      <x:c r="D765" s="24" t="n">
        <x:v>0</x:v>
      </x:c>
      <x:c r="E765" s="24" t="n">
        <x:v>0</x:v>
      </x:c>
      <x:c r="F765" s="24" t="n">
        <x:f>ABS(D765-E765)</x:f>
        <x:v>0</x:v>
      </x:c>
    </x:row>
    <x:row r="766" ht="23" customHeight="1">
      <x:c r="A766" s="10" t="str">
        <x:v>M6</x:v>
      </x:c>
      <x:c r="B766" s="10" t="str">
        <x:v>NC_H0</x:v>
      </x:c>
      <x:c r="C766" s="10" t="n">
        <x:v>1</x:v>
      </x:c>
      <x:c r="D766" s="24" t="n">
        <x:v>0</x:v>
      </x:c>
      <x:c r="E766" s="24" t="n">
        <x:v>0.0024002400240024004</x:v>
      </x:c>
      <x:c r="F766" s="24" t="n">
        <x:f>ABS(D766-E766)</x:f>
        <x:v>0.0024002400240024004</x:v>
      </x:c>
    </x:row>
    <x:row r="767" ht="23" customHeight="1">
      <x:c r="A767" s="10" t="str">
        <x:v>M6</x:v>
      </x:c>
      <x:c r="B767" s="10" t="str">
        <x:v>NC_H0</x:v>
      </x:c>
      <x:c r="C767" s="10" t="n">
        <x:v>2</x:v>
      </x:c>
      <x:c r="D767" s="24" t="n">
        <x:v>0.3023697630236976</x:v>
      </x:c>
      <x:c r="E767" s="24" t="n">
        <x:v>0.1637163716371637</x:v>
      </x:c>
      <x:c r="F767" s="24" t="n">
        <x:f>ABS(D767-E767)</x:f>
        <x:v>0.1386533913865339</x:v>
      </x:c>
    </x:row>
    <x:row r="768" ht="23" customHeight="1">
      <x:c r="A768" s="10" t="str">
        <x:v>M6</x:v>
      </x:c>
      <x:c r="B768" s="10" t="str">
        <x:v>NC_H0</x:v>
      </x:c>
      <x:c r="C768" s="10" t="n">
        <x:v>3</x:v>
      </x:c>
      <x:c r="D768" s="24" t="n">
        <x:v>0.019998000199980003</x:v>
      </x:c>
      <x:c r="E768" s="24" t="n">
        <x:v>0.3944394439443945</x:v>
      </x:c>
      <x:c r="F768" s="24" t="n">
        <x:f>ABS(D768-E768)</x:f>
        <x:v>0.3744414437444145</x:v>
      </x:c>
    </x:row>
    <x:row r="769" ht="23" customHeight="1">
      <x:c r="A769" s="10" t="str">
        <x:v>M6</x:v>
      </x:c>
      <x:c r="B769" s="10" t="str">
        <x:v>NC_H0</x:v>
      </x:c>
      <x:c r="C769" s="10" t="n">
        <x:v>4</x:v>
      </x:c>
      <x:c r="D769" s="24" t="n">
        <x:v>0</x:v>
      </x:c>
      <x:c r="E769" s="24" t="n">
        <x:v>0.24202420242024203</x:v>
      </x:c>
      <x:c r="F769" s="24" t="n">
        <x:f>ABS(D769-E769)</x:f>
        <x:v>0.24202420242024203</x:v>
      </x:c>
    </x:row>
    <x:row r="770" ht="23" customHeight="1">
      <x:c r="A770" s="10" t="str">
        <x:v>M6</x:v>
      </x:c>
      <x:c r="B770" s="10" t="str">
        <x:v>NC_H0</x:v>
      </x:c>
      <x:c r="C770" s="10" t="n">
        <x:v>5</x:v>
      </x:c>
      <x:c r="D770" s="24" t="n">
        <x:v>0.5625437456254374</x:v>
      </x:c>
      <x:c r="E770" s="24" t="n">
        <x:v>0.0636063606360636</x:v>
      </x:c>
      <x:c r="F770" s="24" t="n">
        <x:f>ABS(D770-E770)</x:f>
        <x:v>0.4989373849893738</x:v>
      </x:c>
    </x:row>
    <x:row r="771" ht="23" customHeight="1">
      <x:c r="A771" s="10" t="str">
        <x:v>M6</x:v>
      </x:c>
      <x:c r="B771" s="10" t="str">
        <x:v>NC_H0</x:v>
      </x:c>
      <x:c r="C771" s="10" t="n">
        <x:v>6</x:v>
      </x:c>
      <x:c r="D771" s="24" t="n">
        <x:v>0</x:v>
      </x:c>
      <x:c r="E771" s="24" t="n">
        <x:v>0.023602360236023606</x:v>
      </x:c>
      <x:c r="F771" s="24" t="n">
        <x:f>ABS(D771-E771)</x:f>
        <x:v>0.023602360236023606</x:v>
      </x:c>
    </x:row>
    <x:row r="772" ht="23" customHeight="1">
      <x:c r="A772" s="10" t="str">
        <x:v>M6</x:v>
      </x:c>
      <x:c r="B772" s="10" t="str">
        <x:v>NC_H0</x:v>
      </x:c>
      <x:c r="C772" s="10" t="n">
        <x:v>7</x:v>
      </x:c>
      <x:c r="D772" s="24" t="n">
        <x:v>0.0525947405259474</x:v>
      </x:c>
      <x:c r="E772" s="24" t="n">
        <x:v>0.04630463046304631</x:v>
      </x:c>
      <x:c r="F772" s="24" t="n">
        <x:f>ABS(D772-E772)</x:f>
        <x:v>0.006290110062901089</x:v>
      </x:c>
    </x:row>
    <x:row r="773" ht="23" customHeight="1">
      <x:c r="A773" s="10" t="str">
        <x:v>M6</x:v>
      </x:c>
      <x:c r="B773" s="10" t="str">
        <x:v>NC_H0</x:v>
      </x:c>
      <x:c r="C773" s="10" t="n">
        <x:v>8</x:v>
      </x:c>
      <x:c r="D773" s="24" t="n">
        <x:v>0.0104989501049895</x:v>
      </x:c>
      <x:c r="E773" s="24" t="n">
        <x:v>0.0203020302030203</x:v>
      </x:c>
      <x:c r="F773" s="24" t="n">
        <x:f>ABS(D773-E773)</x:f>
        <x:v>0.009803080098030801</x:v>
      </x:c>
    </x:row>
    <x:row r="774" ht="23" customHeight="1">
      <x:c r="A774" s="10" t="str">
        <x:v>M6</x:v>
      </x:c>
      <x:c r="B774" s="10" t="str">
        <x:v>NC_H0</x:v>
      </x:c>
      <x:c r="C774" s="10" t="n">
        <x:v>9</x:v>
      </x:c>
      <x:c r="D774" s="24" t="n">
        <x:v>0.051994800519948</x:v>
      </x:c>
      <x:c r="E774" s="24" t="n">
        <x:v>0.04360436043604361</x:v>
      </x:c>
      <x:c r="F774" s="24" t="n">
        <x:f>ABS(D774-E774)</x:f>
        <x:v>0.00839044008390439</x:v>
      </x:c>
    </x:row>
    <x:row r="775" ht="23" customHeight="1">
      <x:c r="A775" s="10" t="str">
        <x:v>M6</x:v>
      </x:c>
      <x:c r="B775" s="10" t="str">
        <x:v>NC_H0</x:v>
      </x:c>
      <x:c r="C775" s="10" t="n">
        <x:v>10</x:v>
      </x:c>
      <x:c r="D775" s="24" t="n">
        <x:v>0</x:v>
      </x:c>
      <x:c r="E775" s="24" t="n">
        <x:v>0</x:v>
      </x:c>
      <x:c r="F775" s="24" t="n">
        <x:f>ABS(D775-E775)</x:f>
        <x:v>0</x:v>
      </x:c>
    </x:row>
    <x:row r="776" ht="23" customHeight="1">
      <x:c r="A776" s="10" t="str">
        <x:v>M6</x:v>
      </x:c>
      <x:c r="B776" s="10" t="str">
        <x:v>NC_H1</x:v>
      </x:c>
      <x:c r="C776" s="10" t="n">
        <x:v>1</x:v>
      </x:c>
      <x:c r="D776" s="24" t="n">
        <x:v>0</x:v>
      </x:c>
      <x:c r="E776" s="24" t="n">
        <x:v>0.0024002400240024004</x:v>
      </x:c>
      <x:c r="F776" s="24" t="n">
        <x:f>ABS(D776-E776)</x:f>
        <x:v>0.0024002400240024004</x:v>
      </x:c>
    </x:row>
    <x:row r="777" ht="23" customHeight="1">
      <x:c r="A777" s="10" t="str">
        <x:v>M6</x:v>
      </x:c>
      <x:c r="B777" s="10" t="str">
        <x:v>NC_H1</x:v>
      </x:c>
      <x:c r="C777" s="10" t="n">
        <x:v>2</x:v>
      </x:c>
      <x:c r="D777" s="24" t="n">
        <x:v>0.3023697630236976</x:v>
      </x:c>
      <x:c r="E777" s="24" t="n">
        <x:v>0.1637163716371637</x:v>
      </x:c>
      <x:c r="F777" s="24" t="n">
        <x:f>ABS(D777-E777)</x:f>
        <x:v>0.1386533913865339</x:v>
      </x:c>
    </x:row>
    <x:row r="778" ht="23" customHeight="1">
      <x:c r="A778" s="10" t="str">
        <x:v>M6</x:v>
      </x:c>
      <x:c r="B778" s="10" t="str">
        <x:v>NC_H1</x:v>
      </x:c>
      <x:c r="C778" s="10" t="n">
        <x:v>3</x:v>
      </x:c>
      <x:c r="D778" s="24" t="n">
        <x:v>0.0190980901909809</x:v>
      </x:c>
      <x:c r="E778" s="24" t="n">
        <x:v>0.3944394439443945</x:v>
      </x:c>
      <x:c r="F778" s="24" t="n">
        <x:f>ABS(D778-E778)</x:f>
        <x:v>0.3753413537534136</x:v>
      </x:c>
    </x:row>
    <x:row r="779" ht="23" customHeight="1">
      <x:c r="A779" s="10" t="str">
        <x:v>M6</x:v>
      </x:c>
      <x:c r="B779" s="10" t="str">
        <x:v>NC_H1</x:v>
      </x:c>
      <x:c r="C779" s="10" t="n">
        <x:v>4</x:v>
      </x:c>
      <x:c r="D779" s="24" t="n">
        <x:v>0</x:v>
      </x:c>
      <x:c r="E779" s="24" t="n">
        <x:v>0.24202420242024203</x:v>
      </x:c>
      <x:c r="F779" s="24" t="n">
        <x:f>ABS(D779-E779)</x:f>
        <x:v>0.24202420242024203</x:v>
      </x:c>
    </x:row>
    <x:row r="780" ht="23" customHeight="1">
      <x:c r="A780" s="10" t="str">
        <x:v>M6</x:v>
      </x:c>
      <x:c r="B780" s="10" t="str">
        <x:v>NC_H1</x:v>
      </x:c>
      <x:c r="C780" s="10" t="n">
        <x:v>5</x:v>
      </x:c>
      <x:c r="D780" s="24" t="n">
        <x:v>0.5625437456254374</x:v>
      </x:c>
      <x:c r="E780" s="24" t="n">
        <x:v>0.0636063606360636</x:v>
      </x:c>
      <x:c r="F780" s="24" t="n">
        <x:f>ABS(D780-E780)</x:f>
        <x:v>0.4989373849893738</x:v>
      </x:c>
    </x:row>
    <x:row r="781" ht="23" customHeight="1">
      <x:c r="A781" s="10" t="str">
        <x:v>M6</x:v>
      </x:c>
      <x:c r="B781" s="10" t="str">
        <x:v>NC_H1</x:v>
      </x:c>
      <x:c r="C781" s="10" t="n">
        <x:v>6</x:v>
      </x:c>
      <x:c r="D781" s="24" t="n">
        <x:v>0.0008999100089991</x:v>
      </x:c>
      <x:c r="E781" s="24" t="n">
        <x:v>0.023602360236023606</x:v>
      </x:c>
      <x:c r="F781" s="24" t="n">
        <x:f>ABS(D781-E781)</x:f>
        <x:v>0.022702450227024506</x:v>
      </x:c>
    </x:row>
    <x:row r="782" ht="23" customHeight="1">
      <x:c r="A782" s="10" t="str">
        <x:v>M6</x:v>
      </x:c>
      <x:c r="B782" s="10" t="str">
        <x:v>NC_H1</x:v>
      </x:c>
      <x:c r="C782" s="10" t="n">
        <x:v>7</x:v>
      </x:c>
      <x:c r="D782" s="24" t="n">
        <x:v>0.0525947405259474</x:v>
      </x:c>
      <x:c r="E782" s="24" t="n">
        <x:v>0.04630463046304631</x:v>
      </x:c>
      <x:c r="F782" s="24" t="n">
        <x:f>ABS(D782-E782)</x:f>
        <x:v>0.006290110062901089</x:v>
      </x:c>
    </x:row>
    <x:row r="783" ht="23" customHeight="1">
      <x:c r="A783" s="10" t="str">
        <x:v>M6</x:v>
      </x:c>
      <x:c r="B783" s="10" t="str">
        <x:v>NC_H1</x:v>
      </x:c>
      <x:c r="C783" s="10" t="n">
        <x:v>8</x:v>
      </x:c>
      <x:c r="D783" s="24" t="n">
        <x:v>0.0104989501049895</x:v>
      </x:c>
      <x:c r="E783" s="24" t="n">
        <x:v>0.0203020302030203</x:v>
      </x:c>
      <x:c r="F783" s="24" t="n">
        <x:f>ABS(D783-E783)</x:f>
        <x:v>0.009803080098030801</x:v>
      </x:c>
    </x:row>
    <x:row r="784" ht="23" customHeight="1">
      <x:c r="A784" s="10" t="str">
        <x:v>M6</x:v>
      </x:c>
      <x:c r="B784" s="10" t="str">
        <x:v>NC_H1</x:v>
      </x:c>
      <x:c r="C784" s="10" t="n">
        <x:v>9</x:v>
      </x:c>
      <x:c r="D784" s="24" t="n">
        <x:v>0.051994800519948</x:v>
      </x:c>
      <x:c r="E784" s="24" t="n">
        <x:v>0.04360436043604361</x:v>
      </x:c>
      <x:c r="F784" s="24" t="n">
        <x:f>ABS(D784-E784)</x:f>
        <x:v>0.00839044008390439</x:v>
      </x:c>
    </x:row>
    <x:row r="785" ht="23" customHeight="1">
      <x:c r="A785" s="10" t="str">
        <x:v>M6</x:v>
      </x:c>
      <x:c r="B785" s="10" t="str">
        <x:v>NC_H1</x:v>
      </x:c>
      <x:c r="C785" s="10" t="n">
        <x:v>10</x:v>
      </x:c>
      <x:c r="D785" s="24" t="n">
        <x:v>0</x:v>
      </x:c>
      <x:c r="E785" s="24" t="n">
        <x:v>0</x:v>
      </x:c>
      <x:c r="F785" s="24" t="n">
        <x:f>ABS(D785-E785)</x:f>
        <x:v>0</x:v>
      </x:c>
    </x:row>
    <x:row r="786" ht="23" customHeight="1">
      <x:c r="A786" s="10" t="str">
        <x:v>M6</x:v>
      </x:c>
      <x:c r="B786" s="10" t="str">
        <x:v>NG_H0</x:v>
      </x:c>
      <x:c r="C786" s="10" t="n">
        <x:v>1</x:v>
      </x:c>
      <x:c r="D786" s="24" t="n">
        <x:v>0.005999400059993999</x:v>
      </x:c>
      <x:c r="E786" s="24" t="n">
        <x:v>0.0024002400240024004</x:v>
      </x:c>
      <x:c r="F786" s="24" t="n">
        <x:f>ABS(D786-E786)</x:f>
        <x:v>0.0035991600359915983</x:v>
      </x:c>
    </x:row>
    <x:row r="787" ht="23" customHeight="1">
      <x:c r="A787" s="10" t="str">
        <x:v>M6</x:v>
      </x:c>
      <x:c r="B787" s="10" t="str">
        <x:v>NG_H0</x:v>
      </x:c>
      <x:c r="C787" s="10" t="n">
        <x:v>2</x:v>
      </x:c>
      <x:c r="D787" s="24" t="n">
        <x:v>0.20817918208179179</x:v>
      </x:c>
      <x:c r="E787" s="24" t="n">
        <x:v>0.1637163716371637</x:v>
      </x:c>
      <x:c r="F787" s="24" t="n">
        <x:f>ABS(D787-E787)</x:f>
        <x:v>0.044462810444628076</x:v>
      </x:c>
    </x:row>
    <x:row r="788" ht="23" customHeight="1">
      <x:c r="A788" s="10" t="str">
        <x:v>M6</x:v>
      </x:c>
      <x:c r="B788" s="10" t="str">
        <x:v>NG_H0</x:v>
      </x:c>
      <x:c r="C788" s="10" t="n">
        <x:v>3</x:v>
      </x:c>
      <x:c r="D788" s="24" t="n">
        <x:v>0.34386561343865607</x:v>
      </x:c>
      <x:c r="E788" s="24" t="n">
        <x:v>0.3944394439443945</x:v>
      </x:c>
      <x:c r="F788" s="24" t="n">
        <x:f>ABS(D788-E788)</x:f>
        <x:v>0.05057383050573844</x:v>
      </x:c>
    </x:row>
    <x:row r="789" ht="23" customHeight="1">
      <x:c r="A789" s="10" t="str">
        <x:v>M6</x:v>
      </x:c>
      <x:c r="B789" s="10" t="str">
        <x:v>NG_H0</x:v>
      </x:c>
      <x:c r="C789" s="10" t="n">
        <x:v>4</x:v>
      </x:c>
      <x:c r="D789" s="24" t="n">
        <x:v>0.2664733526647335</x:v>
      </x:c>
      <x:c r="E789" s="24" t="n">
        <x:v>0.24202420242024203</x:v>
      </x:c>
      <x:c r="F789" s="24" t="n">
        <x:f>ABS(D789-E789)</x:f>
        <x:v>0.024449150244491458</x:v>
      </x:c>
    </x:row>
    <x:row r="790" ht="23" customHeight="1">
      <x:c r="A790" s="10" t="str">
        <x:v>M6</x:v>
      </x:c>
      <x:c r="B790" s="10" t="str">
        <x:v>NG_H0</x:v>
      </x:c>
      <x:c r="C790" s="10" t="n">
        <x:v>5</x:v>
      </x:c>
      <x:c r="D790" s="24" t="n">
        <x:v>0.028997100289970996</x:v>
      </x:c>
      <x:c r="E790" s="24" t="n">
        <x:v>0.0636063606360636</x:v>
      </x:c>
      <x:c r="F790" s="24" t="n">
        <x:f>ABS(D790-E790)</x:f>
        <x:v>0.03460926034609261</x:v>
      </x:c>
    </x:row>
    <x:row r="791" ht="23" customHeight="1">
      <x:c r="A791" s="10" t="str">
        <x:v>M6</x:v>
      </x:c>
      <x:c r="B791" s="10" t="str">
        <x:v>NG_H0</x:v>
      </x:c>
      <x:c r="C791" s="10" t="n">
        <x:v>6</x:v>
      </x:c>
      <x:c r="D791" s="24" t="n">
        <x:v>0.010198980101989798</x:v>
      </x:c>
      <x:c r="E791" s="24" t="n">
        <x:v>0.023602360236023606</x:v>
      </x:c>
      <x:c r="F791" s="24" t="n">
        <x:f>ABS(D791-E791)</x:f>
        <x:v>0.013403380134033808</x:v>
      </x:c>
    </x:row>
    <x:row r="792" ht="23" customHeight="1">
      <x:c r="A792" s="10" t="str">
        <x:v>M6</x:v>
      </x:c>
      <x:c r="B792" s="10" t="str">
        <x:v>NG_H0</x:v>
      </x:c>
      <x:c r="C792" s="10" t="n">
        <x:v>7</x:v>
      </x:c>
      <x:c r="D792" s="24" t="n">
        <x:v>0.05319468053194679</x:v>
      </x:c>
      <x:c r="E792" s="24" t="n">
        <x:v>0.04630463046304631</x:v>
      </x:c>
      <x:c r="F792" s="24" t="n">
        <x:f>ABS(D792-E792)</x:f>
        <x:v>0.006890050068900484</x:v>
      </x:c>
    </x:row>
    <x:row r="793" ht="23" customHeight="1">
      <x:c r="A793" s="10" t="str">
        <x:v>M6</x:v>
      </x:c>
      <x:c r="B793" s="10" t="str">
        <x:v>NG_H0</x:v>
      </x:c>
      <x:c r="C793" s="10" t="n">
        <x:v>8</x:v>
      </x:c>
      <x:c r="D793" s="24" t="n">
        <x:v>0.0104989501049895</x:v>
      </x:c>
      <x:c r="E793" s="24" t="n">
        <x:v>0.0203020302030203</x:v>
      </x:c>
      <x:c r="F793" s="24" t="n">
        <x:f>ABS(D793-E793)</x:f>
        <x:v>0.009803080098030801</x:v>
      </x:c>
    </x:row>
    <x:row r="794" ht="23" customHeight="1">
      <x:c r="A794" s="10" t="str">
        <x:v>M6</x:v>
      </x:c>
      <x:c r="B794" s="10" t="str">
        <x:v>NG_H0</x:v>
      </x:c>
      <x:c r="C794" s="10" t="n">
        <x:v>9</x:v>
      </x:c>
      <x:c r="D794" s="24" t="n">
        <x:v>0.07139286071392859</x:v>
      </x:c>
      <x:c r="E794" s="24" t="n">
        <x:v>0.04360436043604361</x:v>
      </x:c>
      <x:c r="F794" s="24" t="n">
        <x:f>ABS(D794-E794)</x:f>
        <x:v>0.027788500277884973</x:v>
      </x:c>
    </x:row>
    <x:row r="795" ht="23" customHeight="1">
      <x:c r="A795" s="10" t="str">
        <x:v>M6</x:v>
      </x:c>
      <x:c r="B795" s="10" t="str">
        <x:v>NG_H0</x:v>
      </x:c>
      <x:c r="C795" s="10" t="n">
        <x:v>10</x:v>
      </x:c>
      <x:c r="D795" s="24" t="n">
        <x:v>0.0011998800119988</x:v>
      </x:c>
      <x:c r="E795" s="24" t="n">
        <x:v>0</x:v>
      </x:c>
      <x:c r="F795" s="24" t="n">
        <x:f>ABS(D795-E795)</x:f>
        <x:v>0.0011998800119988</x:v>
      </x:c>
    </x:row>
    <x:row r="796" ht="23" customHeight="1">
      <x:c r="A796" s="10" t="str">
        <x:v>M6</x:v>
      </x:c>
      <x:c r="B796" s="10" t="str">
        <x:v>NG_H1</x:v>
      </x:c>
      <x:c r="C796" s="10" t="n">
        <x:v>1</x:v>
      </x:c>
      <x:c r="D796" s="24" t="n">
        <x:v>0.005998800239952009</x:v>
      </x:c>
      <x:c r="E796" s="24" t="n">
        <x:v>0.0024002400240024004</x:v>
      </x:c>
      <x:c r="F796" s="24" t="n">
        <x:f>ABS(D796-E796)</x:f>
        <x:v>0.0035985602159496087</x:v>
      </x:c>
    </x:row>
    <x:row r="797" ht="23" customHeight="1">
      <x:c r="A797" s="10" t="str">
        <x:v>M6</x:v>
      </x:c>
      <x:c r="B797" s="10" t="str">
        <x:v>NG_H1</x:v>
      </x:c>
      <x:c r="C797" s="10" t="n">
        <x:v>2</x:v>
      </x:c>
      <x:c r="D797" s="24" t="n">
        <x:v>0.18486302739452107</x:v>
      </x:c>
      <x:c r="E797" s="24" t="n">
        <x:v>0.1637163716371637</x:v>
      </x:c>
      <x:c r="F797" s="24" t="n">
        <x:f>ABS(D797-E797)</x:f>
        <x:v>0.021146655757357358</x:v>
      </x:c>
    </x:row>
    <x:row r="798" ht="23" customHeight="1">
      <x:c r="A798" s="10" t="str">
        <x:v>M6</x:v>
      </x:c>
      <x:c r="B798" s="10" t="str">
        <x:v>NG_H1</x:v>
      </x:c>
      <x:c r="C798" s="10" t="n">
        <x:v>3</x:v>
      </x:c>
      <x:c r="D798" s="24" t="n">
        <x:v>0.3250349930013997</x:v>
      </x:c>
      <x:c r="E798" s="24" t="n">
        <x:v>0.3944394439443945</x:v>
      </x:c>
      <x:c r="F798" s="24" t="n">
        <x:f>ABS(D798-E798)</x:f>
        <x:v>0.0694044509429948</x:v>
      </x:c>
    </x:row>
    <x:row r="799" ht="23" customHeight="1">
      <x:c r="A799" s="10" t="str">
        <x:v>M6</x:v>
      </x:c>
      <x:c r="B799" s="10" t="str">
        <x:v>NG_H1</x:v>
      </x:c>
      <x:c r="C799" s="10" t="n">
        <x:v>4</x:v>
      </x:c>
      <x:c r="D799" s="24" t="n">
        <x:v>0.2790441911617676</x:v>
      </x:c>
      <x:c r="E799" s="24" t="n">
        <x:v>0.24202420242024203</x:v>
      </x:c>
      <x:c r="F799" s="24" t="n">
        <x:f>ABS(D799-E799)</x:f>
        <x:v>0.03701998874152557</x:v>
      </x:c>
    </x:row>
    <x:row r="800" ht="23" customHeight="1">
      <x:c r="A800" s="10" t="str">
        <x:v>M6</x:v>
      </x:c>
      <x:c r="B800" s="10" t="str">
        <x:v>NG_H1</x:v>
      </x:c>
      <x:c r="C800" s="10" t="n">
        <x:v>5</x:v>
      </x:c>
      <x:c r="D800" s="24" t="n">
        <x:v>0.05678864227154569</x:v>
      </x:c>
      <x:c r="E800" s="24" t="n">
        <x:v>0.0636063606360636</x:v>
      </x:c>
      <x:c r="F800" s="24" t="n">
        <x:f>ABS(D800-E800)</x:f>
        <x:v>0.006817718364517916</x:v>
      </x:c>
    </x:row>
    <x:row r="801" ht="23" customHeight="1">
      <x:c r="A801" s="10" t="str">
        <x:v>M6</x:v>
      </x:c>
      <x:c r="B801" s="10" t="str">
        <x:v>NG_H1</x:v>
      </x:c>
      <x:c r="C801" s="10" t="n">
        <x:v>6</x:v>
      </x:c>
      <x:c r="D801" s="24" t="n">
        <x:v>0.011997600479904018</x:v>
      </x:c>
      <x:c r="E801" s="24" t="n">
        <x:v>0.023602360236023606</x:v>
      </x:c>
      <x:c r="F801" s="24" t="n">
        <x:f>ABS(D801-E801)</x:f>
        <x:v>0.011604759756119588</x:v>
      </x:c>
    </x:row>
    <x:row r="802" ht="23" customHeight="1">
      <x:c r="A802" s="10" t="str">
        <x:v>M6</x:v>
      </x:c>
      <x:c r="B802" s="10" t="str">
        <x:v>NG_H1</x:v>
      </x:c>
      <x:c r="C802" s="10" t="n">
        <x:v>7</x:v>
      </x:c>
      <x:c r="D802" s="24" t="n">
        <x:v>0.05318936212757448</x:v>
      </x:c>
      <x:c r="E802" s="24" t="n">
        <x:v>0.04630463046304631</x:v>
      </x:c>
      <x:c r="F802" s="24" t="n">
        <x:f>ABS(D802-E802)</x:f>
        <x:v>0.006884731664528174</x:v>
      </x:c>
    </x:row>
    <x:row r="803" ht="23" customHeight="1">
      <x:c r="A803" s="10" t="str">
        <x:v>M6</x:v>
      </x:c>
      <x:c r="B803" s="10" t="str">
        <x:v>NG_H1</x:v>
      </x:c>
      <x:c r="C803" s="10" t="n">
        <x:v>8</x:v>
      </x:c>
      <x:c r="D803" s="24" t="n">
        <x:v>0.010497900419916016</x:v>
      </x:c>
      <x:c r="E803" s="24" t="n">
        <x:v>0.0203020302030203</x:v>
      </x:c>
      <x:c r="F803" s="24" t="n">
        <x:f>ABS(D803-E803)</x:f>
        <x:v>0.009804129783104285</x:v>
      </x:c>
    </x:row>
    <x:row r="804" ht="23" customHeight="1">
      <x:c r="A804" s="10" t="str">
        <x:v>M6</x:v>
      </x:c>
      <x:c r="B804" s="10" t="str">
        <x:v>NG_H1</x:v>
      </x:c>
      <x:c r="C804" s="10" t="n">
        <x:v>9</x:v>
      </x:c>
      <x:c r="D804" s="24" t="n">
        <x:v>0.07138572285542891</x:v>
      </x:c>
      <x:c r="E804" s="24" t="n">
        <x:v>0.04360436043604361</x:v>
      </x:c>
      <x:c r="F804" s="24" t="n">
        <x:f>ABS(D804-E804)</x:f>
        <x:v>0.027781362419385294</x:v>
      </x:c>
    </x:row>
    <x:row r="805" ht="23" customHeight="1">
      <x:c r="A805" s="10" t="str">
        <x:v>M6</x:v>
      </x:c>
      <x:c r="B805" s="10" t="str">
        <x:v>NG_H1</x:v>
      </x:c>
      <x:c r="C805" s="10" t="n">
        <x:v>10</x:v>
      </x:c>
      <x:c r="D805" s="24" t="n">
        <x:v>0.0011997600479904018</x:v>
      </x:c>
      <x:c r="E805" s="24" t="n">
        <x:v>0</x:v>
      </x:c>
      <x:c r="F805" s="24" t="n">
        <x:f>ABS(D805-E805)</x:f>
        <x:v>0.0011997600479904018</x:v>
      </x:c>
    </x:row>
    <x:row r="806" ht="23" customHeight="1">
      <x:c r="A806" s="10" t="str">
        <x:v>M6</x:v>
      </x:c>
      <x:c r="B806" s="10" t="str">
        <x:v>CG_H0</x:v>
      </x:c>
      <x:c r="C806" s="10" t="n">
        <x:v>1</x:v>
      </x:c>
      <x:c r="D806" s="24" t="n">
        <x:v>0.006</x:v>
      </x:c>
      <x:c r="E806" s="24" t="n">
        <x:v>0.0024002400240024004</x:v>
      </x:c>
      <x:c r="F806" s="24" t="n">
        <x:f>ABS(D806-E806)</x:f>
        <x:v>0.0035997599759975997</x:v>
      </x:c>
    </x:row>
    <x:row r="807" ht="23" customHeight="1">
      <x:c r="A807" s="10" t="str">
        <x:v>M6</x:v>
      </x:c>
      <x:c r="B807" s="10" t="str">
        <x:v>CG_H0</x:v>
      </x:c>
      <x:c r="C807" s="10" t="n">
        <x:v>2</x:v>
      </x:c>
      <x:c r="D807" s="24" t="n">
        <x:v>0.262</x:v>
      </x:c>
      <x:c r="E807" s="24" t="n">
        <x:v>0.1637163716371637</x:v>
      </x:c>
      <x:c r="F807" s="24" t="n">
        <x:f>ABS(D807-E807)</x:f>
        <x:v>0.0982836283628363</x:v>
      </x:c>
    </x:row>
    <x:row r="808" ht="23" customHeight="1">
      <x:c r="A808" s="10" t="str">
        <x:v>M6</x:v>
      </x:c>
      <x:c r="B808" s="10" t="str">
        <x:v>CG_H0</x:v>
      </x:c>
      <x:c r="C808" s="10" t="n">
        <x:v>3</x:v>
      </x:c>
      <x:c r="D808" s="24" t="n">
        <x:v>0.4517</x:v>
      </x:c>
      <x:c r="E808" s="24" t="n">
        <x:v>0.3944394439443945</x:v>
      </x:c>
      <x:c r="F808" s="24" t="n">
        <x:f>ABS(D808-E808)</x:f>
        <x:v>0.05726055605560548</x:v>
      </x:c>
    </x:row>
    <x:row r="809" ht="23" customHeight="1">
      <x:c r="A809" s="10" t="str">
        <x:v>M6</x:v>
      </x:c>
      <x:c r="B809" s="10" t="str">
        <x:v>CG_H0</x:v>
      </x:c>
      <x:c r="C809" s="10" t="n">
        <x:v>4</x:v>
      </x:c>
      <x:c r="D809" s="24" t="n">
        <x:v>0.23929999999999998</x:v>
      </x:c>
      <x:c r="E809" s="24" t="n">
        <x:v>0.24202420242024203</x:v>
      </x:c>
      <x:c r="F809" s="24" t="n">
        <x:f>ABS(D809-E809)</x:f>
        <x:v>0.0027242024202420445</x:v>
      </x:c>
    </x:row>
    <x:row r="810" ht="23" customHeight="1">
      <x:c r="A810" s="10" t="str">
        <x:v>M6</x:v>
      </x:c>
      <x:c r="B810" s="10" t="str">
        <x:v>CG_H0</x:v>
      </x:c>
      <x:c r="C810" s="10" t="n">
        <x:v>5</x:v>
      </x:c>
      <x:c r="D810" s="24" t="n">
        <x:v>0.0296</x:v>
      </x:c>
      <x:c r="E810" s="24" t="n">
        <x:v>0.0636063606360636</x:v>
      </x:c>
      <x:c r="F810" s="24" t="n">
        <x:f>ABS(D810-E810)</x:f>
        <x:v>0.034006360636063604</x:v>
      </x:c>
    </x:row>
    <x:row r="811" ht="23" customHeight="1">
      <x:c r="A811" s="10" t="str">
        <x:v>M6</x:v>
      </x:c>
      <x:c r="B811" s="10" t="str">
        <x:v>CG_H0</x:v>
      </x:c>
      <x:c r="C811" s="10" t="n">
        <x:v>6</x:v>
      </x:c>
      <x:c r="D811" s="24" t="n">
        <x:v>0.0102</x:v>
      </x:c>
      <x:c r="E811" s="24" t="n">
        <x:v>0.023602360236023606</x:v>
      </x:c>
      <x:c r="F811" s="24" t="n">
        <x:f>ABS(D811-E811)</x:f>
        <x:v>0.013402360236023605</x:v>
      </x:c>
    </x:row>
    <x:row r="812" ht="23" customHeight="1">
      <x:c r="A812" s="10" t="str">
        <x:v>M6</x:v>
      </x:c>
      <x:c r="B812" s="10" t="str">
        <x:v>CG_H0</x:v>
      </x:c>
      <x:c r="C812" s="10" t="n">
        <x:v>7</x:v>
      </x:c>
      <x:c r="D812" s="24" t="n">
        <x:v>0.0012</x:v>
      </x:c>
      <x:c r="E812" s="24" t="n">
        <x:v>0.04630463046304631</x:v>
      </x:c>
      <x:c r="F812" s="24" t="n">
        <x:f>ABS(D812-E812)</x:f>
        <x:v>0.04510463046304631</x:v>
      </x:c>
    </x:row>
    <x:row r="813" ht="23" customHeight="1">
      <x:c r="A813" s="10" t="str">
        <x:v>M6</x:v>
      </x:c>
      <x:c r="B813" s="10" t="str">
        <x:v>CG_H0</x:v>
      </x:c>
      <x:c r="C813" s="10" t="n">
        <x:v>8</x:v>
      </x:c>
      <x:c r="D813" s="24" t="n">
        <x:v>0</x:v>
      </x:c>
      <x:c r="E813" s="24" t="n">
        <x:v>0.0203020302030203</x:v>
      </x:c>
      <x:c r="F813" s="24" t="n">
        <x:f>ABS(D813-E813)</x:f>
        <x:v>0.0203020302030203</x:v>
      </x:c>
    </x:row>
    <x:row r="814" ht="23" customHeight="1">
      <x:c r="A814" s="10" t="str">
        <x:v>M6</x:v>
      </x:c>
      <x:c r="B814" s="10" t="str">
        <x:v>CG_H0</x:v>
      </x:c>
      <x:c r="C814" s="10" t="n">
        <x:v>9</x:v>
      </x:c>
      <x:c r="D814" s="24" t="n">
        <x:v>0</x:v>
      </x:c>
      <x:c r="E814" s="24" t="n">
        <x:v>0.04360436043604361</x:v>
      </x:c>
      <x:c r="F814" s="24" t="n">
        <x:f>ABS(D814-E814)</x:f>
        <x:v>0.04360436043604361</x:v>
      </x:c>
    </x:row>
    <x:row r="815" ht="23" customHeight="1">
      <x:c r="A815" s="10" t="str">
        <x:v>M6</x:v>
      </x:c>
      <x:c r="B815" s="10" t="str">
        <x:v>CG_H0</x:v>
      </x:c>
      <x:c r="C815" s="10" t="n">
        <x:v>10</x:v>
      </x:c>
      <x:c r="D815" s="24" t="n">
        <x:v>0</x:v>
      </x:c>
      <x:c r="E815" s="24" t="n">
        <x:v>0</x:v>
      </x:c>
      <x:c r="F815" s="24" t="n">
        <x:f>ABS(D815-E815)</x:f>
        <x:v>0</x:v>
      </x:c>
    </x:row>
    <x:row r="816" ht="23" customHeight="1">
      <x:c r="A816" s="10" t="str">
        <x:v>M6</x:v>
      </x:c>
      <x:c r="B816" s="10" t="str">
        <x:v>CG_H1</x:v>
      </x:c>
      <x:c r="C816" s="10" t="n">
        <x:v>1</x:v>
      </x:c>
      <x:c r="D816" s="24" t="n">
        <x:v>0.006</x:v>
      </x:c>
      <x:c r="E816" s="24" t="n">
        <x:v>0.0024002400240024004</x:v>
      </x:c>
      <x:c r="F816" s="24" t="n">
        <x:f>ABS(D816-E816)</x:f>
        <x:v>0.0035997599759975997</x:v>
      </x:c>
    </x:row>
    <x:row r="817" ht="23" customHeight="1">
      <x:c r="A817" s="10" t="str">
        <x:v>M6</x:v>
      </x:c>
      <x:c r="B817" s="10" t="str">
        <x:v>CG_H1</x:v>
      </x:c>
      <x:c r="C817" s="10" t="n">
        <x:v>2</x:v>
      </x:c>
      <x:c r="D817" s="24" t="n">
        <x:v>0.18309999999999998</x:v>
      </x:c>
      <x:c r="E817" s="24" t="n">
        <x:v>0.1637163716371637</x:v>
      </x:c>
      <x:c r="F817" s="24" t="n">
        <x:f>ABS(D817-E817)</x:f>
        <x:v>0.019383628362836275</x:v>
      </x:c>
    </x:row>
    <x:row r="818" ht="23" customHeight="1">
      <x:c r="A818" s="10" t="str">
        <x:v>M6</x:v>
      </x:c>
      <x:c r="B818" s="10" t="str">
        <x:v>CG_H1</x:v>
      </x:c>
      <x:c r="C818" s="10" t="n">
        <x:v>3</x:v>
      </x:c>
      <x:c r="D818" s="24" t="n">
        <x:v>0.507</x:v>
      </x:c>
      <x:c r="E818" s="24" t="n">
        <x:v>0.3944394439443945</x:v>
      </x:c>
      <x:c r="F818" s="24" t="n">
        <x:f>ABS(D818-E818)</x:f>
        <x:v>0.1125605560556055</x:v>
      </x:c>
    </x:row>
    <x:row r="819" ht="23" customHeight="1">
      <x:c r="A819" s="10" t="str">
        <x:v>M6</x:v>
      </x:c>
      <x:c r="B819" s="10" t="str">
        <x:v>CG_H1</x:v>
      </x:c>
      <x:c r="C819" s="10" t="n">
        <x:v>4</x:v>
      </x:c>
      <x:c r="D819" s="24" t="n">
        <x:v>0.2351</x:v>
      </x:c>
      <x:c r="E819" s="24" t="n">
        <x:v>0.24202420242024203</x:v>
      </x:c>
      <x:c r="F819" s="24" t="n">
        <x:f>ABS(D819-E819)</x:f>
        <x:v>0.006924202420242026</x:v>
      </x:c>
    </x:row>
    <x:row r="820" ht="23" customHeight="1">
      <x:c r="A820" s="10" t="str">
        <x:v>M6</x:v>
      </x:c>
      <x:c r="B820" s="10" t="str">
        <x:v>CG_H1</x:v>
      </x:c>
      <x:c r="C820" s="10" t="n">
        <x:v>5</x:v>
      </x:c>
      <x:c r="D820" s="24" t="n">
        <x:v>0.0574</x:v>
      </x:c>
      <x:c r="E820" s="24" t="n">
        <x:v>0.0636063606360636</x:v>
      </x:c>
      <x:c r="F820" s="24" t="n">
        <x:f>ABS(D820-E820)</x:f>
        <x:v>0.006206360636063606</x:v>
      </x:c>
    </x:row>
    <x:row r="821" ht="23" customHeight="1">
      <x:c r="A821" s="10" t="str">
        <x:v>M6</x:v>
      </x:c>
      <x:c r="B821" s="10" t="str">
        <x:v>CG_H1</x:v>
      </x:c>
      <x:c r="C821" s="10" t="n">
        <x:v>6</x:v>
      </x:c>
      <x:c r="D821" s="24" t="n">
        <x:v>0.0102</x:v>
      </x:c>
      <x:c r="E821" s="24" t="n">
        <x:v>0.023602360236023606</x:v>
      </x:c>
      <x:c r="F821" s="24" t="n">
        <x:f>ABS(D821-E821)</x:f>
        <x:v>0.013402360236023605</x:v>
      </x:c>
    </x:row>
    <x:row r="822" ht="23" customHeight="1">
      <x:c r="A822" s="10" t="str">
        <x:v>M6</x:v>
      </x:c>
      <x:c r="B822" s="10" t="str">
        <x:v>CG_H1</x:v>
      </x:c>
      <x:c r="C822" s="10" t="n">
        <x:v>7</x:v>
      </x:c>
      <x:c r="D822" s="24" t="n">
        <x:v>0.0012</x:v>
      </x:c>
      <x:c r="E822" s="24" t="n">
        <x:v>0.04630463046304631</x:v>
      </x:c>
      <x:c r="F822" s="24" t="n">
        <x:f>ABS(D822-E822)</x:f>
        <x:v>0.04510463046304631</x:v>
      </x:c>
    </x:row>
    <x:row r="823" ht="23" customHeight="1">
      <x:c r="A823" s="10" t="str">
        <x:v>M6</x:v>
      </x:c>
      <x:c r="B823" s="10" t="str">
        <x:v>CG_H1</x:v>
      </x:c>
      <x:c r="C823" s="10" t="n">
        <x:v>8</x:v>
      </x:c>
      <x:c r="D823" s="24" t="n">
        <x:v>0</x:v>
      </x:c>
      <x:c r="E823" s="24" t="n">
        <x:v>0.0203020302030203</x:v>
      </x:c>
      <x:c r="F823" s="24" t="n">
        <x:f>ABS(D823-E823)</x:f>
        <x:v>0.0203020302030203</x:v>
      </x:c>
    </x:row>
    <x:row r="824" ht="23" customHeight="1">
      <x:c r="A824" s="10" t="str">
        <x:v>M6</x:v>
      </x:c>
      <x:c r="B824" s="10" t="str">
        <x:v>CG_H1</x:v>
      </x:c>
      <x:c r="C824" s="10" t="n">
        <x:v>9</x:v>
      </x:c>
      <x:c r="D824" s="24" t="n">
        <x:v>0</x:v>
      </x:c>
      <x:c r="E824" s="24" t="n">
        <x:v>0.04360436043604361</x:v>
      </x:c>
      <x:c r="F824" s="24" t="n">
        <x:f>ABS(D824-E824)</x:f>
        <x:v>0.04360436043604361</x:v>
      </x:c>
    </x:row>
    <x:row r="825" ht="23" customHeight="1">
      <x:c r="A825" s="10" t="str">
        <x:v>M6</x:v>
      </x:c>
      <x:c r="B825" s="10" t="str">
        <x:v>CG_H1</x:v>
      </x:c>
      <x:c r="C825" s="10" t="n">
        <x:v>10</x:v>
      </x:c>
      <x:c r="D825" s="24" t="n">
        <x:v>0</x:v>
      </x:c>
      <x:c r="E825" s="24" t="n">
        <x:v>0</x:v>
      </x:c>
      <x:c r="F825" s="24" t="n">
        <x:f>ABS(D825-E825)</x:f>
        <x:v>0</x:v>
      </x:c>
    </x:row>
    <x:row r="826" ht="23" customHeight="1">
      <x:c r="A826" s="10" t="str">
        <x:v>M6</x:v>
      </x:c>
      <x:c r="B826" s="10" t="str">
        <x:v>NCG_H0</x:v>
      </x:c>
      <x:c r="C826" s="10" t="n">
        <x:v>1</x:v>
      </x:c>
      <x:c r="D826" s="24" t="n">
        <x:v>0</x:v>
      </x:c>
      <x:c r="E826" s="24" t="n">
        <x:v>0.0024002400240024004</x:v>
      </x:c>
      <x:c r="F826" s="24" t="n">
        <x:f>ABS(D826-E826)</x:f>
        <x:v>0.0024002400240024004</x:v>
      </x:c>
    </x:row>
    <x:row r="827" ht="23" customHeight="1">
      <x:c r="A827" s="10" t="str">
        <x:v>M6</x:v>
      </x:c>
      <x:c r="B827" s="10" t="str">
        <x:v>NCG_H0</x:v>
      </x:c>
      <x:c r="C827" s="10" t="n">
        <x:v>2</x:v>
      </x:c>
      <x:c r="D827" s="24" t="n">
        <x:v>0.2067586482703459</x:v>
      </x:c>
      <x:c r="E827" s="24" t="n">
        <x:v>0.1637163716371637</x:v>
      </x:c>
      <x:c r="F827" s="24" t="n">
        <x:f>ABS(D827-E827)</x:f>
        <x:v>0.04304227663318219</x:v>
      </x:c>
    </x:row>
    <x:row r="828" ht="23" customHeight="1">
      <x:c r="A828" s="10" t="str">
        <x:v>M6</x:v>
      </x:c>
      <x:c r="B828" s="10" t="str">
        <x:v>NCG_H0</x:v>
      </x:c>
      <x:c r="C828" s="10" t="n">
        <x:v>3</x:v>
      </x:c>
      <x:c r="D828" s="24" t="n">
        <x:v>0.3883223355328934</x:v>
      </x:c>
      <x:c r="E828" s="24" t="n">
        <x:v>0.3944394439443945</x:v>
      </x:c>
      <x:c r="F828" s="24" t="n">
        <x:f>ABS(D828-E828)</x:f>
        <x:v>0.006117108411501093</x:v>
      </x:c>
    </x:row>
    <x:row r="829" ht="23" customHeight="1">
      <x:c r="A829" s="10" t="str">
        <x:v>M6</x:v>
      </x:c>
      <x:c r="B829" s="10" t="str">
        <x:v>NCG_H0</x:v>
      </x:c>
      <x:c r="C829" s="10" t="n">
        <x:v>4</x:v>
      </x:c>
      <x:c r="D829" s="24" t="n">
        <x:v>0.24705058988202355</x:v>
      </x:c>
      <x:c r="E829" s="24" t="n">
        <x:v>0.24202420242024203</x:v>
      </x:c>
      <x:c r="F829" s="24" t="n">
        <x:f>ABS(D829-E829)</x:f>
        <x:v>0.005026387461781523</x:v>
      </x:c>
    </x:row>
    <x:row r="830" ht="23" customHeight="1">
      <x:c r="A830" s="10" t="str">
        <x:v>M6</x:v>
      </x:c>
      <x:c r="B830" s="10" t="str">
        <x:v>NCG_H0</x:v>
      </x:c>
      <x:c r="C830" s="10" t="n">
        <x:v>5</x:v>
      </x:c>
      <x:c r="D830" s="24" t="n">
        <x:v>0.03109378124375125</x:v>
      </x:c>
      <x:c r="E830" s="24" t="n">
        <x:v>0.0636063606360636</x:v>
      </x:c>
      <x:c r="F830" s="24" t="n">
        <x:f>ABS(D830-E830)</x:f>
        <x:v>0.032512579392312356</x:v>
      </x:c>
    </x:row>
    <x:row r="831" ht="23" customHeight="1">
      <x:c r="A831" s="10" t="str">
        <x:v>M6</x:v>
      </x:c>
      <x:c r="B831" s="10" t="str">
        <x:v>NCG_H0</x:v>
      </x:c>
      <x:c r="C831" s="10" t="n">
        <x:v>6</x:v>
      </x:c>
      <x:c r="D831" s="24" t="n">
        <x:v>0.011397720455908816</x:v>
      </x:c>
      <x:c r="E831" s="24" t="n">
        <x:v>0.023602360236023606</x:v>
      </x:c>
      <x:c r="F831" s="24" t="n">
        <x:f>ABS(D831-E831)</x:f>
        <x:v>0.01220463978011479</x:v>
      </x:c>
    </x:row>
    <x:row r="832" ht="23" customHeight="1">
      <x:c r="A832" s="10" t="str">
        <x:v>M6</x:v>
      </x:c>
      <x:c r="B832" s="10" t="str">
        <x:v>NCG_H0</x:v>
      </x:c>
      <x:c r="C832" s="10" t="n">
        <x:v>7</x:v>
      </x:c>
      <x:c r="D832" s="24" t="n">
        <x:v>0.05288942211557688</x:v>
      </x:c>
      <x:c r="E832" s="24" t="n">
        <x:v>0.04630463046304631</x:v>
      </x:c>
      <x:c r="F832" s="24" t="n">
        <x:f>ABS(D832-E832)</x:f>
        <x:v>0.006584791652530571</x:v>
      </x:c>
    </x:row>
    <x:row r="833" ht="23" customHeight="1">
      <x:c r="A833" s="10" t="str">
        <x:v>M6</x:v>
      </x:c>
      <x:c r="B833" s="10" t="str">
        <x:v>NCG_H0</x:v>
      </x:c>
      <x:c r="C833" s="10" t="n">
        <x:v>8</x:v>
      </x:c>
      <x:c r="D833" s="24" t="n">
        <x:v>0.010497900419916016</x:v>
      </x:c>
      <x:c r="E833" s="24" t="n">
        <x:v>0.0203020302030203</x:v>
      </x:c>
      <x:c r="F833" s="24" t="n">
        <x:f>ABS(D833-E833)</x:f>
        <x:v>0.009804129783104285</x:v>
      </x:c>
    </x:row>
    <x:row r="834" ht="23" customHeight="1">
      <x:c r="A834" s="10" t="str">
        <x:v>M6</x:v>
      </x:c>
      <x:c r="B834" s="10" t="str">
        <x:v>NCG_H0</x:v>
      </x:c>
      <x:c r="C834" s="10" t="n">
        <x:v>9</x:v>
      </x:c>
      <x:c r="D834" s="24" t="n">
        <x:v>0.05198960207958407</x:v>
      </x:c>
      <x:c r="E834" s="24" t="n">
        <x:v>0.04360436043604361</x:v>
      </x:c>
      <x:c r="F834" s="24" t="n">
        <x:f>ABS(D834-E834)</x:f>
        <x:v>0.008385241643540459</x:v>
      </x:c>
    </x:row>
    <x:row r="835" ht="23" customHeight="1">
      <x:c r="A835" s="10" t="str">
        <x:v>M6</x:v>
      </x:c>
      <x:c r="B835" s="10" t="str">
        <x:v>NCG_H0</x:v>
      </x:c>
      <x:c r="C835" s="10" t="n">
        <x:v>10</x:v>
      </x:c>
      <x:c r="D835" s="24" t="n">
        <x:v>0</x:v>
      </x:c>
      <x:c r="E835" s="24" t="n">
        <x:v>0</x:v>
      </x:c>
      <x:c r="F835" s="24" t="n">
        <x:f>ABS(D835-E835)</x:f>
        <x:v>0</x:v>
      </x:c>
    </x:row>
    <x:row r="836" ht="23" customHeight="1">
      <x:c r="A836" s="10" t="str">
        <x:v>M6</x:v>
      </x:c>
      <x:c r="B836" s="10" t="str">
        <x:v>NCG_H1</x:v>
      </x:c>
      <x:c r="C836" s="10" t="n">
        <x:v>1</x:v>
      </x:c>
      <x:c r="D836" s="24" t="n">
        <x:v>0</x:v>
      </x:c>
      <x:c r="E836" s="24" t="n">
        <x:v>0.0024002400240024004</x:v>
      </x:c>
      <x:c r="F836" s="24" t="n">
        <x:f>ABS(D836-E836)</x:f>
        <x:v>0.0024002400240024004</x:v>
      </x:c>
    </x:row>
    <x:row r="837" ht="23" customHeight="1">
      <x:c r="A837" s="10" t="str">
        <x:v>M6</x:v>
      </x:c>
      <x:c r="B837" s="10" t="str">
        <x:v>NCG_H1</x:v>
      </x:c>
      <x:c r="C837" s="10" t="n">
        <x:v>2</x:v>
      </x:c>
      <x:c r="D837" s="24" t="n">
        <x:v>0.1685</x:v>
      </x:c>
      <x:c r="E837" s="24" t="n">
        <x:v>0.1637163716371637</x:v>
      </x:c>
      <x:c r="F837" s="24" t="n">
        <x:f>ABS(D837-E837)</x:f>
        <x:v>0.004783628362836301</x:v>
      </x:c>
    </x:row>
    <x:row r="838" ht="23" customHeight="1">
      <x:c r="A838" s="10" t="str">
        <x:v>M6</x:v>
      </x:c>
      <x:c r="B838" s="10" t="str">
        <x:v>NCG_H1</x:v>
      </x:c>
      <x:c r="C838" s="10" t="n">
        <x:v>3</x:v>
      </x:c>
      <x:c r="D838" s="24" t="n">
        <x:v>0.40099999999999997</x:v>
      </x:c>
      <x:c r="E838" s="24" t="n">
        <x:v>0.3944394439443945</x:v>
      </x:c>
      <x:c r="F838" s="24" t="n">
        <x:f>ABS(D838-E838)</x:f>
        <x:v>0.00656055605560546</x:v>
      </x:c>
    </x:row>
    <x:row r="839" ht="23" customHeight="1">
      <x:c r="A839" s="10" t="str">
        <x:v>M6</x:v>
      </x:c>
      <x:c r="B839" s="10" t="str">
        <x:v>NCG_H1</x:v>
      </x:c>
      <x:c r="C839" s="10" t="n">
        <x:v>4</x:v>
      </x:c>
      <x:c r="D839" s="24" t="n">
        <x:v>0.24169999999999997</x:v>
      </x:c>
      <x:c r="E839" s="24" t="n">
        <x:v>0.24202420242024203</x:v>
      </x:c>
      <x:c r="F839" s="24" t="n">
        <x:f>ABS(D839-E839)</x:f>
        <x:v>0.00032420242024205903</x:v>
      </x:c>
    </x:row>
    <x:row r="840" ht="23" customHeight="1">
      <x:c r="A840" s="10" t="str">
        <x:v>M6</x:v>
      </x:c>
      <x:c r="B840" s="10" t="str">
        <x:v>NCG_H1</x:v>
      </x:c>
      <x:c r="C840" s="10" t="n">
        <x:v>5</x:v>
      </x:c>
      <x:c r="D840" s="24" t="n">
        <x:v>0.06119999999999999</x:v>
      </x:c>
      <x:c r="E840" s="24" t="n">
        <x:v>0.0636063606360636</x:v>
      </x:c>
      <x:c r="F840" s="24" t="n">
        <x:f>ABS(D840-E840)</x:f>
        <x:v>0.0024063606360636147</x:v>
      </x:c>
    </x:row>
    <x:row r="841" ht="23" customHeight="1">
      <x:c r="A841" s="10" t="str">
        <x:v>M6</x:v>
      </x:c>
      <x:c r="B841" s="10" t="str">
        <x:v>NCG_H1</x:v>
      </x:c>
      <x:c r="C841" s="10" t="n">
        <x:v>6</x:v>
      </x:c>
      <x:c r="D841" s="24" t="n">
        <x:v>0.012199999999999997</x:v>
      </x:c>
      <x:c r="E841" s="24" t="n">
        <x:v>0.023602360236023606</x:v>
      </x:c>
      <x:c r="F841" s="24" t="n">
        <x:f>ABS(D841-E841)</x:f>
        <x:v>0.011402360236023609</x:v>
      </x:c>
    </x:row>
    <x:row r="842" ht="23" customHeight="1">
      <x:c r="A842" s="10" t="str">
        <x:v>M6</x:v>
      </x:c>
      <x:c r="B842" s="10" t="str">
        <x:v>NCG_H1</x:v>
      </x:c>
      <x:c r="C842" s="10" t="n">
        <x:v>7</x:v>
      </x:c>
      <x:c r="D842" s="24" t="n">
        <x:v>0.05289999999999999</x:v>
      </x:c>
      <x:c r="E842" s="24" t="n">
        <x:v>0.04630463046304631</x:v>
      </x:c>
      <x:c r="F842" s="24" t="n">
        <x:f>ABS(D842-E842)</x:f>
        <x:v>0.00659536953695368</x:v>
      </x:c>
    </x:row>
    <x:row r="843" ht="23" customHeight="1">
      <x:c r="A843" s="10" t="str">
        <x:v>M6</x:v>
      </x:c>
      <x:c r="B843" s="10" t="str">
        <x:v>NCG_H1</x:v>
      </x:c>
      <x:c r="C843" s="10" t="n">
        <x:v>8</x:v>
      </x:c>
      <x:c r="D843" s="24" t="n">
        <x:v>0.010499999999999999</x:v>
      </x:c>
      <x:c r="E843" s="24" t="n">
        <x:v>0.0203020302030203</x:v>
      </x:c>
      <x:c r="F843" s="24" t="n">
        <x:f>ABS(D843-E843)</x:f>
        <x:v>0.009802030203020302</x:v>
      </x:c>
    </x:row>
    <x:row r="844" ht="23" customHeight="1">
      <x:c r="A844" s="10" t="str">
        <x:v>M6</x:v>
      </x:c>
      <x:c r="B844" s="10" t="str">
        <x:v>NCG_H1</x:v>
      </x:c>
      <x:c r="C844" s="10" t="n">
        <x:v>9</x:v>
      </x:c>
      <x:c r="D844" s="24" t="n">
        <x:v>0.05199999999999999</x:v>
      </x:c>
      <x:c r="E844" s="24" t="n">
        <x:v>0.04360436043604361</x:v>
      </x:c>
      <x:c r="F844" s="24" t="n">
        <x:f>ABS(D844-E844)</x:f>
        <x:v>0.008395639563956378</x:v>
      </x:c>
    </x:row>
    <x:row r="845" ht="23" customHeight="1">
      <x:c r="A845" s="10" t="str">
        <x:v>M6</x:v>
      </x:c>
      <x:c r="B845" s="10" t="str">
        <x:v>NCG_H1</x:v>
      </x:c>
      <x:c r="C845" s="10" t="n">
        <x:v>10</x:v>
      </x:c>
      <x:c r="D845" s="24" t="n">
        <x:v>0</x:v>
      </x:c>
      <x:c r="E845" s="24" t="n">
        <x:v>0</x:v>
      </x:c>
      <x:c r="F845" s="24" t="n">
        <x:f>ABS(D845-E845)</x:f>
        <x:v>0</x:v>
      </x:c>
    </x:row>
    <x:row r="846" ht="23" customHeight="1">
      <x:c r="A846" s="10" t="str">
        <x:v>M7</x:v>
      </x:c>
      <x:c r="B846" s="10" t="str">
        <x:v>N_H0</x:v>
      </x:c>
      <x:c r="C846" s="10" t="n">
        <x:v>1</x:v>
      </x:c>
      <x:c r="D846" s="24" t="n">
        <x:v>0</x:v>
      </x:c>
      <x:c r="E846" s="24" t="n">
        <x:v>0.0019003800760152032</x:v>
      </x:c>
      <x:c r="F846" s="24" t="n">
        <x:f>ABS(D846-E846)</x:f>
        <x:v>0.0019003800760152032</x:v>
      </x:c>
    </x:row>
    <x:row r="847" ht="23" customHeight="1">
      <x:c r="A847" s="10" t="str">
        <x:v>M7</x:v>
      </x:c>
      <x:c r="B847" s="10" t="str">
        <x:v>N_H0</x:v>
      </x:c>
      <x:c r="C847" s="10" t="n">
        <x:v>2</x:v>
      </x:c>
      <x:c r="D847" s="24" t="n">
        <x:v>0.046800000000000015</x:v>
      </x:c>
      <x:c r="E847" s="24" t="n">
        <x:v>0.10622124424884978</x:v>
      </x:c>
      <x:c r="F847" s="24" t="n">
        <x:f>ABS(D847-E847)</x:f>
        <x:v>0.059421244248849765</x:v>
      </x:c>
    </x:row>
    <x:row r="848" ht="23" customHeight="1">
      <x:c r="A848" s="10" t="str">
        <x:v>M7</x:v>
      </x:c>
      <x:c r="B848" s="10" t="str">
        <x:v>N_H0</x:v>
      </x:c>
      <x:c r="C848" s="10" t="n">
        <x:v>3</x:v>
      </x:c>
      <x:c r="D848" s="24" t="n">
        <x:v>0.017500000000000005</x:v>
      </x:c>
      <x:c r="E848" s="24" t="n">
        <x:v>0.6034206841368275</x:v>
      </x:c>
      <x:c r="F848" s="24" t="n">
        <x:f>ABS(D848-E848)</x:f>
        <x:v>0.5859206841368275</x:v>
      </x:c>
    </x:row>
    <x:row r="849" ht="23" customHeight="1">
      <x:c r="A849" s="10" t="str">
        <x:v>M7</x:v>
      </x:c>
      <x:c r="B849" s="10" t="str">
        <x:v>N_H0</x:v>
      </x:c>
      <x:c r="C849" s="10" t="n">
        <x:v>4</x:v>
      </x:c>
      <x:c r="D849" s="24" t="n">
        <x:v>0</x:v>
      </x:c>
      <x:c r="E849" s="24" t="n">
        <x:v>0.16083216643328666</x:v>
      </x:c>
      <x:c r="F849" s="24" t="n">
        <x:f>ABS(D849-E849)</x:f>
        <x:v>0.16083216643328666</x:v>
      </x:c>
    </x:row>
    <x:row r="850" ht="23" customHeight="1">
      <x:c r="A850" s="10" t="str">
        <x:v>M7</x:v>
      </x:c>
      <x:c r="B850" s="10" t="str">
        <x:v>N_H0</x:v>
      </x:c>
      <x:c r="C850" s="10" t="n">
        <x:v>5</x:v>
      </x:c>
      <x:c r="D850" s="24" t="n">
        <x:v>0.8996000000000002</x:v>
      </x:c>
      <x:c r="E850" s="24" t="n">
        <x:v>0.07991598319663934</x:v>
      </x:c>
      <x:c r="F850" s="24" t="n">
        <x:f>ABS(D850-E850)</x:f>
        <x:v>0.8196840168033608</x:v>
      </x:c>
    </x:row>
    <x:row r="851" ht="23" customHeight="1">
      <x:c r="A851" s="10" t="str">
        <x:v>M7</x:v>
      </x:c>
      <x:c r="B851" s="10" t="str">
        <x:v>N_H0</x:v>
      </x:c>
      <x:c r="C851" s="10" t="n">
        <x:v>6</x:v>
      </x:c>
      <x:c r="D851" s="24" t="n">
        <x:v>0.010700000000000003</x:v>
      </x:c>
      <x:c r="E851" s="24" t="n">
        <x:v>0.01850370074014803</x:v>
      </x:c>
      <x:c r="F851" s="24" t="n">
        <x:f>ABS(D851-E851)</x:f>
        <x:v>0.007803700740148028</x:v>
      </x:c>
    </x:row>
    <x:row r="852" ht="23" customHeight="1">
      <x:c r="A852" s="10" t="str">
        <x:v>M7</x:v>
      </x:c>
      <x:c r="B852" s="10" t="str">
        <x:v>N_H0</x:v>
      </x:c>
      <x:c r="C852" s="10" t="n">
        <x:v>7</x:v>
      </x:c>
      <x:c r="D852" s="24" t="n">
        <x:v>0.0010000000000000002</x:v>
      </x:c>
      <x:c r="E852" s="24" t="n">
        <x:v>0.0039007801560312066</x:v>
      </x:c>
      <x:c r="F852" s="24" t="n">
        <x:f>ABS(D852-E852)</x:f>
        <x:v>0.0029007801560312066</x:v>
      </x:c>
    </x:row>
    <x:row r="853" ht="23" customHeight="1">
      <x:c r="A853" s="10" t="str">
        <x:v>M7</x:v>
      </x:c>
      <x:c r="B853" s="10" t="str">
        <x:v>N_H0</x:v>
      </x:c>
      <x:c r="C853" s="10" t="n">
        <x:v>8</x:v>
      </x:c>
      <x:c r="D853" s="24" t="n">
        <x:v>0.004900000000000002</x:v>
      </x:c>
      <x:c r="E853" s="24" t="n">
        <x:v>0.007801560312062413</x:v>
      </x:c>
      <x:c r="F853" s="24" t="n">
        <x:f>ABS(D853-E853)</x:f>
        <x:v>0.0029015603120624116</x:v>
      </x:c>
    </x:row>
    <x:row r="854" ht="23" customHeight="1">
      <x:c r="A854" s="10" t="str">
        <x:v>M7</x:v>
      </x:c>
      <x:c r="B854" s="10" t="str">
        <x:v>N_H0</x:v>
      </x:c>
      <x:c r="C854" s="10" t="n">
        <x:v>9</x:v>
      </x:c>
      <x:c r="D854" s="24" t="n">
        <x:v>0.019500000000000007</x:v>
      </x:c>
      <x:c r="E854" s="24" t="n">
        <x:v>0.017503500700140028</x:v>
      </x:c>
      <x:c r="F854" s="24" t="n">
        <x:f>ABS(D854-E854)</x:f>
        <x:v>0.0019964992998599794</x:v>
      </x:c>
    </x:row>
    <x:row r="855" ht="23" customHeight="1">
      <x:c r="A855" s="10" t="str">
        <x:v>M7</x:v>
      </x:c>
      <x:c r="B855" s="10" t="str">
        <x:v>N_H0</x:v>
      </x:c>
      <x:c r="C855" s="10" t="n">
        <x:v>10</x:v>
      </x:c>
      <x:c r="D855" s="24" t="n">
        <x:v>0</x:v>
      </x:c>
      <x:c r="E855" s="24" t="n">
        <x:v>0</x:v>
      </x:c>
      <x:c r="F855" s="24" t="n">
        <x:f>ABS(D855-E855)</x:f>
        <x:v>0</x:v>
      </x:c>
    </x:row>
    <x:row r="856" ht="23" customHeight="1">
      <x:c r="A856" s="10" t="str">
        <x:v>M7</x:v>
      </x:c>
      <x:c r="B856" s="10" t="str">
        <x:v>N_H1</x:v>
      </x:c>
      <x:c r="C856" s="10" t="n">
        <x:v>1</x:v>
      </x:c>
      <x:c r="D856" s="24" t="n">
        <x:v>0</x:v>
      </x:c>
      <x:c r="E856" s="24" t="n">
        <x:v>0.0019003800760152032</x:v>
      </x:c>
      <x:c r="F856" s="24" t="n">
        <x:f>ABS(D856-E856)</x:f>
        <x:v>0.0019003800760152032</x:v>
      </x:c>
    </x:row>
    <x:row r="857" ht="23" customHeight="1">
      <x:c r="A857" s="10" t="str">
        <x:v>M7</x:v>
      </x:c>
      <x:c r="B857" s="10" t="str">
        <x:v>N_H1</x:v>
      </x:c>
      <x:c r="C857" s="10" t="n">
        <x:v>2</x:v>
      </x:c>
      <x:c r="D857" s="24" t="n">
        <x:v>0.045804580458045814</x:v>
      </x:c>
      <x:c r="E857" s="24" t="n">
        <x:v>0.10622124424884978</x:v>
      </x:c>
      <x:c r="F857" s="24" t="n">
        <x:f>ABS(D857-E857)</x:f>
        <x:v>0.060416663790803966</x:v>
      </x:c>
    </x:row>
    <x:row r="858" ht="23" customHeight="1">
      <x:c r="A858" s="10" t="str">
        <x:v>M7</x:v>
      </x:c>
      <x:c r="B858" s="10" t="str">
        <x:v>N_H1</x:v>
      </x:c>
      <x:c r="C858" s="10" t="n">
        <x:v>3</x:v>
      </x:c>
      <x:c r="D858" s="24" t="n">
        <x:v>0.013601360136013605</x:v>
      </x:c>
      <x:c r="E858" s="24" t="n">
        <x:v>0.6034206841368275</x:v>
      </x:c>
      <x:c r="F858" s="24" t="n">
        <x:f>ABS(D858-E858)</x:f>
        <x:v>0.5898193240008138</x:v>
      </x:c>
    </x:row>
    <x:row r="859" ht="23" customHeight="1">
      <x:c r="A859" s="10" t="str">
        <x:v>M7</x:v>
      </x:c>
      <x:c r="B859" s="10" t="str">
        <x:v>N_H1</x:v>
      </x:c>
      <x:c r="C859" s="10" t="n">
        <x:v>4</x:v>
      </x:c>
      <x:c r="D859" s="24" t="n">
        <x:v>0</x:v>
      </x:c>
      <x:c r="E859" s="24" t="n">
        <x:v>0.16083216643328666</x:v>
      </x:c>
      <x:c r="F859" s="24" t="n">
        <x:f>ABS(D859-E859)</x:f>
        <x:v>0.16083216643328666</x:v>
      </x:c>
    </x:row>
    <x:row r="860" ht="23" customHeight="1">
      <x:c r="A860" s="10" t="str">
        <x:v>M7</x:v>
      </x:c>
      <x:c r="B860" s="10" t="str">
        <x:v>N_H1</x:v>
      </x:c>
      <x:c r="C860" s="10" t="n">
        <x:v>5</x:v>
      </x:c>
      <x:c r="D860" s="24" t="n">
        <x:v>0.8996899689968998</x:v>
      </x:c>
      <x:c r="E860" s="24" t="n">
        <x:v>0.07991598319663934</x:v>
      </x:c>
      <x:c r="F860" s="24" t="n">
        <x:f>ABS(D860-E860)</x:f>
        <x:v>0.8197739858002604</x:v>
      </x:c>
    </x:row>
    <x:row r="861" ht="23" customHeight="1">
      <x:c r="A861" s="10" t="str">
        <x:v>M7</x:v>
      </x:c>
      <x:c r="B861" s="10" t="str">
        <x:v>N_H1</x:v>
      </x:c>
      <x:c r="C861" s="10" t="n">
        <x:v>6</x:v>
      </x:c>
      <x:c r="D861" s="24" t="n">
        <x:v>0.010701070107010704</x:v>
      </x:c>
      <x:c r="E861" s="24" t="n">
        <x:v>0.01850370074014803</x:v>
      </x:c>
      <x:c r="F861" s="24" t="n">
        <x:f>ABS(D861-E861)</x:f>
        <x:v>0.007802630633137327</x:v>
      </x:c>
    </x:row>
    <x:row r="862" ht="23" customHeight="1">
      <x:c r="A862" s="10" t="str">
        <x:v>M7</x:v>
      </x:c>
      <x:c r="B862" s="10" t="str">
        <x:v>N_H1</x:v>
      </x:c>
      <x:c r="C862" s="10" t="n">
        <x:v>7</x:v>
      </x:c>
      <x:c r="D862" s="24" t="n">
        <x:v>0.005800580058005801</x:v>
      </x:c>
      <x:c r="E862" s="24" t="n">
        <x:v>0.0039007801560312066</x:v>
      </x:c>
      <x:c r="F862" s="24" t="n">
        <x:f>ABS(D862-E862)</x:f>
        <x:v>0.0018997999019745946</x:v>
      </x:c>
    </x:row>
    <x:row r="863" ht="23" customHeight="1">
      <x:c r="A863" s="10" t="str">
        <x:v>M7</x:v>
      </x:c>
      <x:c r="B863" s="10" t="str">
        <x:v>N_H1</x:v>
      </x:c>
      <x:c r="C863" s="10" t="n">
        <x:v>8</x:v>
      </x:c>
      <x:c r="D863" s="24" t="n">
        <x:v>0.004900490049004901</x:v>
      </x:c>
      <x:c r="E863" s="24" t="n">
        <x:v>0.007801560312062413</x:v>
      </x:c>
      <x:c r="F863" s="24" t="n">
        <x:f>ABS(D863-E863)</x:f>
        <x:v>0.002901070263057512</x:v>
      </x:c>
    </x:row>
    <x:row r="864" ht="23" customHeight="1">
      <x:c r="A864" s="10" t="str">
        <x:v>M7</x:v>
      </x:c>
      <x:c r="B864" s="10" t="str">
        <x:v>N_H1</x:v>
      </x:c>
      <x:c r="C864" s="10" t="n">
        <x:v>9</x:v>
      </x:c>
      <x:c r="D864" s="24" t="n">
        <x:v>0.019501950195019505</x:v>
      </x:c>
      <x:c r="E864" s="24" t="n">
        <x:v>0.017503500700140028</x:v>
      </x:c>
      <x:c r="F864" s="24" t="n">
        <x:f>ABS(D864-E864)</x:f>
        <x:v>0.001998449494879477</x:v>
      </x:c>
    </x:row>
    <x:row r="865" ht="23" customHeight="1">
      <x:c r="A865" s="10" t="str">
        <x:v>M7</x:v>
      </x:c>
      <x:c r="B865" s="10" t="str">
        <x:v>N_H1</x:v>
      </x:c>
      <x:c r="C865" s="10" t="n">
        <x:v>10</x:v>
      </x:c>
      <x:c r="D865" s="24" t="n">
        <x:v>0</x:v>
      </x:c>
      <x:c r="E865" s="24" t="n">
        <x:v>0</x:v>
      </x:c>
      <x:c r="F865" s="24" t="n">
        <x:f>ABS(D865-E865)</x:f>
        <x:v>0</x:v>
      </x:c>
    </x:row>
    <x:row r="866" ht="23" customHeight="1">
      <x:c r="A866" s="10" t="str">
        <x:v>M7</x:v>
      </x:c>
      <x:c r="B866" s="10" t="str">
        <x:v>C_H0</x:v>
      </x:c>
      <x:c r="C866" s="10" t="n">
        <x:v>1</x:v>
      </x:c>
      <x:c r="D866" s="24" t="n">
        <x:v>0</x:v>
      </x:c>
      <x:c r="E866" s="24" t="n">
        <x:v>0.0019003800760152032</x:v>
      </x:c>
      <x:c r="F866" s="24" t="n">
        <x:f>ABS(D866-E866)</x:f>
        <x:v>0.0019003800760152032</x:v>
      </x:c>
    </x:row>
    <x:row r="867" ht="23" customHeight="1">
      <x:c r="A867" s="10" t="str">
        <x:v>M7</x:v>
      </x:c>
      <x:c r="B867" s="10" t="str">
        <x:v>C_H0</x:v>
      </x:c>
      <x:c r="C867" s="10" t="n">
        <x:v>2</x:v>
      </x:c>
      <x:c r="D867" s="24" t="n">
        <x:v>0.09939999999999999</x:v>
      </x:c>
      <x:c r="E867" s="24" t="n">
        <x:v>0.10622124424884978</x:v>
      </x:c>
      <x:c r="F867" s="24" t="n">
        <x:f>ABS(D867-E867)</x:f>
        <x:v>0.006821244248849792</x:v>
      </x:c>
    </x:row>
    <x:row r="868" ht="23" customHeight="1">
      <x:c r="A868" s="10" t="str">
        <x:v>M7</x:v>
      </x:c>
      <x:c r="B868" s="10" t="str">
        <x:v>C_H0</x:v>
      </x:c>
      <x:c r="C868" s="10" t="n">
        <x:v>3</x:v>
      </x:c>
      <x:c r="D868" s="24" t="n">
        <x:v>0</x:v>
      </x:c>
      <x:c r="E868" s="24" t="n">
        <x:v>0.6034206841368275</x:v>
      </x:c>
      <x:c r="F868" s="24" t="n">
        <x:f>ABS(D868-E868)</x:f>
        <x:v>0.6034206841368275</x:v>
      </x:c>
    </x:row>
    <x:row r="869" ht="23" customHeight="1">
      <x:c r="A869" s="10" t="str">
        <x:v>M7</x:v>
      </x:c>
      <x:c r="B869" s="10" t="str">
        <x:v>C_H0</x:v>
      </x:c>
      <x:c r="C869" s="10" t="n">
        <x:v>4</x:v>
      </x:c>
      <x:c r="D869" s="24" t="n">
        <x:v>0</x:v>
      </x:c>
      <x:c r="E869" s="24" t="n">
        <x:v>0.16083216643328666</x:v>
      </x:c>
      <x:c r="F869" s="24" t="n">
        <x:f>ABS(D869-E869)</x:f>
        <x:v>0.16083216643328666</x:v>
      </x:c>
    </x:row>
    <x:row r="870" ht="23" customHeight="1">
      <x:c r="A870" s="10" t="str">
        <x:v>M7</x:v>
      </x:c>
      <x:c r="B870" s="10" t="str">
        <x:v>C_H0</x:v>
      </x:c>
      <x:c r="C870" s="10" t="n">
        <x:v>5</x:v>
      </x:c>
      <x:c r="D870" s="24" t="n">
        <x:v>0.8967</x:v>
      </x:c>
      <x:c r="E870" s="24" t="n">
        <x:v>0.07991598319663934</x:v>
      </x:c>
      <x:c r="F870" s="24" t="n">
        <x:f>ABS(D870-E870)</x:f>
        <x:v>0.8167840168033607</x:v>
      </x:c>
    </x:row>
    <x:row r="871" ht="23" customHeight="1">
      <x:c r="A871" s="10" t="str">
        <x:v>M7</x:v>
      </x:c>
      <x:c r="B871" s="10" t="str">
        <x:v>C_H0</x:v>
      </x:c>
      <x:c r="C871" s="10" t="n">
        <x:v>6</x:v>
      </x:c>
      <x:c r="D871" s="24" t="n">
        <x:v>0</x:v>
      </x:c>
      <x:c r="E871" s="24" t="n">
        <x:v>0.01850370074014803</x:v>
      </x:c>
      <x:c r="F871" s="24" t="n">
        <x:f>ABS(D871-E871)</x:f>
        <x:v>0.01850370074014803</x:v>
      </x:c>
    </x:row>
    <x:row r="872" ht="23" customHeight="1">
      <x:c r="A872" s="10" t="str">
        <x:v>M7</x:v>
      </x:c>
      <x:c r="B872" s="10" t="str">
        <x:v>C_H0</x:v>
      </x:c>
      <x:c r="C872" s="10" t="n">
        <x:v>7</x:v>
      </x:c>
      <x:c r="D872" s="24" t="n">
        <x:v>0</x:v>
      </x:c>
      <x:c r="E872" s="24" t="n">
        <x:v>0.0039007801560312066</x:v>
      </x:c>
      <x:c r="F872" s="24" t="n">
        <x:f>ABS(D872-E872)</x:f>
        <x:v>0.0039007801560312066</x:v>
      </x:c>
    </x:row>
    <x:row r="873" ht="23" customHeight="1">
      <x:c r="A873" s="10" t="str">
        <x:v>M7</x:v>
      </x:c>
      <x:c r="B873" s="10" t="str">
        <x:v>C_H0</x:v>
      </x:c>
      <x:c r="C873" s="10" t="n">
        <x:v>8</x:v>
      </x:c>
      <x:c r="D873" s="24" t="n">
        <x:v>0</x:v>
      </x:c>
      <x:c r="E873" s="24" t="n">
        <x:v>0.007801560312062413</x:v>
      </x:c>
      <x:c r="F873" s="24" t="n">
        <x:f>ABS(D873-E873)</x:f>
        <x:v>0.007801560312062413</x:v>
      </x:c>
    </x:row>
    <x:row r="874" ht="23" customHeight="1">
      <x:c r="A874" s="10" t="str">
        <x:v>M7</x:v>
      </x:c>
      <x:c r="B874" s="10" t="str">
        <x:v>C_H0</x:v>
      </x:c>
      <x:c r="C874" s="10" t="n">
        <x:v>9</x:v>
      </x:c>
      <x:c r="D874" s="24" t="n">
        <x:v>0.0039000000000000003</x:v>
      </x:c>
      <x:c r="E874" s="24" t="n">
        <x:v>0.017503500700140028</x:v>
      </x:c>
      <x:c r="F874" s="24" t="n">
        <x:f>ABS(D874-E874)</x:f>
        <x:v>0.013603500700140027</x:v>
      </x:c>
    </x:row>
    <x:row r="875" ht="23" customHeight="1">
      <x:c r="A875" s="10" t="str">
        <x:v>M7</x:v>
      </x:c>
      <x:c r="B875" s="10" t="str">
        <x:v>C_H0</x:v>
      </x:c>
      <x:c r="C875" s="10" t="n">
        <x:v>10</x:v>
      </x:c>
      <x:c r="D875" s="24" t="n">
        <x:v>0</x:v>
      </x:c>
      <x:c r="E875" s="24" t="n">
        <x:v>0</x:v>
      </x:c>
      <x:c r="F875" s="24" t="n">
        <x:f>ABS(D875-E875)</x:f>
        <x:v>0</x:v>
      </x:c>
    </x:row>
    <x:row r="876" ht="23" customHeight="1">
      <x:c r="A876" s="10" t="str">
        <x:v>M7</x:v>
      </x:c>
      <x:c r="B876" s="10" t="str">
        <x:v>C_H1</x:v>
      </x:c>
      <x:c r="C876" s="10" t="n">
        <x:v>1</x:v>
      </x:c>
      <x:c r="D876" s="24" t="n">
        <x:v>0</x:v>
      </x:c>
      <x:c r="E876" s="24" t="n">
        <x:v>0.0019003800760152032</x:v>
      </x:c>
      <x:c r="F876" s="24" t="n">
        <x:f>ABS(D876-E876)</x:f>
        <x:v>0.0019003800760152032</x:v>
      </x:c>
    </x:row>
    <x:row r="877" ht="23" customHeight="1">
      <x:c r="A877" s="10" t="str">
        <x:v>M7</x:v>
      </x:c>
      <x:c r="B877" s="10" t="str">
        <x:v>C_H1</x:v>
      </x:c>
      <x:c r="C877" s="10" t="n">
        <x:v>2</x:v>
      </x:c>
      <x:c r="D877" s="24" t="n">
        <x:v>0.0984</x:v>
      </x:c>
      <x:c r="E877" s="24" t="n">
        <x:v>0.10622124424884978</x:v>
      </x:c>
      <x:c r="F877" s="24" t="n">
        <x:f>ABS(D877-E877)</x:f>
        <x:v>0.007821244248849779</x:v>
      </x:c>
    </x:row>
    <x:row r="878" ht="23" customHeight="1">
      <x:c r="A878" s="10" t="str">
        <x:v>M7</x:v>
      </x:c>
      <x:c r="B878" s="10" t="str">
        <x:v>C_H1</x:v>
      </x:c>
      <x:c r="C878" s="10" t="n">
        <x:v>3</x:v>
      </x:c>
      <x:c r="D878" s="24" t="n">
        <x:v>0</x:v>
      </x:c>
      <x:c r="E878" s="24" t="n">
        <x:v>0.6034206841368275</x:v>
      </x:c>
      <x:c r="F878" s="24" t="n">
        <x:f>ABS(D878-E878)</x:f>
        <x:v>0.6034206841368275</x:v>
      </x:c>
    </x:row>
    <x:row r="879" ht="23" customHeight="1">
      <x:c r="A879" s="10" t="str">
        <x:v>M7</x:v>
      </x:c>
      <x:c r="B879" s="10" t="str">
        <x:v>C_H1</x:v>
      </x:c>
      <x:c r="C879" s="10" t="n">
        <x:v>4</x:v>
      </x:c>
      <x:c r="D879" s="24" t="n">
        <x:v>0</x:v>
      </x:c>
      <x:c r="E879" s="24" t="n">
        <x:v>0.16083216643328666</x:v>
      </x:c>
      <x:c r="F879" s="24" t="n">
        <x:f>ABS(D879-E879)</x:f>
        <x:v>0.16083216643328666</x:v>
      </x:c>
    </x:row>
    <x:row r="880" ht="23" customHeight="1">
      <x:c r="A880" s="10" t="str">
        <x:v>M7</x:v>
      </x:c>
      <x:c r="B880" s="10" t="str">
        <x:v>C_H1</x:v>
      </x:c>
      <x:c r="C880" s="10" t="n">
        <x:v>5</x:v>
      </x:c>
      <x:c r="D880" s="24" t="n">
        <x:v>0.8967</x:v>
      </x:c>
      <x:c r="E880" s="24" t="n">
        <x:v>0.07991598319663934</x:v>
      </x:c>
      <x:c r="F880" s="24" t="n">
        <x:f>ABS(D880-E880)</x:f>
        <x:v>0.8167840168033607</x:v>
      </x:c>
    </x:row>
    <x:row r="881" ht="23" customHeight="1">
      <x:c r="A881" s="10" t="str">
        <x:v>M7</x:v>
      </x:c>
      <x:c r="B881" s="10" t="str">
        <x:v>C_H1</x:v>
      </x:c>
      <x:c r="C881" s="10" t="n">
        <x:v>6</x:v>
      </x:c>
      <x:c r="D881" s="24" t="n">
        <x:v>0</x:v>
      </x:c>
      <x:c r="E881" s="24" t="n">
        <x:v>0.01850370074014803</x:v>
      </x:c>
      <x:c r="F881" s="24" t="n">
        <x:f>ABS(D881-E881)</x:f>
        <x:v>0.01850370074014803</x:v>
      </x:c>
    </x:row>
    <x:row r="882" ht="23" customHeight="1">
      <x:c r="A882" s="10" t="str">
        <x:v>M7</x:v>
      </x:c>
      <x:c r="B882" s="10" t="str">
        <x:v>C_H1</x:v>
      </x:c>
      <x:c r="C882" s="10" t="n">
        <x:v>7</x:v>
      </x:c>
      <x:c r="D882" s="24" t="n">
        <x:v>0.001</x:v>
      </x:c>
      <x:c r="E882" s="24" t="n">
        <x:v>0.0039007801560312066</x:v>
      </x:c>
      <x:c r="F882" s="24" t="n">
        <x:f>ABS(D882-E882)</x:f>
        <x:v>0.0029007801560312066</x:v>
      </x:c>
    </x:row>
    <x:row r="883" ht="23" customHeight="1">
      <x:c r="A883" s="10" t="str">
        <x:v>M7</x:v>
      </x:c>
      <x:c r="B883" s="10" t="str">
        <x:v>C_H1</x:v>
      </x:c>
      <x:c r="C883" s="10" t="n">
        <x:v>8</x:v>
      </x:c>
      <x:c r="D883" s="24" t="n">
        <x:v>0</x:v>
      </x:c>
      <x:c r="E883" s="24" t="n">
        <x:v>0.007801560312062413</x:v>
      </x:c>
      <x:c r="F883" s="24" t="n">
        <x:f>ABS(D883-E883)</x:f>
        <x:v>0.007801560312062413</x:v>
      </x:c>
    </x:row>
    <x:row r="884" ht="23" customHeight="1">
      <x:c r="A884" s="10" t="str">
        <x:v>M7</x:v>
      </x:c>
      <x:c r="B884" s="10" t="str">
        <x:v>C_H1</x:v>
      </x:c>
      <x:c r="C884" s="10" t="n">
        <x:v>9</x:v>
      </x:c>
      <x:c r="D884" s="24" t="n">
        <x:v>0.0039000000000000003</x:v>
      </x:c>
      <x:c r="E884" s="24" t="n">
        <x:v>0.017503500700140028</x:v>
      </x:c>
      <x:c r="F884" s="24" t="n">
        <x:f>ABS(D884-E884)</x:f>
        <x:v>0.013603500700140027</x:v>
      </x:c>
    </x:row>
    <x:row r="885" ht="23" customHeight="1">
      <x:c r="A885" s="10" t="str">
        <x:v>M7</x:v>
      </x:c>
      <x:c r="B885" s="10" t="str">
        <x:v>C_H1</x:v>
      </x:c>
      <x:c r="C885" s="10" t="n">
        <x:v>10</x:v>
      </x:c>
      <x:c r="D885" s="24" t="n">
        <x:v>0</x:v>
      </x:c>
      <x:c r="E885" s="24" t="n">
        <x:v>0</x:v>
      </x:c>
      <x:c r="F885" s="24" t="n">
        <x:f>ABS(D885-E885)</x:f>
        <x:v>0</x:v>
      </x:c>
    </x:row>
    <x:row r="886" ht="23" customHeight="1">
      <x:c r="A886" s="10" t="str">
        <x:v>M7</x:v>
      </x:c>
      <x:c r="B886" s="10" t="str">
        <x:v>G_H0</x:v>
      </x:c>
      <x:c r="C886" s="10" t="n">
        <x:v>1</x:v>
      </x:c>
      <x:c r="D886" s="24" t="n">
        <x:v>0</x:v>
      </x:c>
      <x:c r="E886" s="24" t="n">
        <x:v>0.0019003800760152032</x:v>
      </x:c>
      <x:c r="F886" s="24" t="n">
        <x:f>ABS(D886-E886)</x:f>
        <x:v>0.0019003800760152032</x:v>
      </x:c>
    </x:row>
    <x:row r="887" ht="23" customHeight="1">
      <x:c r="A887" s="10" t="str">
        <x:v>M7</x:v>
      </x:c>
      <x:c r="B887" s="10" t="str">
        <x:v>G_H0</x:v>
      </x:c>
      <x:c r="C887" s="10" t="n">
        <x:v>2</x:v>
      </x:c>
      <x:c r="D887" s="24" t="n">
        <x:v>0.13838616138386162</x:v>
      </x:c>
      <x:c r="E887" s="24" t="n">
        <x:v>0.10622124424884978</x:v>
      </x:c>
      <x:c r="F887" s="24" t="n">
        <x:f>ABS(D887-E887)</x:f>
        <x:v>0.032164917135011836</x:v>
      </x:c>
    </x:row>
    <x:row r="888" ht="23" customHeight="1">
      <x:c r="A888" s="10" t="str">
        <x:v>M7</x:v>
      </x:c>
      <x:c r="B888" s="10" t="str">
        <x:v>G_H0</x:v>
      </x:c>
      <x:c r="C888" s="10" t="n">
        <x:v>3</x:v>
      </x:c>
      <x:c r="D888" s="24" t="n">
        <x:v>0.6900309969003101</x:v>
      </x:c>
      <x:c r="E888" s="24" t="n">
        <x:v>0.6034206841368275</x:v>
      </x:c>
      <x:c r="F888" s="24" t="n">
        <x:f>ABS(D888-E888)</x:f>
        <x:v>0.08661031276348263</x:v>
      </x:c>
    </x:row>
    <x:row r="889" ht="23" customHeight="1">
      <x:c r="A889" s="10" t="str">
        <x:v>M7</x:v>
      </x:c>
      <x:c r="B889" s="10" t="str">
        <x:v>G_H0</x:v>
      </x:c>
      <x:c r="C889" s="10" t="n">
        <x:v>4</x:v>
      </x:c>
      <x:c r="D889" s="24" t="n">
        <x:v>0.08969103089691031</x:v>
      </x:c>
      <x:c r="E889" s="24" t="n">
        <x:v>0.16083216643328666</x:v>
      </x:c>
      <x:c r="F889" s="24" t="n">
        <x:f>ABS(D889-E889)</x:f>
        <x:v>0.07114113553637634</x:v>
      </x:c>
    </x:row>
    <x:row r="890" ht="23" customHeight="1">
      <x:c r="A890" s="10" t="str">
        <x:v>M7</x:v>
      </x:c>
      <x:c r="B890" s="10" t="str">
        <x:v>G_H0</x:v>
      </x:c>
      <x:c r="C890" s="10" t="n">
        <x:v>5</x:v>
      </x:c>
      <x:c r="D890" s="24" t="n">
        <x:v>0.076992300769923</x:v>
      </x:c>
      <x:c r="E890" s="24" t="n">
        <x:v>0.07991598319663934</x:v>
      </x:c>
      <x:c r="F890" s="24" t="n">
        <x:f>ABS(D890-E890)</x:f>
        <x:v>0.0029236824267163397</x:v>
      </x:c>
    </x:row>
    <x:row r="891" ht="23" customHeight="1">
      <x:c r="A891" s="10" t="str">
        <x:v>M7</x:v>
      </x:c>
      <x:c r="B891" s="10" t="str">
        <x:v>G_H0</x:v>
      </x:c>
      <x:c r="C891" s="10" t="n">
        <x:v>6</x:v>
      </x:c>
      <x:c r="D891" s="24" t="n">
        <x:v>0.004899510048995101</x:v>
      </x:c>
      <x:c r="E891" s="24" t="n">
        <x:v>0.01850370074014803</x:v>
      </x:c>
      <x:c r="F891" s="24" t="n">
        <x:f>ABS(D891-E891)</x:f>
        <x:v>0.01360419069115293</x:v>
      </x:c>
    </x:row>
    <x:row r="892" ht="23" customHeight="1">
      <x:c r="A892" s="10" t="str">
        <x:v>M7</x:v>
      </x:c>
      <x:c r="B892" s="10" t="str">
        <x:v>G_H0</x:v>
      </x:c>
      <x:c r="C892" s="10" t="n">
        <x:v>7</x:v>
      </x:c>
      <x:c r="D892" s="24" t="n">
        <x:v>0</x:v>
      </x:c>
      <x:c r="E892" s="24" t="n">
        <x:v>0.0039007801560312066</x:v>
      </x:c>
      <x:c r="F892" s="24" t="n">
        <x:f>ABS(D892-E892)</x:f>
        <x:v>0.0039007801560312066</x:v>
      </x:c>
    </x:row>
    <x:row r="893" ht="23" customHeight="1">
      <x:c r="A893" s="10" t="str">
        <x:v>M7</x:v>
      </x:c>
      <x:c r="B893" s="10" t="str">
        <x:v>G_H0</x:v>
      </x:c>
      <x:c r="C893" s="10" t="n">
        <x:v>8</x:v>
      </x:c>
      <x:c r="D893" s="24" t="n">
        <x:v>0</x:v>
      </x:c>
      <x:c r="E893" s="24" t="n">
        <x:v>0.007801560312062413</x:v>
      </x:c>
      <x:c r="F893" s="24" t="n">
        <x:f>ABS(D893-E893)</x:f>
        <x:v>0.007801560312062413</x:v>
      </x:c>
    </x:row>
    <x:row r="894" ht="23" customHeight="1">
      <x:c r="A894" s="10" t="str">
        <x:v>M7</x:v>
      </x:c>
      <x:c r="B894" s="10" t="str">
        <x:v>G_H0</x:v>
      </x:c>
      <x:c r="C894" s="10" t="n">
        <x:v>9</x:v>
      </x:c>
      <x:c r="D894" s="24" t="n">
        <x:v>0</x:v>
      </x:c>
      <x:c r="E894" s="24" t="n">
        <x:v>0.017503500700140028</x:v>
      </x:c>
      <x:c r="F894" s="24" t="n">
        <x:f>ABS(D894-E894)</x:f>
        <x:v>0.017503500700140028</x:v>
      </x:c>
    </x:row>
    <x:row r="895" ht="23" customHeight="1">
      <x:c r="A895" s="10" t="str">
        <x:v>M7</x:v>
      </x:c>
      <x:c r="B895" s="10" t="str">
        <x:v>G_H0</x:v>
      </x:c>
      <x:c r="C895" s="10" t="n">
        <x:v>10</x:v>
      </x:c>
      <x:c r="D895" s="24" t="n">
        <x:v>0</x:v>
      </x:c>
      <x:c r="E895" s="24" t="n">
        <x:v>0</x:v>
      </x:c>
      <x:c r="F895" s="24" t="n">
        <x:f>ABS(D895-E895)</x:f>
        <x:v>0</x:v>
      </x:c>
    </x:row>
    <x:row r="896" ht="23" customHeight="1">
      <x:c r="A896" s="10" t="str">
        <x:v>M7</x:v>
      </x:c>
      <x:c r="B896" s="10" t="str">
        <x:v>G_H1</x:v>
      </x:c>
      <x:c r="C896" s="10" t="n">
        <x:v>1</x:v>
      </x:c>
      <x:c r="D896" s="24" t="n">
        <x:v>0</x:v>
      </x:c>
      <x:c r="E896" s="24" t="n">
        <x:v>0.0019003800760152032</x:v>
      </x:c>
      <x:c r="F896" s="24" t="n">
        <x:f>ABS(D896-E896)</x:f>
        <x:v>0.0019003800760152032</x:v>
      </x:c>
    </x:row>
    <x:row r="897" ht="23" customHeight="1">
      <x:c r="A897" s="10" t="str">
        <x:v>M7</x:v>
      </x:c>
      <x:c r="B897" s="10" t="str">
        <x:v>G_H1</x:v>
      </x:c>
      <x:c r="C897" s="10" t="n">
        <x:v>2</x:v>
      </x:c>
      <x:c r="D897" s="24" t="n">
        <x:v>0.0712</x:v>
      </x:c>
      <x:c r="E897" s="24" t="n">
        <x:v>0.10622124424884978</x:v>
      </x:c>
      <x:c r="F897" s="24" t="n">
        <x:f>ABS(D897-E897)</x:f>
        <x:v>0.03502124424884978</x:v>
      </x:c>
    </x:row>
    <x:row r="898" ht="23" customHeight="1">
      <x:c r="A898" s="10" t="str">
        <x:v>M7</x:v>
      </x:c>
      <x:c r="B898" s="10" t="str">
        <x:v>G_H1</x:v>
      </x:c>
      <x:c r="C898" s="10" t="n">
        <x:v>3</x:v>
      </x:c>
      <x:c r="D898" s="24" t="n">
        <x:v>0.7182999999999999</x:v>
      </x:c>
      <x:c r="E898" s="24" t="n">
        <x:v>0.6034206841368275</x:v>
      </x:c>
      <x:c r="F898" s="24" t="n">
        <x:f>ABS(D898-E898)</x:f>
        <x:v>0.11487931586317246</x:v>
      </x:c>
    </x:row>
    <x:row r="899" ht="23" customHeight="1">
      <x:c r="A899" s="10" t="str">
        <x:v>M7</x:v>
      </x:c>
      <x:c r="B899" s="10" t="str">
        <x:v>G_H1</x:v>
      </x:c>
      <x:c r="C899" s="10" t="n">
        <x:v>4</x:v>
      </x:c>
      <x:c r="D899" s="24" t="n">
        <x:v>0.1189</x:v>
      </x:c>
      <x:c r="E899" s="24" t="n">
        <x:v>0.16083216643328666</x:v>
      </x:c>
      <x:c r="F899" s="24" t="n">
        <x:f>ABS(D899-E899)</x:f>
        <x:v>0.04193216643328665</x:v>
      </x:c>
    </x:row>
    <x:row r="900" ht="23" customHeight="1">
      <x:c r="A900" s="10" t="str">
        <x:v>M7</x:v>
      </x:c>
      <x:c r="B900" s="10" t="str">
        <x:v>G_H1</x:v>
      </x:c>
      <x:c r="C900" s="10" t="n">
        <x:v>5</x:v>
      </x:c>
      <x:c r="D900" s="24" t="n">
        <x:v>0.0867</x:v>
      </x:c>
      <x:c r="E900" s="24" t="n">
        <x:v>0.07991598319663934</x:v>
      </x:c>
      <x:c r="F900" s="24" t="n">
        <x:f>ABS(D900-E900)</x:f>
        <x:v>0.00678401680336066</x:v>
      </x:c>
    </x:row>
    <x:row r="901" ht="23" customHeight="1">
      <x:c r="A901" s="10" t="str">
        <x:v>M7</x:v>
      </x:c>
      <x:c r="B901" s="10" t="str">
        <x:v>G_H1</x:v>
      </x:c>
      <x:c r="C901" s="10" t="n">
        <x:v>6</x:v>
      </x:c>
      <x:c r="D901" s="24" t="n">
        <x:v>0.0049</x:v>
      </x:c>
      <x:c r="E901" s="24" t="n">
        <x:v>0.01850370074014803</x:v>
      </x:c>
      <x:c r="F901" s="24" t="n">
        <x:f>ABS(D901-E901)</x:f>
        <x:v>0.013603700740148031</x:v>
      </x:c>
    </x:row>
    <x:row r="902" ht="23" customHeight="1">
      <x:c r="A902" s="10" t="str">
        <x:v>M7</x:v>
      </x:c>
      <x:c r="B902" s="10" t="str">
        <x:v>G_H1</x:v>
      </x:c>
      <x:c r="C902" s="10" t="n">
        <x:v>7</x:v>
      </x:c>
      <x:c r="D902" s="24" t="n">
        <x:v>0</x:v>
      </x:c>
      <x:c r="E902" s="24" t="n">
        <x:v>0.0039007801560312066</x:v>
      </x:c>
      <x:c r="F902" s="24" t="n">
        <x:f>ABS(D902-E902)</x:f>
        <x:v>0.0039007801560312066</x:v>
      </x:c>
    </x:row>
    <x:row r="903" ht="23" customHeight="1">
      <x:c r="A903" s="10" t="str">
        <x:v>M7</x:v>
      </x:c>
      <x:c r="B903" s="10" t="str">
        <x:v>G_H1</x:v>
      </x:c>
      <x:c r="C903" s="10" t="n">
        <x:v>8</x:v>
      </x:c>
      <x:c r="D903" s="24" t="n">
        <x:v>0</x:v>
      </x:c>
      <x:c r="E903" s="24" t="n">
        <x:v>0.007801560312062413</x:v>
      </x:c>
      <x:c r="F903" s="24" t="n">
        <x:f>ABS(D903-E903)</x:f>
        <x:v>0.007801560312062413</x:v>
      </x:c>
    </x:row>
    <x:row r="904" ht="23" customHeight="1">
      <x:c r="A904" s="10" t="str">
        <x:v>M7</x:v>
      </x:c>
      <x:c r="B904" s="10" t="str">
        <x:v>G_H1</x:v>
      </x:c>
      <x:c r="C904" s="10" t="n">
        <x:v>9</x:v>
      </x:c>
      <x:c r="D904" s="24" t="n">
        <x:v>0</x:v>
      </x:c>
      <x:c r="E904" s="24" t="n">
        <x:v>0.017503500700140028</x:v>
      </x:c>
      <x:c r="F904" s="24" t="n">
        <x:f>ABS(D904-E904)</x:f>
        <x:v>0.017503500700140028</x:v>
      </x:c>
    </x:row>
    <x:row r="905" ht="23" customHeight="1">
      <x:c r="A905" s="10" t="str">
        <x:v>M7</x:v>
      </x:c>
      <x:c r="B905" s="10" t="str">
        <x:v>G_H1</x:v>
      </x:c>
      <x:c r="C905" s="10" t="n">
        <x:v>10</x:v>
      </x:c>
      <x:c r="D905" s="24" t="n">
        <x:v>0</x:v>
      </x:c>
      <x:c r="E905" s="24" t="n">
        <x:v>0</x:v>
      </x:c>
      <x:c r="F905" s="24" t="n">
        <x:f>ABS(D905-E905)</x:f>
        <x:v>0</x:v>
      </x:c>
    </x:row>
    <x:row r="906" ht="23" customHeight="1">
      <x:c r="A906" s="10" t="str">
        <x:v>M7</x:v>
      </x:c>
      <x:c r="B906" s="10" t="str">
        <x:v>NC_H0</x:v>
      </x:c>
      <x:c r="C906" s="10" t="n">
        <x:v>1</x:v>
      </x:c>
      <x:c r="D906" s="24" t="n">
        <x:v>0</x:v>
      </x:c>
      <x:c r="E906" s="24" t="n">
        <x:v>0.0019003800760152032</x:v>
      </x:c>
      <x:c r="F906" s="24" t="n">
        <x:f>ABS(D906-E906)</x:f>
        <x:v>0.0019003800760152032</x:v>
      </x:c>
    </x:row>
    <x:row r="907" ht="23" customHeight="1">
      <x:c r="A907" s="10" t="str">
        <x:v>M7</x:v>
      </x:c>
      <x:c r="B907" s="10" t="str">
        <x:v>NC_H0</x:v>
      </x:c>
      <x:c r="C907" s="10" t="n">
        <x:v>2</x:v>
      </x:c>
      <x:c r="D907" s="24" t="n">
        <x:v>0.08479152084791522</x:v>
      </x:c>
      <x:c r="E907" s="24" t="n">
        <x:v>0.10622124424884978</x:v>
      </x:c>
      <x:c r="F907" s="24" t="n">
        <x:f>ABS(D907-E907)</x:f>
        <x:v>0.02142972340093456</x:v>
      </x:c>
    </x:row>
    <x:row r="908" ht="23" customHeight="1">
      <x:c r="A908" s="10" t="str">
        <x:v>M7</x:v>
      </x:c>
      <x:c r="B908" s="10" t="str">
        <x:v>NC_H0</x:v>
      </x:c>
      <x:c r="C908" s="10" t="n">
        <x:v>3</x:v>
      </x:c>
      <x:c r="D908" s="24" t="n">
        <x:v>0.016598340165983404</x:v>
      </x:c>
      <x:c r="E908" s="24" t="n">
        <x:v>0.6034206841368275</x:v>
      </x:c>
      <x:c r="F908" s="24" t="n">
        <x:f>ABS(D908-E908)</x:f>
        <x:v>0.5868223439708441</x:v>
      </x:c>
    </x:row>
    <x:row r="909" ht="23" customHeight="1">
      <x:c r="A909" s="10" t="str">
        <x:v>M7</x:v>
      </x:c>
      <x:c r="B909" s="10" t="str">
        <x:v>NC_H0</x:v>
      </x:c>
      <x:c r="C909" s="10" t="n">
        <x:v>4</x:v>
      </x:c>
      <x:c r="D909" s="24" t="n">
        <x:v>0</x:v>
      </x:c>
      <x:c r="E909" s="24" t="n">
        <x:v>0.16083216643328666</x:v>
      </x:c>
      <x:c r="F909" s="24" t="n">
        <x:f>ABS(D909-E909)</x:f>
        <x:v>0.16083216643328666</x:v>
      </x:c>
    </x:row>
    <x:row r="910" ht="23" customHeight="1">
      <x:c r="A910" s="10" t="str">
        <x:v>M7</x:v>
      </x:c>
      <x:c r="B910" s="10" t="str">
        <x:v>NC_H0</x:v>
      </x:c>
      <x:c r="C910" s="10" t="n">
        <x:v>5</x:v>
      </x:c>
      <x:c r="D910" s="24" t="n">
        <x:v>0.8625137486251375</x:v>
      </x:c>
      <x:c r="E910" s="24" t="n">
        <x:v>0.07991598319663934</x:v>
      </x:c>
      <x:c r="F910" s="24" t="n">
        <x:f>ABS(D910-E910)</x:f>
        <x:v>0.7825977654284981</x:v>
      </x:c>
    </x:row>
    <x:row r="911" ht="23" customHeight="1">
      <x:c r="A911" s="10" t="str">
        <x:v>M7</x:v>
      </x:c>
      <x:c r="B911" s="10" t="str">
        <x:v>NC_H0</x:v>
      </x:c>
      <x:c r="C911" s="10" t="n">
        <x:v>6</x:v>
      </x:c>
      <x:c r="D911" s="24" t="n">
        <x:v>0.010698930106989302</x:v>
      </x:c>
      <x:c r="E911" s="24" t="n">
        <x:v>0.01850370074014803</x:v>
      </x:c>
      <x:c r="F911" s="24" t="n">
        <x:f>ABS(D911-E911)</x:f>
        <x:v>0.007804770633158729</x:v>
      </x:c>
    </x:row>
    <x:row r="912" ht="23" customHeight="1">
      <x:c r="A912" s="10" t="str">
        <x:v>M7</x:v>
      </x:c>
      <x:c r="B912" s="10" t="str">
        <x:v>NC_H0</x:v>
      </x:c>
      <x:c r="C912" s="10" t="n">
        <x:v>7</x:v>
      </x:c>
      <x:c r="D912" s="24" t="n">
        <x:v>0.0009999000099990003</x:v>
      </x:c>
      <x:c r="E912" s="24" t="n">
        <x:v>0.0039007801560312066</x:v>
      </x:c>
      <x:c r="F912" s="24" t="n">
        <x:f>ABS(D912-E912)</x:f>
        <x:v>0.002900880146032206</x:v>
      </x:c>
    </x:row>
    <x:row r="913" ht="23" customHeight="1">
      <x:c r="A913" s="10" t="str">
        <x:v>M7</x:v>
      </x:c>
      <x:c r="B913" s="10" t="str">
        <x:v>NC_H0</x:v>
      </x:c>
      <x:c r="C913" s="10" t="n">
        <x:v>8</x:v>
      </x:c>
      <x:c r="D913" s="24" t="n">
        <x:v>0.004899510048995101</x:v>
      </x:c>
      <x:c r="E913" s="24" t="n">
        <x:v>0.007801560312062413</x:v>
      </x:c>
      <x:c r="F913" s="24" t="n">
        <x:f>ABS(D913-E913)</x:f>
        <x:v>0.0029020502630673125</x:v>
      </x:c>
    </x:row>
    <x:row r="914" ht="23" customHeight="1">
      <x:c r="A914" s="10" t="str">
        <x:v>M7</x:v>
      </x:c>
      <x:c r="B914" s="10" t="str">
        <x:v>NC_H0</x:v>
      </x:c>
      <x:c r="C914" s="10" t="n">
        <x:v>9</x:v>
      </x:c>
      <x:c r="D914" s="24" t="n">
        <x:v>0.019498050194980503</x:v>
      </x:c>
      <x:c r="E914" s="24" t="n">
        <x:v>0.017503500700140028</x:v>
      </x:c>
      <x:c r="F914" s="24" t="n">
        <x:f>ABS(D914-E914)</x:f>
        <x:v>0.001994549494840476</x:v>
      </x:c>
    </x:row>
    <x:row r="915" ht="23" customHeight="1">
      <x:c r="A915" s="10" t="str">
        <x:v>M7</x:v>
      </x:c>
      <x:c r="B915" s="10" t="str">
        <x:v>NC_H0</x:v>
      </x:c>
      <x:c r="C915" s="10" t="n">
        <x:v>10</x:v>
      </x:c>
      <x:c r="D915" s="24" t="n">
        <x:v>0</x:v>
      </x:c>
      <x:c r="E915" s="24" t="n">
        <x:v>0</x:v>
      </x:c>
      <x:c r="F915" s="24" t="n">
        <x:f>ABS(D915-E915)</x:f>
        <x:v>0</x:v>
      </x:c>
    </x:row>
    <x:row r="916" ht="23" customHeight="1">
      <x:c r="A916" s="10" t="str">
        <x:v>M7</x:v>
      </x:c>
      <x:c r="B916" s="10" t="str">
        <x:v>NC_H1</x:v>
      </x:c>
      <x:c r="C916" s="10" t="n">
        <x:v>1</x:v>
      </x:c>
      <x:c r="D916" s="24" t="n">
        <x:v>0</x:v>
      </x:c>
      <x:c r="E916" s="24" t="n">
        <x:v>0.0019003800760152032</x:v>
      </x:c>
      <x:c r="F916" s="24" t="n">
        <x:f>ABS(D916-E916)</x:f>
        <x:v>0.0019003800760152032</x:v>
      </x:c>
    </x:row>
    <x:row r="917" ht="23" customHeight="1">
      <x:c r="A917" s="10" t="str">
        <x:v>M7</x:v>
      </x:c>
      <x:c r="B917" s="10" t="str">
        <x:v>NC_H1</x:v>
      </x:c>
      <x:c r="C917" s="10" t="n">
        <x:v>2</x:v>
      </x:c>
      <x:c r="D917" s="24" t="n">
        <x:v>0.08380000000000003</x:v>
      </x:c>
      <x:c r="E917" s="24" t="n">
        <x:v>0.10622124424884978</x:v>
      </x:c>
      <x:c r="F917" s="24" t="n">
        <x:f>ABS(D917-E917)</x:f>
        <x:v>0.022421244248849753</x:v>
      </x:c>
    </x:row>
    <x:row r="918" ht="23" customHeight="1">
      <x:c r="A918" s="10" t="str">
        <x:v>M7</x:v>
      </x:c>
      <x:c r="B918" s="10" t="str">
        <x:v>NC_H1</x:v>
      </x:c>
      <x:c r="C918" s="10" t="n">
        <x:v>3</x:v>
      </x:c>
      <x:c r="D918" s="24" t="n">
        <x:v>0.013600000000000001</x:v>
      </x:c>
      <x:c r="E918" s="24" t="n">
        <x:v>0.6034206841368275</x:v>
      </x:c>
      <x:c r="F918" s="24" t="n">
        <x:f>ABS(D918-E918)</x:f>
        <x:v>0.5898206841368274</x:v>
      </x:c>
    </x:row>
    <x:row r="919" ht="23" customHeight="1">
      <x:c r="A919" s="10" t="str">
        <x:v>M7</x:v>
      </x:c>
      <x:c r="B919" s="10" t="str">
        <x:v>NC_H1</x:v>
      </x:c>
      <x:c r="C919" s="10" t="n">
        <x:v>4</x:v>
      </x:c>
      <x:c r="D919" s="24" t="n">
        <x:v>0</x:v>
      </x:c>
      <x:c r="E919" s="24" t="n">
        <x:v>0.16083216643328666</x:v>
      </x:c>
      <x:c r="F919" s="24" t="n">
        <x:f>ABS(D919-E919)</x:f>
        <x:v>0.16083216643328666</x:v>
      </x:c>
    </x:row>
    <x:row r="920" ht="23" customHeight="1">
      <x:c r="A920" s="10" t="str">
        <x:v>M7</x:v>
      </x:c>
      <x:c r="B920" s="10" t="str">
        <x:v>NC_H1</x:v>
      </x:c>
      <x:c r="C920" s="10" t="n">
        <x:v>5</x:v>
      </x:c>
      <x:c r="D920" s="24" t="n">
        <x:v>0.8626000000000001</x:v>
      </x:c>
      <x:c r="E920" s="24" t="n">
        <x:v>0.07991598319663934</x:v>
      </x:c>
      <x:c r="F920" s="24" t="n">
        <x:f>ABS(D920-E920)</x:f>
        <x:v>0.7826840168033609</x:v>
      </x:c>
    </x:row>
    <x:row r="921" ht="23" customHeight="1">
      <x:c r="A921" s="10" t="str">
        <x:v>M7</x:v>
      </x:c>
      <x:c r="B921" s="10" t="str">
        <x:v>NC_H1</x:v>
      </x:c>
      <x:c r="C921" s="10" t="n">
        <x:v>6</x:v>
      </x:c>
      <x:c r="D921" s="24" t="n">
        <x:v>0.010700000000000001</x:v>
      </x:c>
      <x:c r="E921" s="24" t="n">
        <x:v>0.01850370074014803</x:v>
      </x:c>
      <x:c r="F921" s="24" t="n">
        <x:f>ABS(D921-E921)</x:f>
        <x:v>0.00780370074014803</x:v>
      </x:c>
    </x:row>
    <x:row r="922" ht="23" customHeight="1">
      <x:c r="A922" s="10" t="str">
        <x:v>M7</x:v>
      </x:c>
      <x:c r="B922" s="10" t="str">
        <x:v>NC_H1</x:v>
      </x:c>
      <x:c r="C922" s="10" t="n">
        <x:v>7</x:v>
      </x:c>
      <x:c r="D922" s="24" t="n">
        <x:v>0.004900000000000001</x:v>
      </x:c>
      <x:c r="E922" s="24" t="n">
        <x:v>0.0039007801560312066</x:v>
      </x:c>
      <x:c r="F922" s="24" t="n">
        <x:f>ABS(D922-E922)</x:f>
        <x:v>0.0009992198439687941</x:v>
      </x:c>
    </x:row>
    <x:row r="923" ht="23" customHeight="1">
      <x:c r="A923" s="10" t="str">
        <x:v>M7</x:v>
      </x:c>
      <x:c r="B923" s="10" t="str">
        <x:v>NC_H1</x:v>
      </x:c>
      <x:c r="C923" s="10" t="n">
        <x:v>8</x:v>
      </x:c>
      <x:c r="D923" s="24" t="n">
        <x:v>0.004900000000000001</x:v>
      </x:c>
      <x:c r="E923" s="24" t="n">
        <x:v>0.007801560312062413</x:v>
      </x:c>
      <x:c r="F923" s="24" t="n">
        <x:f>ABS(D923-E923)</x:f>
        <x:v>0.0029015603120624124</x:v>
      </x:c>
    </x:row>
    <x:row r="924" ht="23" customHeight="1">
      <x:c r="A924" s="10" t="str">
        <x:v>M7</x:v>
      </x:c>
      <x:c r="B924" s="10" t="str">
        <x:v>NC_H1</x:v>
      </x:c>
      <x:c r="C924" s="10" t="n">
        <x:v>9</x:v>
      </x:c>
      <x:c r="D924" s="24" t="n">
        <x:v>0.019500000000000003</x:v>
      </x:c>
      <x:c r="E924" s="24" t="n">
        <x:v>0.017503500700140028</x:v>
      </x:c>
      <x:c r="F924" s="24" t="n">
        <x:f>ABS(D924-E924)</x:f>
        <x:v>0.001996499299859976</x:v>
      </x:c>
    </x:row>
    <x:row r="925" ht="23" customHeight="1">
      <x:c r="A925" s="10" t="str">
        <x:v>M7</x:v>
      </x:c>
      <x:c r="B925" s="10" t="str">
        <x:v>NC_H1</x:v>
      </x:c>
      <x:c r="C925" s="10" t="n">
        <x:v>10</x:v>
      </x:c>
      <x:c r="D925" s="24" t="n">
        <x:v>0</x:v>
      </x:c>
      <x:c r="E925" s="24" t="n">
        <x:v>0</x:v>
      </x:c>
      <x:c r="F925" s="24" t="n">
        <x:f>ABS(D925-E925)</x:f>
        <x:v>0</x:v>
      </x:c>
    </x:row>
    <x:row r="926" ht="23" customHeight="1">
      <x:c r="A926" s="10" t="str">
        <x:v>M7</x:v>
      </x:c>
      <x:c r="B926" s="10" t="str">
        <x:v>NG_H0</x:v>
      </x:c>
      <x:c r="C926" s="10" t="n">
        <x:v>1</x:v>
      </x:c>
      <x:c r="D926" s="24" t="n">
        <x:v>0</x:v>
      </x:c>
      <x:c r="E926" s="24" t="n">
        <x:v>0.0019003800760152032</x:v>
      </x:c>
      <x:c r="F926" s="24" t="n">
        <x:f>ABS(D926-E926)</x:f>
        <x:v>0.0019003800760152032</x:v>
      </x:c>
    </x:row>
    <x:row r="927" ht="23" customHeight="1">
      <x:c r="A927" s="10" t="str">
        <x:v>M7</x:v>
      </x:c>
      <x:c r="B927" s="10" t="str">
        <x:v>NG_H0</x:v>
      </x:c>
      <x:c r="C927" s="10" t="n">
        <x:v>2</x:v>
      </x:c>
      <x:c r="D927" s="24" t="n">
        <x:v>0.1267</x:v>
      </x:c>
      <x:c r="E927" s="24" t="n">
        <x:v>0.10622124424884978</x:v>
      </x:c>
      <x:c r="F927" s="24" t="n">
        <x:f>ABS(D927-E927)</x:f>
        <x:v>0.020478755751150227</x:v>
      </x:c>
    </x:row>
    <x:row r="928" ht="23" customHeight="1">
      <x:c r="A928" s="10" t="str">
        <x:v>M7</x:v>
      </x:c>
      <x:c r="B928" s="10" t="str">
        <x:v>NG_H0</x:v>
      </x:c>
      <x:c r="C928" s="10" t="n">
        <x:v>3</x:v>
      </x:c>
      <x:c r="D928" s="24" t="n">
        <x:v>0.6725</x:v>
      </x:c>
      <x:c r="E928" s="24" t="n">
        <x:v>0.6034206841368275</x:v>
      </x:c>
      <x:c r="F928" s="24" t="n">
        <x:f>ABS(D928-E928)</x:f>
        <x:v>0.06907931586317251</x:v>
      </x:c>
    </x:row>
    <x:row r="929" ht="23" customHeight="1">
      <x:c r="A929" s="10" t="str">
        <x:v>M7</x:v>
      </x:c>
      <x:c r="B929" s="10" t="str">
        <x:v>NG_H0</x:v>
      </x:c>
      <x:c r="C929" s="10" t="n">
        <x:v>4</x:v>
      </x:c>
      <x:c r="D929" s="24" t="n">
        <x:v>0.0828</x:v>
      </x:c>
      <x:c r="E929" s="24" t="n">
        <x:v>0.16083216643328666</x:v>
      </x:c>
      <x:c r="F929" s="24" t="n">
        <x:f>ABS(D929-E929)</x:f>
        <x:v>0.07803216643328666</x:v>
      </x:c>
    </x:row>
    <x:row r="930" ht="23" customHeight="1">
      <x:c r="A930" s="10" t="str">
        <x:v>M7</x:v>
      </x:c>
      <x:c r="B930" s="10" t="str">
        <x:v>NG_H0</x:v>
      </x:c>
      <x:c r="C930" s="10" t="n">
        <x:v>5</x:v>
      </x:c>
      <x:c r="D930" s="24" t="n">
        <x:v>0.077</x:v>
      </x:c>
      <x:c r="E930" s="24" t="n">
        <x:v>0.07991598319663934</x:v>
      </x:c>
      <x:c r="F930" s="24" t="n">
        <x:f>ABS(D930-E930)</x:f>
        <x:v>0.0029159831966393407</x:v>
      </x:c>
    </x:row>
    <x:row r="931" ht="23" customHeight="1">
      <x:c r="A931" s="10" t="str">
        <x:v>M7</x:v>
      </x:c>
      <x:c r="B931" s="10" t="str">
        <x:v>NG_H0</x:v>
      </x:c>
      <x:c r="C931" s="10" t="n">
        <x:v>6</x:v>
      </x:c>
      <x:c r="D931" s="24" t="n">
        <x:v>0.015600000000000001</x:v>
      </x:c>
      <x:c r="E931" s="24" t="n">
        <x:v>0.01850370074014803</x:v>
      </x:c>
      <x:c r="F931" s="24" t="n">
        <x:f>ABS(D931-E931)</x:f>
        <x:v>0.00290370074014803</x:v>
      </x:c>
    </x:row>
    <x:row r="932" ht="23" customHeight="1">
      <x:c r="A932" s="10" t="str">
        <x:v>M7</x:v>
      </x:c>
      <x:c r="B932" s="10" t="str">
        <x:v>NG_H0</x:v>
      </x:c>
      <x:c r="C932" s="10" t="n">
        <x:v>7</x:v>
      </x:c>
      <x:c r="D932" s="24" t="n">
        <x:v>0.001</x:v>
      </x:c>
      <x:c r="E932" s="24" t="n">
        <x:v>0.0039007801560312066</x:v>
      </x:c>
      <x:c r="F932" s="24" t="n">
        <x:f>ABS(D932-E932)</x:f>
        <x:v>0.0029007801560312066</x:v>
      </x:c>
    </x:row>
    <x:row r="933" ht="23" customHeight="1">
      <x:c r="A933" s="10" t="str">
        <x:v>M7</x:v>
      </x:c>
      <x:c r="B933" s="10" t="str">
        <x:v>NG_H0</x:v>
      </x:c>
      <x:c r="C933" s="10" t="n">
        <x:v>8</x:v>
      </x:c>
      <x:c r="D933" s="24" t="n">
        <x:v>0.0049</x:v>
      </x:c>
      <x:c r="E933" s="24" t="n">
        <x:v>0.007801560312062413</x:v>
      </x:c>
      <x:c r="F933" s="24" t="n">
        <x:f>ABS(D933-E933)</x:f>
        <x:v>0.0029015603120624133</x:v>
      </x:c>
    </x:row>
    <x:row r="934" ht="23" customHeight="1">
      <x:c r="A934" s="10" t="str">
        <x:v>M7</x:v>
      </x:c>
      <x:c r="B934" s="10" t="str">
        <x:v>NG_H0</x:v>
      </x:c>
      <x:c r="C934" s="10" t="n">
        <x:v>9</x:v>
      </x:c>
      <x:c r="D934" s="24" t="n">
        <x:v>0.0195</x:v>
      </x:c>
      <x:c r="E934" s="24" t="n">
        <x:v>0.017503500700140028</x:v>
      </x:c>
      <x:c r="F934" s="24" t="n">
        <x:f>ABS(D934-E934)</x:f>
        <x:v>0.0019964992998599725</x:v>
      </x:c>
    </x:row>
    <x:row r="935" ht="23" customHeight="1">
      <x:c r="A935" s="10" t="str">
        <x:v>M7</x:v>
      </x:c>
      <x:c r="B935" s="10" t="str">
        <x:v>NG_H0</x:v>
      </x:c>
      <x:c r="C935" s="10" t="n">
        <x:v>10</x:v>
      </x:c>
      <x:c r="D935" s="24" t="n">
        <x:v>0</x:v>
      </x:c>
      <x:c r="E935" s="24" t="n">
        <x:v>0</x:v>
      </x:c>
      <x:c r="F935" s="24" t="n">
        <x:f>ABS(D935-E935)</x:f>
        <x:v>0</x:v>
      </x:c>
    </x:row>
    <x:row r="936" ht="23" customHeight="1">
      <x:c r="A936" s="10" t="str">
        <x:v>M7</x:v>
      </x:c>
      <x:c r="B936" s="10" t="str">
        <x:v>NG_H1</x:v>
      </x:c>
      <x:c r="C936" s="10" t="n">
        <x:v>1</x:v>
      </x:c>
      <x:c r="D936" s="24" t="n">
        <x:v>0</x:v>
      </x:c>
      <x:c r="E936" s="24" t="n">
        <x:v>0.0019003800760152032</x:v>
      </x:c>
      <x:c r="F936" s="24" t="n">
        <x:f>ABS(D936-E936)</x:f>
        <x:v>0.0019003800760152032</x:v>
      </x:c>
    </x:row>
    <x:row r="937" ht="23" customHeight="1">
      <x:c r="A937" s="10" t="str">
        <x:v>M7</x:v>
      </x:c>
      <x:c r="B937" s="10" t="str">
        <x:v>NG_H1</x:v>
      </x:c>
      <x:c r="C937" s="10" t="n">
        <x:v>2</x:v>
      </x:c>
      <x:c r="D937" s="24" t="n">
        <x:v>0.09359999999999999</x:v>
      </x:c>
      <x:c r="E937" s="24" t="n">
        <x:v>0.10622124424884978</x:v>
      </x:c>
      <x:c r="F937" s="24" t="n">
        <x:f>ABS(D937-E937)</x:f>
        <x:v>0.012621244248849792</x:v>
      </x:c>
    </x:row>
    <x:row r="938" ht="23" customHeight="1">
      <x:c r="A938" s="10" t="str">
        <x:v>M7</x:v>
      </x:c>
      <x:c r="B938" s="10" t="str">
        <x:v>NG_H1</x:v>
      </x:c>
      <x:c r="C938" s="10" t="n">
        <x:v>3</x:v>
      </x:c>
      <x:c r="D938" s="24" t="n">
        <x:v>0.6618</x:v>
      </x:c>
      <x:c r="E938" s="24" t="n">
        <x:v>0.6034206841368275</x:v>
      </x:c>
      <x:c r="F938" s="24" t="n">
        <x:f>ABS(D938-E938)</x:f>
        <x:v>0.058379315863172576</x:v>
      </x:c>
    </x:row>
    <x:row r="939" ht="23" customHeight="1">
      <x:c r="A939" s="10" t="str">
        <x:v>M7</x:v>
      </x:c>
      <x:c r="B939" s="10" t="str">
        <x:v>NG_H1</x:v>
      </x:c>
      <x:c r="C939" s="10" t="n">
        <x:v>4</x:v>
      </x:c>
      <x:c r="D939" s="24" t="n">
        <x:v>0.1121</x:v>
      </x:c>
      <x:c r="E939" s="24" t="n">
        <x:v>0.16083216643328666</x:v>
      </x:c>
      <x:c r="F939" s="24" t="n">
        <x:f>ABS(D939-E939)</x:f>
        <x:v>0.04873216643328665</x:v>
      </x:c>
    </x:row>
    <x:row r="940" ht="23" customHeight="1">
      <x:c r="A940" s="10" t="str">
        <x:v>M7</x:v>
      </x:c>
      <x:c r="B940" s="10" t="str">
        <x:v>NG_H1</x:v>
      </x:c>
      <x:c r="C940" s="10" t="n">
        <x:v>5</x:v>
      </x:c>
      <x:c r="D940" s="24" t="n">
        <x:v>0.0867</x:v>
      </x:c>
      <x:c r="E940" s="24" t="n">
        <x:v>0.07991598319663934</x:v>
      </x:c>
      <x:c r="F940" s="24" t="n">
        <x:f>ABS(D940-E940)</x:f>
        <x:v>0.00678401680336066</x:v>
      </x:c>
    </x:row>
    <x:row r="941" ht="23" customHeight="1">
      <x:c r="A941" s="10" t="str">
        <x:v>M7</x:v>
      </x:c>
      <x:c r="B941" s="10" t="str">
        <x:v>NG_H1</x:v>
      </x:c>
      <x:c r="C941" s="10" t="n">
        <x:v>6</x:v>
      </x:c>
      <x:c r="D941" s="24" t="n">
        <x:v>0.015600000000000001</x:v>
      </x:c>
      <x:c r="E941" s="24" t="n">
        <x:v>0.01850370074014803</x:v>
      </x:c>
      <x:c r="F941" s="24" t="n">
        <x:f>ABS(D941-E941)</x:f>
        <x:v>0.00290370074014803</x:v>
      </x:c>
    </x:row>
    <x:row r="942" ht="23" customHeight="1">
      <x:c r="A942" s="10" t="str">
        <x:v>M7</x:v>
      </x:c>
      <x:c r="B942" s="10" t="str">
        <x:v>NG_H1</x:v>
      </x:c>
      <x:c r="C942" s="10" t="n">
        <x:v>7</x:v>
      </x:c>
      <x:c r="D942" s="24" t="n">
        <x:v>0.0058</x:v>
      </x:c>
      <x:c r="E942" s="24" t="n">
        <x:v>0.0039007801560312066</x:v>
      </x:c>
      <x:c r="F942" s="24" t="n">
        <x:f>ABS(D942-E942)</x:f>
        <x:v>0.001899219843968793</x:v>
      </x:c>
    </x:row>
    <x:row r="943" ht="23" customHeight="1">
      <x:c r="A943" s="10" t="str">
        <x:v>M7</x:v>
      </x:c>
      <x:c r="B943" s="10" t="str">
        <x:v>NG_H1</x:v>
      </x:c>
      <x:c r="C943" s="10" t="n">
        <x:v>8</x:v>
      </x:c>
      <x:c r="D943" s="24" t="n">
        <x:v>0.0049</x:v>
      </x:c>
      <x:c r="E943" s="24" t="n">
        <x:v>0.007801560312062413</x:v>
      </x:c>
      <x:c r="F943" s="24" t="n">
        <x:f>ABS(D943-E943)</x:f>
        <x:v>0.0029015603120624133</x:v>
      </x:c>
    </x:row>
    <x:row r="944" ht="23" customHeight="1">
      <x:c r="A944" s="10" t="str">
        <x:v>M7</x:v>
      </x:c>
      <x:c r="B944" s="10" t="str">
        <x:v>NG_H1</x:v>
      </x:c>
      <x:c r="C944" s="10" t="n">
        <x:v>9</x:v>
      </x:c>
      <x:c r="D944" s="24" t="n">
        <x:v>0.0195</x:v>
      </x:c>
      <x:c r="E944" s="24" t="n">
        <x:v>0.017503500700140028</x:v>
      </x:c>
      <x:c r="F944" s="24" t="n">
        <x:f>ABS(D944-E944)</x:f>
        <x:v>0.0019964992998599725</x:v>
      </x:c>
    </x:row>
    <x:row r="945" ht="23" customHeight="1">
      <x:c r="A945" s="10" t="str">
        <x:v>M7</x:v>
      </x:c>
      <x:c r="B945" s="10" t="str">
        <x:v>NG_H1</x:v>
      </x:c>
      <x:c r="C945" s="10" t="n">
        <x:v>10</x:v>
      </x:c>
      <x:c r="D945" s="24" t="n">
        <x:v>0</x:v>
      </x:c>
      <x:c r="E945" s="24" t="n">
        <x:v>0</x:v>
      </x:c>
      <x:c r="F945" s="24" t="n">
        <x:f>ABS(D945-E945)</x:f>
        <x:v>0</x:v>
      </x:c>
    </x:row>
    <x:row r="946" ht="23" customHeight="1">
      <x:c r="A946" s="10" t="str">
        <x:v>M7</x:v>
      </x:c>
      <x:c r="B946" s="10" t="str">
        <x:v>CG_H0</x:v>
      </x:c>
      <x:c r="C946" s="10" t="n">
        <x:v>1</x:v>
      </x:c>
      <x:c r="D946" s="24" t="n">
        <x:v>0</x:v>
      </x:c>
      <x:c r="E946" s="24" t="n">
        <x:v>0.0019003800760152032</x:v>
      </x:c>
      <x:c r="F946" s="24" t="n">
        <x:f>ABS(D946-E946)</x:f>
        <x:v>0.0019003800760152032</x:v>
      </x:c>
    </x:row>
    <x:row r="947" ht="23" customHeight="1">
      <x:c r="A947" s="10" t="str">
        <x:v>M7</x:v>
      </x:c>
      <x:c r="B947" s="10" t="str">
        <x:v>CG_H0</x:v>
      </x:c>
      <x:c r="C947" s="10" t="n">
        <x:v>2</x:v>
      </x:c>
      <x:c r="D947" s="24" t="n">
        <x:v>0.1695830416958304</x:v>
      </x:c>
      <x:c r="E947" s="24" t="n">
        <x:v>0.10622124424884978</x:v>
      </x:c>
      <x:c r="F947" s="24" t="n">
        <x:f>ABS(D947-E947)</x:f>
        <x:v>0.06336179744698063</x:v>
      </x:c>
    </x:row>
    <x:row r="948" ht="23" customHeight="1">
      <x:c r="A948" s="10" t="str">
        <x:v>M7</x:v>
      </x:c>
      <x:c r="B948" s="10" t="str">
        <x:v>CG_H0</x:v>
      </x:c>
      <x:c r="C948" s="10" t="n">
        <x:v>3</x:v>
      </x:c>
      <x:c r="D948" s="24" t="n">
        <x:v>0.654934506549345</x:v>
      </x:c>
      <x:c r="E948" s="24" t="n">
        <x:v>0.6034206841368275</x:v>
      </x:c>
      <x:c r="F948" s="24" t="n">
        <x:f>ABS(D948-E948)</x:f>
        <x:v>0.05151382241251756</x:v>
      </x:c>
    </x:row>
    <x:row r="949" ht="23" customHeight="1">
      <x:c r="A949" s="10" t="str">
        <x:v>M7</x:v>
      </x:c>
      <x:c r="B949" s="10" t="str">
        <x:v>CG_H0</x:v>
      </x:c>
      <x:c r="C949" s="10" t="n">
        <x:v>4</x:v>
      </x:c>
      <x:c r="D949" s="24" t="n">
        <x:v>0.08969103089691031</x:v>
      </x:c>
      <x:c r="E949" s="24" t="n">
        <x:v>0.16083216643328666</x:v>
      </x:c>
      <x:c r="F949" s="24" t="n">
        <x:f>ABS(D949-E949)</x:f>
        <x:v>0.07114113553637634</x:v>
      </x:c>
    </x:row>
    <x:row r="950" ht="23" customHeight="1">
      <x:c r="A950" s="10" t="str">
        <x:v>M7</x:v>
      </x:c>
      <x:c r="B950" s="10" t="str">
        <x:v>CG_H0</x:v>
      </x:c>
      <x:c r="C950" s="10" t="n">
        <x:v>5</x:v>
      </x:c>
      <x:c r="D950" s="24" t="n">
        <x:v>0.076992300769923</x:v>
      </x:c>
      <x:c r="E950" s="24" t="n">
        <x:v>0.07991598319663934</x:v>
      </x:c>
      <x:c r="F950" s="24" t="n">
        <x:f>ABS(D950-E950)</x:f>
        <x:v>0.0029236824267163397</x:v>
      </x:c>
    </x:row>
    <x:row r="951" ht="23" customHeight="1">
      <x:c r="A951" s="10" t="str">
        <x:v>M7</x:v>
      </x:c>
      <x:c r="B951" s="10" t="str">
        <x:v>CG_H0</x:v>
      </x:c>
      <x:c r="C951" s="10" t="n">
        <x:v>6</x:v>
      </x:c>
      <x:c r="D951" s="24" t="n">
        <x:v>0.004899510048995101</x:v>
      </x:c>
      <x:c r="E951" s="24" t="n">
        <x:v>0.01850370074014803</x:v>
      </x:c>
      <x:c r="F951" s="24" t="n">
        <x:f>ABS(D951-E951)</x:f>
        <x:v>0.01360419069115293</x:v>
      </x:c>
    </x:row>
    <x:row r="952" ht="23" customHeight="1">
      <x:c r="A952" s="10" t="str">
        <x:v>M7</x:v>
      </x:c>
      <x:c r="B952" s="10" t="str">
        <x:v>CG_H0</x:v>
      </x:c>
      <x:c r="C952" s="10" t="n">
        <x:v>7</x:v>
      </x:c>
      <x:c r="D952" s="24" t="n">
        <x:v>0</x:v>
      </x:c>
      <x:c r="E952" s="24" t="n">
        <x:v>0.0039007801560312066</x:v>
      </x:c>
      <x:c r="F952" s="24" t="n">
        <x:f>ABS(D952-E952)</x:f>
        <x:v>0.0039007801560312066</x:v>
      </x:c>
    </x:row>
    <x:row r="953" ht="23" customHeight="1">
      <x:c r="A953" s="10" t="str">
        <x:v>M7</x:v>
      </x:c>
      <x:c r="B953" s="10" t="str">
        <x:v>CG_H0</x:v>
      </x:c>
      <x:c r="C953" s="10" t="n">
        <x:v>8</x:v>
      </x:c>
      <x:c r="D953" s="24" t="n">
        <x:v>0</x:v>
      </x:c>
      <x:c r="E953" s="24" t="n">
        <x:v>0.007801560312062413</x:v>
      </x:c>
      <x:c r="F953" s="24" t="n">
        <x:f>ABS(D953-E953)</x:f>
        <x:v>0.007801560312062413</x:v>
      </x:c>
    </x:row>
    <x:row r="954" ht="23" customHeight="1">
      <x:c r="A954" s="10" t="str">
        <x:v>M7</x:v>
      </x:c>
      <x:c r="B954" s="10" t="str">
        <x:v>CG_H0</x:v>
      </x:c>
      <x:c r="C954" s="10" t="n">
        <x:v>9</x:v>
      </x:c>
      <x:c r="D954" s="24" t="n">
        <x:v>0.0038996100389961</x:v>
      </x:c>
      <x:c r="E954" s="24" t="n">
        <x:v>0.017503500700140028</x:v>
      </x:c>
      <x:c r="F954" s="24" t="n">
        <x:f>ABS(D954-E954)</x:f>
        <x:v>0.013603890661143928</x:v>
      </x:c>
    </x:row>
    <x:row r="955" ht="23" customHeight="1">
      <x:c r="A955" s="10" t="str">
        <x:v>M7</x:v>
      </x:c>
      <x:c r="B955" s="10" t="str">
        <x:v>CG_H0</x:v>
      </x:c>
      <x:c r="C955" s="10" t="n">
        <x:v>10</x:v>
      </x:c>
      <x:c r="D955" s="24" t="n">
        <x:v>0</x:v>
      </x:c>
      <x:c r="E955" s="24" t="n">
        <x:v>0</x:v>
      </x:c>
      <x:c r="F955" s="24" t="n">
        <x:f>ABS(D955-E955)</x:f>
        <x:v>0</x:v>
      </x:c>
    </x:row>
    <x:row r="956" ht="23" customHeight="1">
      <x:c r="A956" s="10" t="str">
        <x:v>M7</x:v>
      </x:c>
      <x:c r="B956" s="10" t="str">
        <x:v>CG_H1</x:v>
      </x:c>
      <x:c r="C956" s="10" t="n">
        <x:v>1</x:v>
      </x:c>
      <x:c r="D956" s="24" t="n">
        <x:v>0</x:v>
      </x:c>
      <x:c r="E956" s="24" t="n">
        <x:v>0.0019003800760152032</x:v>
      </x:c>
      <x:c r="F956" s="24" t="n">
        <x:f>ABS(D956-E956)</x:f>
        <x:v>0.0019003800760152032</x:v>
      </x:c>
    </x:row>
    <x:row r="957" ht="23" customHeight="1">
      <x:c r="A957" s="10" t="str">
        <x:v>M7</x:v>
      </x:c>
      <x:c r="B957" s="10" t="str">
        <x:v>CG_H1</x:v>
      </x:c>
      <x:c r="C957" s="10" t="n">
        <x:v>2</x:v>
      </x:c>
      <x:c r="D957" s="24" t="n">
        <x:v>0.114</x:v>
      </x:c>
      <x:c r="E957" s="24" t="n">
        <x:v>0.10622124424884978</x:v>
      </x:c>
      <x:c r="F957" s="24" t="n">
        <x:f>ABS(D957-E957)</x:f>
        <x:v>0.007778755751150224</x:v>
      </x:c>
    </x:row>
    <x:row r="958" ht="23" customHeight="1">
      <x:c r="A958" s="10" t="str">
        <x:v>M7</x:v>
      </x:c>
      <x:c r="B958" s="10" t="str">
        <x:v>CG_H1</x:v>
      </x:c>
      <x:c r="C958" s="10" t="n">
        <x:v>3</x:v>
      </x:c>
      <x:c r="D958" s="24" t="n">
        <x:v>0.6706</x:v>
      </x:c>
      <x:c r="E958" s="24" t="n">
        <x:v>0.6034206841368275</x:v>
      </x:c>
      <x:c r="F958" s="24" t="n">
        <x:f>ABS(D958-E958)</x:f>
        <x:v>0.0671793158631725</x:v>
      </x:c>
    </x:row>
    <x:row r="959" ht="23" customHeight="1">
      <x:c r="A959" s="10" t="str">
        <x:v>M7</x:v>
      </x:c>
      <x:c r="B959" s="10" t="str">
        <x:v>CG_H1</x:v>
      </x:c>
      <x:c r="C959" s="10" t="n">
        <x:v>4</x:v>
      </x:c>
      <x:c r="D959" s="24" t="n">
        <x:v>0.1189</x:v>
      </x:c>
      <x:c r="E959" s="24" t="n">
        <x:v>0.16083216643328666</x:v>
      </x:c>
      <x:c r="F959" s="24" t="n">
        <x:f>ABS(D959-E959)</x:f>
        <x:v>0.04193216643328665</x:v>
      </x:c>
    </x:row>
    <x:row r="960" ht="23" customHeight="1">
      <x:c r="A960" s="10" t="str">
        <x:v>M7</x:v>
      </x:c>
      <x:c r="B960" s="10" t="str">
        <x:v>CG_H1</x:v>
      </x:c>
      <x:c r="C960" s="10" t="n">
        <x:v>5</x:v>
      </x:c>
      <x:c r="D960" s="24" t="n">
        <x:v>0.0867</x:v>
      </x:c>
      <x:c r="E960" s="24" t="n">
        <x:v>0.07991598319663934</x:v>
      </x:c>
      <x:c r="F960" s="24" t="n">
        <x:f>ABS(D960-E960)</x:f>
        <x:v>0.00678401680336066</x:v>
      </x:c>
    </x:row>
    <x:row r="961" ht="23" customHeight="1">
      <x:c r="A961" s="10" t="str">
        <x:v>M7</x:v>
      </x:c>
      <x:c r="B961" s="10" t="str">
        <x:v>CG_H1</x:v>
      </x:c>
      <x:c r="C961" s="10" t="n">
        <x:v>6</x:v>
      </x:c>
      <x:c r="D961" s="24" t="n">
        <x:v>0.0049</x:v>
      </x:c>
      <x:c r="E961" s="24" t="n">
        <x:v>0.01850370074014803</x:v>
      </x:c>
      <x:c r="F961" s="24" t="n">
        <x:f>ABS(D961-E961)</x:f>
        <x:v>0.013603700740148031</x:v>
      </x:c>
    </x:row>
    <x:row r="962" ht="23" customHeight="1">
      <x:c r="A962" s="10" t="str">
        <x:v>M7</x:v>
      </x:c>
      <x:c r="B962" s="10" t="str">
        <x:v>CG_H1</x:v>
      </x:c>
      <x:c r="C962" s="10" t="n">
        <x:v>7</x:v>
      </x:c>
      <x:c r="D962" s="24" t="n">
        <x:v>0.001</x:v>
      </x:c>
      <x:c r="E962" s="24" t="n">
        <x:v>0.0039007801560312066</x:v>
      </x:c>
      <x:c r="F962" s="24" t="n">
        <x:f>ABS(D962-E962)</x:f>
        <x:v>0.0029007801560312066</x:v>
      </x:c>
    </x:row>
    <x:row r="963" ht="23" customHeight="1">
      <x:c r="A963" s="10" t="str">
        <x:v>M7</x:v>
      </x:c>
      <x:c r="B963" s="10" t="str">
        <x:v>CG_H1</x:v>
      </x:c>
      <x:c r="C963" s="10" t="n">
        <x:v>8</x:v>
      </x:c>
      <x:c r="D963" s="24" t="n">
        <x:v>0</x:v>
      </x:c>
      <x:c r="E963" s="24" t="n">
        <x:v>0.007801560312062413</x:v>
      </x:c>
      <x:c r="F963" s="24" t="n">
        <x:f>ABS(D963-E963)</x:f>
        <x:v>0.007801560312062413</x:v>
      </x:c>
    </x:row>
    <x:row r="964" ht="23" customHeight="1">
      <x:c r="A964" s="10" t="str">
        <x:v>M7</x:v>
      </x:c>
      <x:c r="B964" s="10" t="str">
        <x:v>CG_H1</x:v>
      </x:c>
      <x:c r="C964" s="10" t="n">
        <x:v>9</x:v>
      </x:c>
      <x:c r="D964" s="24" t="n">
        <x:v>0.0039000000000000003</x:v>
      </x:c>
      <x:c r="E964" s="24" t="n">
        <x:v>0.017503500700140028</x:v>
      </x:c>
      <x:c r="F964" s="24" t="n">
        <x:f>ABS(D964-E964)</x:f>
        <x:v>0.013603500700140027</x:v>
      </x:c>
    </x:row>
    <x:row r="965" ht="23" customHeight="1">
      <x:c r="A965" s="10" t="str">
        <x:v>M7</x:v>
      </x:c>
      <x:c r="B965" s="10" t="str">
        <x:v>CG_H1</x:v>
      </x:c>
      <x:c r="C965" s="10" t="n">
        <x:v>10</x:v>
      </x:c>
      <x:c r="D965" s="24" t="n">
        <x:v>0</x:v>
      </x:c>
      <x:c r="E965" s="24" t="n">
        <x:v>0</x:v>
      </x:c>
      <x:c r="F965" s="24" t="n">
        <x:f>ABS(D965-E965)</x:f>
        <x:v>0</x:v>
      </x:c>
    </x:row>
    <x:row r="966" ht="23" customHeight="1">
      <x:c r="A966" s="10" t="str">
        <x:v>M7</x:v>
      </x:c>
      <x:c r="B966" s="10" t="str">
        <x:v>NCG_H0</x:v>
      </x:c>
      <x:c r="C966" s="10" t="n">
        <x:v>1</x:v>
      </x:c>
      <x:c r="D966" s="24" t="n">
        <x:v>0</x:v>
      </x:c>
      <x:c r="E966" s="24" t="n">
        <x:v>0.0019003800760152032</x:v>
      </x:c>
      <x:c r="F966" s="24" t="n">
        <x:f>ABS(D966-E966)</x:f>
        <x:v>0.0019003800760152032</x:v>
      </x:c>
    </x:row>
    <x:row r="967" ht="23" customHeight="1">
      <x:c r="A967" s="10" t="str">
        <x:v>M7</x:v>
      </x:c>
      <x:c r="B967" s="10" t="str">
        <x:v>NCG_H0</x:v>
      </x:c>
      <x:c r="C967" s="10" t="n">
        <x:v>2</x:v>
      </x:c>
      <x:c r="D967" s="24" t="n">
        <x:v>0.12180000000000002</x:v>
      </x:c>
      <x:c r="E967" s="24" t="n">
        <x:v>0.10622124424884978</x:v>
      </x:c>
      <x:c r="F967" s="24" t="n">
        <x:f>ABS(D967-E967)</x:f>
        <x:v>0.015578755751150239</x:v>
      </x:c>
    </x:row>
    <x:row r="968" ht="23" customHeight="1">
      <x:c r="A968" s="10" t="str">
        <x:v>M7</x:v>
      </x:c>
      <x:c r="B968" s="10" t="str">
        <x:v>NCG_H0</x:v>
      </x:c>
      <x:c r="C968" s="10" t="n">
        <x:v>3</x:v>
      </x:c>
      <x:c r="D968" s="24" t="n">
        <x:v>0.6764000000000001</x:v>
      </x:c>
      <x:c r="E968" s="24" t="n">
        <x:v>0.6034206841368275</x:v>
      </x:c>
      <x:c r="F968" s="24" t="n">
        <x:f>ABS(D968-E968)</x:f>
        <x:v>0.07297931586317263</x:v>
      </x:c>
    </x:row>
    <x:row r="969" ht="23" customHeight="1">
      <x:c r="A969" s="10" t="str">
        <x:v>M7</x:v>
      </x:c>
      <x:c r="B969" s="10" t="str">
        <x:v>NCG_H0</x:v>
      </x:c>
      <x:c r="C969" s="10" t="n">
        <x:v>4</x:v>
      </x:c>
      <x:c r="D969" s="24" t="n">
        <x:v>0.08090000000000001</x:v>
      </x:c>
      <x:c r="E969" s="24" t="n">
        <x:v>0.16083216643328666</x:v>
      </x:c>
      <x:c r="F969" s="24" t="n">
        <x:f>ABS(D969-E969)</x:f>
        <x:v>0.07993216643328664</x:v>
      </x:c>
    </x:row>
    <x:row r="970" ht="23" customHeight="1">
      <x:c r="A970" s="10" t="str">
        <x:v>M7</x:v>
      </x:c>
      <x:c r="B970" s="10" t="str">
        <x:v>NCG_H0</x:v>
      </x:c>
      <x:c r="C970" s="10" t="n">
        <x:v>5</x:v>
      </x:c>
      <x:c r="D970" s="24" t="n">
        <x:v>0.07700000000000001</x:v>
      </x:c>
      <x:c r="E970" s="24" t="n">
        <x:v>0.07991598319663934</x:v>
      </x:c>
      <x:c r="F970" s="24" t="n">
        <x:f>ABS(D970-E970)</x:f>
        <x:v>0.002915983196639327</x:v>
      </x:c>
    </x:row>
    <x:row r="971" ht="23" customHeight="1">
      <x:c r="A971" s="10" t="str">
        <x:v>M7</x:v>
      </x:c>
      <x:c r="B971" s="10" t="str">
        <x:v>NCG_H0</x:v>
      </x:c>
      <x:c r="C971" s="10" t="n">
        <x:v>6</x:v>
      </x:c>
      <x:c r="D971" s="24" t="n">
        <x:v>0.018500000000000003</x:v>
      </x:c>
      <x:c r="E971" s="24" t="n">
        <x:v>0.01850370074014803</x:v>
      </x:c>
      <x:c r="F971" s="24" t="n">
        <x:f>ABS(D971-E971)</x:f>
        <x:v>0.000003700740148028514</x:v>
      </x:c>
    </x:row>
    <x:row r="972" ht="23" customHeight="1">
      <x:c r="A972" s="10" t="str">
        <x:v>M7</x:v>
      </x:c>
      <x:c r="B972" s="10" t="str">
        <x:v>NCG_H0</x:v>
      </x:c>
      <x:c r="C972" s="10" t="n">
        <x:v>7</x:v>
      </x:c>
      <x:c r="D972" s="24" t="n">
        <x:v>0.0010000000000000002</x:v>
      </x:c>
      <x:c r="E972" s="24" t="n">
        <x:v>0.0039007801560312066</x:v>
      </x:c>
      <x:c r="F972" s="24" t="n">
        <x:f>ABS(D972-E972)</x:f>
        <x:v>0.0029007801560312066</x:v>
      </x:c>
    </x:row>
    <x:row r="973" ht="23" customHeight="1">
      <x:c r="A973" s="10" t="str">
        <x:v>M7</x:v>
      </x:c>
      <x:c r="B973" s="10" t="str">
        <x:v>NCG_H0</x:v>
      </x:c>
      <x:c r="C973" s="10" t="n">
        <x:v>8</x:v>
      </x:c>
      <x:c r="D973" s="24" t="n">
        <x:v>0.004900000000000001</x:v>
      </x:c>
      <x:c r="E973" s="24" t="n">
        <x:v>0.007801560312062413</x:v>
      </x:c>
      <x:c r="F973" s="24" t="n">
        <x:f>ABS(D973-E973)</x:f>
        <x:v>0.0029015603120624124</x:v>
      </x:c>
    </x:row>
    <x:row r="974" ht="23" customHeight="1">
      <x:c r="A974" s="10" t="str">
        <x:v>M7</x:v>
      </x:c>
      <x:c r="B974" s="10" t="str">
        <x:v>NCG_H0</x:v>
      </x:c>
      <x:c r="C974" s="10" t="n">
        <x:v>9</x:v>
      </x:c>
      <x:c r="D974" s="24" t="n">
        <x:v>0.019500000000000003</x:v>
      </x:c>
      <x:c r="E974" s="24" t="n">
        <x:v>0.017503500700140028</x:v>
      </x:c>
      <x:c r="F974" s="24" t="n">
        <x:f>ABS(D974-E974)</x:f>
        <x:v>0.001996499299859976</x:v>
      </x:c>
    </x:row>
    <x:row r="975" ht="23" customHeight="1">
      <x:c r="A975" s="10" t="str">
        <x:v>M7</x:v>
      </x:c>
      <x:c r="B975" s="10" t="str">
        <x:v>NCG_H0</x:v>
      </x:c>
      <x:c r="C975" s="10" t="n">
        <x:v>10</x:v>
      </x:c>
      <x:c r="D975" s="24" t="n">
        <x:v>0</x:v>
      </x:c>
      <x:c r="E975" s="24" t="n">
        <x:v>0</x:v>
      </x:c>
      <x:c r="F975" s="24" t="n">
        <x:f>ABS(D975-E975)</x:f>
        <x:v>0</x:v>
      </x:c>
    </x:row>
    <x:row r="976" ht="23" customHeight="1">
      <x:c r="A976" s="10" t="str">
        <x:v>M7</x:v>
      </x:c>
      <x:c r="B976" s="10" t="str">
        <x:v>NCG_H1</x:v>
      </x:c>
      <x:c r="C976" s="10" t="n">
        <x:v>1</x:v>
      </x:c>
      <x:c r="D976" s="24" t="n">
        <x:v>0</x:v>
      </x:c>
      <x:c r="E976" s="24" t="n">
        <x:v>0.0019003800760152032</x:v>
      </x:c>
      <x:c r="F976" s="24" t="n">
        <x:f>ABS(D976-E976)</x:f>
        <x:v>0.0019003800760152032</x:v>
      </x:c>
    </x:row>
    <x:row r="977" ht="23" customHeight="1">
      <x:c r="A977" s="10" t="str">
        <x:v>M7</x:v>
      </x:c>
      <x:c r="B977" s="10" t="str">
        <x:v>NCG_H1</x:v>
      </x:c>
      <x:c r="C977" s="10" t="n">
        <x:v>2</x:v>
      </x:c>
      <x:c r="D977" s="24" t="n">
        <x:v>0.08189181081891812</x:v>
      </x:c>
      <x:c r="E977" s="24" t="n">
        <x:v>0.10622124424884978</x:v>
      </x:c>
      <x:c r="F977" s="24" t="n">
        <x:f>ABS(D977-E977)</x:f>
        <x:v>0.024329433429931657</x:v>
      </x:c>
    </x:row>
    <x:row r="978" ht="23" customHeight="1">
      <x:c r="A978" s="10" t="str">
        <x:v>M7</x:v>
      </x:c>
      <x:c r="B978" s="10" t="str">
        <x:v>NCG_H1</x:v>
      </x:c>
      <x:c r="C978" s="10" t="n">
        <x:v>3</x:v>
      </x:c>
      <x:c r="D978" s="24" t="n">
        <x:v>0.6656334366563343</x:v>
      </x:c>
      <x:c r="E978" s="24" t="n">
        <x:v>0.6034206841368275</x:v>
      </x:c>
      <x:c r="F978" s="24" t="n">
        <x:f>ABS(D978-E978)</x:f>
        <x:v>0.062212752519506864</x:v>
      </x:c>
    </x:row>
    <x:row r="979" ht="23" customHeight="1">
      <x:c r="A979" s="10" t="str">
        <x:v>M7</x:v>
      </x:c>
      <x:c r="B979" s="10" t="str">
        <x:v>NCG_H1</x:v>
      </x:c>
      <x:c r="C979" s="10" t="n">
        <x:v>4</x:v>
      </x:c>
      <x:c r="D979" s="24" t="n">
        <x:v>0.11988801119888015</x:v>
      </x:c>
      <x:c r="E979" s="24" t="n">
        <x:v>0.16083216643328666</x:v>
      </x:c>
      <x:c r="F979" s="24" t="n">
        <x:f>ABS(D979-E979)</x:f>
        <x:v>0.040944155234406504</x:v>
      </x:c>
    </x:row>
    <x:row r="980" ht="23" customHeight="1">
      <x:c r="A980" s="10" t="str">
        <x:v>M7</x:v>
      </x:c>
      <x:c r="B980" s="10" t="str">
        <x:v>NCG_H1</x:v>
      </x:c>
      <x:c r="C980" s="10" t="n">
        <x:v>5</x:v>
      </x:c>
      <x:c r="D980" s="24" t="n">
        <x:v>0.0827917208279172</x:v>
      </x:c>
      <x:c r="E980" s="24" t="n">
        <x:v>0.07991598319663934</x:v>
      </x:c>
      <x:c r="F980" s="24" t="n">
        <x:f>ABS(D980-E980)</x:f>
        <x:v>0.0028757376312778665</x:v>
      </x:c>
    </x:row>
    <x:row r="981" ht="23" customHeight="1">
      <x:c r="A981" s="10" t="str">
        <x:v>M7</x:v>
      </x:c>
      <x:c r="B981" s="10" t="str">
        <x:v>NCG_H1</x:v>
      </x:c>
      <x:c r="C981" s="10" t="n">
        <x:v>6</x:v>
      </x:c>
      <x:c r="D981" s="24" t="n">
        <x:v>0.020497950204979506</x:v>
      </x:c>
      <x:c r="E981" s="24" t="n">
        <x:v>0.01850370074014803</x:v>
      </x:c>
      <x:c r="F981" s="24" t="n">
        <x:f>ABS(D981-E981)</x:f>
        <x:v>0.0019942494648314754</x:v>
      </x:c>
    </x:row>
    <x:row r="982" ht="23" customHeight="1">
      <x:c r="A982" s="10" t="str">
        <x:v>M7</x:v>
      </x:c>
      <x:c r="B982" s="10" t="str">
        <x:v>NCG_H1</x:v>
      </x:c>
      <x:c r="C982" s="10" t="n">
        <x:v>7</x:v>
      </x:c>
      <x:c r="D982" s="24" t="n">
        <x:v>0.0048995100489951015</x:v>
      </x:c>
      <x:c r="E982" s="24" t="n">
        <x:v>0.0039007801560312066</x:v>
      </x:c>
      <x:c r="F982" s="24" t="n">
        <x:f>ABS(D982-E982)</x:f>
        <x:v>0.000998729892963895</x:v>
      </x:c>
    </x:row>
    <x:row r="983" ht="23" customHeight="1">
      <x:c r="A983" s="10" t="str">
        <x:v>M7</x:v>
      </x:c>
      <x:c r="B983" s="10" t="str">
        <x:v>NCG_H1</x:v>
      </x:c>
      <x:c r="C983" s="10" t="n">
        <x:v>8</x:v>
      </x:c>
      <x:c r="D983" s="24" t="n">
        <x:v>0.0048995100489951015</x:v>
      </x:c>
      <x:c r="E983" s="24" t="n">
        <x:v>0.007801560312062413</x:v>
      </x:c>
      <x:c r="F983" s="24" t="n">
        <x:f>ABS(D983-E983)</x:f>
        <x:v>0.0029020502630673116</x:v>
      </x:c>
    </x:row>
    <x:row r="984" ht="23" customHeight="1">
      <x:c r="A984" s="10" t="str">
        <x:v>M7</x:v>
      </x:c>
      <x:c r="B984" s="10" t="str">
        <x:v>NCG_H1</x:v>
      </x:c>
      <x:c r="C984" s="10" t="n">
        <x:v>9</x:v>
      </x:c>
      <x:c r="D984" s="24" t="n">
        <x:v>0.019498050194980507</x:v>
      </x:c>
      <x:c r="E984" s="24" t="n">
        <x:v>0.017503500700140028</x:v>
      </x:c>
      <x:c r="F984" s="24" t="n">
        <x:f>ABS(D984-E984)</x:f>
        <x:v>0.0019945494948404793</x:v>
      </x:c>
    </x:row>
    <x:row r="985" ht="23" customHeight="1">
      <x:c r="A985" s="10" t="str">
        <x:v>M7</x:v>
      </x:c>
      <x:c r="B985" s="10" t="str">
        <x:v>NCG_H1</x:v>
      </x:c>
      <x:c r="C985" s="10" t="n">
        <x:v>10</x:v>
      </x:c>
      <x:c r="D985" s="24" t="n">
        <x:v>0</x:v>
      </x:c>
      <x:c r="E985" s="24" t="n">
        <x:v>0</x:v>
      </x:c>
      <x:c r="F985" s="24" t="n">
        <x:f>ABS(D985-E985)</x:f>
        <x:v>0</x:v>
      </x:c>
    </x:row>
    <x:row r="986" ht="23" customHeight="1">
      <x:c r="A986" s="10" t="str">
        <x:v>M8</x:v>
      </x:c>
      <x:c r="B986" s="10" t="str">
        <x:v>N_H0</x:v>
      </x:c>
      <x:c r="C986" s="10" t="n">
        <x:v>1</x:v>
      </x:c>
      <x:c r="D986" s="24" t="n">
        <x:v>0</x:v>
      </x:c>
      <x:c r="E986" s="24" t="n">
        <x:v>0.0143</x:v>
      </x:c>
      <x:c r="F986" s="24" t="n">
        <x:f>ABS(D986-E986)</x:f>
        <x:v>0.0143</x:v>
      </x:c>
    </x:row>
    <x:row r="987" ht="23" customHeight="1">
      <x:c r="A987" s="10" t="str">
        <x:v>M8</x:v>
      </x:c>
      <x:c r="B987" s="10" t="str">
        <x:v>N_H0</x:v>
      </x:c>
      <x:c r="C987" s="10" t="n">
        <x:v>2</x:v>
      </x:c>
      <x:c r="D987" s="24" t="n">
        <x:v>0.14120000000000002</x:v>
      </x:c>
      <x:c r="E987" s="24" t="n">
        <x:v>0.1884</x:v>
      </x:c>
      <x:c r="F987" s="24" t="n">
        <x:f>ABS(D987-E987)</x:f>
        <x:v>0.04719999999999999</x:v>
      </x:c>
    </x:row>
    <x:row r="988" ht="23" customHeight="1">
      <x:c r="A988" s="10" t="str">
        <x:v>M8</x:v>
      </x:c>
      <x:c r="B988" s="10" t="str">
        <x:v>N_H0</x:v>
      </x:c>
      <x:c r="C988" s="10" t="n">
        <x:v>3</x:v>
      </x:c>
      <x:c r="D988" s="24" t="n">
        <x:v>0.038200000000000005</x:v>
      </x:c>
      <x:c r="E988" s="24" t="n">
        <x:v>0.5088</x:v>
      </x:c>
      <x:c r="F988" s="24" t="n">
        <x:f>ABS(D988-E988)</x:f>
        <x:v>0.4706</x:v>
      </x:c>
    </x:row>
    <x:row r="989" ht="23" customHeight="1">
      <x:c r="A989" s="10" t="str">
        <x:v>M8</x:v>
      </x:c>
      <x:c r="B989" s="10" t="str">
        <x:v>N_H0</x:v>
      </x:c>
      <x:c r="C989" s="10" t="n">
        <x:v>4</x:v>
      </x:c>
      <x:c r="D989" s="24" t="n">
        <x:v>0</x:v>
      </x:c>
      <x:c r="E989" s="24" t="n">
        <x:v>0.1499</x:v>
      </x:c>
      <x:c r="F989" s="24" t="n">
        <x:f>ABS(D989-E989)</x:f>
        <x:v>0.1499</x:v>
      </x:c>
    </x:row>
    <x:row r="990" ht="23" customHeight="1">
      <x:c r="A990" s="10" t="str">
        <x:v>M8</x:v>
      </x:c>
      <x:c r="B990" s="10" t="str">
        <x:v>N_H0</x:v>
      </x:c>
      <x:c r="C990" s="10" t="n">
        <x:v>5</x:v>
      </x:c>
      <x:c r="D990" s="24" t="n">
        <x:v>0.7408000000000001</x:v>
      </x:c>
      <x:c r="E990" s="24" t="n">
        <x:v>0.05</x:v>
      </x:c>
      <x:c r="F990" s="24" t="n">
        <x:f>ABS(D990-E990)</x:f>
        <x:v>0.6908000000000001</x:v>
      </x:c>
    </x:row>
    <x:row r="991" ht="23" customHeight="1">
      <x:c r="A991" s="10" t="str">
        <x:v>M8</x:v>
      </x:c>
      <x:c r="B991" s="10" t="str">
        <x:v>N_H0</x:v>
      </x:c>
      <x:c r="C991" s="10" t="n">
        <x:v>6</x:v>
      </x:c>
      <x:c r="D991" s="24" t="n">
        <x:v>0.0057</x:v>
      </x:c>
      <x:c r="E991" s="24" t="n">
        <x:v>0.0239</x:v>
      </x:c>
      <x:c r="F991" s="24" t="n">
        <x:f>ABS(D991-E991)</x:f>
        <x:v>0.0182</x:v>
      </x:c>
    </x:row>
    <x:row r="992" ht="23" customHeight="1">
      <x:c r="A992" s="10" t="str">
        <x:v>M8</x:v>
      </x:c>
      <x:c r="B992" s="10" t="str">
        <x:v>N_H0</x:v>
      </x:c>
      <x:c r="C992" s="10" t="n">
        <x:v>7</x:v>
      </x:c>
      <x:c r="D992" s="24" t="n">
        <x:v>0.012500000000000002</x:v>
      </x:c>
      <x:c r="E992" s="24" t="n">
        <x:v>0.018000000000000002</x:v>
      </x:c>
      <x:c r="F992" s="24" t="n">
        <x:f>ABS(D992-E992)</x:f>
        <x:v>0.0055</x:v>
      </x:c>
    </x:row>
    <x:row r="993" ht="23" customHeight="1">
      <x:c r="A993" s="10" t="str">
        <x:v>M8</x:v>
      </x:c>
      <x:c r="B993" s="10" t="str">
        <x:v>N_H0</x:v>
      </x:c>
      <x:c r="C993" s="10" t="n">
        <x:v>8</x:v>
      </x:c>
      <x:c r="D993" s="24" t="n">
        <x:v>0.027000000000000003</x:v>
      </x:c>
      <x:c r="E993" s="24" t="n">
        <x:v>0.0274</x:v>
      </x:c>
      <x:c r="F993" s="24" t="n">
        <x:f>ABS(D993-E993)</x:f>
        <x:v>0.0003999999999999976</x:v>
      </x:c>
    </x:row>
    <x:row r="994" ht="23" customHeight="1">
      <x:c r="A994" s="10" t="str">
        <x:v>M8</x:v>
      </x:c>
      <x:c r="B994" s="10" t="str">
        <x:v>N_H0</x:v>
      </x:c>
      <x:c r="C994" s="10" t="n">
        <x:v>9</x:v>
      </x:c>
      <x:c r="D994" s="24" t="n">
        <x:v>0.034600000000000006</x:v>
      </x:c>
      <x:c r="E994" s="24" t="n">
        <x:v>0.019</x:v>
      </x:c>
      <x:c r="F994" s="24" t="n">
        <x:f>ABS(D994-E994)</x:f>
        <x:v>0.015600000000000006</x:v>
      </x:c>
    </x:row>
    <x:row r="995" ht="23" customHeight="1">
      <x:c r="A995" s="10" t="str">
        <x:v>M8</x:v>
      </x:c>
      <x:c r="B995" s="10" t="str">
        <x:v>N_H0</x:v>
      </x:c>
      <x:c r="C995" s="10" t="n">
        <x:v>10</x:v>
      </x:c>
      <x:c r="D995" s="24" t="n">
        <x:v>0</x:v>
      </x:c>
      <x:c r="E995" s="24" t="n">
        <x:v>0.0003</x:v>
      </x:c>
      <x:c r="F995" s="24" t="n">
        <x:f>ABS(D995-E995)</x:f>
        <x:v>0.0003</x:v>
      </x:c>
    </x:row>
    <x:row r="996" ht="23" customHeight="1">
      <x:c r="A996" s="10" t="str">
        <x:v>M8</x:v>
      </x:c>
      <x:c r="B996" s="10" t="str">
        <x:v>N_H1</x:v>
      </x:c>
      <x:c r="C996" s="10" t="n">
        <x:v>1</x:v>
      </x:c>
      <x:c r="D996" s="24" t="n">
        <x:v>0</x:v>
      </x:c>
      <x:c r="E996" s="24" t="n">
        <x:v>0.0143</x:v>
      </x:c>
      <x:c r="F996" s="24" t="n">
        <x:f>ABS(D996-E996)</x:f>
        <x:v>0.0143</x:v>
      </x:c>
    </x:row>
    <x:row r="997" ht="23" customHeight="1">
      <x:c r="A997" s="10" t="str">
        <x:v>M8</x:v>
      </x:c>
      <x:c r="B997" s="10" t="str">
        <x:v>N_H1</x:v>
      </x:c>
      <x:c r="C997" s="10" t="n">
        <x:v>2</x:v>
      </x:c>
      <x:c r="D997" s="24" t="n">
        <x:v>0.1406</x:v>
      </x:c>
      <x:c r="E997" s="24" t="n">
        <x:v>0.1884</x:v>
      </x:c>
      <x:c r="F997" s="24" t="n">
        <x:f>ABS(D997-E997)</x:f>
        <x:v>0.04780000000000001</x:v>
      </x:c>
    </x:row>
    <x:row r="998" ht="23" customHeight="1">
      <x:c r="A998" s="10" t="str">
        <x:v>M8</x:v>
      </x:c>
      <x:c r="B998" s="10" t="str">
        <x:v>N_H1</x:v>
      </x:c>
      <x:c r="C998" s="10" t="n">
        <x:v>3</x:v>
      </x:c>
      <x:c r="D998" s="24" t="n">
        <x:v>0.030299999999999997</x:v>
      </x:c>
      <x:c r="E998" s="24" t="n">
        <x:v>0.5088</x:v>
      </x:c>
      <x:c r="F998" s="24" t="n">
        <x:f>ABS(D998-E998)</x:f>
        <x:v>0.47850000000000004</x:v>
      </x:c>
    </x:row>
    <x:row r="999" ht="23" customHeight="1">
      <x:c r="A999" s="10" t="str">
        <x:v>M8</x:v>
      </x:c>
      <x:c r="B999" s="10" t="str">
        <x:v>N_H1</x:v>
      </x:c>
      <x:c r="C999" s="10" t="n">
        <x:v>4</x:v>
      </x:c>
      <x:c r="D999" s="24" t="n">
        <x:v>0</x:v>
      </x:c>
      <x:c r="E999" s="24" t="n">
        <x:v>0.1499</x:v>
      </x:c>
      <x:c r="F999" s="24" t="n">
        <x:f>ABS(D999-E999)</x:f>
        <x:v>0.1499</x:v>
      </x:c>
    </x:row>
    <x:row r="1000" ht="23" customHeight="1">
      <x:c r="A1000" s="10" t="str">
        <x:v>M8</x:v>
      </x:c>
      <x:c r="B1000" s="10" t="str">
        <x:v>N_H1</x:v>
      </x:c>
      <x:c r="C1000" s="10" t="n">
        <x:v>5</x:v>
      </x:c>
      <x:c r="D1000" s="24" t="n">
        <x:v>0.7408</x:v>
      </x:c>
      <x:c r="E1000" s="24" t="n">
        <x:v>0.05</x:v>
      </x:c>
      <x:c r="F1000" s="24" t="n">
        <x:f>ABS(D1000-E1000)</x:f>
        <x:v>0.6908</x:v>
      </x:c>
    </x:row>
    <x:row r="1001" ht="23" customHeight="1">
      <x:c r="A1001" s="10" t="str">
        <x:v>M8</x:v>
      </x:c>
      <x:c r="B1001" s="10" t="str">
        <x:v>N_H1</x:v>
      </x:c>
      <x:c r="C1001" s="10" t="n">
        <x:v>6</x:v>
      </x:c>
      <x:c r="D1001" s="24" t="n">
        <x:v>0.0123</x:v>
      </x:c>
      <x:c r="E1001" s="24" t="n">
        <x:v>0.0239</x:v>
      </x:c>
      <x:c r="F1001" s="24" t="n">
        <x:f>ABS(D1001-E1001)</x:f>
        <x:v>0.011600000000000001</x:v>
      </x:c>
    </x:row>
    <x:row r="1002" ht="23" customHeight="1">
      <x:c r="A1002" s="10" t="str">
        <x:v>M8</x:v>
      </x:c>
      <x:c r="B1002" s="10" t="str">
        <x:v>N_H1</x:v>
      </x:c>
      <x:c r="C1002" s="10" t="n">
        <x:v>7</x:v>
      </x:c>
      <x:c r="D1002" s="24" t="n">
        <x:v>0.0144</x:v>
      </x:c>
      <x:c r="E1002" s="24" t="n">
        <x:v>0.018000000000000002</x:v>
      </x:c>
      <x:c r="F1002" s="24" t="n">
        <x:f>ABS(D1002-E1002)</x:f>
        <x:v>0.0036000000000000025</x:v>
      </x:c>
    </x:row>
    <x:row r="1003" ht="23" customHeight="1">
      <x:c r="A1003" s="10" t="str">
        <x:v>M8</x:v>
      </x:c>
      <x:c r="B1003" s="10" t="str">
        <x:v>N_H1</x:v>
      </x:c>
      <x:c r="C1003" s="10" t="n">
        <x:v>8</x:v>
      </x:c>
      <x:c r="D1003" s="24" t="n">
        <x:v>0.027000000000000003</x:v>
      </x:c>
      <x:c r="E1003" s="24" t="n">
        <x:v>0.0274</x:v>
      </x:c>
      <x:c r="F1003" s="24" t="n">
        <x:f>ABS(D1003-E1003)</x:f>
        <x:v>0.0003999999999999976</x:v>
      </x:c>
    </x:row>
    <x:row r="1004" ht="23" customHeight="1">
      <x:c r="A1004" s="10" t="str">
        <x:v>M8</x:v>
      </x:c>
      <x:c r="B1004" s="10" t="str">
        <x:v>N_H1</x:v>
      </x:c>
      <x:c r="C1004" s="10" t="n">
        <x:v>9</x:v>
      </x:c>
      <x:c r="D1004" s="24" t="n">
        <x:v>0.0346</x:v>
      </x:c>
      <x:c r="E1004" s="24" t="n">
        <x:v>0.019</x:v>
      </x:c>
      <x:c r="F1004" s="24" t="n">
        <x:f>ABS(D1004-E1004)</x:f>
        <x:v>0.0156</x:v>
      </x:c>
    </x:row>
    <x:row r="1005" ht="23" customHeight="1">
      <x:c r="A1005" s="10" t="str">
        <x:v>M8</x:v>
      </x:c>
      <x:c r="B1005" s="10" t="str">
        <x:v>N_H1</x:v>
      </x:c>
      <x:c r="C1005" s="10" t="n">
        <x:v>10</x:v>
      </x:c>
      <x:c r="D1005" s="24" t="n">
        <x:v>0</x:v>
      </x:c>
      <x:c r="E1005" s="24" t="n">
        <x:v>0.0003</x:v>
      </x:c>
      <x:c r="F1005" s="24" t="n">
        <x:f>ABS(D1005-E1005)</x:f>
        <x:v>0.0003</x:v>
      </x:c>
    </x:row>
    <x:row r="1006" ht="23" customHeight="1">
      <x:c r="A1006" s="10" t="str">
        <x:v>M8</x:v>
      </x:c>
      <x:c r="B1006" s="10" t="str">
        <x:v>C_H0</x:v>
      </x:c>
      <x:c r="C1006" s="10" t="n">
        <x:v>1</x:v>
      </x:c>
      <x:c r="D1006" s="24" t="n">
        <x:v>0</x:v>
      </x:c>
      <x:c r="E1006" s="24" t="n">
        <x:v>0.0143</x:v>
      </x:c>
      <x:c r="F1006" s="24" t="n">
        <x:f>ABS(D1006-E1006)</x:f>
        <x:v>0.0143</x:v>
      </x:c>
    </x:row>
    <x:row r="1007" ht="23" customHeight="1">
      <x:c r="A1007" s="10" t="str">
        <x:v>M8</x:v>
      </x:c>
      <x:c r="B1007" s="10" t="str">
        <x:v>C_H0</x:v>
      </x:c>
      <x:c r="C1007" s="10" t="n">
        <x:v>2</x:v>
      </x:c>
      <x:c r="D1007" s="24" t="n">
        <x:v>0.2690269026902691</x:v>
      </x:c>
      <x:c r="E1007" s="24" t="n">
        <x:v>0.1884</x:v>
      </x:c>
      <x:c r="F1007" s="24" t="n">
        <x:f>ABS(D1007-E1007)</x:f>
        <x:v>0.08062690269026906</x:v>
      </x:c>
    </x:row>
    <x:row r="1008" ht="23" customHeight="1">
      <x:c r="A1008" s="10" t="str">
        <x:v>M8</x:v>
      </x:c>
      <x:c r="B1008" s="10" t="str">
        <x:v>C_H0</x:v>
      </x:c>
      <x:c r="C1008" s="10" t="n">
        <x:v>3</x:v>
      </x:c>
      <x:c r="D1008" s="24" t="n">
        <x:v>0</x:v>
      </x:c>
      <x:c r="E1008" s="24" t="n">
        <x:v>0.5088</x:v>
      </x:c>
      <x:c r="F1008" s="24" t="n">
        <x:f>ABS(D1008-E1008)</x:f>
        <x:v>0.5088</x:v>
      </x:c>
    </x:row>
    <x:row r="1009" ht="23" customHeight="1">
      <x:c r="A1009" s="10" t="str">
        <x:v>M8</x:v>
      </x:c>
      <x:c r="B1009" s="10" t="str">
        <x:v>C_H0</x:v>
      </x:c>
      <x:c r="C1009" s="10" t="n">
        <x:v>4</x:v>
      </x:c>
      <x:c r="D1009" s="24" t="n">
        <x:v>0</x:v>
      </x:c>
      <x:c r="E1009" s="24" t="n">
        <x:v>0.1499</x:v>
      </x:c>
      <x:c r="F1009" s="24" t="n">
        <x:f>ABS(D1009-E1009)</x:f>
        <x:v>0.1499</x:v>
      </x:c>
    </x:row>
    <x:row r="1010" ht="23" customHeight="1">
      <x:c r="A1010" s="10" t="str">
        <x:v>M8</x:v>
      </x:c>
      <x:c r="B1010" s="10" t="str">
        <x:v>C_H0</x:v>
      </x:c>
      <x:c r="C1010" s="10" t="n">
        <x:v>5</x:v>
      </x:c>
      <x:c r="D1010" s="24" t="n">
        <x:v>0.7288728872887289</x:v>
      </x:c>
      <x:c r="E1010" s="24" t="n">
        <x:v>0.05</x:v>
      </x:c>
      <x:c r="F1010" s="24" t="n">
        <x:f>ABS(D1010-E1010)</x:f>
        <x:v>0.6788728872887289</x:v>
      </x:c>
    </x:row>
    <x:row r="1011" ht="23" customHeight="1">
      <x:c r="A1011" s="10" t="str">
        <x:v>M8</x:v>
      </x:c>
      <x:c r="B1011" s="10" t="str">
        <x:v>C_H0</x:v>
      </x:c>
      <x:c r="C1011" s="10" t="n">
        <x:v>6</x:v>
      </x:c>
      <x:c r="D1011" s="24" t="n">
        <x:v>0</x:v>
      </x:c>
      <x:c r="E1011" s="24" t="n">
        <x:v>0.0239</x:v>
      </x:c>
      <x:c r="F1011" s="24" t="n">
        <x:f>ABS(D1011-E1011)</x:f>
        <x:v>0.0239</x:v>
      </x:c>
    </x:row>
    <x:row r="1012" ht="23" customHeight="1">
      <x:c r="A1012" s="10" t="str">
        <x:v>M8</x:v>
      </x:c>
      <x:c r="B1012" s="10" t="str">
        <x:v>C_H0</x:v>
      </x:c>
      <x:c r="C1012" s="10" t="n">
        <x:v>7</x:v>
      </x:c>
      <x:c r="D1012" s="24" t="n">
        <x:v>0.0016001600160016002</x:v>
      </x:c>
      <x:c r="E1012" s="24" t="n">
        <x:v>0.018000000000000002</x:v>
      </x:c>
      <x:c r="F1012" s="24" t="n">
        <x:f>ABS(D1012-E1012)</x:f>
        <x:v>0.016399839983998403</x:v>
      </x:c>
    </x:row>
    <x:row r="1013" ht="23" customHeight="1">
      <x:c r="A1013" s="10" t="str">
        <x:v>M8</x:v>
      </x:c>
      <x:c r="B1013" s="10" t="str">
        <x:v>C_H0</x:v>
      </x:c>
      <x:c r="C1013" s="10" t="n">
        <x:v>8</x:v>
      </x:c>
      <x:c r="D1013" s="24" t="n">
        <x:v>0</x:v>
      </x:c>
      <x:c r="E1013" s="24" t="n">
        <x:v>0.0274</x:v>
      </x:c>
      <x:c r="F1013" s="24" t="n">
        <x:f>ABS(D1013-E1013)</x:f>
        <x:v>0.0274</x:v>
      </x:c>
    </x:row>
    <x:row r="1014" ht="23" customHeight="1">
      <x:c r="A1014" s="10" t="str">
        <x:v>M8</x:v>
      </x:c>
      <x:c r="B1014" s="10" t="str">
        <x:v>C_H0</x:v>
      </x:c>
      <x:c r="C1014" s="10" t="n">
        <x:v>9</x:v>
      </x:c>
      <x:c r="D1014" s="24" t="n">
        <x:v>0.0005000500050005</x:v>
      </x:c>
      <x:c r="E1014" s="24" t="n">
        <x:v>0.019</x:v>
      </x:c>
      <x:c r="F1014" s="24" t="n">
        <x:f>ABS(D1014-E1014)</x:f>
        <x:v>0.0184999499949995</x:v>
      </x:c>
    </x:row>
    <x:row r="1015" ht="23" customHeight="1">
      <x:c r="A1015" s="10" t="str">
        <x:v>M8</x:v>
      </x:c>
      <x:c r="B1015" s="10" t="str">
        <x:v>C_H0</x:v>
      </x:c>
      <x:c r="C1015" s="10" t="n">
        <x:v>10</x:v>
      </x:c>
      <x:c r="D1015" s="24" t="n">
        <x:v>0</x:v>
      </x:c>
      <x:c r="E1015" s="24" t="n">
        <x:v>0.0003</x:v>
      </x:c>
      <x:c r="F1015" s="24" t="n">
        <x:f>ABS(D1015-E1015)</x:f>
        <x:v>0.0003</x:v>
      </x:c>
    </x:row>
    <x:row r="1016" ht="23" customHeight="1">
      <x:c r="A1016" s="10" t="str">
        <x:v>M8</x:v>
      </x:c>
      <x:c r="B1016" s="10" t="str">
        <x:v>C_H1</x:v>
      </x:c>
      <x:c r="C1016" s="10" t="n">
        <x:v>1</x:v>
      </x:c>
      <x:c r="D1016" s="24" t="n">
        <x:v>0</x:v>
      </x:c>
      <x:c r="E1016" s="24" t="n">
        <x:v>0.0143</x:v>
      </x:c>
      <x:c r="F1016" s="24" t="n">
        <x:f>ABS(D1016-E1016)</x:f>
        <x:v>0.0143</x:v>
      </x:c>
    </x:row>
    <x:row r="1017" ht="23" customHeight="1">
      <x:c r="A1017" s="10" t="str">
        <x:v>M8</x:v>
      </x:c>
      <x:c r="B1017" s="10" t="str">
        <x:v>C_H1</x:v>
      </x:c>
      <x:c r="C1017" s="10" t="n">
        <x:v>2</x:v>
      </x:c>
      <x:c r="D1017" s="24" t="n">
        <x:v>0.2676</x:v>
      </x:c>
      <x:c r="E1017" s="24" t="n">
        <x:v>0.1884</x:v>
      </x:c>
      <x:c r="F1017" s="24" t="n">
        <x:f>ABS(D1017-E1017)</x:f>
        <x:v>0.07919999999999999</x:v>
      </x:c>
    </x:row>
    <x:row r="1018" ht="23" customHeight="1">
      <x:c r="A1018" s="10" t="str">
        <x:v>M8</x:v>
      </x:c>
      <x:c r="B1018" s="10" t="str">
        <x:v>C_H1</x:v>
      </x:c>
      <x:c r="C1018" s="10" t="n">
        <x:v>3</x:v>
      </x:c>
      <x:c r="D1018" s="24" t="n">
        <x:v>0</x:v>
      </x:c>
      <x:c r="E1018" s="24" t="n">
        <x:v>0.5088</x:v>
      </x:c>
      <x:c r="F1018" s="24" t="n">
        <x:f>ABS(D1018-E1018)</x:f>
        <x:v>0.5088</x:v>
      </x:c>
    </x:row>
    <x:row r="1019" ht="23" customHeight="1">
      <x:c r="A1019" s="10" t="str">
        <x:v>M8</x:v>
      </x:c>
      <x:c r="B1019" s="10" t="str">
        <x:v>C_H1</x:v>
      </x:c>
      <x:c r="C1019" s="10" t="n">
        <x:v>4</x:v>
      </x:c>
      <x:c r="D1019" s="24" t="n">
        <x:v>0</x:v>
      </x:c>
      <x:c r="E1019" s="24" t="n">
        <x:v>0.1499</x:v>
      </x:c>
      <x:c r="F1019" s="24" t="n">
        <x:f>ABS(D1019-E1019)</x:f>
        <x:v>0.1499</x:v>
      </x:c>
    </x:row>
    <x:row r="1020" ht="23" customHeight="1">
      <x:c r="A1020" s="10" t="str">
        <x:v>M8</x:v>
      </x:c>
      <x:c r="B1020" s="10" t="str">
        <x:v>C_H1</x:v>
      </x:c>
      <x:c r="C1020" s="10" t="n">
        <x:v>5</x:v>
      </x:c>
      <x:c r="D1020" s="24" t="n">
        <x:v>0.7288</x:v>
      </x:c>
      <x:c r="E1020" s="24" t="n">
        <x:v>0.05</x:v>
      </x:c>
      <x:c r="F1020" s="24" t="n">
        <x:f>ABS(D1020-E1020)</x:f>
        <x:v>0.6788</x:v>
      </x:c>
    </x:row>
    <x:row r="1021" ht="23" customHeight="1">
      <x:c r="A1021" s="10" t="str">
        <x:v>M8</x:v>
      </x:c>
      <x:c r="B1021" s="10" t="str">
        <x:v>C_H1</x:v>
      </x:c>
      <x:c r="C1021" s="10" t="n">
        <x:v>6</x:v>
      </x:c>
      <x:c r="D1021" s="24" t="n">
        <x:v>0</x:v>
      </x:c>
      <x:c r="E1021" s="24" t="n">
        <x:v>0.0239</x:v>
      </x:c>
      <x:c r="F1021" s="24" t="n">
        <x:f>ABS(D1021-E1021)</x:f>
        <x:v>0.0239</x:v>
      </x:c>
    </x:row>
    <x:row r="1022" ht="23" customHeight="1">
      <x:c r="A1022" s="10" t="str">
        <x:v>M8</x:v>
      </x:c>
      <x:c r="B1022" s="10" t="str">
        <x:v>C_H1</x:v>
      </x:c>
      <x:c r="C1022" s="10" t="n">
        <x:v>7</x:v>
      </x:c>
      <x:c r="D1022" s="24" t="n">
        <x:v>0.0031</x:v>
      </x:c>
      <x:c r="E1022" s="24" t="n">
        <x:v>0.018000000000000002</x:v>
      </x:c>
      <x:c r="F1022" s="24" t="n">
        <x:f>ABS(D1022-E1022)</x:f>
        <x:v>0.014900000000000002</x:v>
      </x:c>
    </x:row>
    <x:row r="1023" ht="23" customHeight="1">
      <x:c r="A1023" s="10" t="str">
        <x:v>M8</x:v>
      </x:c>
      <x:c r="B1023" s="10" t="str">
        <x:v>C_H1</x:v>
      </x:c>
      <x:c r="C1023" s="10" t="n">
        <x:v>8</x:v>
      </x:c>
      <x:c r="D1023" s="24" t="n">
        <x:v>0</x:v>
      </x:c>
      <x:c r="E1023" s="24" t="n">
        <x:v>0.0274</x:v>
      </x:c>
      <x:c r="F1023" s="24" t="n">
        <x:f>ABS(D1023-E1023)</x:f>
        <x:v>0.0274</x:v>
      </x:c>
    </x:row>
    <x:row r="1024" ht="23" customHeight="1">
      <x:c r="A1024" s="10" t="str">
        <x:v>M8</x:v>
      </x:c>
      <x:c r="B1024" s="10" t="str">
        <x:v>C_H1</x:v>
      </x:c>
      <x:c r="C1024" s="10" t="n">
        <x:v>9</x:v>
      </x:c>
      <x:c r="D1024" s="24" t="n">
        <x:v>0.0005</x:v>
      </x:c>
      <x:c r="E1024" s="24" t="n">
        <x:v>0.019</x:v>
      </x:c>
      <x:c r="F1024" s="24" t="n">
        <x:f>ABS(D1024-E1024)</x:f>
        <x:v>0.0185</x:v>
      </x:c>
    </x:row>
    <x:row r="1025" ht="23" customHeight="1">
      <x:c r="A1025" s="10" t="str">
        <x:v>M8</x:v>
      </x:c>
      <x:c r="B1025" s="10" t="str">
        <x:v>C_H1</x:v>
      </x:c>
      <x:c r="C1025" s="10" t="n">
        <x:v>10</x:v>
      </x:c>
      <x:c r="D1025" s="24" t="n">
        <x:v>0</x:v>
      </x:c>
      <x:c r="E1025" s="24" t="n">
        <x:v>0.0003</x:v>
      </x:c>
      <x:c r="F1025" s="24" t="n">
        <x:f>ABS(D1025-E1025)</x:f>
        <x:v>0.0003</x:v>
      </x:c>
    </x:row>
    <x:row r="1026" ht="23" customHeight="1">
      <x:c r="A1026" s="10" t="str">
        <x:v>M8</x:v>
      </x:c>
      <x:c r="B1026" s="10" t="str">
        <x:v>G_H0</x:v>
      </x:c>
      <x:c r="C1026" s="10" t="n">
        <x:v>1</x:v>
      </x:c>
      <x:c r="D1026" s="24" t="n">
        <x:v>0</x:v>
      </x:c>
      <x:c r="E1026" s="24" t="n">
        <x:v>0.0143</x:v>
      </x:c>
      <x:c r="F1026" s="24" t="n">
        <x:f>ABS(D1026-E1026)</x:f>
        <x:v>0.0143</x:v>
      </x:c>
    </x:row>
    <x:row r="1027" ht="23" customHeight="1">
      <x:c r="A1027" s="10" t="str">
        <x:v>M8</x:v>
      </x:c>
      <x:c r="B1027" s="10" t="str">
        <x:v>G_H0</x:v>
      </x:c>
      <x:c r="C1027" s="10" t="n">
        <x:v>2</x:v>
      </x:c>
      <x:c r="D1027" s="24" t="n">
        <x:v>0.2281</x:v>
      </x:c>
      <x:c r="E1027" s="24" t="n">
        <x:v>0.1884</x:v>
      </x:c>
      <x:c r="F1027" s="24" t="n">
        <x:f>ABS(D1027-E1027)</x:f>
        <x:v>0.039699999999999985</x:v>
      </x:c>
    </x:row>
    <x:row r="1028" ht="23" customHeight="1">
      <x:c r="A1028" s="10" t="str">
        <x:v>M8</x:v>
      </x:c>
      <x:c r="B1028" s="10" t="str">
        <x:v>G_H0</x:v>
      </x:c>
      <x:c r="C1028" s="10" t="n">
        <x:v>3</x:v>
      </x:c>
      <x:c r="D1028" s="24" t="n">
        <x:v>0.5972</x:v>
      </x:c>
      <x:c r="E1028" s="24" t="n">
        <x:v>0.5088</x:v>
      </x:c>
      <x:c r="F1028" s="24" t="n">
        <x:f>ABS(D1028-E1028)</x:f>
        <x:v>0.08839999999999992</x:v>
      </x:c>
    </x:row>
    <x:row r="1029" ht="23" customHeight="1">
      <x:c r="A1029" s="10" t="str">
        <x:v>M8</x:v>
      </x:c>
      <x:c r="B1029" s="10" t="str">
        <x:v>G_H0</x:v>
      </x:c>
      <x:c r="C1029" s="10" t="n">
        <x:v>4</x:v>
      </x:c>
      <x:c r="D1029" s="24" t="n">
        <x:v>0.1303</x:v>
      </x:c>
      <x:c r="E1029" s="24" t="n">
        <x:v>0.1499</x:v>
      </x:c>
      <x:c r="F1029" s="24" t="n">
        <x:f>ABS(D1029-E1029)</x:f>
        <x:v>0.019600000000000006</x:v>
      </x:c>
    </x:row>
    <x:row r="1030" ht="23" customHeight="1">
      <x:c r="A1030" s="10" t="str">
        <x:v>M8</x:v>
      </x:c>
      <x:c r="B1030" s="10" t="str">
        <x:v>G_H0</x:v>
      </x:c>
      <x:c r="C1030" s="10" t="n">
        <x:v>5</x:v>
      </x:c>
      <x:c r="D1030" s="24" t="n">
        <x:v>0.0356</x:v>
      </x:c>
      <x:c r="E1030" s="24" t="n">
        <x:v>0.05</x:v>
      </x:c>
      <x:c r="F1030" s="24" t="n">
        <x:f>ABS(D1030-E1030)</x:f>
        <x:v>0.014400000000000003</x:v>
      </x:c>
    </x:row>
    <x:row r="1031" ht="23" customHeight="1">
      <x:c r="A1031" s="10" t="str">
        <x:v>M8</x:v>
      </x:c>
      <x:c r="B1031" s="10" t="str">
        <x:v>G_H0</x:v>
      </x:c>
      <x:c r="C1031" s="10" t="n">
        <x:v>6</x:v>
      </x:c>
      <x:c r="D1031" s="24" t="n">
        <x:v>0.0088</x:v>
      </x:c>
      <x:c r="E1031" s="24" t="n">
        <x:v>0.0239</x:v>
      </x:c>
      <x:c r="F1031" s="24" t="n">
        <x:f>ABS(D1031-E1031)</x:f>
        <x:v>0.0151</x:v>
      </x:c>
    </x:row>
    <x:row r="1032" ht="23" customHeight="1">
      <x:c r="A1032" s="10" t="str">
        <x:v>M8</x:v>
      </x:c>
      <x:c r="B1032" s="10" t="str">
        <x:v>G_H0</x:v>
      </x:c>
      <x:c r="C1032" s="10" t="n">
        <x:v>7</x:v>
      </x:c>
      <x:c r="D1032" s="24" t="n">
        <x:v>0</x:v>
      </x:c>
      <x:c r="E1032" s="24" t="n">
        <x:v>0.018000000000000002</x:v>
      </x:c>
      <x:c r="F1032" s="24" t="n">
        <x:f>ABS(D1032-E1032)</x:f>
        <x:v>0.018000000000000002</x:v>
      </x:c>
    </x:row>
    <x:row r="1033" ht="23" customHeight="1">
      <x:c r="A1033" s="10" t="str">
        <x:v>M8</x:v>
      </x:c>
      <x:c r="B1033" s="10" t="str">
        <x:v>G_H0</x:v>
      </x:c>
      <x:c r="C1033" s="10" t="n">
        <x:v>8</x:v>
      </x:c>
      <x:c r="D1033" s="24" t="n">
        <x:v>0</x:v>
      </x:c>
      <x:c r="E1033" s="24" t="n">
        <x:v>0.0274</x:v>
      </x:c>
      <x:c r="F1033" s="24" t="n">
        <x:f>ABS(D1033-E1033)</x:f>
        <x:v>0.0274</x:v>
      </x:c>
    </x:row>
    <x:row r="1034" ht="23" customHeight="1">
      <x:c r="A1034" s="10" t="str">
        <x:v>M8</x:v>
      </x:c>
      <x:c r="B1034" s="10" t="str">
        <x:v>G_H0</x:v>
      </x:c>
      <x:c r="C1034" s="10" t="n">
        <x:v>9</x:v>
      </x:c>
      <x:c r="D1034" s="24" t="n">
        <x:v>0</x:v>
      </x:c>
      <x:c r="E1034" s="24" t="n">
        <x:v>0.019</x:v>
      </x:c>
      <x:c r="F1034" s="24" t="n">
        <x:f>ABS(D1034-E1034)</x:f>
        <x:v>0.019</x:v>
      </x:c>
    </x:row>
    <x:row r="1035" ht="23" customHeight="1">
      <x:c r="A1035" s="10" t="str">
        <x:v>M8</x:v>
      </x:c>
      <x:c r="B1035" s="10" t="str">
        <x:v>G_H0</x:v>
      </x:c>
      <x:c r="C1035" s="10" t="n">
        <x:v>10</x:v>
      </x:c>
      <x:c r="D1035" s="24" t="n">
        <x:v>0</x:v>
      </x:c>
      <x:c r="E1035" s="24" t="n">
        <x:v>0.0003</x:v>
      </x:c>
      <x:c r="F1035" s="24" t="n">
        <x:f>ABS(D1035-E1035)</x:f>
        <x:v>0.0003</x:v>
      </x:c>
    </x:row>
    <x:row r="1036" ht="23" customHeight="1">
      <x:c r="A1036" s="10" t="str">
        <x:v>M8</x:v>
      </x:c>
      <x:c r="B1036" s="10" t="str">
        <x:v>G_H1</x:v>
      </x:c>
      <x:c r="C1036" s="10" t="n">
        <x:v>1</x:v>
      </x:c>
      <x:c r="D1036" s="24" t="n">
        <x:v>0</x:v>
      </x:c>
      <x:c r="E1036" s="24" t="n">
        <x:v>0.0143</x:v>
      </x:c>
      <x:c r="F1036" s="24" t="n">
        <x:f>ABS(D1036-E1036)</x:f>
        <x:v>0.0143</x:v>
      </x:c>
    </x:row>
    <x:row r="1037" ht="23" customHeight="1">
      <x:c r="A1037" s="10" t="str">
        <x:v>M8</x:v>
      </x:c>
      <x:c r="B1037" s="10" t="str">
        <x:v>G_H1</x:v>
      </x:c>
      <x:c r="C1037" s="10" t="n">
        <x:v>2</x:v>
      </x:c>
      <x:c r="D1037" s="24" t="n">
        <x:v>0.14699999999999996</x:v>
      </x:c>
      <x:c r="E1037" s="24" t="n">
        <x:v>0.1884</x:v>
      </x:c>
      <x:c r="F1037" s="24" t="n">
        <x:f>ABS(D1037-E1037)</x:f>
        <x:v>0.04140000000000005</x:v>
      </x:c>
    </x:row>
    <x:row r="1038" ht="23" customHeight="1">
      <x:c r="A1038" s="10" t="str">
        <x:v>M8</x:v>
      </x:c>
      <x:c r="B1038" s="10" t="str">
        <x:v>G_H1</x:v>
      </x:c>
      <x:c r="C1038" s="10" t="n">
        <x:v>3</x:v>
      </x:c>
      <x:c r="D1038" s="24" t="n">
        <x:v>0.6461999999999999</x:v>
      </x:c>
      <x:c r="E1038" s="24" t="n">
        <x:v>0.5088</x:v>
      </x:c>
      <x:c r="F1038" s="24" t="n">
        <x:f>ABS(D1038-E1038)</x:f>
        <x:v>0.13739999999999986</x:v>
      </x:c>
    </x:row>
    <x:row r="1039" ht="23" customHeight="1">
      <x:c r="A1039" s="10" t="str">
        <x:v>M8</x:v>
      </x:c>
      <x:c r="B1039" s="10" t="str">
        <x:v>G_H1</x:v>
      </x:c>
      <x:c r="C1039" s="10" t="n">
        <x:v>4</x:v>
      </x:c>
      <x:c r="D1039" s="24" t="n">
        <x:v>0.15649999999999997</x:v>
      </x:c>
      <x:c r="E1039" s="24" t="n">
        <x:v>0.1499</x:v>
      </x:c>
      <x:c r="F1039" s="24" t="n">
        <x:f>ABS(D1039-E1039)</x:f>
        <x:v>0.006599999999999967</x:v>
      </x:c>
    </x:row>
    <x:row r="1040" ht="23" customHeight="1">
      <x:c r="A1040" s="10" t="str">
        <x:v>M8</x:v>
      </x:c>
      <x:c r="B1040" s="10" t="str">
        <x:v>G_H1</x:v>
      </x:c>
      <x:c r="C1040" s="10" t="n">
        <x:v>5</x:v>
      </x:c>
      <x:c r="D1040" s="24" t="n">
        <x:v>0.0405</x:v>
      </x:c>
      <x:c r="E1040" s="24" t="n">
        <x:v>0.05</x:v>
      </x:c>
      <x:c r="F1040" s="24" t="n">
        <x:f>ABS(D1040-E1040)</x:f>
        <x:v>0.009500000000000001</x:v>
      </x:c>
    </x:row>
    <x:row r="1041" ht="23" customHeight="1">
      <x:c r="A1041" s="10" t="str">
        <x:v>M8</x:v>
      </x:c>
      <x:c r="B1041" s="10" t="str">
        <x:v>G_H1</x:v>
      </x:c>
      <x:c r="C1041" s="10" t="n">
        <x:v>6</x:v>
      </x:c>
      <x:c r="D1041" s="24" t="n">
        <x:v>0.009799999999999998</x:v>
      </x:c>
      <x:c r="E1041" s="24" t="n">
        <x:v>0.0239</x:v>
      </x:c>
      <x:c r="F1041" s="24" t="n">
        <x:f>ABS(D1041-E1041)</x:f>
        <x:v>0.014100000000000003</x:v>
      </x:c>
    </x:row>
    <x:row r="1042" ht="23" customHeight="1">
      <x:c r="A1042" s="10" t="str">
        <x:v>M8</x:v>
      </x:c>
      <x:c r="B1042" s="10" t="str">
        <x:v>G_H1</x:v>
      </x:c>
      <x:c r="C1042" s="10" t="n">
        <x:v>7</x:v>
      </x:c>
      <x:c r="D1042" s="24" t="n">
        <x:v>0</x:v>
      </x:c>
      <x:c r="E1042" s="24" t="n">
        <x:v>0.018000000000000002</x:v>
      </x:c>
      <x:c r="F1042" s="24" t="n">
        <x:f>ABS(D1042-E1042)</x:f>
        <x:v>0.018000000000000002</x:v>
      </x:c>
    </x:row>
    <x:row r="1043" ht="23" customHeight="1">
      <x:c r="A1043" s="10" t="str">
        <x:v>M8</x:v>
      </x:c>
      <x:c r="B1043" s="10" t="str">
        <x:v>G_H1</x:v>
      </x:c>
      <x:c r="C1043" s="10" t="n">
        <x:v>8</x:v>
      </x:c>
      <x:c r="D1043" s="24" t="n">
        <x:v>0</x:v>
      </x:c>
      <x:c r="E1043" s="24" t="n">
        <x:v>0.0274</x:v>
      </x:c>
      <x:c r="F1043" s="24" t="n">
        <x:f>ABS(D1043-E1043)</x:f>
        <x:v>0.0274</x:v>
      </x:c>
    </x:row>
    <x:row r="1044" ht="23" customHeight="1">
      <x:c r="A1044" s="10" t="str">
        <x:v>M8</x:v>
      </x:c>
      <x:c r="B1044" s="10" t="str">
        <x:v>G_H1</x:v>
      </x:c>
      <x:c r="C1044" s="10" t="n">
        <x:v>9</x:v>
      </x:c>
      <x:c r="D1044" s="24" t="n">
        <x:v>0</x:v>
      </x:c>
      <x:c r="E1044" s="24" t="n">
        <x:v>0.019</x:v>
      </x:c>
      <x:c r="F1044" s="24" t="n">
        <x:f>ABS(D1044-E1044)</x:f>
        <x:v>0.019</x:v>
      </x:c>
    </x:row>
    <x:row r="1045" ht="23" customHeight="1">
      <x:c r="A1045" s="10" t="str">
        <x:v>M8</x:v>
      </x:c>
      <x:c r="B1045" s="10" t="str">
        <x:v>G_H1</x:v>
      </x:c>
      <x:c r="C1045" s="10" t="n">
        <x:v>10</x:v>
      </x:c>
      <x:c r="D1045" s="24" t="n">
        <x:v>0</x:v>
      </x:c>
      <x:c r="E1045" s="24" t="n">
        <x:v>0.0003</x:v>
      </x:c>
      <x:c r="F1045" s="24" t="n">
        <x:f>ABS(D1045-E1045)</x:f>
        <x:v>0.0003</x:v>
      </x:c>
    </x:row>
    <x:row r="1046" ht="23" customHeight="1">
      <x:c r="A1046" s="10" t="str">
        <x:v>M8</x:v>
      </x:c>
      <x:c r="B1046" s="10" t="str">
        <x:v>NC_H0</x:v>
      </x:c>
      <x:c r="C1046" s="10" t="n">
        <x:v>1</x:v>
      </x:c>
      <x:c r="D1046" s="24" t="n">
        <x:v>0</x:v>
      </x:c>
      <x:c r="E1046" s="24" t="n">
        <x:v>0.0143</x:v>
      </x:c>
      <x:c r="F1046" s="24" t="n">
        <x:f>ABS(D1046-E1046)</x:f>
        <x:v>0.0143</x:v>
      </x:c>
    </x:row>
    <x:row r="1047" ht="23" customHeight="1">
      <x:c r="A1047" s="10" t="str">
        <x:v>M8</x:v>
      </x:c>
      <x:c r="B1047" s="10" t="str">
        <x:v>NC_H0</x:v>
      </x:c>
      <x:c r="C1047" s="10" t="n">
        <x:v>2</x:v>
      </x:c>
      <x:c r="D1047" s="24" t="n">
        <x:v>0.24179999999999996</x:v>
      </x:c>
      <x:c r="E1047" s="24" t="n">
        <x:v>0.1884</x:v>
      </x:c>
      <x:c r="F1047" s="24" t="n">
        <x:f>ABS(D1047-E1047)</x:f>
        <x:v>0.05339999999999995</x:v>
      </x:c>
    </x:row>
    <x:row r="1048" ht="23" customHeight="1">
      <x:c r="A1048" s="10" t="str">
        <x:v>M8</x:v>
      </x:c>
      <x:c r="B1048" s="10" t="str">
        <x:v>NC_H0</x:v>
      </x:c>
      <x:c r="C1048" s="10" t="n">
        <x:v>3</x:v>
      </x:c>
      <x:c r="D1048" s="24" t="n">
        <x:v>0.036199999999999996</x:v>
      </x:c>
      <x:c r="E1048" s="24" t="n">
        <x:v>0.5088</x:v>
      </x:c>
      <x:c r="F1048" s="24" t="n">
        <x:f>ABS(D1048-E1048)</x:f>
        <x:v>0.4726</x:v>
      </x:c>
    </x:row>
    <x:row r="1049" ht="23" customHeight="1">
      <x:c r="A1049" s="10" t="str">
        <x:v>M8</x:v>
      </x:c>
      <x:c r="B1049" s="10" t="str">
        <x:v>NC_H0</x:v>
      </x:c>
      <x:c r="C1049" s="10" t="n">
        <x:v>4</x:v>
      </x:c>
      <x:c r="D1049" s="24" t="n">
        <x:v>0</x:v>
      </x:c>
      <x:c r="E1049" s="24" t="n">
        <x:v>0.1499</x:v>
      </x:c>
      <x:c r="F1049" s="24" t="n">
        <x:f>ABS(D1049-E1049)</x:f>
        <x:v>0.1499</x:v>
      </x:c>
    </x:row>
    <x:row r="1050" ht="23" customHeight="1">
      <x:c r="A1050" s="10" t="str">
        <x:v>M8</x:v>
      </x:c>
      <x:c r="B1050" s="10" t="str">
        <x:v>NC_H0</x:v>
      </x:c>
      <x:c r="C1050" s="10" t="n">
        <x:v>5</x:v>
      </x:c>
      <x:c r="D1050" s="24" t="n">
        <x:v>0.6555999999999998</x:v>
      </x:c>
      <x:c r="E1050" s="24" t="n">
        <x:v>0.05</x:v>
      </x:c>
      <x:c r="F1050" s="24" t="n">
        <x:f>ABS(D1050-E1050)</x:f>
        <x:v>0.6055999999999998</x:v>
      </x:c>
    </x:row>
    <x:row r="1051" ht="23" customHeight="1">
      <x:c r="A1051" s="10" t="str">
        <x:v>M8</x:v>
      </x:c>
      <x:c r="B1051" s="10" t="str">
        <x:v>NC_H0</x:v>
      </x:c>
      <x:c r="C1051" s="10" t="n">
        <x:v>6</x:v>
      </x:c>
      <x:c r="D1051" s="24" t="n">
        <x:v>0.005099999999999999</x:v>
      </x:c>
      <x:c r="E1051" s="24" t="n">
        <x:v>0.0239</x:v>
      </x:c>
      <x:c r="F1051" s="24" t="n">
        <x:f>ABS(D1051-E1051)</x:f>
        <x:v>0.018800000000000004</x:v>
      </x:c>
    </x:row>
    <x:row r="1052" ht="23" customHeight="1">
      <x:c r="A1052" s="10" t="str">
        <x:v>M8</x:v>
      </x:c>
      <x:c r="B1052" s="10" t="str">
        <x:v>NC_H0</x:v>
      </x:c>
      <x:c r="C1052" s="10" t="n">
        <x:v>7</x:v>
      </x:c>
      <x:c r="D1052" s="24" t="n">
        <x:v>0.0133</x:v>
      </x:c>
      <x:c r="E1052" s="24" t="n">
        <x:v>0.018000000000000002</x:v>
      </x:c>
      <x:c r="F1052" s="24" t="n">
        <x:f>ABS(D1052-E1052)</x:f>
        <x:v>0.004700000000000003</x:v>
      </x:c>
    </x:row>
    <x:row r="1053" ht="23" customHeight="1">
      <x:c r="A1053" s="10" t="str">
        <x:v>M8</x:v>
      </x:c>
      <x:c r="B1053" s="10" t="str">
        <x:v>NC_H0</x:v>
      </x:c>
      <x:c r="C1053" s="10" t="n">
        <x:v>8</x:v>
      </x:c>
      <x:c r="D1053" s="24" t="n">
        <x:v>0.026199999999999998</x:v>
      </x:c>
      <x:c r="E1053" s="24" t="n">
        <x:v>0.0274</x:v>
      </x:c>
      <x:c r="F1053" s="24" t="n">
        <x:f>ABS(D1053-E1053)</x:f>
        <x:v>0.0012000000000000031</x:v>
      </x:c>
    </x:row>
    <x:row r="1054" ht="23" customHeight="1">
      <x:c r="A1054" s="10" t="str">
        <x:v>M8</x:v>
      </x:c>
      <x:c r="B1054" s="10" t="str">
        <x:v>NC_H0</x:v>
      </x:c>
      <x:c r="C1054" s="10" t="n">
        <x:v>9</x:v>
      </x:c>
      <x:c r="D1054" s="24" t="n">
        <x:v>0.0218</x:v>
      </x:c>
      <x:c r="E1054" s="24" t="n">
        <x:v>0.019</x:v>
      </x:c>
      <x:c r="F1054" s="24" t="n">
        <x:f>ABS(D1054-E1054)</x:f>
        <x:v>0.0028000000000000004</x:v>
      </x:c>
    </x:row>
    <x:row r="1055" ht="23" customHeight="1">
      <x:c r="A1055" s="10" t="str">
        <x:v>M8</x:v>
      </x:c>
      <x:c r="B1055" s="10" t="str">
        <x:v>NC_H0</x:v>
      </x:c>
      <x:c r="C1055" s="10" t="n">
        <x:v>10</x:v>
      </x:c>
      <x:c r="D1055" s="24" t="n">
        <x:v>0</x:v>
      </x:c>
      <x:c r="E1055" s="24" t="n">
        <x:v>0.0003</x:v>
      </x:c>
      <x:c r="F1055" s="24" t="n">
        <x:f>ABS(D1055-E1055)</x:f>
        <x:v>0.0003</x:v>
      </x:c>
    </x:row>
    <x:row r="1056" ht="23" customHeight="1">
      <x:c r="A1056" s="10" t="str">
        <x:v>M8</x:v>
      </x:c>
      <x:c r="B1056" s="10" t="str">
        <x:v>NC_H1</x:v>
      </x:c>
      <x:c r="C1056" s="10" t="n">
        <x:v>1</x:v>
      </x:c>
      <x:c r="D1056" s="24" t="n">
        <x:v>0</x:v>
      </x:c>
      <x:c r="E1056" s="24" t="n">
        <x:v>0.0143</x:v>
      </x:c>
      <x:c r="F1056" s="24" t="n">
        <x:f>ABS(D1056-E1056)</x:f>
        <x:v>0.0143</x:v>
      </x:c>
    </x:row>
    <x:row r="1057" ht="23" customHeight="1">
      <x:c r="A1057" s="10" t="str">
        <x:v>M8</x:v>
      </x:c>
      <x:c r="B1057" s="10" t="str">
        <x:v>NC_H1</x:v>
      </x:c>
      <x:c r="C1057" s="10" t="n">
        <x:v>2</x:v>
      </x:c>
      <x:c r="D1057" s="24" t="n">
        <x:v>0.24072407240724072</x:v>
      </x:c>
      <x:c r="E1057" s="24" t="n">
        <x:v>0.1884</x:v>
      </x:c>
      <x:c r="F1057" s="24" t="n">
        <x:f>ABS(D1057-E1057)</x:f>
        <x:v>0.05232407240724071</x:v>
      </x:c>
    </x:row>
    <x:row r="1058" ht="23" customHeight="1">
      <x:c r="A1058" s="10" t="str">
        <x:v>M8</x:v>
      </x:c>
      <x:c r="B1058" s="10" t="str">
        <x:v>NC_H1</x:v>
      </x:c>
      <x:c r="C1058" s="10" t="n">
        <x:v>3</x:v>
      </x:c>
      <x:c r="D1058" s="24" t="n">
        <x:v>0.028802880288028798</x:v>
      </x:c>
      <x:c r="E1058" s="24" t="n">
        <x:v>0.5088</x:v>
      </x:c>
      <x:c r="F1058" s="24" t="n">
        <x:f>ABS(D1058-E1058)</x:f>
        <x:v>0.47999711971197123</x:v>
      </x:c>
    </x:row>
    <x:row r="1059" ht="23" customHeight="1">
      <x:c r="A1059" s="10" t="str">
        <x:v>M8</x:v>
      </x:c>
      <x:c r="B1059" s="10" t="str">
        <x:v>NC_H1</x:v>
      </x:c>
      <x:c r="C1059" s="10" t="n">
        <x:v>4</x:v>
      </x:c>
      <x:c r="D1059" s="24" t="n">
        <x:v>0</x:v>
      </x:c>
      <x:c r="E1059" s="24" t="n">
        <x:v>0.1499</x:v>
      </x:c>
      <x:c r="F1059" s="24" t="n">
        <x:f>ABS(D1059-E1059)</x:f>
        <x:v>0.1499</x:v>
      </x:c>
    </x:row>
    <x:row r="1060" ht="23" customHeight="1">
      <x:c r="A1060" s="10" t="str">
        <x:v>M8</x:v>
      </x:c>
      <x:c r="B1060" s="10" t="str">
        <x:v>NC_H1</x:v>
      </x:c>
      <x:c r="C1060" s="10" t="n">
        <x:v>5</x:v>
      </x:c>
      <x:c r="D1060" s="24" t="n">
        <x:v>0.6556655665566556</x:v>
      </x:c>
      <x:c r="E1060" s="24" t="n">
        <x:v>0.05</x:v>
      </x:c>
      <x:c r="F1060" s="24" t="n">
        <x:f>ABS(D1060-E1060)</x:f>
        <x:v>0.6056655665566556</x:v>
      </x:c>
    </x:row>
    <x:row r="1061" ht="23" customHeight="1">
      <x:c r="A1061" s="10" t="str">
        <x:v>M8</x:v>
      </x:c>
      <x:c r="B1061" s="10" t="str">
        <x:v>NC_H1</x:v>
      </x:c>
      <x:c r="C1061" s="10" t="n">
        <x:v>6</x:v>
      </x:c>
      <x:c r="D1061" s="24" t="n">
        <x:v>0.0111011101110111</x:v>
      </x:c>
      <x:c r="E1061" s="24" t="n">
        <x:v>0.0239</x:v>
      </x:c>
      <x:c r="F1061" s="24" t="n">
        <x:f>ABS(D1061-E1061)</x:f>
        <x:v>0.0127988898889889</x:v>
      </x:c>
    </x:row>
    <x:row r="1062" ht="23" customHeight="1">
      <x:c r="A1062" s="10" t="str">
        <x:v>M8</x:v>
      </x:c>
      <x:c r="B1062" s="10" t="str">
        <x:v>NC_H1</x:v>
      </x:c>
      <x:c r="C1062" s="10" t="n">
        <x:v>7</x:v>
      </x:c>
      <x:c r="D1062" s="24" t="n">
        <x:v>0.0157015701570157</x:v>
      </x:c>
      <x:c r="E1062" s="24" t="n">
        <x:v>0.018000000000000002</x:v>
      </x:c>
      <x:c r="F1062" s="24" t="n">
        <x:f>ABS(D1062-E1062)</x:f>
        <x:v>0.0022984298429843016</x:v>
      </x:c>
    </x:row>
    <x:row r="1063" ht="23" customHeight="1">
      <x:c r="A1063" s="10" t="str">
        <x:v>M8</x:v>
      </x:c>
      <x:c r="B1063" s="10" t="str">
        <x:v>NC_H1</x:v>
      </x:c>
      <x:c r="C1063" s="10" t="n">
        <x:v>8</x:v>
      </x:c>
      <x:c r="D1063" s="24" t="n">
        <x:v>0.0262026202620262</x:v>
      </x:c>
      <x:c r="E1063" s="24" t="n">
        <x:v>0.0274</x:v>
      </x:c>
      <x:c r="F1063" s="24" t="n">
        <x:f>ABS(D1063-E1063)</x:f>
        <x:v>0.001197379737973802</x:v>
      </x:c>
    </x:row>
    <x:row r="1064" ht="23" customHeight="1">
      <x:c r="A1064" s="10" t="str">
        <x:v>M8</x:v>
      </x:c>
      <x:c r="B1064" s="10" t="str">
        <x:v>NC_H1</x:v>
      </x:c>
      <x:c r="C1064" s="10" t="n">
        <x:v>9</x:v>
      </x:c>
      <x:c r="D1064" s="24" t="n">
        <x:v>0.021802180218021806</x:v>
      </x:c>
      <x:c r="E1064" s="24" t="n">
        <x:v>0.019</x:v>
      </x:c>
      <x:c r="F1064" s="24" t="n">
        <x:f>ABS(D1064-E1064)</x:f>
        <x:v>0.002802180218021807</x:v>
      </x:c>
    </x:row>
    <x:row r="1065" ht="23" customHeight="1">
      <x:c r="A1065" s="10" t="str">
        <x:v>M8</x:v>
      </x:c>
      <x:c r="B1065" s="10" t="str">
        <x:v>NC_H1</x:v>
      </x:c>
      <x:c r="C1065" s="10" t="n">
        <x:v>10</x:v>
      </x:c>
      <x:c r="D1065" s="24" t="n">
        <x:v>0</x:v>
      </x:c>
      <x:c r="E1065" s="24" t="n">
        <x:v>0.0003</x:v>
      </x:c>
      <x:c r="F1065" s="24" t="n">
        <x:f>ABS(D1065-E1065)</x:f>
        <x:v>0.0003</x:v>
      </x:c>
    </x:row>
    <x:row r="1066" ht="23" customHeight="1">
      <x:c r="A1066" s="10" t="str">
        <x:v>M8</x:v>
      </x:c>
      <x:c r="B1066" s="10" t="str">
        <x:v>NG_H0</x:v>
      </x:c>
      <x:c r="C1066" s="10" t="n">
        <x:v>1</x:v>
      </x:c>
      <x:c r="D1066" s="24" t="n">
        <x:v>0.0060999999999999995</x:v>
      </x:c>
      <x:c r="E1066" s="24" t="n">
        <x:v>0.0143</x:v>
      </x:c>
      <x:c r="F1066" s="24" t="n">
        <x:f>ABS(D1066-E1066)</x:f>
        <x:v>0.0082</x:v>
      </x:c>
    </x:row>
    <x:row r="1067" ht="23" customHeight="1">
      <x:c r="A1067" s="10" t="str">
        <x:v>M8</x:v>
      </x:c>
      <x:c r="B1067" s="10" t="str">
        <x:v>NG_H0</x:v>
      </x:c>
      <x:c r="C1067" s="10" t="n">
        <x:v>2</x:v>
      </x:c>
      <x:c r="D1067" s="24" t="n">
        <x:v>0.2407</x:v>
      </x:c>
      <x:c r="E1067" s="24" t="n">
        <x:v>0.1884</x:v>
      </x:c>
      <x:c r="F1067" s="24" t="n">
        <x:f>ABS(D1067-E1067)</x:f>
        <x:v>0.052299999999999985</x:v>
      </x:c>
    </x:row>
    <x:row r="1068" ht="23" customHeight="1">
      <x:c r="A1068" s="10" t="str">
        <x:v>M8</x:v>
      </x:c>
      <x:c r="B1068" s="10" t="str">
        <x:v>NG_H0</x:v>
      </x:c>
      <x:c r="C1068" s="10" t="n">
        <x:v>3</x:v>
      </x:c>
      <x:c r="D1068" s="24" t="n">
        <x:v>0.5109</x:v>
      </x:c>
      <x:c r="E1068" s="24" t="n">
        <x:v>0.5088</x:v>
      </x:c>
      <x:c r="F1068" s="24" t="n">
        <x:f>ABS(D1068-E1068)</x:f>
        <x:v>0.0020999999999999908</x:v>
      </x:c>
    </x:row>
    <x:row r="1069" ht="23" customHeight="1">
      <x:c r="A1069" s="10" t="str">
        <x:v>M8</x:v>
      </x:c>
      <x:c r="B1069" s="10" t="str">
        <x:v>NG_H0</x:v>
      </x:c>
      <x:c r="C1069" s="10" t="n">
        <x:v>4</x:v>
      </x:c>
      <x:c r="D1069" s="24" t="n">
        <x:v>0.11939999999999999</x:v>
      </x:c>
      <x:c r="E1069" s="24" t="n">
        <x:v>0.1499</x:v>
      </x:c>
      <x:c r="F1069" s="24" t="n">
        <x:f>ABS(D1069-E1069)</x:f>
        <x:v>0.030500000000000013</x:v>
      </x:c>
    </x:row>
    <x:row r="1070" ht="23" customHeight="1">
      <x:c r="A1070" s="10" t="str">
        <x:v>M8</x:v>
      </x:c>
      <x:c r="B1070" s="10" t="str">
        <x:v>NG_H0</x:v>
      </x:c>
      <x:c r="C1070" s="10" t="n">
        <x:v>5</x:v>
      </x:c>
      <x:c r="D1070" s="24" t="n">
        <x:v>0.0342</x:v>
      </x:c>
      <x:c r="E1070" s="24" t="n">
        <x:v>0.05</x:v>
      </x:c>
      <x:c r="F1070" s="24" t="n">
        <x:f>ABS(D1070-E1070)</x:f>
        <x:v>0.0158</x:v>
      </x:c>
    </x:row>
    <x:row r="1071" ht="23" customHeight="1">
      <x:c r="A1071" s="10" t="str">
        <x:v>M8</x:v>
      </x:c>
      <x:c r="B1071" s="10" t="str">
        <x:v>NG_H0</x:v>
      </x:c>
      <x:c r="C1071" s="10" t="n">
        <x:v>6</x:v>
      </x:c>
      <x:c r="D1071" s="24" t="n">
        <x:v>0.0146</x:v>
      </x:c>
      <x:c r="E1071" s="24" t="n">
        <x:v>0.0239</x:v>
      </x:c>
      <x:c r="F1071" s="24" t="n">
        <x:f>ABS(D1071-E1071)</x:f>
        <x:v>0.009300000000000001</x:v>
      </x:c>
    </x:row>
    <x:row r="1072" ht="23" customHeight="1">
      <x:c r="A1072" s="10" t="str">
        <x:v>M8</x:v>
      </x:c>
      <x:c r="B1072" s="10" t="str">
        <x:v>NG_H0</x:v>
      </x:c>
      <x:c r="C1072" s="10" t="n">
        <x:v>7</x:v>
      </x:c>
      <x:c r="D1072" s="24" t="n">
        <x:v>0.0125</x:v>
      </x:c>
      <x:c r="E1072" s="24" t="n">
        <x:v>0.018000000000000002</x:v>
      </x:c>
      <x:c r="F1072" s="24" t="n">
        <x:f>ABS(D1072-E1072)</x:f>
        <x:v>0.005500000000000001</x:v>
      </x:c>
    </x:row>
    <x:row r="1073" ht="23" customHeight="1">
      <x:c r="A1073" s="10" t="str">
        <x:v>M8</x:v>
      </x:c>
      <x:c r="B1073" s="10" t="str">
        <x:v>NG_H0</x:v>
      </x:c>
      <x:c r="C1073" s="10" t="n">
        <x:v>8</x:v>
      </x:c>
      <x:c r="D1073" s="24" t="n">
        <x:v>0.027000000000000003</x:v>
      </x:c>
      <x:c r="E1073" s="24" t="n">
        <x:v>0.0274</x:v>
      </x:c>
      <x:c r="F1073" s="24" t="n">
        <x:f>ABS(D1073-E1073)</x:f>
        <x:v>0.0003999999999999976</x:v>
      </x:c>
    </x:row>
    <x:row r="1074" ht="23" customHeight="1">
      <x:c r="A1074" s="10" t="str">
        <x:v>M8</x:v>
      </x:c>
      <x:c r="B1074" s="10" t="str">
        <x:v>NG_H0</x:v>
      </x:c>
      <x:c r="C1074" s="10" t="n">
        <x:v>9</x:v>
      </x:c>
      <x:c r="D1074" s="24" t="n">
        <x:v>0.0346</x:v>
      </x:c>
      <x:c r="E1074" s="24" t="n">
        <x:v>0.019</x:v>
      </x:c>
      <x:c r="F1074" s="24" t="n">
        <x:f>ABS(D1074-E1074)</x:f>
        <x:v>0.0156</x:v>
      </x:c>
    </x:row>
    <x:row r="1075" ht="23" customHeight="1">
      <x:c r="A1075" s="10" t="str">
        <x:v>M8</x:v>
      </x:c>
      <x:c r="B1075" s="10" t="str">
        <x:v>NG_H0</x:v>
      </x:c>
      <x:c r="C1075" s="10" t="n">
        <x:v>10</x:v>
      </x:c>
      <x:c r="D1075" s="24" t="n">
        <x:v>0</x:v>
      </x:c>
      <x:c r="E1075" s="24" t="n">
        <x:v>0.0003</x:v>
      </x:c>
      <x:c r="F1075" s="24" t="n">
        <x:f>ABS(D1075-E1075)</x:f>
        <x:v>0.0003</x:v>
      </x:c>
    </x:row>
    <x:row r="1076" ht="23" customHeight="1">
      <x:c r="A1076" s="10" t="str">
        <x:v>M8</x:v>
      </x:c>
      <x:c r="B1076" s="10" t="str">
        <x:v>NG_H1</x:v>
      </x:c>
      <x:c r="C1076" s="10" t="n">
        <x:v>1</x:v>
      </x:c>
      <x:c r="D1076" s="24" t="n">
        <x:v>0.0060993900609939014</x:v>
      </x:c>
      <x:c r="E1076" s="24" t="n">
        <x:v>0.0143</x:v>
      </x:c>
      <x:c r="F1076" s="24" t="n">
        <x:f>ABS(D1076-E1076)</x:f>
        <x:v>0.0082006099390061</x:v>
      </x:c>
    </x:row>
    <x:row r="1077" ht="23" customHeight="1">
      <x:c r="A1077" s="10" t="str">
        <x:v>M8</x:v>
      </x:c>
      <x:c r="B1077" s="10" t="str">
        <x:v>NG_H1</x:v>
      </x:c>
      <x:c r="C1077" s="10" t="n">
        <x:v>2</x:v>
      </x:c>
      <x:c r="D1077" s="24" t="n">
        <x:v>0.17188281171882816</x:v>
      </x:c>
      <x:c r="E1077" s="24" t="n">
        <x:v>0.1884</x:v>
      </x:c>
      <x:c r="F1077" s="24" t="n">
        <x:f>ABS(D1077-E1077)</x:f>
        <x:v>0.016517188281171852</x:v>
      </x:c>
    </x:row>
    <x:row r="1078" ht="23" customHeight="1">
      <x:c r="A1078" s="10" t="str">
        <x:v>M8</x:v>
      </x:c>
      <x:c r="B1078" s="10" t="str">
        <x:v>NG_H1</x:v>
      </x:c>
      <x:c r="C1078" s="10" t="n">
        <x:v>3</x:v>
      </x:c>
      <x:c r="D1078" s="24" t="n">
        <x:v>0.5464453554644536</x:v>
      </x:c>
      <x:c r="E1078" s="24" t="n">
        <x:v>0.5088</x:v>
      </x:c>
      <x:c r="F1078" s="24" t="n">
        <x:f>ABS(D1078-E1078)</x:f>
        <x:v>0.03764535546445358</x:v>
      </x:c>
    </x:row>
    <x:row r="1079" ht="23" customHeight="1">
      <x:c r="A1079" s="10" t="str">
        <x:v>M8</x:v>
      </x:c>
      <x:c r="B1079" s="10" t="str">
        <x:v>NG_H1</x:v>
      </x:c>
      <x:c r="C1079" s="10" t="n">
        <x:v>4</x:v>
      </x:c>
      <x:c r="D1079" s="24" t="n">
        <x:v>0.13958604139586042</x:v>
      </x:c>
      <x:c r="E1079" s="24" t="n">
        <x:v>0.1499</x:v>
      </x:c>
      <x:c r="F1079" s="24" t="n">
        <x:f>ABS(D1079-E1079)</x:f>
        <x:v>0.010313958604139584</x:v>
      </x:c>
    </x:row>
    <x:row r="1080" ht="23" customHeight="1">
      <x:c r="A1080" s="10" t="str">
        <x:v>M8</x:v>
      </x:c>
      <x:c r="B1080" s="10" t="str">
        <x:v>NG_H1</x:v>
      </x:c>
      <x:c r="C1080" s="10" t="n">
        <x:v>5</x:v>
      </x:c>
      <x:c r="D1080" s="24" t="n">
        <x:v>0.037896210378962104</x:v>
      </x:c>
      <x:c r="E1080" s="24" t="n">
        <x:v>0.05</x:v>
      </x:c>
      <x:c r="F1080" s="24" t="n">
        <x:f>ABS(D1080-E1080)</x:f>
        <x:v>0.012103789621037898</x:v>
      </x:c>
    </x:row>
    <x:row r="1081" ht="23" customHeight="1">
      <x:c r="A1081" s="10" t="str">
        <x:v>M8</x:v>
      </x:c>
      <x:c r="B1081" s="10" t="str">
        <x:v>NG_H1</x:v>
      </x:c>
      <x:c r="C1081" s="10" t="n">
        <x:v>6</x:v>
      </x:c>
      <x:c r="D1081" s="24" t="n">
        <x:v>0.022097790220977905</x:v>
      </x:c>
      <x:c r="E1081" s="24" t="n">
        <x:v>0.0239</x:v>
      </x:c>
      <x:c r="F1081" s="24" t="n">
        <x:f>ABS(D1081-E1081)</x:f>
        <x:v>0.001802209779022096</x:v>
      </x:c>
    </x:row>
    <x:row r="1082" ht="23" customHeight="1">
      <x:c r="A1082" s="10" t="str">
        <x:v>M8</x:v>
      </x:c>
      <x:c r="B1082" s="10" t="str">
        <x:v>NG_H1</x:v>
      </x:c>
      <x:c r="C1082" s="10" t="n">
        <x:v>7</x:v>
      </x:c>
      <x:c r="D1082" s="24" t="n">
        <x:v>0.014398560143985604</x:v>
      </x:c>
      <x:c r="E1082" s="24" t="n">
        <x:v>0.018000000000000002</x:v>
      </x:c>
      <x:c r="F1082" s="24" t="n">
        <x:f>ABS(D1082-E1082)</x:f>
        <x:v>0.003601439856014398</x:v>
      </x:c>
    </x:row>
    <x:row r="1083" ht="23" customHeight="1">
      <x:c r="A1083" s="10" t="str">
        <x:v>M8</x:v>
      </x:c>
      <x:c r="B1083" s="10" t="str">
        <x:v>NG_H1</x:v>
      </x:c>
      <x:c r="C1083" s="10" t="n">
        <x:v>8</x:v>
      </x:c>
      <x:c r="D1083" s="24" t="n">
        <x:v>0.026997300269973004</x:v>
      </x:c>
      <x:c r="E1083" s="24" t="n">
        <x:v>0.0274</x:v>
      </x:c>
      <x:c r="F1083" s="24" t="n">
        <x:f>ABS(D1083-E1083)</x:f>
        <x:v>0.0004026997300269966</x:v>
      </x:c>
    </x:row>
    <x:row r="1084" ht="23" customHeight="1">
      <x:c r="A1084" s="10" t="str">
        <x:v>M8</x:v>
      </x:c>
      <x:c r="B1084" s="10" t="str">
        <x:v>NG_H1</x:v>
      </x:c>
      <x:c r="C1084" s="10" t="n">
        <x:v>9</x:v>
      </x:c>
      <x:c r="D1084" s="24" t="n">
        <x:v>0.034596540345965404</x:v>
      </x:c>
      <x:c r="E1084" s="24" t="n">
        <x:v>0.019</x:v>
      </x:c>
      <x:c r="F1084" s="24" t="n">
        <x:f>ABS(D1084-E1084)</x:f>
        <x:v>0.015596540345965405</x:v>
      </x:c>
    </x:row>
    <x:row r="1085" ht="23" customHeight="1">
      <x:c r="A1085" s="10" t="str">
        <x:v>M8</x:v>
      </x:c>
      <x:c r="B1085" s="10" t="str">
        <x:v>NG_H1</x:v>
      </x:c>
      <x:c r="C1085" s="10" t="n">
        <x:v>10</x:v>
      </x:c>
      <x:c r="D1085" s="24" t="n">
        <x:v>0</x:v>
      </x:c>
      <x:c r="E1085" s="24" t="n">
        <x:v>0.0003</x:v>
      </x:c>
      <x:c r="F1085" s="24" t="n">
        <x:f>ABS(D1085-E1085)</x:f>
        <x:v>0.0003</x:v>
      </x:c>
    </x:row>
    <x:row r="1086" ht="23" customHeight="1">
      <x:c r="A1086" s="10" t="str">
        <x:v>M8</x:v>
      </x:c>
      <x:c r="B1086" s="10" t="str">
        <x:v>CG_H0</x:v>
      </x:c>
      <x:c r="C1086" s="10" t="n">
        <x:v>1</x:v>
      </x:c>
      <x:c r="D1086" s="24" t="n">
        <x:v>0.0023000000000000004</x:v>
      </x:c>
      <x:c r="E1086" s="24" t="n">
        <x:v>0.0143</x:v>
      </x:c>
      <x:c r="F1086" s="24" t="n">
        <x:f>ABS(D1086-E1086)</x:f>
        <x:v>0.012</x:v>
      </x:c>
    </x:row>
    <x:row r="1087" ht="23" customHeight="1">
      <x:c r="A1087" s="10" t="str">
        <x:v>M8</x:v>
      </x:c>
      <x:c r="B1087" s="10" t="str">
        <x:v>CG_H0</x:v>
      </x:c>
      <x:c r="C1087" s="10" t="n">
        <x:v>2</x:v>
      </x:c>
      <x:c r="D1087" s="24" t="n">
        <x:v>0.31820000000000004</x:v>
      </x:c>
      <x:c r="E1087" s="24" t="n">
        <x:v>0.1884</x:v>
      </x:c>
      <x:c r="F1087" s="24" t="n">
        <x:f>ABS(D1087-E1087)</x:f>
        <x:v>0.12980000000000003</x:v>
      </x:c>
    </x:row>
    <x:row r="1088" ht="23" customHeight="1">
      <x:c r="A1088" s="10" t="str">
        <x:v>M8</x:v>
      </x:c>
      <x:c r="B1088" s="10" t="str">
        <x:v>CG_H0</x:v>
      </x:c>
      <x:c r="C1088" s="10" t="n">
        <x:v>3</x:v>
      </x:c>
      <x:c r="D1088" s="24" t="n">
        <x:v>0.5114000000000001</x:v>
      </x:c>
      <x:c r="E1088" s="24" t="n">
        <x:v>0.5088</x:v>
      </x:c>
      <x:c r="F1088" s="24" t="n">
        <x:f>ABS(D1088-E1088)</x:f>
        <x:v>0.0026000000000000467</x:v>
      </x:c>
    </x:row>
    <x:row r="1089" ht="23" customHeight="1">
      <x:c r="A1089" s="10" t="str">
        <x:v>M8</x:v>
      </x:c>
      <x:c r="B1089" s="10" t="str">
        <x:v>CG_H0</x:v>
      </x:c>
      <x:c r="C1089" s="10" t="n">
        <x:v>4</x:v>
      </x:c>
      <x:c r="D1089" s="24" t="n">
        <x:v>0.12160000000000001</x:v>
      </x:c>
      <x:c r="E1089" s="24" t="n">
        <x:v>0.1499</x:v>
      </x:c>
      <x:c r="F1089" s="24" t="n">
        <x:f>ABS(D1089-E1089)</x:f>
        <x:v>0.028299999999999992</x:v>
      </x:c>
    </x:row>
    <x:row r="1090" ht="23" customHeight="1">
      <x:c r="A1090" s="10" t="str">
        <x:v>M8</x:v>
      </x:c>
      <x:c r="B1090" s="10" t="str">
        <x:v>CG_H0</x:v>
      </x:c>
      <x:c r="C1090" s="10" t="n">
        <x:v>5</x:v>
      </x:c>
      <x:c r="D1090" s="24" t="n">
        <x:v>0.03560000000000001</x:v>
      </x:c>
      <x:c r="E1090" s="24" t="n">
        <x:v>0.05</x:v>
      </x:c>
      <x:c r="F1090" s="24" t="n">
        <x:f>ABS(D1090-E1090)</x:f>
        <x:v>0.014399999999999996</x:v>
      </x:c>
    </x:row>
    <x:row r="1091" ht="23" customHeight="1">
      <x:c r="A1091" s="10" t="str">
        <x:v>M8</x:v>
      </x:c>
      <x:c r="B1091" s="10" t="str">
        <x:v>CG_H0</x:v>
      </x:c>
      <x:c r="C1091" s="10" t="n">
        <x:v>6</x:v>
      </x:c>
      <x:c r="D1091" s="24" t="n">
        <x:v>0.0088</x:v>
      </x:c>
      <x:c r="E1091" s="24" t="n">
        <x:v>0.0239</x:v>
      </x:c>
      <x:c r="F1091" s="24" t="n">
        <x:f>ABS(D1091-E1091)</x:f>
        <x:v>0.0151</x:v>
      </x:c>
    </x:row>
    <x:row r="1092" ht="23" customHeight="1">
      <x:c r="A1092" s="10" t="str">
        <x:v>M8</x:v>
      </x:c>
      <x:c r="B1092" s="10" t="str">
        <x:v>CG_H0</x:v>
      </x:c>
      <x:c r="C1092" s="10" t="n">
        <x:v>7</x:v>
      </x:c>
      <x:c r="D1092" s="24" t="n">
        <x:v>0.0016000000000000003</x:v>
      </x:c>
      <x:c r="E1092" s="24" t="n">
        <x:v>0.018000000000000002</x:v>
      </x:c>
      <x:c r="F1092" s="24" t="n">
        <x:f>ABS(D1092-E1092)</x:f>
        <x:v>0.0164</x:v>
      </x:c>
    </x:row>
    <x:row r="1093" ht="23" customHeight="1">
      <x:c r="A1093" s="10" t="str">
        <x:v>M8</x:v>
      </x:c>
      <x:c r="B1093" s="10" t="str">
        <x:v>CG_H0</x:v>
      </x:c>
      <x:c r="C1093" s="10" t="n">
        <x:v>8</x:v>
      </x:c>
      <x:c r="D1093" s="24" t="n">
        <x:v>0</x:v>
      </x:c>
      <x:c r="E1093" s="24" t="n">
        <x:v>0.0274</x:v>
      </x:c>
      <x:c r="F1093" s="24" t="n">
        <x:f>ABS(D1093-E1093)</x:f>
        <x:v>0.0274</x:v>
      </x:c>
    </x:row>
    <x:row r="1094" ht="23" customHeight="1">
      <x:c r="A1094" s="10" t="str">
        <x:v>M8</x:v>
      </x:c>
      <x:c r="B1094" s="10" t="str">
        <x:v>CG_H0</x:v>
      </x:c>
      <x:c r="C1094" s="10" t="n">
        <x:v>9</x:v>
      </x:c>
      <x:c r="D1094" s="24" t="n">
        <x:v>0.0005000000000000001</x:v>
      </x:c>
      <x:c r="E1094" s="24" t="n">
        <x:v>0.019</x:v>
      </x:c>
      <x:c r="F1094" s="24" t="n">
        <x:f>ABS(D1094-E1094)</x:f>
        <x:v>0.0185</x:v>
      </x:c>
    </x:row>
    <x:row r="1095" ht="23" customHeight="1">
      <x:c r="A1095" s="10" t="str">
        <x:v>M8</x:v>
      </x:c>
      <x:c r="B1095" s="10" t="str">
        <x:v>CG_H0</x:v>
      </x:c>
      <x:c r="C1095" s="10" t="n">
        <x:v>10</x:v>
      </x:c>
      <x:c r="D1095" s="24" t="n">
        <x:v>0</x:v>
      </x:c>
      <x:c r="E1095" s="24" t="n">
        <x:v>0.0003</x:v>
      </x:c>
      <x:c r="F1095" s="24" t="n">
        <x:f>ABS(D1095-E1095)</x:f>
        <x:v>0.0003</x:v>
      </x:c>
    </x:row>
    <x:row r="1096" ht="23" customHeight="1">
      <x:c r="A1096" s="10" t="str">
        <x:v>M8</x:v>
      </x:c>
      <x:c r="B1096" s="10" t="str">
        <x:v>CG_H1</x:v>
      </x:c>
      <x:c r="C1096" s="10" t="n">
        <x:v>1</x:v>
      </x:c>
      <x:c r="D1096" s="24" t="n">
        <x:v>0.0023</x:v>
      </x:c>
      <x:c r="E1096" s="24" t="n">
        <x:v>0.0143</x:v>
      </x:c>
      <x:c r="F1096" s="24" t="n">
        <x:f>ABS(D1096-E1096)</x:f>
        <x:v>0.012</x:v>
      </x:c>
    </x:row>
    <x:row r="1097" ht="23" customHeight="1">
      <x:c r="A1097" s="10" t="str">
        <x:v>M8</x:v>
      </x:c>
      <x:c r="B1097" s="10" t="str">
        <x:v>CG_H1</x:v>
      </x:c>
      <x:c r="C1097" s="10" t="n">
        <x:v>2</x:v>
      </x:c>
      <x:c r="D1097" s="24" t="n">
        <x:v>0.2396</x:v>
      </x:c>
      <x:c r="E1097" s="24" t="n">
        <x:v>0.1884</x:v>
      </x:c>
      <x:c r="F1097" s="24" t="n">
        <x:f>ABS(D1097-E1097)</x:f>
        <x:v>0.051199999999999996</x:v>
      </x:c>
    </x:row>
    <x:row r="1098" ht="23" customHeight="1">
      <x:c r="A1098" s="10" t="str">
        <x:v>M8</x:v>
      </x:c>
      <x:c r="B1098" s="10" t="str">
        <x:v>CG_H1</x:v>
      </x:c>
      <x:c r="C1098" s="10" t="n">
        <x:v>3</x:v>
      </x:c>
      <x:c r="D1098" s="24" t="n">
        <x:v>0.57</x:v>
      </x:c>
      <x:c r="E1098" s="24" t="n">
        <x:v>0.5088</x:v>
      </x:c>
      <x:c r="F1098" s="24" t="n">
        <x:f>ABS(D1098-E1098)</x:f>
        <x:v>0.06119999999999992</x:v>
      </x:c>
    </x:row>
    <x:row r="1099" ht="23" customHeight="1">
      <x:c r="A1099" s="10" t="str">
        <x:v>M8</x:v>
      </x:c>
      <x:c r="B1099" s="10" t="str">
        <x:v>CG_H1</x:v>
      </x:c>
      <x:c r="C1099" s="10" t="n">
        <x:v>4</x:v>
      </x:c>
      <x:c r="D1099" s="24" t="n">
        <x:v>0.13419999999999999</x:v>
      </x:c>
      <x:c r="E1099" s="24" t="n">
        <x:v>0.1499</x:v>
      </x:c>
      <x:c r="F1099" s="24" t="n">
        <x:f>ABS(D1099-E1099)</x:f>
        <x:v>0.01570000000000002</x:v>
      </x:c>
    </x:row>
    <x:row r="1100" ht="23" customHeight="1">
      <x:c r="A1100" s="10" t="str">
        <x:v>M8</x:v>
      </x:c>
      <x:c r="B1100" s="10" t="str">
        <x:v>CG_H1</x:v>
      </x:c>
      <x:c r="C1100" s="10" t="n">
        <x:v>5</x:v>
      </x:c>
      <x:c r="D1100" s="24" t="n">
        <x:v>0.0405</x:v>
      </x:c>
      <x:c r="E1100" s="24" t="n">
        <x:v>0.05</x:v>
      </x:c>
      <x:c r="F1100" s="24" t="n">
        <x:f>ABS(D1100-E1100)</x:f>
        <x:v>0.009500000000000001</x:v>
      </x:c>
    </x:row>
    <x:row r="1101" ht="23" customHeight="1">
      <x:c r="A1101" s="10" t="str">
        <x:v>M8</x:v>
      </x:c>
      <x:c r="B1101" s="10" t="str">
        <x:v>CG_H1</x:v>
      </x:c>
      <x:c r="C1101" s="10" t="n">
        <x:v>6</x:v>
      </x:c>
      <x:c r="D1101" s="24" t="n">
        <x:v>0.0098</x:v>
      </x:c>
      <x:c r="E1101" s="24" t="n">
        <x:v>0.0239</x:v>
      </x:c>
      <x:c r="F1101" s="24" t="n">
        <x:f>ABS(D1101-E1101)</x:f>
        <x:v>0.014100000000000001</x:v>
      </x:c>
    </x:row>
    <x:row r="1102" ht="23" customHeight="1">
      <x:c r="A1102" s="10" t="str">
        <x:v>M8</x:v>
      </x:c>
      <x:c r="B1102" s="10" t="str">
        <x:v>CG_H1</x:v>
      </x:c>
      <x:c r="C1102" s="10" t="n">
        <x:v>7</x:v>
      </x:c>
      <x:c r="D1102" s="24" t="n">
        <x:v>0.0031</x:v>
      </x:c>
      <x:c r="E1102" s="24" t="n">
        <x:v>0.018000000000000002</x:v>
      </x:c>
      <x:c r="F1102" s="24" t="n">
        <x:f>ABS(D1102-E1102)</x:f>
        <x:v>0.014900000000000002</x:v>
      </x:c>
    </x:row>
    <x:row r="1103" ht="23" customHeight="1">
      <x:c r="A1103" s="10" t="str">
        <x:v>M8</x:v>
      </x:c>
      <x:c r="B1103" s="10" t="str">
        <x:v>CG_H1</x:v>
      </x:c>
      <x:c r="C1103" s="10" t="n">
        <x:v>8</x:v>
      </x:c>
      <x:c r="D1103" s="24" t="n">
        <x:v>0</x:v>
      </x:c>
      <x:c r="E1103" s="24" t="n">
        <x:v>0.0274</x:v>
      </x:c>
      <x:c r="F1103" s="24" t="n">
        <x:f>ABS(D1103-E1103)</x:f>
        <x:v>0.0274</x:v>
      </x:c>
    </x:row>
    <x:row r="1104" ht="23" customHeight="1">
      <x:c r="A1104" s="10" t="str">
        <x:v>M8</x:v>
      </x:c>
      <x:c r="B1104" s="10" t="str">
        <x:v>CG_H1</x:v>
      </x:c>
      <x:c r="C1104" s="10" t="n">
        <x:v>9</x:v>
      </x:c>
      <x:c r="D1104" s="24" t="n">
        <x:v>0.0005</x:v>
      </x:c>
      <x:c r="E1104" s="24" t="n">
        <x:v>0.019</x:v>
      </x:c>
      <x:c r="F1104" s="24" t="n">
        <x:f>ABS(D1104-E1104)</x:f>
        <x:v>0.0185</x:v>
      </x:c>
    </x:row>
    <x:row r="1105" ht="23" customHeight="1">
      <x:c r="A1105" s="10" t="str">
        <x:v>M8</x:v>
      </x:c>
      <x:c r="B1105" s="10" t="str">
        <x:v>CG_H1</x:v>
      </x:c>
      <x:c r="C1105" s="10" t="n">
        <x:v>10</x:v>
      </x:c>
      <x:c r="D1105" s="24" t="n">
        <x:v>0</x:v>
      </x:c>
      <x:c r="E1105" s="24" t="n">
        <x:v>0.0003</x:v>
      </x:c>
      <x:c r="F1105" s="24" t="n">
        <x:f>ABS(D1105-E1105)</x:f>
        <x:v>0.0003</x:v>
      </x:c>
    </x:row>
    <x:row r="1106" ht="23" customHeight="1">
      <x:c r="A1106" s="10" t="str">
        <x:v>M8</x:v>
      </x:c>
      <x:c r="B1106" s="10" t="str">
        <x:v>NCG_H0</x:v>
      </x:c>
      <x:c r="C1106" s="10" t="n">
        <x:v>1</x:v>
      </x:c>
      <x:c r="D1106" s="24" t="n">
        <x:v>0.0039000000000000003</x:v>
      </x:c>
      <x:c r="E1106" s="24" t="n">
        <x:v>0.0143</x:v>
      </x:c>
      <x:c r="F1106" s="24" t="n">
        <x:f>ABS(D1106-E1106)</x:f>
        <x:v>0.0104</x:v>
      </x:c>
    </x:row>
    <x:row r="1107" ht="23" customHeight="1">
      <x:c r="A1107" s="10" t="str">
        <x:v>M8</x:v>
      </x:c>
      <x:c r="B1107" s="10" t="str">
        <x:v>NCG_H0</x:v>
      </x:c>
      <x:c r="C1107" s="10" t="n">
        <x:v>2</x:v>
      </x:c>
      <x:c r="D1107" s="24" t="n">
        <x:v>0.2145</x:v>
      </x:c>
      <x:c r="E1107" s="24" t="n">
        <x:v>0.1884</x:v>
      </x:c>
      <x:c r="F1107" s="24" t="n">
        <x:f>ABS(D1107-E1107)</x:f>
        <x:v>0.026099999999999984</x:v>
      </x:c>
    </x:row>
    <x:row r="1108" ht="23" customHeight="1">
      <x:c r="A1108" s="10" t="str">
        <x:v>M8</x:v>
      </x:c>
      <x:c r="B1108" s="10" t="str">
        <x:v>NCG_H0</x:v>
      </x:c>
      <x:c r="C1108" s="10" t="n">
        <x:v>3</x:v>
      </x:c>
      <x:c r="D1108" s="24" t="n">
        <x:v>0.541</x:v>
      </x:c>
      <x:c r="E1108" s="24" t="n">
        <x:v>0.5088</x:v>
      </x:c>
      <x:c r="F1108" s="24" t="n">
        <x:f>ABS(D1108-E1108)</x:f>
        <x:v>0.032200000000000006</x:v>
      </x:c>
    </x:row>
    <x:row r="1109" ht="23" customHeight="1">
      <x:c r="A1109" s="10" t="str">
        <x:v>M8</x:v>
      </x:c>
      <x:c r="B1109" s="10" t="str">
        <x:v>NCG_H0</x:v>
      </x:c>
      <x:c r="C1109" s="10" t="n">
        <x:v>4</x:v>
      </x:c>
      <x:c r="D1109" s="24" t="n">
        <x:v>0.1231</x:v>
      </x:c>
      <x:c r="E1109" s="24" t="n">
        <x:v>0.1499</x:v>
      </x:c>
      <x:c r="F1109" s="24" t="n">
        <x:f>ABS(D1109-E1109)</x:f>
        <x:v>0.026800000000000004</x:v>
      </x:c>
    </x:row>
    <x:row r="1110" ht="23" customHeight="1">
      <x:c r="A1110" s="10" t="str">
        <x:v>M8</x:v>
      </x:c>
      <x:c r="B1110" s="10" t="str">
        <x:v>NCG_H0</x:v>
      </x:c>
      <x:c r="C1110" s="10" t="n">
        <x:v>5</x:v>
      </x:c>
      <x:c r="D1110" s="24" t="n">
        <x:v>0.041299999999999996</x:v>
      </x:c>
      <x:c r="E1110" s="24" t="n">
        <x:v>0.05</x:v>
      </x:c>
      <x:c r="F1110" s="24" t="n">
        <x:f>ABS(D1110-E1110)</x:f>
        <x:v>0.008700000000000006</x:v>
      </x:c>
    </x:row>
    <x:row r="1111" ht="23" customHeight="1">
      <x:c r="A1111" s="10" t="str">
        <x:v>M8</x:v>
      </x:c>
      <x:c r="B1111" s="10" t="str">
        <x:v>NCG_H0</x:v>
      </x:c>
      <x:c r="C1111" s="10" t="n">
        <x:v>6</x:v>
      </x:c>
      <x:c r="D1111" s="24" t="n">
        <x:v>0.0149</x:v>
      </x:c>
      <x:c r="E1111" s="24" t="n">
        <x:v>0.0239</x:v>
      </x:c>
      <x:c r="F1111" s="24" t="n">
        <x:f>ABS(D1111-E1111)</x:f>
        <x:v>0.009000000000000001</x:v>
      </x:c>
    </x:row>
    <x:row r="1112" ht="23" customHeight="1">
      <x:c r="A1112" s="10" t="str">
        <x:v>M8</x:v>
      </x:c>
      <x:c r="B1112" s="10" t="str">
        <x:v>NCG_H0</x:v>
      </x:c>
      <x:c r="C1112" s="10" t="n">
        <x:v>7</x:v>
      </x:c>
      <x:c r="D1112" s="24" t="n">
        <x:v>0.013300000000000001</x:v>
      </x:c>
      <x:c r="E1112" s="24" t="n">
        <x:v>0.018000000000000002</x:v>
      </x:c>
      <x:c r="F1112" s="24" t="n">
        <x:f>ABS(D1112-E1112)</x:f>
        <x:v>0.004700000000000001</x:v>
      </x:c>
    </x:row>
    <x:row r="1113" ht="23" customHeight="1">
      <x:c r="A1113" s="10" t="str">
        <x:v>M8</x:v>
      </x:c>
      <x:c r="B1113" s="10" t="str">
        <x:v>NCG_H0</x:v>
      </x:c>
      <x:c r="C1113" s="10" t="n">
        <x:v>8</x:v>
      </x:c>
      <x:c r="D1113" s="24" t="n">
        <x:v>0.0262</x:v>
      </x:c>
      <x:c r="E1113" s="24" t="n">
        <x:v>0.0274</x:v>
      </x:c>
      <x:c r="F1113" s="24" t="n">
        <x:f>ABS(D1113-E1113)</x:f>
        <x:v>0.0011999999999999997</x:v>
      </x:c>
    </x:row>
    <x:row r="1114" ht="23" customHeight="1">
      <x:c r="A1114" s="10" t="str">
        <x:v>M8</x:v>
      </x:c>
      <x:c r="B1114" s="10" t="str">
        <x:v>NCG_H0</x:v>
      </x:c>
      <x:c r="C1114" s="10" t="n">
        <x:v>9</x:v>
      </x:c>
      <x:c r="D1114" s="24" t="n">
        <x:v>0.0218</x:v>
      </x:c>
      <x:c r="E1114" s="24" t="n">
        <x:v>0.019</x:v>
      </x:c>
      <x:c r="F1114" s="24" t="n">
        <x:f>ABS(D1114-E1114)</x:f>
        <x:v>0.0028000000000000004</x:v>
      </x:c>
    </x:row>
    <x:row r="1115" ht="23" customHeight="1">
      <x:c r="A1115" s="10" t="str">
        <x:v>M8</x:v>
      </x:c>
      <x:c r="B1115" s="10" t="str">
        <x:v>NCG_H0</x:v>
      </x:c>
      <x:c r="C1115" s="10" t="n">
        <x:v>10</x:v>
      </x:c>
      <x:c r="D1115" s="24" t="n">
        <x:v>0</x:v>
      </x:c>
      <x:c r="E1115" s="24" t="n">
        <x:v>0.0003</x:v>
      </x:c>
      <x:c r="F1115" s="24" t="n">
        <x:f>ABS(D1115-E1115)</x:f>
        <x:v>0.0003</x:v>
      </x:c>
    </x:row>
    <x:row r="1116" ht="23" customHeight="1">
      <x:c r="A1116" s="10" t="str">
        <x:v>M8</x:v>
      </x:c>
      <x:c r="B1116" s="10" t="str">
        <x:v>NCG_H1</x:v>
      </x:c>
      <x:c r="C1116" s="10" t="n">
        <x:v>1</x:v>
      </x:c>
      <x:c r="D1116" s="24" t="n">
        <x:v>0.0038999999999999994</x:v>
      </x:c>
      <x:c r="E1116" s="24" t="n">
        <x:v>0.0143</x:v>
      </x:c>
      <x:c r="F1116" s="24" t="n">
        <x:f>ABS(D1116-E1116)</x:f>
        <x:v>0.010400000000000001</x:v>
      </x:c>
    </x:row>
    <x:row r="1117" ht="23" customHeight="1">
      <x:c r="A1117" s="10" t="str">
        <x:v>M8</x:v>
      </x:c>
      <x:c r="B1117" s="10" t="str">
        <x:v>NCG_H1</x:v>
      </x:c>
      <x:c r="C1117" s="10" t="n">
        <x:v>2</x:v>
      </x:c>
      <x:c r="D1117" s="24" t="n">
        <x:v>0.15699999999999997</x:v>
      </x:c>
      <x:c r="E1117" s="24" t="n">
        <x:v>0.1884</x:v>
      </x:c>
      <x:c r="F1117" s="24" t="n">
        <x:f>ABS(D1117-E1117)</x:f>
        <x:v>0.03140000000000004</x:v>
      </x:c>
    </x:row>
    <x:row r="1118" ht="23" customHeight="1">
      <x:c r="A1118" s="10" t="str">
        <x:v>M8</x:v>
      </x:c>
      <x:c r="B1118" s="10" t="str">
        <x:v>NCG_H1</x:v>
      </x:c>
      <x:c r="C1118" s="10" t="n">
        <x:v>3</x:v>
      </x:c>
      <x:c r="D1118" s="24" t="n">
        <x:v>0.5652999999999999</x:v>
      </x:c>
      <x:c r="E1118" s="24" t="n">
        <x:v>0.5088</x:v>
      </x:c>
      <x:c r="F1118" s="24" t="n">
        <x:f>ABS(D1118-E1118)</x:f>
        <x:v>0.056499999999999884</x:v>
      </x:c>
    </x:row>
    <x:row r="1119" ht="23" customHeight="1">
      <x:c r="A1119" s="10" t="str">
        <x:v>M8</x:v>
      </x:c>
      <x:c r="B1119" s="10" t="str">
        <x:v>NCG_H1</x:v>
      </x:c>
      <x:c r="C1119" s="10" t="n">
        <x:v>4</x:v>
      </x:c>
      <x:c r="D1119" s="24" t="n">
        <x:v>0.14239999999999997</x:v>
      </x:c>
      <x:c r="E1119" s="24" t="n">
        <x:v>0.1499</x:v>
      </x:c>
      <x:c r="F1119" s="24" t="n">
        <x:f>ABS(D1119-E1119)</x:f>
        <x:v>0.007500000000000034</x:v>
      </x:c>
    </x:row>
    <x:row r="1120" ht="23" customHeight="1">
      <x:c r="A1120" s="10" t="str">
        <x:v>M8</x:v>
      </x:c>
      <x:c r="B1120" s="10" t="str">
        <x:v>NCG_H1</x:v>
      </x:c>
      <x:c r="C1120" s="10" t="n">
        <x:v>5</x:v>
      </x:c>
      <x:c r="D1120" s="24" t="n">
        <x:v>0.04569999999999999</x:v>
      </x:c>
      <x:c r="E1120" s="24" t="n">
        <x:v>0.05</x:v>
      </x:c>
      <x:c r="F1120" s="24" t="n">
        <x:f>ABS(D1120-E1120)</x:f>
        <x:v>0.004300000000000012</x:v>
      </x:c>
    </x:row>
    <x:row r="1121" ht="23" customHeight="1">
      <x:c r="A1121" s="10" t="str">
        <x:v>M8</x:v>
      </x:c>
      <x:c r="B1121" s="10" t="str">
        <x:v>NCG_H1</x:v>
      </x:c>
      <x:c r="C1121" s="10" t="n">
        <x:v>6</x:v>
      </x:c>
      <x:c r="D1121" s="24" t="n">
        <x:v>0.022000000000000002</x:v>
      </x:c>
      <x:c r="E1121" s="24" t="n">
        <x:v>0.0239</x:v>
      </x:c>
      <x:c r="F1121" s="24" t="n">
        <x:f>ABS(D1121-E1121)</x:f>
        <x:v>0.001899999999999999</x:v>
      </x:c>
    </x:row>
    <x:row r="1122" ht="23" customHeight="1">
      <x:c r="A1122" s="10" t="str">
        <x:v>M8</x:v>
      </x:c>
      <x:c r="B1122" s="10" t="str">
        <x:v>NCG_H1</x:v>
      </x:c>
      <x:c r="C1122" s="10" t="n">
        <x:v>7</x:v>
      </x:c>
      <x:c r="D1122" s="24" t="n">
        <x:v>0.0157</x:v>
      </x:c>
      <x:c r="E1122" s="24" t="n">
        <x:v>0.018000000000000002</x:v>
      </x:c>
      <x:c r="F1122" s="24" t="n">
        <x:f>ABS(D1122-E1122)</x:f>
        <x:v>0.0023000000000000034</x:v>
      </x:c>
    </x:row>
    <x:row r="1123" ht="23" customHeight="1">
      <x:c r="A1123" s="10" t="str">
        <x:v>M8</x:v>
      </x:c>
      <x:c r="B1123" s="10" t="str">
        <x:v>NCG_H1</x:v>
      </x:c>
      <x:c r="C1123" s="10" t="n">
        <x:v>8</x:v>
      </x:c>
      <x:c r="D1123" s="24" t="n">
        <x:v>0.026199999999999998</x:v>
      </x:c>
      <x:c r="E1123" s="24" t="n">
        <x:v>0.0274</x:v>
      </x:c>
      <x:c r="F1123" s="24" t="n">
        <x:f>ABS(D1123-E1123)</x:f>
        <x:v>0.0012000000000000031</x:v>
      </x:c>
    </x:row>
    <x:row r="1124" ht="23" customHeight="1">
      <x:c r="A1124" s="10" t="str">
        <x:v>M8</x:v>
      </x:c>
      <x:c r="B1124" s="10" t="str">
        <x:v>NCG_H1</x:v>
      </x:c>
      <x:c r="C1124" s="10" t="n">
        <x:v>9</x:v>
      </x:c>
      <x:c r="D1124" s="24" t="n">
        <x:v>0.0218</x:v>
      </x:c>
      <x:c r="E1124" s="24" t="n">
        <x:v>0.019</x:v>
      </x:c>
      <x:c r="F1124" s="24" t="n">
        <x:f>ABS(D1124-E1124)</x:f>
        <x:v>0.0028000000000000004</x:v>
      </x:c>
    </x:row>
    <x:row r="1125" ht="23" customHeight="1">
      <x:c r="A1125" s="10" t="str">
        <x:v>M8</x:v>
      </x:c>
      <x:c r="B1125" s="10" t="str">
        <x:v>NCG_H1</x:v>
      </x:c>
      <x:c r="C1125" s="10" t="n">
        <x:v>10</x:v>
      </x:c>
      <x:c r="D1125" s="24" t="n">
        <x:v>0</x:v>
      </x:c>
      <x:c r="E1125" s="24" t="n">
        <x:v>0.0003</x:v>
      </x:c>
      <x:c r="F1125" s="24" t="n">
        <x:f>ABS(D1125-E1125)</x:f>
        <x:v>0.0003</x:v>
      </x:c>
    </x:row>
    <x:row r="1126" ht="23" customHeight="1">
      <x:c r="A1126" s="10" t="str">
        <x:v>M9</x:v>
      </x:c>
      <x:c r="B1126" s="10" t="str">
        <x:v>N_H0</x:v>
      </x:c>
      <x:c r="C1126" s="10" t="n">
        <x:v>1</x:v>
      </x:c>
      <x:c r="D1126" s="24" t="n">
        <x:v>0</x:v>
      </x:c>
      <x:c r="E1126" s="24" t="n">
        <x:v>0.0015998400159984</x:v>
      </x:c>
      <x:c r="F1126" s="24" t="n">
        <x:f>ABS(D1126-E1126)</x:f>
        <x:v>0.0015998400159984</x:v>
      </x:c>
    </x:row>
    <x:row r="1127" ht="23" customHeight="1">
      <x:c r="A1127" s="10" t="str">
        <x:v>M9</x:v>
      </x:c>
      <x:c r="B1127" s="10" t="str">
        <x:v>N_H0</x:v>
      </x:c>
      <x:c r="C1127" s="10" t="n">
        <x:v>2</x:v>
      </x:c>
      <x:c r="D1127" s="24" t="n">
        <x:v>0.07248550289942013</x:v>
      </x:c>
      <x:c r="E1127" s="24" t="n">
        <x:v>0.08469153084691533</x:v>
      </x:c>
      <x:c r="F1127" s="24" t="n">
        <x:f>ABS(D1127-E1127)</x:f>
        <x:v>0.012206027947495202</x:v>
      </x:c>
    </x:row>
    <x:row r="1128" ht="23" customHeight="1">
      <x:c r="A1128" s="10" t="str">
        <x:v>M9</x:v>
      </x:c>
      <x:c r="B1128" s="10" t="str">
        <x:v>N_H0</x:v>
      </x:c>
      <x:c r="C1128" s="10" t="n">
        <x:v>3</x:v>
      </x:c>
      <x:c r="D1128" s="24" t="n">
        <x:v>0.011897620475904822</x:v>
      </x:c>
      <x:c r="E1128" s="24" t="n">
        <x:v>0.3537646235376462</x:v>
      </x:c>
      <x:c r="F1128" s="24" t="n">
        <x:f>ABS(D1128-E1128)</x:f>
        <x:v>0.3418670030617414</x:v>
      </x:c>
    </x:row>
    <x:row r="1129" ht="23" customHeight="1">
      <x:c r="A1129" s="10" t="str">
        <x:v>M9</x:v>
      </x:c>
      <x:c r="B1129" s="10" t="str">
        <x:v>N_H0</x:v>
      </x:c>
      <x:c r="C1129" s="10" t="n">
        <x:v>4</x:v>
      </x:c>
      <x:c r="D1129" s="24" t="n">
        <x:v>0</x:v>
      </x:c>
      <x:c r="E1129" s="24" t="n">
        <x:v>0.2488751124887511</x:v>
      </x:c>
      <x:c r="F1129" s="24" t="n">
        <x:f>ABS(D1129-E1129)</x:f>
        <x:v>0.2488751124887511</x:v>
      </x:c>
    </x:row>
    <x:row r="1130" ht="23" customHeight="1">
      <x:c r="A1130" s="10" t="str">
        <x:v>M9</x:v>
      </x:c>
      <x:c r="B1130" s="10" t="str">
        <x:v>N_H0</x:v>
      </x:c>
      <x:c r="C1130" s="10" t="n">
        <x:v>5</x:v>
      </x:c>
      <x:c r="D1130" s="24" t="n">
        <x:v>0.702259548090382</x:v>
      </x:c>
      <x:c r="E1130" s="24" t="n">
        <x:v>0.09559044095590441</x:v>
      </x:c>
      <x:c r="F1130" s="24" t="n">
        <x:f>ABS(D1130-E1130)</x:f>
        <x:v>0.6066691071344776</x:v>
      </x:c>
    </x:row>
    <x:row r="1131" ht="23" customHeight="1">
      <x:c r="A1131" s="10" t="str">
        <x:v>M9</x:v>
      </x:c>
      <x:c r="B1131" s="10" t="str">
        <x:v>N_H0</x:v>
      </x:c>
      <x:c r="C1131" s="10" t="n">
        <x:v>6</x:v>
      </x:c>
      <x:c r="D1131" s="24" t="n">
        <x:v>0.00549890021995601</x:v>
      </x:c>
      <x:c r="E1131" s="24" t="n">
        <x:v>0.0432956704329567</x:v>
      </x:c>
      <x:c r="F1131" s="24" t="n">
        <x:f>ABS(D1131-E1131)</x:f>
        <x:v>0.03779677021300069</x:v>
      </x:c>
    </x:row>
    <x:row r="1132" ht="23" customHeight="1">
      <x:c r="A1132" s="10" t="str">
        <x:v>M9</x:v>
      </x:c>
      <x:c r="B1132" s="10" t="str">
        <x:v>N_H0</x:v>
      </x:c>
      <x:c r="C1132" s="10" t="n">
        <x:v>7</x:v>
      </x:c>
      <x:c r="D1132" s="24" t="n">
        <x:v>0.12797440511897623</x:v>
      </x:c>
      <x:c r="E1132" s="24" t="n">
        <x:v>0.10418958104189581</x:v>
      </x:c>
      <x:c r="F1132" s="24" t="n">
        <x:f>ABS(D1132-E1132)</x:f>
        <x:v>0.02378482407708042</x:v>
      </x:c>
    </x:row>
    <x:row r="1133" ht="23" customHeight="1">
      <x:c r="A1133" s="10" t="str">
        <x:v>M9</x:v>
      </x:c>
      <x:c r="B1133" s="10" t="str">
        <x:v>N_H0</x:v>
      </x:c>
      <x:c r="C1133" s="10" t="n">
        <x:v>8</x:v>
      </x:c>
      <x:c r="D1133" s="24" t="n">
        <x:v>0.024395120975804842</x:v>
      </x:c>
      <x:c r="E1133" s="24" t="n">
        <x:v>0.0320967903209679</x:v>
      </x:c>
      <x:c r="F1133" s="24" t="n">
        <x:f>ABS(D1133-E1133)</x:f>
        <x:v>0.007701669345163056</x:v>
      </x:c>
    </x:row>
    <x:row r="1134" ht="23" customHeight="1">
      <x:c r="A1134" s="10" t="str">
        <x:v>M9</x:v>
      </x:c>
      <x:c r="B1134" s="10" t="str">
        <x:v>N_H0</x:v>
      </x:c>
      <x:c r="C1134" s="10" t="n">
        <x:v>9</x:v>
      </x:c>
      <x:c r="D1134" s="24" t="n">
        <x:v>0.055488902219556095</x:v>
      </x:c>
      <x:c r="E1134" s="24" t="n">
        <x:v>0.0358964103589641</x:v>
      </x:c>
      <x:c r="F1134" s="24" t="n">
        <x:f>ABS(D1134-E1134)</x:f>
        <x:v>0.019592491860591997</x:v>
      </x:c>
    </x:row>
    <x:row r="1135" ht="23" customHeight="1">
      <x:c r="A1135" s="10" t="str">
        <x:v>M9</x:v>
      </x:c>
      <x:c r="B1135" s="10" t="str">
        <x:v>N_H0</x:v>
      </x:c>
      <x:c r="C1135" s="10" t="n">
        <x:v>10</x:v>
      </x:c>
      <x:c r="D1135" s="24" t="n">
        <x:v>0</x:v>
      </x:c>
      <x:c r="E1135" s="24" t="n">
        <x:v>0</x:v>
      </x:c>
      <x:c r="F1135" s="24" t="n">
        <x:f>ABS(D1135-E1135)</x:f>
        <x:v>0</x:v>
      </x:c>
    </x:row>
    <x:row r="1136" ht="23" customHeight="1">
      <x:c r="A1136" s="10" t="str">
        <x:v>M9</x:v>
      </x:c>
      <x:c r="B1136" s="10" t="str">
        <x:v>N_H1</x:v>
      </x:c>
      <x:c r="C1136" s="10" t="n">
        <x:v>1</x:v>
      </x:c>
      <x:c r="D1136" s="24" t="n">
        <x:v>0</x:v>
      </x:c>
      <x:c r="E1136" s="24" t="n">
        <x:v>0.0015998400159984</x:v>
      </x:c>
      <x:c r="F1136" s="24" t="n">
        <x:f>ABS(D1136-E1136)</x:f>
        <x:v>0.0015998400159984</x:v>
      </x:c>
    </x:row>
    <x:row r="1137" ht="23" customHeight="1">
      <x:c r="A1137" s="10" t="str">
        <x:v>M9</x:v>
      </x:c>
      <x:c r="B1137" s="10" t="str">
        <x:v>N_H1</x:v>
      </x:c>
      <x:c r="C1137" s="10" t="n">
        <x:v>2</x:v>
      </x:c>
      <x:c r="D1137" s="24" t="n">
        <x:v>0.07248550289942013</x:v>
      </x:c>
      <x:c r="E1137" s="24" t="n">
        <x:v>0.08469153084691533</x:v>
      </x:c>
      <x:c r="F1137" s="24" t="n">
        <x:f>ABS(D1137-E1137)</x:f>
        <x:v>0.012206027947495202</x:v>
      </x:c>
    </x:row>
    <x:row r="1138" ht="23" customHeight="1">
      <x:c r="A1138" s="10" t="str">
        <x:v>M9</x:v>
      </x:c>
      <x:c r="B1138" s="10" t="str">
        <x:v>N_H1</x:v>
      </x:c>
      <x:c r="C1138" s="10" t="n">
        <x:v>3</x:v>
      </x:c>
      <x:c r="D1138" s="24" t="n">
        <x:v>0.010297940411917618</x:v>
      </x:c>
      <x:c r="E1138" s="24" t="n">
        <x:v>0.3537646235376462</x:v>
      </x:c>
      <x:c r="F1138" s="24" t="n">
        <x:f>ABS(D1138-E1138)</x:f>
        <x:v>0.3434666831257286</x:v>
      </x:c>
    </x:row>
    <x:row r="1139" ht="23" customHeight="1">
      <x:c r="A1139" s="10" t="str">
        <x:v>M9</x:v>
      </x:c>
      <x:c r="B1139" s="10" t="str">
        <x:v>N_H1</x:v>
      </x:c>
      <x:c r="C1139" s="10" t="n">
        <x:v>4</x:v>
      </x:c>
      <x:c r="D1139" s="24" t="n">
        <x:v>0</x:v>
      </x:c>
      <x:c r="E1139" s="24" t="n">
        <x:v>0.2488751124887511</x:v>
      </x:c>
      <x:c r="F1139" s="24" t="n">
        <x:f>ABS(D1139-E1139)</x:f>
        <x:v>0.2488751124887511</x:v>
      </x:c>
    </x:row>
    <x:row r="1140" ht="23" customHeight="1">
      <x:c r="A1140" s="10" t="str">
        <x:v>M9</x:v>
      </x:c>
      <x:c r="B1140" s="10" t="str">
        <x:v>N_H1</x:v>
      </x:c>
      <x:c r="C1140" s="10" t="n">
        <x:v>5</x:v>
      </x:c>
      <x:c r="D1140" s="24" t="n">
        <x:v>0.702259548090382</x:v>
      </x:c>
      <x:c r="E1140" s="24" t="n">
        <x:v>0.09559044095590441</x:v>
      </x:c>
      <x:c r="F1140" s="24" t="n">
        <x:f>ABS(D1140-E1140)</x:f>
        <x:v>0.6066691071344776</x:v>
      </x:c>
    </x:row>
    <x:row r="1141" ht="23" customHeight="1">
      <x:c r="A1141" s="10" t="str">
        <x:v>M9</x:v>
      </x:c>
      <x:c r="B1141" s="10" t="str">
        <x:v>N_H1</x:v>
      </x:c>
      <x:c r="C1141" s="10" t="n">
        <x:v>6</x:v>
      </x:c>
      <x:c r="D1141" s="24" t="n">
        <x:v>0.007098580283943212</x:v>
      </x:c>
      <x:c r="E1141" s="24" t="n">
        <x:v>0.0432956704329567</x:v>
      </x:c>
      <x:c r="F1141" s="24" t="n">
        <x:f>ABS(D1141-E1141)</x:f>
        <x:v>0.03619709014901349</x:v>
      </x:c>
    </x:row>
    <x:row r="1142" ht="23" customHeight="1">
      <x:c r="A1142" s="10" t="str">
        <x:v>M9</x:v>
      </x:c>
      <x:c r="B1142" s="10" t="str">
        <x:v>N_H1</x:v>
      </x:c>
      <x:c r="C1142" s="10" t="n">
        <x:v>7</x:v>
      </x:c>
      <x:c r="D1142" s="24" t="n">
        <x:v>0.12797440511897623</x:v>
      </x:c>
      <x:c r="E1142" s="24" t="n">
        <x:v>0.10418958104189581</x:v>
      </x:c>
      <x:c r="F1142" s="24" t="n">
        <x:f>ABS(D1142-E1142)</x:f>
        <x:v>0.02378482407708042</x:v>
      </x:c>
    </x:row>
    <x:row r="1143" ht="23" customHeight="1">
      <x:c r="A1143" s="10" t="str">
        <x:v>M9</x:v>
      </x:c>
      <x:c r="B1143" s="10" t="str">
        <x:v>N_H1</x:v>
      </x:c>
      <x:c r="C1143" s="10" t="n">
        <x:v>8</x:v>
      </x:c>
      <x:c r="D1143" s="24" t="n">
        <x:v>0.024395120975804842</x:v>
      </x:c>
      <x:c r="E1143" s="24" t="n">
        <x:v>0.0320967903209679</x:v>
      </x:c>
      <x:c r="F1143" s="24" t="n">
        <x:f>ABS(D1143-E1143)</x:f>
        <x:v>0.007701669345163056</x:v>
      </x:c>
    </x:row>
    <x:row r="1144" ht="23" customHeight="1">
      <x:c r="A1144" s="10" t="str">
        <x:v>M9</x:v>
      </x:c>
      <x:c r="B1144" s="10" t="str">
        <x:v>N_H1</x:v>
      </x:c>
      <x:c r="C1144" s="10" t="n">
        <x:v>9</x:v>
      </x:c>
      <x:c r="D1144" s="24" t="n">
        <x:v>0.055488902219556095</x:v>
      </x:c>
      <x:c r="E1144" s="24" t="n">
        <x:v>0.0358964103589641</x:v>
      </x:c>
      <x:c r="F1144" s="24" t="n">
        <x:f>ABS(D1144-E1144)</x:f>
        <x:v>0.019592491860591997</x:v>
      </x:c>
    </x:row>
    <x:row r="1145" ht="23" customHeight="1">
      <x:c r="A1145" s="10" t="str">
        <x:v>M9</x:v>
      </x:c>
      <x:c r="B1145" s="10" t="str">
        <x:v>N_H1</x:v>
      </x:c>
      <x:c r="C1145" s="10" t="n">
        <x:v>10</x:v>
      </x:c>
      <x:c r="D1145" s="24" t="n">
        <x:v>0</x:v>
      </x:c>
      <x:c r="E1145" s="24" t="n">
        <x:v>0</x:v>
      </x:c>
      <x:c r="F1145" s="24" t="n">
        <x:f>ABS(D1145-E1145)</x:f>
        <x:v>0</x:v>
      </x:c>
    </x:row>
    <x:row r="1146" ht="23" customHeight="1">
      <x:c r="A1146" s="10" t="str">
        <x:v>M9</x:v>
      </x:c>
      <x:c r="B1146" s="10" t="str">
        <x:v>C_H0</x:v>
      </x:c>
      <x:c r="C1146" s="10" t="n">
        <x:v>1</x:v>
      </x:c>
      <x:c r="D1146" s="24" t="n">
        <x:v>0</x:v>
      </x:c>
      <x:c r="E1146" s="24" t="n">
        <x:v>0.0015998400159984</x:v>
      </x:c>
      <x:c r="F1146" s="24" t="n">
        <x:f>ABS(D1146-E1146)</x:f>
        <x:v>0.0015998400159984</x:v>
      </x:c>
    </x:row>
    <x:row r="1147" ht="23" customHeight="1">
      <x:c r="A1147" s="10" t="str">
        <x:v>M9</x:v>
      </x:c>
      <x:c r="B1147" s="10" t="str">
        <x:v>C_H0</x:v>
      </x:c>
      <x:c r="C1147" s="10" t="n">
        <x:v>2</x:v>
      </x:c>
      <x:c r="D1147" s="24" t="n">
        <x:v>0.245</x:v>
      </x:c>
      <x:c r="E1147" s="24" t="n">
        <x:v>0.08469153084691533</x:v>
      </x:c>
      <x:c r="F1147" s="24" t="n">
        <x:f>ABS(D1147-E1147)</x:f>
        <x:v>0.16030846915308467</x:v>
      </x:c>
    </x:row>
    <x:row r="1148" ht="23" customHeight="1">
      <x:c r="A1148" s="10" t="str">
        <x:v>M9</x:v>
      </x:c>
      <x:c r="B1148" s="10" t="str">
        <x:v>C_H0</x:v>
      </x:c>
      <x:c r="C1148" s="10" t="n">
        <x:v>3</x:v>
      </x:c>
      <x:c r="D1148" s="24" t="n">
        <x:v>0</x:v>
      </x:c>
      <x:c r="E1148" s="24" t="n">
        <x:v>0.3537646235376462</x:v>
      </x:c>
      <x:c r="F1148" s="24" t="n">
        <x:f>ABS(D1148-E1148)</x:f>
        <x:v>0.3537646235376462</x:v>
      </x:c>
    </x:row>
    <x:row r="1149" ht="23" customHeight="1">
      <x:c r="A1149" s="10" t="str">
        <x:v>M9</x:v>
      </x:c>
      <x:c r="B1149" s="10" t="str">
        <x:v>C_H0</x:v>
      </x:c>
      <x:c r="C1149" s="10" t="n">
        <x:v>4</x:v>
      </x:c>
      <x:c r="D1149" s="24" t="n">
        <x:v>0</x:v>
      </x:c>
      <x:c r="E1149" s="24" t="n">
        <x:v>0.2488751124887511</x:v>
      </x:c>
      <x:c r="F1149" s="24" t="n">
        <x:f>ABS(D1149-E1149)</x:f>
        <x:v>0.2488751124887511</x:v>
      </x:c>
    </x:row>
    <x:row r="1150" ht="23" customHeight="1">
      <x:c r="A1150" s="10" t="str">
        <x:v>M9</x:v>
      </x:c>
      <x:c r="B1150" s="10" t="str">
        <x:v>C_H0</x:v>
      </x:c>
      <x:c r="C1150" s="10" t="n">
        <x:v>5</x:v>
      </x:c>
      <x:c r="D1150" s="24" t="n">
        <x:v>0.7521</x:v>
      </x:c>
      <x:c r="E1150" s="24" t="n">
        <x:v>0.09559044095590441</x:v>
      </x:c>
      <x:c r="F1150" s="24" t="n">
        <x:f>ABS(D1150-E1150)</x:f>
        <x:v>0.6565095590440956</x:v>
      </x:c>
    </x:row>
    <x:row r="1151" ht="23" customHeight="1">
      <x:c r="A1151" s="10" t="str">
        <x:v>M9</x:v>
      </x:c>
      <x:c r="B1151" s="10" t="str">
        <x:v>C_H0</x:v>
      </x:c>
      <x:c r="C1151" s="10" t="n">
        <x:v>6</x:v>
      </x:c>
      <x:c r="D1151" s="24" t="n">
        <x:v>0</x:v>
      </x:c>
      <x:c r="E1151" s="24" t="n">
        <x:v>0.0432956704329567</x:v>
      </x:c>
      <x:c r="F1151" s="24" t="n">
        <x:f>ABS(D1151-E1151)</x:f>
        <x:v>0.0432956704329567</x:v>
      </x:c>
    </x:row>
    <x:row r="1152" ht="23" customHeight="1">
      <x:c r="A1152" s="10" t="str">
        <x:v>M9</x:v>
      </x:c>
      <x:c r="B1152" s="10" t="str">
        <x:v>C_H0</x:v>
      </x:c>
      <x:c r="C1152" s="10" t="n">
        <x:v>7</x:v>
      </x:c>
      <x:c r="D1152" s="24" t="n">
        <x:v>0.0029</x:v>
      </x:c>
      <x:c r="E1152" s="24" t="n">
        <x:v>0.10418958104189581</x:v>
      </x:c>
      <x:c r="F1152" s="24" t="n">
        <x:f>ABS(D1152-E1152)</x:f>
        <x:v>0.10128958104189581</x:v>
      </x:c>
    </x:row>
    <x:row r="1153" ht="23" customHeight="1">
      <x:c r="A1153" s="10" t="str">
        <x:v>M9</x:v>
      </x:c>
      <x:c r="B1153" s="10" t="str">
        <x:v>C_H0</x:v>
      </x:c>
      <x:c r="C1153" s="10" t="n">
        <x:v>8</x:v>
      </x:c>
      <x:c r="D1153" s="24" t="n">
        <x:v>0</x:v>
      </x:c>
      <x:c r="E1153" s="24" t="n">
        <x:v>0.0320967903209679</x:v>
      </x:c>
      <x:c r="F1153" s="24" t="n">
        <x:f>ABS(D1153-E1153)</x:f>
        <x:v>0.0320967903209679</x:v>
      </x:c>
    </x:row>
    <x:row r="1154" ht="23" customHeight="1">
      <x:c r="A1154" s="10" t="str">
        <x:v>M9</x:v>
      </x:c>
      <x:c r="B1154" s="10" t="str">
        <x:v>C_H0</x:v>
      </x:c>
      <x:c r="C1154" s="10" t="n">
        <x:v>9</x:v>
      </x:c>
      <x:c r="D1154" s="24" t="n">
        <x:v>0</x:v>
      </x:c>
      <x:c r="E1154" s="24" t="n">
        <x:v>0.0358964103589641</x:v>
      </x:c>
      <x:c r="F1154" s="24" t="n">
        <x:f>ABS(D1154-E1154)</x:f>
        <x:v>0.0358964103589641</x:v>
      </x:c>
    </x:row>
    <x:row r="1155" ht="23" customHeight="1">
      <x:c r="A1155" s="10" t="str">
        <x:v>M9</x:v>
      </x:c>
      <x:c r="B1155" s="10" t="str">
        <x:v>C_H0</x:v>
      </x:c>
      <x:c r="C1155" s="10" t="n">
        <x:v>10</x:v>
      </x:c>
      <x:c r="D1155" s="24" t="n">
        <x:v>0</x:v>
      </x:c>
      <x:c r="E1155" s="24" t="n">
        <x:v>0</x:v>
      </x:c>
      <x:c r="F1155" s="24" t="n">
        <x:f>ABS(D1155-E1155)</x:f>
        <x:v>0</x:v>
      </x:c>
    </x:row>
    <x:row r="1156" ht="23" customHeight="1">
      <x:c r="A1156" s="10" t="str">
        <x:v>M9</x:v>
      </x:c>
      <x:c r="B1156" s="10" t="str">
        <x:v>C_H1</x:v>
      </x:c>
      <x:c r="C1156" s="10" t="n">
        <x:v>1</x:v>
      </x:c>
      <x:c r="D1156" s="24" t="n">
        <x:v>0</x:v>
      </x:c>
      <x:c r="E1156" s="24" t="n">
        <x:v>0.0015998400159984</x:v>
      </x:c>
      <x:c r="F1156" s="24" t="n">
        <x:f>ABS(D1156-E1156)</x:f>
        <x:v>0.0015998400159984</x:v>
      </x:c>
    </x:row>
    <x:row r="1157" ht="23" customHeight="1">
      <x:c r="A1157" s="10" t="str">
        <x:v>M9</x:v>
      </x:c>
      <x:c r="B1157" s="10" t="str">
        <x:v>C_H1</x:v>
      </x:c>
      <x:c r="C1157" s="10" t="n">
        <x:v>2</x:v>
      </x:c>
      <x:c r="D1157" s="24" t="n">
        <x:v>0.24247575242475755</x:v>
      </x:c>
      <x:c r="E1157" s="24" t="n">
        <x:v>0.08469153084691533</x:v>
      </x:c>
      <x:c r="F1157" s="24" t="n">
        <x:f>ABS(D1157-E1157)</x:f>
        <x:v>0.15778422157784222</x:v>
      </x:c>
    </x:row>
    <x:row r="1158" ht="23" customHeight="1">
      <x:c r="A1158" s="10" t="str">
        <x:v>M9</x:v>
      </x:c>
      <x:c r="B1158" s="10" t="str">
        <x:v>C_H1</x:v>
      </x:c>
      <x:c r="C1158" s="10" t="n">
        <x:v>3</x:v>
      </x:c>
      <x:c r="D1158" s="24" t="n">
        <x:v>0</x:v>
      </x:c>
      <x:c r="E1158" s="24" t="n">
        <x:v>0.3537646235376462</x:v>
      </x:c>
      <x:c r="F1158" s="24" t="n">
        <x:f>ABS(D1158-E1158)</x:f>
        <x:v>0.3537646235376462</x:v>
      </x:c>
    </x:row>
    <x:row r="1159" ht="23" customHeight="1">
      <x:c r="A1159" s="10" t="str">
        <x:v>M9</x:v>
      </x:c>
      <x:c r="B1159" s="10" t="str">
        <x:v>C_H1</x:v>
      </x:c>
      <x:c r="C1159" s="10" t="n">
        <x:v>4</x:v>
      </x:c>
      <x:c r="D1159" s="24" t="n">
        <x:v>0</x:v>
      </x:c>
      <x:c r="E1159" s="24" t="n">
        <x:v>0.2488751124887511</x:v>
      </x:c>
      <x:c r="F1159" s="24" t="n">
        <x:f>ABS(D1159-E1159)</x:f>
        <x:v>0.2488751124887511</x:v>
      </x:c>
    </x:row>
    <x:row r="1160" ht="23" customHeight="1">
      <x:c r="A1160" s="10" t="str">
        <x:v>M9</x:v>
      </x:c>
      <x:c r="B1160" s="10" t="str">
        <x:v>C_H1</x:v>
      </x:c>
      <x:c r="C1160" s="10" t="n">
        <x:v>5</x:v>
      </x:c>
      <x:c r="D1160" s="24" t="n">
        <x:v>0.752024797520248</x:v>
      </x:c>
      <x:c r="E1160" s="24" t="n">
        <x:v>0.09559044095590441</x:v>
      </x:c>
      <x:c r="F1160" s="24" t="n">
        <x:f>ABS(D1160-E1160)</x:f>
        <x:v>0.6564343565643436</x:v>
      </x:c>
    </x:row>
    <x:row r="1161" ht="23" customHeight="1">
      <x:c r="A1161" s="10" t="str">
        <x:v>M9</x:v>
      </x:c>
      <x:c r="B1161" s="10" t="str">
        <x:v>C_H1</x:v>
      </x:c>
      <x:c r="C1161" s="10" t="n">
        <x:v>6</x:v>
      </x:c>
      <x:c r="D1161" s="24" t="n">
        <x:v>0</x:v>
      </x:c>
      <x:c r="E1161" s="24" t="n">
        <x:v>0.0432956704329567</x:v>
      </x:c>
      <x:c r="F1161" s="24" t="n">
        <x:f>ABS(D1161-E1161)</x:f>
        <x:v>0.0432956704329567</x:v>
      </x:c>
    </x:row>
    <x:row r="1162" ht="23" customHeight="1">
      <x:c r="A1162" s="10" t="str">
        <x:v>M9</x:v>
      </x:c>
      <x:c r="B1162" s="10" t="str">
        <x:v>C_H1</x:v>
      </x:c>
      <x:c r="C1162" s="10" t="n">
        <x:v>7</x:v>
      </x:c>
      <x:c r="D1162" s="24" t="n">
        <x:v>0.0054994500549945015</x:v>
      </x:c>
      <x:c r="E1162" s="24" t="n">
        <x:v>0.10418958104189581</x:v>
      </x:c>
      <x:c r="F1162" s="24" t="n">
        <x:f>ABS(D1162-E1162)</x:f>
        <x:v>0.09869013098690131</x:v>
      </x:c>
    </x:row>
    <x:row r="1163" ht="23" customHeight="1">
      <x:c r="A1163" s="10" t="str">
        <x:v>M9</x:v>
      </x:c>
      <x:c r="B1163" s="10" t="str">
        <x:v>C_H1</x:v>
      </x:c>
      <x:c r="C1163" s="10" t="n">
        <x:v>8</x:v>
      </x:c>
      <x:c r="D1163" s="24" t="n">
        <x:v>0</x:v>
      </x:c>
      <x:c r="E1163" s="24" t="n">
        <x:v>0.0320967903209679</x:v>
      </x:c>
      <x:c r="F1163" s="24" t="n">
        <x:f>ABS(D1163-E1163)</x:f>
        <x:v>0.0320967903209679</x:v>
      </x:c>
    </x:row>
    <x:row r="1164" ht="23" customHeight="1">
      <x:c r="A1164" s="10" t="str">
        <x:v>M9</x:v>
      </x:c>
      <x:c r="B1164" s="10" t="str">
        <x:v>C_H1</x:v>
      </x:c>
      <x:c r="C1164" s="10" t="n">
        <x:v>9</x:v>
      </x:c>
      <x:c r="D1164" s="24" t="n">
        <x:v>0</x:v>
      </x:c>
      <x:c r="E1164" s="24" t="n">
        <x:v>0.0358964103589641</x:v>
      </x:c>
      <x:c r="F1164" s="24" t="n">
        <x:f>ABS(D1164-E1164)</x:f>
        <x:v>0.0358964103589641</x:v>
      </x:c>
    </x:row>
    <x:row r="1165" ht="23" customHeight="1">
      <x:c r="A1165" s="10" t="str">
        <x:v>M9</x:v>
      </x:c>
      <x:c r="B1165" s="10" t="str">
        <x:v>C_H1</x:v>
      </x:c>
      <x:c r="C1165" s="10" t="n">
        <x:v>10</x:v>
      </x:c>
      <x:c r="D1165" s="24" t="n">
        <x:v>0</x:v>
      </x:c>
      <x:c r="E1165" s="24" t="n">
        <x:v>0</x:v>
      </x:c>
      <x:c r="F1165" s="24" t="n">
        <x:f>ABS(D1165-E1165)</x:f>
        <x:v>0</x:v>
      </x:c>
    </x:row>
    <x:row r="1166" ht="23" customHeight="1">
      <x:c r="A1166" s="10" t="str">
        <x:v>M9</x:v>
      </x:c>
      <x:c r="B1166" s="10" t="str">
        <x:v>G_H0</x:v>
      </x:c>
      <x:c r="C1166" s="10" t="n">
        <x:v>1</x:v>
      </x:c>
      <x:c r="D1166" s="24" t="n">
        <x:v>0</x:v>
      </x:c>
      <x:c r="E1166" s="24" t="n">
        <x:v>0.0015998400159984</x:v>
      </x:c>
      <x:c r="F1166" s="24" t="n">
        <x:f>ABS(D1166-E1166)</x:f>
        <x:v>0.0015998400159984</x:v>
      </x:c>
    </x:row>
    <x:row r="1167" ht="23" customHeight="1">
      <x:c r="A1167" s="10" t="str">
        <x:v>M9</x:v>
      </x:c>
      <x:c r="B1167" s="10" t="str">
        <x:v>G_H0</x:v>
      </x:c>
      <x:c r="C1167" s="10" t="n">
        <x:v>2</x:v>
      </x:c>
      <x:c r="D1167" s="24" t="n">
        <x:v>0.0834</x:v>
      </x:c>
      <x:c r="E1167" s="24" t="n">
        <x:v>0.08469153084691533</x:v>
      </x:c>
      <x:c r="F1167" s="24" t="n">
        <x:f>ABS(D1167-E1167)</x:f>
        <x:v>0.0012915308469153286</x:v>
      </x:c>
    </x:row>
    <x:row r="1168" ht="23" customHeight="1">
      <x:c r="A1168" s="10" t="str">
        <x:v>M9</x:v>
      </x:c>
      <x:c r="B1168" s="10" t="str">
        <x:v>G_H0</x:v>
      </x:c>
      <x:c r="C1168" s="10" t="n">
        <x:v>3</x:v>
      </x:c>
      <x:c r="D1168" s="24" t="n">
        <x:v>0.584</x:v>
      </x:c>
      <x:c r="E1168" s="24" t="n">
        <x:v>0.3537646235376462</x:v>
      </x:c>
      <x:c r="F1168" s="24" t="n">
        <x:f>ABS(D1168-E1168)</x:f>
        <x:v>0.23023537646235376</x:v>
      </x:c>
    </x:row>
    <x:row r="1169" ht="23" customHeight="1">
      <x:c r="A1169" s="10" t="str">
        <x:v>M9</x:v>
      </x:c>
      <x:c r="B1169" s="10" t="str">
        <x:v>G_H0</x:v>
      </x:c>
      <x:c r="C1169" s="10" t="n">
        <x:v>4</x:v>
      </x:c>
      <x:c r="D1169" s="24" t="n">
        <x:v>0.23120000000000002</x:v>
      </x:c>
      <x:c r="E1169" s="24" t="n">
        <x:v>0.2488751124887511</x:v>
      </x:c>
      <x:c r="F1169" s="24" t="n">
        <x:f>ABS(D1169-E1169)</x:f>
        <x:v>0.017675112488751088</x:v>
      </x:c>
    </x:row>
    <x:row r="1170" ht="23" customHeight="1">
      <x:c r="A1170" s="10" t="str">
        <x:v>M9</x:v>
      </x:c>
      <x:c r="B1170" s="10" t="str">
        <x:v>G_H0</x:v>
      </x:c>
      <x:c r="C1170" s="10" t="n">
        <x:v>5</x:v>
      </x:c>
      <x:c r="D1170" s="24" t="n">
        <x:v>0.0815</x:v>
      </x:c>
      <x:c r="E1170" s="24" t="n">
        <x:v>0.09559044095590441</x:v>
      </x:c>
      <x:c r="F1170" s="24" t="n">
        <x:f>ABS(D1170-E1170)</x:f>
        <x:v>0.014090440955904407</x:v>
      </x:c>
    </x:row>
    <x:row r="1171" ht="23" customHeight="1">
      <x:c r="A1171" s="10" t="str">
        <x:v>M9</x:v>
      </x:c>
      <x:c r="B1171" s="10" t="str">
        <x:v>G_H0</x:v>
      </x:c>
      <x:c r="C1171" s="10" t="n">
        <x:v>6</x:v>
      </x:c>
      <x:c r="D1171" s="24" t="n">
        <x:v>0.0199</x:v>
      </x:c>
      <x:c r="E1171" s="24" t="n">
        <x:v>0.0432956704329567</x:v>
      </x:c>
      <x:c r="F1171" s="24" t="n">
        <x:f>ABS(D1171-E1171)</x:f>
        <x:v>0.0233956704329567</x:v>
      </x:c>
    </x:row>
    <x:row r="1172" ht="23" customHeight="1">
      <x:c r="A1172" s="10" t="str">
        <x:v>M9</x:v>
      </x:c>
      <x:c r="B1172" s="10" t="str">
        <x:v>G_H0</x:v>
      </x:c>
      <x:c r="C1172" s="10" t="n">
        <x:v>7</x:v>
      </x:c>
      <x:c r="D1172" s="24" t="n">
        <x:v>0</x:v>
      </x:c>
      <x:c r="E1172" s="24" t="n">
        <x:v>0.10418958104189581</x:v>
      </x:c>
      <x:c r="F1172" s="24" t="n">
        <x:f>ABS(D1172-E1172)</x:f>
        <x:v>0.10418958104189581</x:v>
      </x:c>
    </x:row>
    <x:row r="1173" ht="23" customHeight="1">
      <x:c r="A1173" s="10" t="str">
        <x:v>M9</x:v>
      </x:c>
      <x:c r="B1173" s="10" t="str">
        <x:v>G_H0</x:v>
      </x:c>
      <x:c r="C1173" s="10" t="n">
        <x:v>8</x:v>
      </x:c>
      <x:c r="D1173" s="24" t="n">
        <x:v>0</x:v>
      </x:c>
      <x:c r="E1173" s="24" t="n">
        <x:v>0.0320967903209679</x:v>
      </x:c>
      <x:c r="F1173" s="24" t="n">
        <x:f>ABS(D1173-E1173)</x:f>
        <x:v>0.0320967903209679</x:v>
      </x:c>
    </x:row>
    <x:row r="1174" ht="23" customHeight="1">
      <x:c r="A1174" s="10" t="str">
        <x:v>M9</x:v>
      </x:c>
      <x:c r="B1174" s="10" t="str">
        <x:v>G_H0</x:v>
      </x:c>
      <x:c r="C1174" s="10" t="n">
        <x:v>9</x:v>
      </x:c>
      <x:c r="D1174" s="24" t="n">
        <x:v>0</x:v>
      </x:c>
      <x:c r="E1174" s="24" t="n">
        <x:v>0.0358964103589641</x:v>
      </x:c>
      <x:c r="F1174" s="24" t="n">
        <x:f>ABS(D1174-E1174)</x:f>
        <x:v>0.0358964103589641</x:v>
      </x:c>
    </x:row>
    <x:row r="1175" ht="23" customHeight="1">
      <x:c r="A1175" s="10" t="str">
        <x:v>M9</x:v>
      </x:c>
      <x:c r="B1175" s="10" t="str">
        <x:v>G_H0</x:v>
      </x:c>
      <x:c r="C1175" s="10" t="n">
        <x:v>10</x:v>
      </x:c>
      <x:c r="D1175" s="24" t="n">
        <x:v>0</x:v>
      </x:c>
      <x:c r="E1175" s="24" t="n">
        <x:v>0</x:v>
      </x:c>
      <x:c r="F1175" s="24" t="n">
        <x:f>ABS(D1175-E1175)</x:f>
        <x:v>0</x:v>
      </x:c>
    </x:row>
    <x:row r="1176" ht="23" customHeight="1">
      <x:c r="A1176" s="10" t="str">
        <x:v>M9</x:v>
      </x:c>
      <x:c r="B1176" s="10" t="str">
        <x:v>G_H1</x:v>
      </x:c>
      <x:c r="C1176" s="10" t="n">
        <x:v>1</x:v>
      </x:c>
      <x:c r="D1176" s="24" t="n">
        <x:v>0</x:v>
      </x:c>
      <x:c r="E1176" s="24" t="n">
        <x:v>0.0015998400159984</x:v>
      </x:c>
      <x:c r="F1176" s="24" t="n">
        <x:f>ABS(D1176-E1176)</x:f>
        <x:v>0.0015998400159984</x:v>
      </x:c>
    </x:row>
    <x:row r="1177" ht="23" customHeight="1">
      <x:c r="A1177" s="10" t="str">
        <x:v>M9</x:v>
      </x:c>
      <x:c r="B1177" s="10" t="str">
        <x:v>G_H1</x:v>
      </x:c>
      <x:c r="C1177" s="10" t="n">
        <x:v>2</x:v>
      </x:c>
      <x:c r="D1177" s="24" t="n">
        <x:v>0.05040000000000001</x:v>
      </x:c>
      <x:c r="E1177" s="24" t="n">
        <x:v>0.08469153084691533</x:v>
      </x:c>
      <x:c r="F1177" s="24" t="n">
        <x:f>ABS(D1177-E1177)</x:f>
        <x:v>0.03429153084691532</x:v>
      </x:c>
    </x:row>
    <x:row r="1178" ht="23" customHeight="1">
      <x:c r="A1178" s="10" t="str">
        <x:v>M9</x:v>
      </x:c>
      <x:c r="B1178" s="10" t="str">
        <x:v>G_H1</x:v>
      </x:c>
      <x:c r="C1178" s="10" t="n">
        <x:v>3</x:v>
      </x:c>
      <x:c r="D1178" s="24" t="n">
        <x:v>0.5760000000000001</x:v>
      </x:c>
      <x:c r="E1178" s="24" t="n">
        <x:v>0.3537646235376462</x:v>
      </x:c>
      <x:c r="F1178" s="24" t="n">
        <x:f>ABS(D1178-E1178)</x:f>
        <x:v>0.22223537646235386</x:v>
      </x:c>
    </x:row>
    <x:row r="1179" ht="23" customHeight="1">
      <x:c r="A1179" s="10" t="str">
        <x:v>M9</x:v>
      </x:c>
      <x:c r="B1179" s="10" t="str">
        <x:v>G_H1</x:v>
      </x:c>
      <x:c r="C1179" s="10" t="n">
        <x:v>4</x:v>
      </x:c>
      <x:c r="D1179" s="24" t="n">
        <x:v>0.26520000000000005</x:v>
      </x:c>
      <x:c r="E1179" s="24" t="n">
        <x:v>0.2488751124887511</x:v>
      </x:c>
      <x:c r="F1179" s="24" t="n">
        <x:f>ABS(D1179-E1179)</x:f>
        <x:v>0.016324887511248942</x:v>
      </x:c>
    </x:row>
    <x:row r="1180" ht="23" customHeight="1">
      <x:c r="A1180" s="10" t="str">
        <x:v>M9</x:v>
      </x:c>
      <x:c r="B1180" s="10" t="str">
        <x:v>G_H1</x:v>
      </x:c>
      <x:c r="C1180" s="10" t="n">
        <x:v>5</x:v>
      </x:c>
      <x:c r="D1180" s="24" t="n">
        <x:v>0.08820000000000001</x:v>
      </x:c>
      <x:c r="E1180" s="24" t="n">
        <x:v>0.09559044095590441</x:v>
      </x:c>
      <x:c r="F1180" s="24" t="n">
        <x:f>ABS(D1180-E1180)</x:f>
        <x:v>0.007390440955904395</x:v>
      </x:c>
    </x:row>
    <x:row r="1181" ht="23" customHeight="1">
      <x:c r="A1181" s="10" t="str">
        <x:v>M9</x:v>
      </x:c>
      <x:c r="B1181" s="10" t="str">
        <x:v>G_H1</x:v>
      </x:c>
      <x:c r="C1181" s="10" t="n">
        <x:v>6</x:v>
      </x:c>
      <x:c r="D1181" s="24" t="n">
        <x:v>0.020200000000000006</x:v>
      </x:c>
      <x:c r="E1181" s="24" t="n">
        <x:v>0.0432956704329567</x:v>
      </x:c>
      <x:c r="F1181" s="24" t="n">
        <x:f>ABS(D1181-E1181)</x:f>
        <x:v>0.023095670432956694</x:v>
      </x:c>
    </x:row>
    <x:row r="1182" ht="23" customHeight="1">
      <x:c r="A1182" s="10" t="str">
        <x:v>M9</x:v>
      </x:c>
      <x:c r="B1182" s="10" t="str">
        <x:v>G_H1</x:v>
      </x:c>
      <x:c r="C1182" s="10" t="n">
        <x:v>7</x:v>
      </x:c>
      <x:c r="D1182" s="24" t="n">
        <x:v>0</x:v>
      </x:c>
      <x:c r="E1182" s="24" t="n">
        <x:v>0.10418958104189581</x:v>
      </x:c>
      <x:c r="F1182" s="24" t="n">
        <x:f>ABS(D1182-E1182)</x:f>
        <x:v>0.10418958104189581</x:v>
      </x:c>
    </x:row>
    <x:row r="1183" ht="23" customHeight="1">
      <x:c r="A1183" s="10" t="str">
        <x:v>M9</x:v>
      </x:c>
      <x:c r="B1183" s="10" t="str">
        <x:v>G_H1</x:v>
      </x:c>
      <x:c r="C1183" s="10" t="n">
        <x:v>8</x:v>
      </x:c>
      <x:c r="D1183" s="24" t="n">
        <x:v>0</x:v>
      </x:c>
      <x:c r="E1183" s="24" t="n">
        <x:v>0.0320967903209679</x:v>
      </x:c>
      <x:c r="F1183" s="24" t="n">
        <x:f>ABS(D1183-E1183)</x:f>
        <x:v>0.0320967903209679</x:v>
      </x:c>
    </x:row>
    <x:row r="1184" ht="23" customHeight="1">
      <x:c r="A1184" s="10" t="str">
        <x:v>M9</x:v>
      </x:c>
      <x:c r="B1184" s="10" t="str">
        <x:v>G_H1</x:v>
      </x:c>
      <x:c r="C1184" s="10" t="n">
        <x:v>9</x:v>
      </x:c>
      <x:c r="D1184" s="24" t="n">
        <x:v>0</x:v>
      </x:c>
      <x:c r="E1184" s="24" t="n">
        <x:v>0.0358964103589641</x:v>
      </x:c>
      <x:c r="F1184" s="24" t="n">
        <x:f>ABS(D1184-E1184)</x:f>
        <x:v>0.0358964103589641</x:v>
      </x:c>
    </x:row>
    <x:row r="1185" ht="23" customHeight="1">
      <x:c r="A1185" s="10" t="str">
        <x:v>M9</x:v>
      </x:c>
      <x:c r="B1185" s="10" t="str">
        <x:v>G_H1</x:v>
      </x:c>
      <x:c r="C1185" s="10" t="n">
        <x:v>10</x:v>
      </x:c>
      <x:c r="D1185" s="24" t="n">
        <x:v>0</x:v>
      </x:c>
      <x:c r="E1185" s="24" t="n">
        <x:v>0</x:v>
      </x:c>
      <x:c r="F1185" s="24" t="n">
        <x:f>ABS(D1185-E1185)</x:f>
        <x:v>0</x:v>
      </x:c>
    </x:row>
    <x:row r="1186" ht="23" customHeight="1">
      <x:c r="A1186" s="10" t="str">
        <x:v>M9</x:v>
      </x:c>
      <x:c r="B1186" s="10" t="str">
        <x:v>NC_H0</x:v>
      </x:c>
      <x:c r="C1186" s="10" t="n">
        <x:v>1</x:v>
      </x:c>
      <x:c r="D1186" s="24" t="n">
        <x:v>0</x:v>
      </x:c>
      <x:c r="E1186" s="24" t="n">
        <x:v>0.0015998400159984</x:v>
      </x:c>
      <x:c r="F1186" s="24" t="n">
        <x:f>ABS(D1186-E1186)</x:f>
        <x:v>0.0015998400159984</x:v>
      </x:c>
    </x:row>
    <x:row r="1187" ht="23" customHeight="1">
      <x:c r="A1187" s="10" t="str">
        <x:v>M9</x:v>
      </x:c>
      <x:c r="B1187" s="10" t="str">
        <x:v>NC_H0</x:v>
      </x:c>
      <x:c r="C1187" s="10" t="n">
        <x:v>2</x:v>
      </x:c>
      <x:c r="D1187" s="24" t="n">
        <x:v>0.24277572242775725</x:v>
      </x:c>
      <x:c r="E1187" s="24" t="n">
        <x:v>0.08469153084691533</x:v>
      </x:c>
      <x:c r="F1187" s="24" t="n">
        <x:f>ABS(D1187-E1187)</x:f>
        <x:v>0.15808419158084192</x:v>
      </x:c>
    </x:row>
    <x:row r="1188" ht="23" customHeight="1">
      <x:c r="A1188" s="10" t="str">
        <x:v>M9</x:v>
      </x:c>
      <x:c r="B1188" s="10" t="str">
        <x:v>NC_H0</x:v>
      </x:c>
      <x:c r="C1188" s="10" t="n">
        <x:v>3</x:v>
      </x:c>
      <x:c r="D1188" s="24" t="n">
        <x:v>0.010898910108989104</x:v>
      </x:c>
      <x:c r="E1188" s="24" t="n">
        <x:v>0.3537646235376462</x:v>
      </x:c>
      <x:c r="F1188" s="24" t="n">
        <x:f>ABS(D1188-E1188)</x:f>
        <x:v>0.3428657134286571</x:v>
      </x:c>
    </x:row>
    <x:row r="1189" ht="23" customHeight="1">
      <x:c r="A1189" s="10" t="str">
        <x:v>M9</x:v>
      </x:c>
      <x:c r="B1189" s="10" t="str">
        <x:v>NC_H0</x:v>
      </x:c>
      <x:c r="C1189" s="10" t="n">
        <x:v>4</x:v>
      </x:c>
      <x:c r="D1189" s="24" t="n">
        <x:v>0</x:v>
      </x:c>
      <x:c r="E1189" s="24" t="n">
        <x:v>0.2488751124887511</x:v>
      </x:c>
      <x:c r="F1189" s="24" t="n">
        <x:f>ABS(D1189-E1189)</x:f>
        <x:v>0.2488751124887511</x:v>
      </x:c>
    </x:row>
    <x:row r="1190" ht="23" customHeight="1">
      <x:c r="A1190" s="10" t="str">
        <x:v>M9</x:v>
      </x:c>
      <x:c r="B1190" s="10" t="str">
        <x:v>NC_H0</x:v>
      </x:c>
      <x:c r="C1190" s="10" t="n">
        <x:v>5</x:v>
      </x:c>
      <x:c r="D1190" s="24" t="n">
        <x:v>0.5631436856314369</x:v>
      </x:c>
      <x:c r="E1190" s="24" t="n">
        <x:v>0.09559044095590441</x:v>
      </x:c>
      <x:c r="F1190" s="24" t="n">
        <x:f>ABS(D1190-E1190)</x:f>
        <x:v>0.4675532446755325</x:v>
      </x:c>
    </x:row>
    <x:row r="1191" ht="23" customHeight="1">
      <x:c r="A1191" s="10" t="str">
        <x:v>M9</x:v>
      </x:c>
      <x:c r="B1191" s="10" t="str">
        <x:v>NC_H0</x:v>
      </x:c>
      <x:c r="C1191" s="10" t="n">
        <x:v>6</x:v>
      </x:c>
      <x:c r="D1191" s="24" t="n">
        <x:v>0.0054994500549945015</x:v>
      </x:c>
      <x:c r="E1191" s="24" t="n">
        <x:v>0.0432956704329567</x:v>
      </x:c>
      <x:c r="F1191" s="24" t="n">
        <x:f>ABS(D1191-E1191)</x:f>
        <x:v>0.037796220377962195</x:v>
      </x:c>
    </x:row>
    <x:row r="1192" ht="23" customHeight="1">
      <x:c r="A1192" s="10" t="str">
        <x:v>M9</x:v>
      </x:c>
      <x:c r="B1192" s="10" t="str">
        <x:v>NC_H0</x:v>
      </x:c>
      <x:c r="C1192" s="10" t="n">
        <x:v>7</x:v>
      </x:c>
      <x:c r="D1192" s="24" t="n">
        <x:v>0.11738826117388262</x:v>
      </x:c>
      <x:c r="E1192" s="24" t="n">
        <x:v>0.10418958104189581</x:v>
      </x:c>
      <x:c r="F1192" s="24" t="n">
        <x:f>ABS(D1192-E1192)</x:f>
        <x:v>0.013198680131986815</x:v>
      </x:c>
    </x:row>
    <x:row r="1193" ht="23" customHeight="1">
      <x:c r="A1193" s="10" t="str">
        <x:v>M9</x:v>
      </x:c>
      <x:c r="B1193" s="10" t="str">
        <x:v>NC_H0</x:v>
      </x:c>
      <x:c r="C1193" s="10" t="n">
        <x:v>8</x:v>
      </x:c>
      <x:c r="D1193" s="24" t="n">
        <x:v>0.021197880211978805</x:v>
      </x:c>
      <x:c r="E1193" s="24" t="n">
        <x:v>0.0320967903209679</x:v>
      </x:c>
      <x:c r="F1193" s="24" t="n">
        <x:f>ABS(D1193-E1193)</x:f>
        <x:v>0.010898910108989093</x:v>
      </x:c>
    </x:row>
    <x:row r="1194" ht="23" customHeight="1">
      <x:c r="A1194" s="10" t="str">
        <x:v>M9</x:v>
      </x:c>
      <x:c r="B1194" s="10" t="str">
        <x:v>NC_H0</x:v>
      </x:c>
      <x:c r="C1194" s="10" t="n">
        <x:v>9</x:v>
      </x:c>
      <x:c r="D1194" s="24" t="n">
        <x:v>0.03909609039096091</x:v>
      </x:c>
      <x:c r="E1194" s="24" t="n">
        <x:v>0.0358964103589641</x:v>
      </x:c>
      <x:c r="F1194" s="24" t="n">
        <x:f>ABS(D1194-E1194)</x:f>
        <x:v>0.0031996800319968113</x:v>
      </x:c>
    </x:row>
    <x:row r="1195" ht="23" customHeight="1">
      <x:c r="A1195" s="10" t="str">
        <x:v>M9</x:v>
      </x:c>
      <x:c r="B1195" s="10" t="str">
        <x:v>NC_H0</x:v>
      </x:c>
      <x:c r="C1195" s="10" t="n">
        <x:v>10</x:v>
      </x:c>
      <x:c r="D1195" s="24" t="n">
        <x:v>0</x:v>
      </x:c>
      <x:c r="E1195" s="24" t="n">
        <x:v>0</x:v>
      </x:c>
      <x:c r="F1195" s="24" t="n">
        <x:f>ABS(D1195-E1195)</x:f>
        <x:v>0</x:v>
      </x:c>
    </x:row>
    <x:row r="1196" ht="23" customHeight="1">
      <x:c r="A1196" s="10" t="str">
        <x:v>M9</x:v>
      </x:c>
      <x:c r="B1196" s="10" t="str">
        <x:v>NC_H1</x:v>
      </x:c>
      <x:c r="C1196" s="10" t="n">
        <x:v>1</x:v>
      </x:c>
      <x:c r="D1196" s="24" t="n">
        <x:v>0</x:v>
      </x:c>
      <x:c r="E1196" s="24" t="n">
        <x:v>0.0015998400159984</x:v>
      </x:c>
      <x:c r="F1196" s="24" t="n">
        <x:f>ABS(D1196-E1196)</x:f>
        <x:v>0.0015998400159984</x:v>
      </x:c>
    </x:row>
    <x:row r="1197" ht="23" customHeight="1">
      <x:c r="A1197" s="10" t="str">
        <x:v>M9</x:v>
      </x:c>
      <x:c r="B1197" s="10" t="str">
        <x:v>NC_H1</x:v>
      </x:c>
      <x:c r="C1197" s="10" t="n">
        <x:v>2</x:v>
      </x:c>
      <x:c r="D1197" s="24" t="n">
        <x:v>0.2411758824117588</x:v>
      </x:c>
      <x:c r="E1197" s="24" t="n">
        <x:v>0.08469153084691533</x:v>
      </x:c>
      <x:c r="F1197" s="24" t="n">
        <x:f>ABS(D1197-E1197)</x:f>
        <x:v>0.15648435156484347</x:v>
      </x:c>
    </x:row>
    <x:row r="1198" ht="23" customHeight="1">
      <x:c r="A1198" s="10" t="str">
        <x:v>M9</x:v>
      </x:c>
      <x:c r="B1198" s="10" t="str">
        <x:v>NC_H1</x:v>
      </x:c>
      <x:c r="C1198" s="10" t="n">
        <x:v>3</x:v>
      </x:c>
      <x:c r="D1198" s="24" t="n">
        <x:v>0.0092990700929907</x:v>
      </x:c>
      <x:c r="E1198" s="24" t="n">
        <x:v>0.3537646235376462</x:v>
      </x:c>
      <x:c r="F1198" s="24" t="n">
        <x:f>ABS(D1198-E1198)</x:f>
        <x:v>0.3444655534446555</x:v>
      </x:c>
    </x:row>
    <x:row r="1199" ht="23" customHeight="1">
      <x:c r="A1199" s="10" t="str">
        <x:v>M9</x:v>
      </x:c>
      <x:c r="B1199" s="10" t="str">
        <x:v>NC_H1</x:v>
      </x:c>
      <x:c r="C1199" s="10" t="n">
        <x:v>4</x:v>
      </x:c>
      <x:c r="D1199" s="24" t="n">
        <x:v>0</x:v>
      </x:c>
      <x:c r="E1199" s="24" t="n">
        <x:v>0.2488751124887511</x:v>
      </x:c>
      <x:c r="F1199" s="24" t="n">
        <x:f>ABS(D1199-E1199)</x:f>
        <x:v>0.2488751124887511</x:v>
      </x:c>
    </x:row>
    <x:row r="1200" ht="23" customHeight="1">
      <x:c r="A1200" s="10" t="str">
        <x:v>M9</x:v>
      </x:c>
      <x:c r="B1200" s="10" t="str">
        <x:v>NC_H1</x:v>
      </x:c>
      <x:c r="C1200" s="10" t="n">
        <x:v>5</x:v>
      </x:c>
      <x:c r="D1200" s="24" t="n">
        <x:v>0.5631436856314368</x:v>
      </x:c>
      <x:c r="E1200" s="24" t="n">
        <x:v>0.09559044095590441</x:v>
      </x:c>
      <x:c r="F1200" s="24" t="n">
        <x:f>ABS(D1200-E1200)</x:f>
        <x:v>0.4675532446755324</x:v>
      </x:c>
    </x:row>
    <x:row r="1201" ht="23" customHeight="1">
      <x:c r="A1201" s="10" t="str">
        <x:v>M9</x:v>
      </x:c>
      <x:c r="B1201" s="10" t="str">
        <x:v>NC_H1</x:v>
      </x:c>
      <x:c r="C1201" s="10" t="n">
        <x:v>6</x:v>
      </x:c>
      <x:c r="D1201" s="24" t="n">
        <x:v>0.007099290070992901</x:v>
      </x:c>
      <x:c r="E1201" s="24" t="n">
        <x:v>0.0432956704329567</x:v>
      </x:c>
      <x:c r="F1201" s="24" t="n">
        <x:f>ABS(D1201-E1201)</x:f>
        <x:v>0.0361963803619638</x:v>
      </x:c>
    </x:row>
    <x:row r="1202" ht="23" customHeight="1">
      <x:c r="A1202" s="10" t="str">
        <x:v>M9</x:v>
      </x:c>
      <x:c r="B1202" s="10" t="str">
        <x:v>NC_H1</x:v>
      </x:c>
      <x:c r="C1202" s="10" t="n">
        <x:v>7</x:v>
      </x:c>
      <x:c r="D1202" s="24" t="n">
        <x:v>0.118988101189881</x:v>
      </x:c>
      <x:c r="E1202" s="24" t="n">
        <x:v>0.10418958104189581</x:v>
      </x:c>
      <x:c r="F1202" s="24" t="n">
        <x:f>ABS(D1202-E1202)</x:f>
        <x:v>0.014798520147985189</x:v>
      </x:c>
    </x:row>
    <x:row r="1203" ht="23" customHeight="1">
      <x:c r="A1203" s="10" t="str">
        <x:v>M9</x:v>
      </x:c>
      <x:c r="B1203" s="10" t="str">
        <x:v>NC_H1</x:v>
      </x:c>
      <x:c r="C1203" s="10" t="n">
        <x:v>8</x:v>
      </x:c>
      <x:c r="D1203" s="24" t="n">
        <x:v>0.0211978802119788</x:v>
      </x:c>
      <x:c r="E1203" s="24" t="n">
        <x:v>0.0320967903209679</x:v>
      </x:c>
      <x:c r="F1203" s="24" t="n">
        <x:f>ABS(D1203-E1203)</x:f>
        <x:v>0.010898910108989097</x:v>
      </x:c>
    </x:row>
    <x:row r="1204" ht="23" customHeight="1">
      <x:c r="A1204" s="10" t="str">
        <x:v>M9</x:v>
      </x:c>
      <x:c r="B1204" s="10" t="str">
        <x:v>NC_H1</x:v>
      </x:c>
      <x:c r="C1204" s="10" t="n">
        <x:v>9</x:v>
      </x:c>
      <x:c r="D1204" s="24" t="n">
        <x:v>0.0390960903909609</x:v>
      </x:c>
      <x:c r="E1204" s="24" t="n">
        <x:v>0.0358964103589641</x:v>
      </x:c>
      <x:c r="F1204" s="24" t="n">
        <x:f>ABS(D1204-E1204)</x:f>
        <x:v>0.0031996800319968044</x:v>
      </x:c>
    </x:row>
    <x:row r="1205" ht="23" customHeight="1">
      <x:c r="A1205" s="10" t="str">
        <x:v>M9</x:v>
      </x:c>
      <x:c r="B1205" s="10" t="str">
        <x:v>NC_H1</x:v>
      </x:c>
      <x:c r="C1205" s="10" t="n">
        <x:v>10</x:v>
      </x:c>
      <x:c r="D1205" s="24" t="n">
        <x:v>0</x:v>
      </x:c>
      <x:c r="E1205" s="24" t="n">
        <x:v>0</x:v>
      </x:c>
      <x:c r="F1205" s="24" t="n">
        <x:f>ABS(D1205-E1205)</x:f>
        <x:v>0</x:v>
      </x:c>
    </x:row>
    <x:row r="1206" ht="23" customHeight="1">
      <x:c r="A1206" s="10" t="str">
        <x:v>M9</x:v>
      </x:c>
      <x:c r="B1206" s="10" t="str">
        <x:v>NG_H0</x:v>
      </x:c>
      <x:c r="C1206" s="10" t="n">
        <x:v>1</x:v>
      </x:c>
      <x:c r="D1206" s="24" t="n">
        <x:v>0</x:v>
      </x:c>
      <x:c r="E1206" s="24" t="n">
        <x:v>0.0015998400159984</x:v>
      </x:c>
      <x:c r="F1206" s="24" t="n">
        <x:f>ABS(D1206-E1206)</x:f>
        <x:v>0.0015998400159984</x:v>
      </x:c>
    </x:row>
    <x:row r="1207" ht="23" customHeight="1">
      <x:c r="A1207" s="10" t="str">
        <x:v>M9</x:v>
      </x:c>
      <x:c r="B1207" s="10" t="str">
        <x:v>NG_H0</x:v>
      </x:c>
      <x:c r="C1207" s="10" t="n">
        <x:v>2</x:v>
      </x:c>
      <x:c r="D1207" s="24" t="n">
        <x:v>0.0964903509649035</x:v>
      </x:c>
      <x:c r="E1207" s="24" t="n">
        <x:v>0.08469153084691533</x:v>
      </x:c>
      <x:c r="F1207" s="24" t="n">
        <x:f>ABS(D1207-E1207)</x:f>
        <x:v>0.011798820117988176</x:v>
      </x:c>
    </x:row>
    <x:row r="1208" ht="23" customHeight="1">
      <x:c r="A1208" s="10" t="str">
        <x:v>M9</x:v>
      </x:c>
      <x:c r="B1208" s="10" t="str">
        <x:v>NG_H0</x:v>
      </x:c>
      <x:c r="C1208" s="10" t="n">
        <x:v>3</x:v>
      </x:c>
      <x:c r="D1208" s="24" t="n">
        <x:v>0.37876212378762125</x:v>
      </x:c>
      <x:c r="E1208" s="24" t="n">
        <x:v>0.3537646235376462</x:v>
      </x:c>
      <x:c r="F1208" s="24" t="n">
        <x:f>ABS(D1208-E1208)</x:f>
        <x:v>0.024997500249975046</x:v>
      </x:c>
    </x:row>
    <x:row r="1209" ht="23" customHeight="1">
      <x:c r="A1209" s="10" t="str">
        <x:v>M9</x:v>
      </x:c>
      <x:c r="B1209" s="10" t="str">
        <x:v>NG_H0</x:v>
      </x:c>
      <x:c r="C1209" s="10" t="n">
        <x:v>4</x:v>
      </x:c>
      <x:c r="D1209" s="24" t="n">
        <x:v>0.21457854214578542</x:v>
      </x:c>
      <x:c r="E1209" s="24" t="n">
        <x:v>0.2488751124887511</x:v>
      </x:c>
      <x:c r="F1209" s="24" t="n">
        <x:f>ABS(D1209-E1209)</x:f>
        <x:v>0.03429657034296568</x:v>
      </x:c>
    </x:row>
    <x:row r="1210" ht="23" customHeight="1">
      <x:c r="A1210" s="10" t="str">
        <x:v>M9</x:v>
      </x:c>
      <x:c r="B1210" s="10" t="str">
        <x:v>NG_H0</x:v>
      </x:c>
      <x:c r="C1210" s="10" t="n">
        <x:v>5</x:v>
      </x:c>
      <x:c r="D1210" s="24" t="n">
        <x:v>0.07729227077292271</x:v>
      </x:c>
      <x:c r="E1210" s="24" t="n">
        <x:v>0.09559044095590441</x:v>
      </x:c>
      <x:c r="F1210" s="24" t="n">
        <x:f>ABS(D1210-E1210)</x:f>
        <x:v>0.0182981701829817</x:v>
      </x:c>
    </x:row>
    <x:row r="1211" ht="23" customHeight="1">
      <x:c r="A1211" s="10" t="str">
        <x:v>M9</x:v>
      </x:c>
      <x:c r="B1211" s="10" t="str">
        <x:v>NG_H0</x:v>
      </x:c>
      <x:c r="C1211" s="10" t="n">
        <x:v>6</x:v>
      </x:c>
      <x:c r="D1211" s="24" t="n">
        <x:v>0.024997500249975</x:v>
      </x:c>
      <x:c r="E1211" s="24" t="n">
        <x:v>0.0432956704329567</x:v>
      </x:c>
      <x:c r="F1211" s="24" t="n">
        <x:f>ABS(D1211-E1211)</x:f>
        <x:v>0.018298170182981698</x:v>
      </x:c>
    </x:row>
    <x:row r="1212" ht="23" customHeight="1">
      <x:c r="A1212" s="10" t="str">
        <x:v>M9</x:v>
      </x:c>
      <x:c r="B1212" s="10" t="str">
        <x:v>NG_H0</x:v>
      </x:c>
      <x:c r="C1212" s="10" t="n">
        <x:v>7</x:v>
      </x:c>
      <x:c r="D1212" s="24" t="n">
        <x:v>0.127987201279872</x:v>
      </x:c>
      <x:c r="E1212" s="24" t="n">
        <x:v>0.10418958104189581</x:v>
      </x:c>
      <x:c r="F1212" s="24" t="n">
        <x:f>ABS(D1212-E1212)</x:f>
        <x:v>0.0237976202379762</x:v>
      </x:c>
    </x:row>
    <x:row r="1213" ht="23" customHeight="1">
      <x:c r="A1213" s="10" t="str">
        <x:v>M9</x:v>
      </x:c>
      <x:c r="B1213" s="10" t="str">
        <x:v>NG_H0</x:v>
      </x:c>
      <x:c r="C1213" s="10" t="n">
        <x:v>8</x:v>
      </x:c>
      <x:c r="D1213" s="24" t="n">
        <x:v>0.0243975602439756</x:v>
      </x:c>
      <x:c r="E1213" s="24" t="n">
        <x:v>0.0320967903209679</x:v>
      </x:c>
      <x:c r="F1213" s="24" t="n">
        <x:f>ABS(D1213-E1213)</x:f>
        <x:v>0.007699230076992299</x:v>
      </x:c>
    </x:row>
    <x:row r="1214" ht="23" customHeight="1">
      <x:c r="A1214" s="10" t="str">
        <x:v>M9</x:v>
      </x:c>
      <x:c r="B1214" s="10" t="str">
        <x:v>NG_H0</x:v>
      </x:c>
      <x:c r="C1214" s="10" t="n">
        <x:v>9</x:v>
      </x:c>
      <x:c r="D1214" s="24" t="n">
        <x:v>0.0554944505549445</x:v>
      </x:c>
      <x:c r="E1214" s="24" t="n">
        <x:v>0.0358964103589641</x:v>
      </x:c>
      <x:c r="F1214" s="24" t="n">
        <x:f>ABS(D1214-E1214)</x:f>
        <x:v>0.019598040195980403</x:v>
      </x:c>
    </x:row>
    <x:row r="1215" ht="23" customHeight="1">
      <x:c r="A1215" s="10" t="str">
        <x:v>M9</x:v>
      </x:c>
      <x:c r="B1215" s="10" t="str">
        <x:v>NG_H0</x:v>
      </x:c>
      <x:c r="C1215" s="10" t="n">
        <x:v>10</x:v>
      </x:c>
      <x:c r="D1215" s="24" t="n">
        <x:v>0</x:v>
      </x:c>
      <x:c r="E1215" s="24" t="n">
        <x:v>0</x:v>
      </x:c>
      <x:c r="F1215" s="24" t="n">
        <x:f>ABS(D1215-E1215)</x:f>
        <x:v>0</x:v>
      </x:c>
    </x:row>
    <x:row r="1216" ht="23" customHeight="1">
      <x:c r="A1216" s="10" t="str">
        <x:v>M9</x:v>
      </x:c>
      <x:c r="B1216" s="10" t="str">
        <x:v>NG_H1</x:v>
      </x:c>
      <x:c r="C1216" s="10" t="n">
        <x:v>1</x:v>
      </x:c>
      <x:c r="D1216" s="24" t="n">
        <x:v>0</x:v>
      </x:c>
      <x:c r="E1216" s="24" t="n">
        <x:v>0.0015998400159984</x:v>
      </x:c>
      <x:c r="F1216" s="24" t="n">
        <x:f>ABS(D1216-E1216)</x:f>
        <x:v>0.0015998400159984</x:v>
      </x:c>
    </x:row>
    <x:row r="1217" ht="23" customHeight="1">
      <x:c r="A1217" s="10" t="str">
        <x:v>M9</x:v>
      </x:c>
      <x:c r="B1217" s="10" t="str">
        <x:v>NG_H1</x:v>
      </x:c>
      <x:c r="C1217" s="10" t="n">
        <x:v>2</x:v>
      </x:c>
      <x:c r="D1217" s="24" t="n">
        <x:v>0.07730000000000001</x:v>
      </x:c>
      <x:c r="E1217" s="24" t="n">
        <x:v>0.08469153084691533</x:v>
      </x:c>
      <x:c r="F1217" s="24" t="n">
        <x:f>ABS(D1217-E1217)</x:f>
        <x:v>0.007391530846915323</x:v>
      </x:c>
    </x:row>
    <x:row r="1218" ht="23" customHeight="1">
      <x:c r="A1218" s="10" t="str">
        <x:v>M9</x:v>
      </x:c>
      <x:c r="B1218" s="10" t="str">
        <x:v>NG_H1</x:v>
      </x:c>
      <x:c r="C1218" s="10" t="n">
        <x:v>3</x:v>
      </x:c>
      <x:c r="D1218" s="24" t="n">
        <x:v>0.36369999999999997</x:v>
      </x:c>
      <x:c r="E1218" s="24" t="n">
        <x:v>0.3537646235376462</x:v>
      </x:c>
      <x:c r="F1218" s="24" t="n">
        <x:f>ABS(D1218-E1218)</x:f>
        <x:v>0.009935376462353762</x:v>
      </x:c>
    </x:row>
    <x:row r="1219" ht="23" customHeight="1">
      <x:c r="A1219" s="10" t="str">
        <x:v>M9</x:v>
      </x:c>
      <x:c r="B1219" s="10" t="str">
        <x:v>NG_H1</x:v>
      </x:c>
      <x:c r="C1219" s="10" t="n">
        <x:v>4</x:v>
      </x:c>
      <x:c r="D1219" s="24" t="n">
        <x:v>0.2421</x:v>
      </x:c>
      <x:c r="E1219" s="24" t="n">
        <x:v>0.2488751124887511</x:v>
      </x:c>
      <x:c r="F1219" s="24" t="n">
        <x:f>ABS(D1219-E1219)</x:f>
        <x:v>0.006775112488751095</x:v>
      </x:c>
    </x:row>
    <x:row r="1220" ht="23" customHeight="1">
      <x:c r="A1220" s="10" t="str">
        <x:v>M9</x:v>
      </x:c>
      <x:c r="B1220" s="10" t="str">
        <x:v>NG_H1</x:v>
      </x:c>
      <x:c r="C1220" s="10" t="n">
        <x:v>5</x:v>
      </x:c>
      <x:c r="D1220" s="24" t="n">
        <x:v>0.0821</x:v>
      </x:c>
      <x:c r="E1220" s="24" t="n">
        <x:v>0.09559044095590441</x:v>
      </x:c>
      <x:c r="F1220" s="24" t="n">
        <x:f>ABS(D1220-E1220)</x:f>
        <x:v>0.013490440955904404</x:v>
      </x:c>
    </x:row>
    <x:row r="1221" ht="23" customHeight="1">
      <x:c r="A1221" s="10" t="str">
        <x:v>M9</x:v>
      </x:c>
      <x:c r="B1221" s="10" t="str">
        <x:v>NG_H1</x:v>
      </x:c>
      <x:c r="C1221" s="10" t="n">
        <x:v>6</x:v>
      </x:c>
      <x:c r="D1221" s="24" t="n">
        <x:v>0.0269</x:v>
      </x:c>
      <x:c r="E1221" s="24" t="n">
        <x:v>0.0432956704329567</x:v>
      </x:c>
      <x:c r="F1221" s="24" t="n">
        <x:f>ABS(D1221-E1221)</x:f>
        <x:v>0.0163956704329567</x:v>
      </x:c>
    </x:row>
    <x:row r="1222" ht="23" customHeight="1">
      <x:c r="A1222" s="10" t="str">
        <x:v>M9</x:v>
      </x:c>
      <x:c r="B1222" s="10" t="str">
        <x:v>NG_H1</x:v>
      </x:c>
      <x:c r="C1222" s="10" t="n">
        <x:v>7</x:v>
      </x:c>
      <x:c r="D1222" s="24" t="n">
        <x:v>0.128</x:v>
      </x:c>
      <x:c r="E1222" s="24" t="n">
        <x:v>0.10418958104189581</x:v>
      </x:c>
      <x:c r="F1222" s="24" t="n">
        <x:f>ABS(D1222-E1222)</x:f>
        <x:v>0.023810418958104193</x:v>
      </x:c>
    </x:row>
    <x:row r="1223" ht="23" customHeight="1">
      <x:c r="A1223" s="10" t="str">
        <x:v>M9</x:v>
      </x:c>
      <x:c r="B1223" s="10" t="str">
        <x:v>NG_H1</x:v>
      </x:c>
      <x:c r="C1223" s="10" t="n">
        <x:v>8</x:v>
      </x:c>
      <x:c r="D1223" s="24" t="n">
        <x:v>0.024399999999999998</x:v>
      </x:c>
      <x:c r="E1223" s="24" t="n">
        <x:v>0.0320967903209679</x:v>
      </x:c>
      <x:c r="F1223" s="24" t="n">
        <x:f>ABS(D1223-E1223)</x:f>
        <x:v>0.0076967903209679</x:v>
      </x:c>
    </x:row>
    <x:row r="1224" ht="23" customHeight="1">
      <x:c r="A1224" s="10" t="str">
        <x:v>M9</x:v>
      </x:c>
      <x:c r="B1224" s="10" t="str">
        <x:v>NG_H1</x:v>
      </x:c>
      <x:c r="C1224" s="10" t="n">
        <x:v>9</x:v>
      </x:c>
      <x:c r="D1224" s="24" t="n">
        <x:v>0.0555</x:v>
      </x:c>
      <x:c r="E1224" s="24" t="n">
        <x:v>0.0358964103589641</x:v>
      </x:c>
      <x:c r="F1224" s="24" t="n">
        <x:f>ABS(D1224-E1224)</x:f>
        <x:v>0.019603589641035903</x:v>
      </x:c>
    </x:row>
    <x:row r="1225" ht="23" customHeight="1">
      <x:c r="A1225" s="10" t="str">
        <x:v>M9</x:v>
      </x:c>
      <x:c r="B1225" s="10" t="str">
        <x:v>NG_H1</x:v>
      </x:c>
      <x:c r="C1225" s="10" t="n">
        <x:v>10</x:v>
      </x:c>
      <x:c r="D1225" s="24" t="n">
        <x:v>0</x:v>
      </x:c>
      <x:c r="E1225" s="24" t="n">
        <x:v>0</x:v>
      </x:c>
      <x:c r="F1225" s="24" t="n">
        <x:f>ABS(D1225-E1225)</x:f>
        <x:v>0</x:v>
      </x:c>
    </x:row>
    <x:row r="1226" ht="23" customHeight="1">
      <x:c r="A1226" s="10" t="str">
        <x:v>M9</x:v>
      </x:c>
      <x:c r="B1226" s="10" t="str">
        <x:v>CG_H0</x:v>
      </x:c>
      <x:c r="C1226" s="10" t="n">
        <x:v>1</x:v>
      </x:c>
      <x:c r="D1226" s="24" t="n">
        <x:v>0</x:v>
      </x:c>
      <x:c r="E1226" s="24" t="n">
        <x:v>0.0015998400159984</x:v>
      </x:c>
      <x:c r="F1226" s="24" t="n">
        <x:f>ABS(D1226-E1226)</x:f>
        <x:v>0.0015998400159984</x:v>
      </x:c>
    </x:row>
    <x:row r="1227" ht="23" customHeight="1">
      <x:c r="A1227" s="10" t="str">
        <x:v>M9</x:v>
      </x:c>
      <x:c r="B1227" s="10" t="str">
        <x:v>CG_H0</x:v>
      </x:c>
      <x:c r="C1227" s="10" t="n">
        <x:v>2</x:v>
      </x:c>
      <x:c r="D1227" s="24" t="n">
        <x:v>0.13599999999999998</x:v>
      </x:c>
      <x:c r="E1227" s="24" t="n">
        <x:v>0.08469153084691533</x:v>
      </x:c>
      <x:c r="F1227" s="24" t="n">
        <x:f>ABS(D1227-E1227)</x:f>
        <x:v>0.05130846915308465</x:v>
      </x:c>
    </x:row>
    <x:row r="1228" ht="23" customHeight="1">
      <x:c r="A1228" s="10" t="str">
        <x:v>M9</x:v>
      </x:c>
      <x:c r="B1228" s="10" t="str">
        <x:v>CG_H0</x:v>
      </x:c>
      <x:c r="C1228" s="10" t="n">
        <x:v>3</x:v>
      </x:c>
      <x:c r="D1228" s="24" t="n">
        <x:v>0.5285</x:v>
      </x:c>
      <x:c r="E1228" s="24" t="n">
        <x:v>0.3537646235376462</x:v>
      </x:c>
      <x:c r="F1228" s="24" t="n">
        <x:f>ABS(D1228-E1228)</x:f>
        <x:v>0.17473537646235376</x:v>
      </x:c>
    </x:row>
    <x:row r="1229" ht="23" customHeight="1">
      <x:c r="A1229" s="10" t="str">
        <x:v>M9</x:v>
      </x:c>
      <x:c r="B1229" s="10" t="str">
        <x:v>CG_H0</x:v>
      </x:c>
      <x:c r="C1229" s="10" t="n">
        <x:v>4</x:v>
      </x:c>
      <x:c r="D1229" s="24" t="n">
        <x:v>0.23119999999999996</x:v>
      </x:c>
      <x:c r="E1229" s="24" t="n">
        <x:v>0.2488751124887511</x:v>
      </x:c>
      <x:c r="F1229" s="24" t="n">
        <x:f>ABS(D1229-E1229)</x:f>
        <x:v>0.017675112488751143</x:v>
      </x:c>
    </x:row>
    <x:row r="1230" ht="23" customHeight="1">
      <x:c r="A1230" s="10" t="str">
        <x:v>M9</x:v>
      </x:c>
      <x:c r="B1230" s="10" t="str">
        <x:v>CG_H0</x:v>
      </x:c>
      <x:c r="C1230" s="10" t="n">
        <x:v>5</x:v>
      </x:c>
      <x:c r="D1230" s="24" t="n">
        <x:v>0.08149999999999999</x:v>
      </x:c>
      <x:c r="E1230" s="24" t="n">
        <x:v>0.09559044095590441</x:v>
      </x:c>
      <x:c r="F1230" s="24" t="n">
        <x:f>ABS(D1230-E1230)</x:f>
        <x:v>0.01409044095590442</x:v>
      </x:c>
    </x:row>
    <x:row r="1231" ht="23" customHeight="1">
      <x:c r="A1231" s="10" t="str">
        <x:v>M9</x:v>
      </x:c>
      <x:c r="B1231" s="10" t="str">
        <x:v>CG_H0</x:v>
      </x:c>
      <x:c r="C1231" s="10" t="n">
        <x:v>6</x:v>
      </x:c>
      <x:c r="D1231" s="24" t="n">
        <x:v>0.019899999999999998</x:v>
      </x:c>
      <x:c r="E1231" s="24" t="n">
        <x:v>0.0432956704329567</x:v>
      </x:c>
      <x:c r="F1231" s="24" t="n">
        <x:f>ABS(D1231-E1231)</x:f>
        <x:v>0.023395670432956702</x:v>
      </x:c>
    </x:row>
    <x:row r="1232" ht="23" customHeight="1">
      <x:c r="A1232" s="10" t="str">
        <x:v>M9</x:v>
      </x:c>
      <x:c r="B1232" s="10" t="str">
        <x:v>CG_H0</x:v>
      </x:c>
      <x:c r="C1232" s="10" t="n">
        <x:v>7</x:v>
      </x:c>
      <x:c r="D1232" s="24" t="n">
        <x:v>0.0028999999999999994</x:v>
      </x:c>
      <x:c r="E1232" s="24" t="n">
        <x:v>0.10418958104189581</x:v>
      </x:c>
      <x:c r="F1232" s="24" t="n">
        <x:f>ABS(D1232-E1232)</x:f>
        <x:v>0.10128958104189581</x:v>
      </x:c>
    </x:row>
    <x:row r="1233" ht="23" customHeight="1">
      <x:c r="A1233" s="10" t="str">
        <x:v>M9</x:v>
      </x:c>
      <x:c r="B1233" s="10" t="str">
        <x:v>CG_H0</x:v>
      </x:c>
      <x:c r="C1233" s="10" t="n">
        <x:v>8</x:v>
      </x:c>
      <x:c r="D1233" s="24" t="n">
        <x:v>0</x:v>
      </x:c>
      <x:c r="E1233" s="24" t="n">
        <x:v>0.0320967903209679</x:v>
      </x:c>
      <x:c r="F1233" s="24" t="n">
        <x:f>ABS(D1233-E1233)</x:f>
        <x:v>0.0320967903209679</x:v>
      </x:c>
    </x:row>
    <x:row r="1234" ht="23" customHeight="1">
      <x:c r="A1234" s="10" t="str">
        <x:v>M9</x:v>
      </x:c>
      <x:c r="B1234" s="10" t="str">
        <x:v>CG_H0</x:v>
      </x:c>
      <x:c r="C1234" s="10" t="n">
        <x:v>9</x:v>
      </x:c>
      <x:c r="D1234" s="24" t="n">
        <x:v>0</x:v>
      </x:c>
      <x:c r="E1234" s="24" t="n">
        <x:v>0.0358964103589641</x:v>
      </x:c>
      <x:c r="F1234" s="24" t="n">
        <x:f>ABS(D1234-E1234)</x:f>
        <x:v>0.0358964103589641</x:v>
      </x:c>
    </x:row>
    <x:row r="1235" ht="23" customHeight="1">
      <x:c r="A1235" s="10" t="str">
        <x:v>M9</x:v>
      </x:c>
      <x:c r="B1235" s="10" t="str">
        <x:v>CG_H0</x:v>
      </x:c>
      <x:c r="C1235" s="10" t="n">
        <x:v>10</x:v>
      </x:c>
      <x:c r="D1235" s="24" t="n">
        <x:v>0</x:v>
      </x:c>
      <x:c r="E1235" s="24" t="n">
        <x:v>0</x:v>
      </x:c>
      <x:c r="F1235" s="24" t="n">
        <x:f>ABS(D1235-E1235)</x:f>
        <x:v>0</x:v>
      </x:c>
    </x:row>
    <x:row r="1236" ht="23" customHeight="1">
      <x:c r="A1236" s="10" t="str">
        <x:v>M9</x:v>
      </x:c>
      <x:c r="B1236" s="10" t="str">
        <x:v>CG_H1</x:v>
      </x:c>
      <x:c r="C1236" s="10" t="n">
        <x:v>1</x:v>
      </x:c>
      <x:c r="D1236" s="24" t="n">
        <x:v>0</x:v>
      </x:c>
      <x:c r="E1236" s="24" t="n">
        <x:v>0.0015998400159984</x:v>
      </x:c>
      <x:c r="F1236" s="24" t="n">
        <x:f>ABS(D1236-E1236)</x:f>
        <x:v>0.0015998400159984</x:v>
      </x:c>
    </x:row>
    <x:row r="1237" ht="23" customHeight="1">
      <x:c r="A1237" s="10" t="str">
        <x:v>M9</x:v>
      </x:c>
      <x:c r="B1237" s="10" t="str">
        <x:v>CG_H1</x:v>
      </x:c>
      <x:c r="C1237" s="10" t="n">
        <x:v>2</x:v>
      </x:c>
      <x:c r="D1237" s="24" t="n">
        <x:v>0.10871087108710872</x:v>
      </x:c>
      <x:c r="E1237" s="24" t="n">
        <x:v>0.08469153084691533</x:v>
      </x:c>
      <x:c r="F1237" s="24" t="n">
        <x:f>ABS(D1237-E1237)</x:f>
        <x:v>0.024019340240193393</x:v>
      </x:c>
    </x:row>
    <x:row r="1238" ht="23" customHeight="1">
      <x:c r="A1238" s="10" t="str">
        <x:v>M9</x:v>
      </x:c>
      <x:c r="B1238" s="10" t="str">
        <x:v>CG_H1</x:v>
      </x:c>
      <x:c r="C1238" s="10" t="n">
        <x:v>3</x:v>
      </x:c>
      <x:c r="D1238" s="24" t="n">
        <x:v>0.5122512251225122</x:v>
      </x:c>
      <x:c r="E1238" s="24" t="n">
        <x:v>0.3537646235376462</x:v>
      </x:c>
      <x:c r="F1238" s="24" t="n">
        <x:f>ABS(D1238-E1238)</x:f>
        <x:v>0.158486601584866</x:v>
      </x:c>
    </x:row>
    <x:row r="1239" ht="23" customHeight="1">
      <x:c r="A1239" s="10" t="str">
        <x:v>M9</x:v>
      </x:c>
      <x:c r="B1239" s="10" t="str">
        <x:v>CG_H1</x:v>
      </x:c>
      <x:c r="C1239" s="10" t="n">
        <x:v>4</x:v>
      </x:c>
      <x:c r="D1239" s="24" t="n">
        <x:v>0.2652265226522652</x:v>
      </x:c>
      <x:c r="E1239" s="24" t="n">
        <x:v>0.2488751124887511</x:v>
      </x:c>
      <x:c r="F1239" s="24" t="n">
        <x:f>ABS(D1239-E1239)</x:f>
        <x:v>0.016351410163514102</x:v>
      </x:c>
    </x:row>
    <x:row r="1240" ht="23" customHeight="1">
      <x:c r="A1240" s="10" t="str">
        <x:v>M9</x:v>
      </x:c>
      <x:c r="B1240" s="10" t="str">
        <x:v>CG_H1</x:v>
      </x:c>
      <x:c r="C1240" s="10" t="n">
        <x:v>5</x:v>
      </x:c>
      <x:c r="D1240" s="24" t="n">
        <x:v>0.08690869086908691</x:v>
      </x:c>
      <x:c r="E1240" s="24" t="n">
        <x:v>0.09559044095590441</x:v>
      </x:c>
      <x:c r="F1240" s="24" t="n">
        <x:f>ABS(D1240-E1240)</x:f>
        <x:v>0.0086817500868175</x:v>
      </x:c>
    </x:row>
    <x:row r="1241" ht="23" customHeight="1">
      <x:c r="A1241" s="10" t="str">
        <x:v>M9</x:v>
      </x:c>
      <x:c r="B1241" s="10" t="str">
        <x:v>CG_H1</x:v>
      </x:c>
      <x:c r="C1241" s="10" t="n">
        <x:v>6</x:v>
      </x:c>
      <x:c r="D1241" s="24" t="n">
        <x:v>0.020202020202020204</x:v>
      </x:c>
      <x:c r="E1241" s="24" t="n">
        <x:v>0.0432956704329567</x:v>
      </x:c>
      <x:c r="F1241" s="24" t="n">
        <x:f>ABS(D1241-E1241)</x:f>
        <x:v>0.023093650230936496</x:v>
      </x:c>
    </x:row>
    <x:row r="1242" ht="23" customHeight="1">
      <x:c r="A1242" s="10" t="str">
        <x:v>M9</x:v>
      </x:c>
      <x:c r="B1242" s="10" t="str">
        <x:v>CG_H1</x:v>
      </x:c>
      <x:c r="C1242" s="10" t="n">
        <x:v>7</x:v>
      </x:c>
      <x:c r="D1242" s="24" t="n">
        <x:v>0.006700670067006701</x:v>
      </x:c>
      <x:c r="E1242" s="24" t="n">
        <x:v>0.10418958104189581</x:v>
      </x:c>
      <x:c r="F1242" s="24" t="n">
        <x:f>ABS(D1242-E1242)</x:f>
        <x:v>0.09748891097488911</x:v>
      </x:c>
    </x:row>
    <x:row r="1243" ht="23" customHeight="1">
      <x:c r="A1243" s="10" t="str">
        <x:v>M9</x:v>
      </x:c>
      <x:c r="B1243" s="10" t="str">
        <x:v>CG_H1</x:v>
      </x:c>
      <x:c r="C1243" s="10" t="n">
        <x:v>8</x:v>
      </x:c>
      <x:c r="D1243" s="24" t="n">
        <x:v>0</x:v>
      </x:c>
      <x:c r="E1243" s="24" t="n">
        <x:v>0.0320967903209679</x:v>
      </x:c>
      <x:c r="F1243" s="24" t="n">
        <x:f>ABS(D1243-E1243)</x:f>
        <x:v>0.0320967903209679</x:v>
      </x:c>
    </x:row>
    <x:row r="1244" ht="23" customHeight="1">
      <x:c r="A1244" s="10" t="str">
        <x:v>M9</x:v>
      </x:c>
      <x:c r="B1244" s="10" t="str">
        <x:v>CG_H1</x:v>
      </x:c>
      <x:c r="C1244" s="10" t="n">
        <x:v>9</x:v>
      </x:c>
      <x:c r="D1244" s="24" t="n">
        <x:v>0</x:v>
      </x:c>
      <x:c r="E1244" s="24" t="n">
        <x:v>0.0358964103589641</x:v>
      </x:c>
      <x:c r="F1244" s="24" t="n">
        <x:f>ABS(D1244-E1244)</x:f>
        <x:v>0.0358964103589641</x:v>
      </x:c>
    </x:row>
    <x:row r="1245" ht="23" customHeight="1">
      <x:c r="A1245" s="10" t="str">
        <x:v>M9</x:v>
      </x:c>
      <x:c r="B1245" s="10" t="str">
        <x:v>CG_H1</x:v>
      </x:c>
      <x:c r="C1245" s="10" t="n">
        <x:v>10</x:v>
      </x:c>
      <x:c r="D1245" s="24" t="n">
        <x:v>0</x:v>
      </x:c>
      <x:c r="E1245" s="24" t="n">
        <x:v>0</x:v>
      </x:c>
      <x:c r="F1245" s="24" t="n">
        <x:f>ABS(D1245-E1245)</x:f>
        <x:v>0</x:v>
      </x:c>
    </x:row>
    <x:row r="1246" ht="23" customHeight="1">
      <x:c r="A1246" s="10" t="str">
        <x:v>M9</x:v>
      </x:c>
      <x:c r="B1246" s="10" t="str">
        <x:v>NCG_H0</x:v>
      </x:c>
      <x:c r="C1246" s="10" t="n">
        <x:v>1</x:v>
      </x:c>
      <x:c r="D1246" s="24" t="n">
        <x:v>0</x:v>
      </x:c>
      <x:c r="E1246" s="24" t="n">
        <x:v>0.0015998400159984</x:v>
      </x:c>
      <x:c r="F1246" s="24" t="n">
        <x:f>ABS(D1246-E1246)</x:f>
        <x:v>0.0015998400159984</x:v>
      </x:c>
    </x:row>
    <x:row r="1247" ht="23" customHeight="1">
      <x:c r="A1247" s="10" t="str">
        <x:v>M9</x:v>
      </x:c>
      <x:c r="B1247" s="10" t="str">
        <x:v>NCG_H0</x:v>
      </x:c>
      <x:c r="C1247" s="10" t="n">
        <x:v>2</x:v>
      </x:c>
      <x:c r="D1247" s="24" t="n">
        <x:v>0.0978</x:v>
      </x:c>
      <x:c r="E1247" s="24" t="n">
        <x:v>0.08469153084691533</x:v>
      </x:c>
      <x:c r="F1247" s="24" t="n">
        <x:f>ABS(D1247-E1247)</x:f>
        <x:v>0.013108469153084668</x:v>
      </x:c>
    </x:row>
    <x:row r="1248" ht="23" customHeight="1">
      <x:c r="A1248" s="10" t="str">
        <x:v>M9</x:v>
      </x:c>
      <x:c r="B1248" s="10" t="str">
        <x:v>NCG_H0</x:v>
      </x:c>
      <x:c r="C1248" s="10" t="n">
        <x:v>3</x:v>
      </x:c>
      <x:c r="D1248" s="24" t="n">
        <x:v>0.3807</x:v>
      </x:c>
      <x:c r="E1248" s="24" t="n">
        <x:v>0.3537646235376462</x:v>
      </x:c>
      <x:c r="F1248" s="24" t="n">
        <x:f>ABS(D1248-E1248)</x:f>
        <x:v>0.026935376462353777</x:v>
      </x:c>
    </x:row>
    <x:row r="1249" ht="23" customHeight="1">
      <x:c r="A1249" s="10" t="str">
        <x:v>M9</x:v>
      </x:c>
      <x:c r="B1249" s="10" t="str">
        <x:v>NCG_H0</x:v>
      </x:c>
      <x:c r="C1249" s="10" t="n">
        <x:v>4</x:v>
      </x:c>
      <x:c r="D1249" s="24" t="n">
        <x:v>0.2255</x:v>
      </x:c>
      <x:c r="E1249" s="24" t="n">
        <x:v>0.2488751124887511</x:v>
      </x:c>
      <x:c r="F1249" s="24" t="n">
        <x:f>ABS(D1249-E1249)</x:f>
        <x:v>0.0233751124887511</x:v>
      </x:c>
    </x:row>
    <x:row r="1250" ht="23" customHeight="1">
      <x:c r="A1250" s="10" t="str">
        <x:v>M9</x:v>
      </x:c>
      <x:c r="B1250" s="10" t="str">
        <x:v>NCG_H0</x:v>
      </x:c>
      <x:c r="C1250" s="10" t="n">
        <x:v>5</x:v>
      </x:c>
      <x:c r="D1250" s="24" t="n">
        <x:v>0.0888</x:v>
      </x:c>
      <x:c r="E1250" s="24" t="n">
        <x:v>0.09559044095590441</x:v>
      </x:c>
      <x:c r="F1250" s="24" t="n">
        <x:f>ABS(D1250-E1250)</x:f>
        <x:v>0.006790440955904406</x:v>
      </x:c>
    </x:row>
    <x:row r="1251" ht="23" customHeight="1">
      <x:c r="A1251" s="10" t="str">
        <x:v>M9</x:v>
      </x:c>
      <x:c r="B1251" s="10" t="str">
        <x:v>NCG_H0</x:v>
      </x:c>
      <x:c r="C1251" s="10" t="n">
        <x:v>6</x:v>
      </x:c>
      <x:c r="D1251" s="24" t="n">
        <x:v>0.028900000000000002</x:v>
      </x:c>
      <x:c r="E1251" s="24" t="n">
        <x:v>0.0432956704329567</x:v>
      </x:c>
      <x:c r="F1251" s="24" t="n">
        <x:f>ABS(D1251-E1251)</x:f>
        <x:v>0.014395670432956698</x:v>
      </x:c>
    </x:row>
    <x:row r="1252" ht="23" customHeight="1">
      <x:c r="A1252" s="10" t="str">
        <x:v>M9</x:v>
      </x:c>
      <x:c r="B1252" s="10" t="str">
        <x:v>NCG_H0</x:v>
      </x:c>
      <x:c r="C1252" s="10" t="n">
        <x:v>7</x:v>
      </x:c>
      <x:c r="D1252" s="24" t="n">
        <x:v>0.11800000000000001</x:v>
      </x:c>
      <x:c r="E1252" s="24" t="n">
        <x:v>0.10418958104189581</x:v>
      </x:c>
      <x:c r="F1252" s="24" t="n">
        <x:f>ABS(D1252-E1252)</x:f>
        <x:v>0.013810418958104198</x:v>
      </x:c>
    </x:row>
    <x:row r="1253" ht="23" customHeight="1">
      <x:c r="A1253" s="10" t="str">
        <x:v>M9</x:v>
      </x:c>
      <x:c r="B1253" s="10" t="str">
        <x:v>NCG_H0</x:v>
      </x:c>
      <x:c r="C1253" s="10" t="n">
        <x:v>8</x:v>
      </x:c>
      <x:c r="D1253" s="24" t="n">
        <x:v>0.0212</x:v>
      </x:c>
      <x:c r="E1253" s="24" t="n">
        <x:v>0.0320967903209679</x:v>
      </x:c>
      <x:c r="F1253" s="24" t="n">
        <x:f>ABS(D1253-E1253)</x:f>
        <x:v>0.010896790320967898</x:v>
      </x:c>
    </x:row>
    <x:row r="1254" ht="23" customHeight="1">
      <x:c r="A1254" s="10" t="str">
        <x:v>M9</x:v>
      </x:c>
      <x:c r="B1254" s="10" t="str">
        <x:v>NCG_H0</x:v>
      </x:c>
      <x:c r="C1254" s="10" t="n">
        <x:v>9</x:v>
      </x:c>
      <x:c r="D1254" s="24" t="n">
        <x:v>0.0391</x:v>
      </x:c>
      <x:c r="E1254" s="24" t="n">
        <x:v>0.0358964103589641</x:v>
      </x:c>
      <x:c r="F1254" s="24" t="n">
        <x:f>ABS(D1254-E1254)</x:f>
        <x:v>0.0032035896410359047</x:v>
      </x:c>
    </x:row>
    <x:row r="1255" ht="23" customHeight="1">
      <x:c r="A1255" s="10" t="str">
        <x:v>M9</x:v>
      </x:c>
      <x:c r="B1255" s="10" t="str">
        <x:v>NCG_H0</x:v>
      </x:c>
      <x:c r="C1255" s="10" t="n">
        <x:v>10</x:v>
      </x:c>
      <x:c r="D1255" s="24" t="n">
        <x:v>0</x:v>
      </x:c>
      <x:c r="E1255" s="24" t="n">
        <x:v>0</x:v>
      </x:c>
      <x:c r="F1255" s="24" t="n">
        <x:f>ABS(D1255-E1255)</x:f>
        <x:v>0</x:v>
      </x:c>
    </x:row>
    <x:row r="1256" ht="23" customHeight="1">
      <x:c r="A1256" s="10" t="str">
        <x:v>M9</x:v>
      </x:c>
      <x:c r="B1256" s="10" t="str">
        <x:v>NCG_H1</x:v>
      </x:c>
      <x:c r="C1256" s="10" t="n">
        <x:v>1</x:v>
      </x:c>
      <x:c r="D1256" s="24" t="n">
        <x:v>0</x:v>
      </x:c>
      <x:c r="E1256" s="24" t="n">
        <x:v>0.0015998400159984</x:v>
      </x:c>
      <x:c r="F1256" s="24" t="n">
        <x:f>ABS(D1256-E1256)</x:f>
        <x:v>0.0015998400159984</x:v>
      </x:c>
    </x:row>
    <x:row r="1257" ht="23" customHeight="1">
      <x:c r="A1257" s="10" t="str">
        <x:v>M9</x:v>
      </x:c>
      <x:c r="B1257" s="10" t="str">
        <x:v>NCG_H1</x:v>
      </x:c>
      <x:c r="C1257" s="10" t="n">
        <x:v>2</x:v>
      </x:c>
      <x:c r="D1257" s="24" t="n">
        <x:v>0.07919999999999999</x:v>
      </x:c>
      <x:c r="E1257" s="24" t="n">
        <x:v>0.08469153084691533</x:v>
      </x:c>
      <x:c r="F1257" s="24" t="n">
        <x:f>ABS(D1257-E1257)</x:f>
        <x:v>0.005491530846915338</x:v>
      </x:c>
    </x:row>
    <x:row r="1258" ht="23" customHeight="1">
      <x:c r="A1258" s="10" t="str">
        <x:v>M9</x:v>
      </x:c>
      <x:c r="B1258" s="10" t="str">
        <x:v>NCG_H1</x:v>
      </x:c>
      <x:c r="C1258" s="10" t="n">
        <x:v>3</x:v>
      </x:c>
      <x:c r="D1258" s="24" t="n">
        <x:v>0.36269999999999997</x:v>
      </x:c>
      <x:c r="E1258" s="24" t="n">
        <x:v>0.3537646235376462</x:v>
      </x:c>
      <x:c r="F1258" s="24" t="n">
        <x:f>ABS(D1258-E1258)</x:f>
        <x:v>0.008935376462353761</x:v>
      </x:c>
    </x:row>
    <x:row r="1259" ht="23" customHeight="1">
      <x:c r="A1259" s="10" t="str">
        <x:v>M9</x:v>
      </x:c>
      <x:c r="B1259" s="10" t="str">
        <x:v>NCG_H1</x:v>
      </x:c>
      <x:c r="C1259" s="10" t="n">
        <x:v>4</x:v>
      </x:c>
      <x:c r="D1259" s="24" t="n">
        <x:v>0.2537</x:v>
      </x:c>
      <x:c r="E1259" s="24" t="n">
        <x:v>0.2488751124887511</x:v>
      </x:c>
      <x:c r="F1259" s="24" t="n">
        <x:f>ABS(D1259-E1259)</x:f>
        <x:v>0.0048248875112488765</x:v>
      </x:c>
    </x:row>
    <x:row r="1260" ht="23" customHeight="1">
      <x:c r="A1260" s="10" t="str">
        <x:v>M9</x:v>
      </x:c>
      <x:c r="B1260" s="10" t="str">
        <x:v>NCG_H1</x:v>
      </x:c>
      <x:c r="C1260" s="10" t="n">
        <x:v>5</x:v>
      </x:c>
      <x:c r="D1260" s="24" t="n">
        <x:v>0.09399999999999999</x:v>
      </x:c>
      <x:c r="E1260" s="24" t="n">
        <x:v>0.09559044095590441</x:v>
      </x:c>
      <x:c r="F1260" s="24" t="n">
        <x:f>ABS(D1260-E1260)</x:f>
        <x:v>0.0015904409559044236</x:v>
      </x:c>
    </x:row>
    <x:row r="1261" ht="23" customHeight="1">
      <x:c r="A1261" s="10" t="str">
        <x:v>M9</x:v>
      </x:c>
      <x:c r="B1261" s="10" t="str">
        <x:v>NCG_H1</x:v>
      </x:c>
      <x:c r="C1261" s="10" t="n">
        <x:v>6</x:v>
      </x:c>
      <x:c r="D1261" s="24" t="n">
        <x:v>0.029799999999999997</x:v>
      </x:c>
      <x:c r="E1261" s="24" t="n">
        <x:v>0.0432956704329567</x:v>
      </x:c>
      <x:c r="F1261" s="24" t="n">
        <x:f>ABS(D1261-E1261)</x:f>
        <x:v>0.013495670432956703</x:v>
      </x:c>
    </x:row>
    <x:row r="1262" ht="23" customHeight="1">
      <x:c r="A1262" s="10" t="str">
        <x:v>M9</x:v>
      </x:c>
      <x:c r="B1262" s="10" t="str">
        <x:v>NCG_H1</x:v>
      </x:c>
      <x:c r="C1262" s="10" t="n">
        <x:v>7</x:v>
      </x:c>
      <x:c r="D1262" s="24" t="n">
        <x:v>0.12029999999999998</x:v>
      </x:c>
      <x:c r="E1262" s="24" t="n">
        <x:v>0.10418958104189581</x:v>
      </x:c>
      <x:c r="F1262" s="24" t="n">
        <x:f>ABS(D1262-E1262)</x:f>
        <x:v>0.016110418958104167</x:v>
      </x:c>
    </x:row>
    <x:row r="1263" ht="23" customHeight="1">
      <x:c r="A1263" s="10" t="str">
        <x:v>M9</x:v>
      </x:c>
      <x:c r="B1263" s="10" t="str">
        <x:v>NCG_H1</x:v>
      </x:c>
      <x:c r="C1263" s="10" t="n">
        <x:v>8</x:v>
      </x:c>
      <x:c r="D1263" s="24" t="n">
        <x:v>0.021199999999999997</x:v>
      </x:c>
      <x:c r="E1263" s="24" t="n">
        <x:v>0.0320967903209679</x:v>
      </x:c>
      <x:c r="F1263" s="24" t="n">
        <x:f>ABS(D1263-E1263)</x:f>
        <x:v>0.010896790320967902</x:v>
      </x:c>
    </x:row>
    <x:row r="1264" ht="23" customHeight="1">
      <x:c r="A1264" s="10" t="str">
        <x:v>M9</x:v>
      </x:c>
      <x:c r="B1264" s="10" t="str">
        <x:v>NCG_H1</x:v>
      </x:c>
      <x:c r="C1264" s="10" t="n">
        <x:v>9</x:v>
      </x:c>
      <x:c r="D1264" s="24" t="n">
        <x:v>0.039099999999999996</x:v>
      </x:c>
      <x:c r="E1264" s="24" t="n">
        <x:v>0.0358964103589641</x:v>
      </x:c>
      <x:c r="F1264" s="24" t="n">
        <x:f>ABS(D1264-E1264)</x:f>
        <x:v>0.0032035896410358977</x:v>
      </x:c>
    </x:row>
    <x:row r="1265" ht="23" customHeight="1">
      <x:c r="A1265" s="10" t="str">
        <x:v>M9</x:v>
      </x:c>
      <x:c r="B1265" s="10" t="str">
        <x:v>NCG_H1</x:v>
      </x:c>
      <x:c r="C1265" s="10" t="n">
        <x:v>10</x:v>
      </x:c>
      <x:c r="D1265" s="24" t="n">
        <x:v>0</x:v>
      </x:c>
      <x:c r="E1265" s="24" t="n">
        <x:v>0</x:v>
      </x:c>
      <x:c r="F1265" s="24" t="n">
        <x:f>ABS(D1265-E1265)</x:f>
        <x:v>0</x:v>
      </x:c>
    </x:row>
    <x:row r="1266" ht="23" customHeight="1">
      <x:c r="A1266" s="10" t="str">
        <x:v>M10</x:v>
      </x:c>
      <x:c r="B1266" s="10" t="str">
        <x:v>N_H0</x:v>
      </x:c>
      <x:c r="C1266" s="10" t="n">
        <x:v>1</x:v>
      </x:c>
      <x:c r="D1266" s="24" t="n">
        <x:v>0</x:v>
      </x:c>
      <x:c r="E1266" s="24" t="n">
        <x:v>0.02789999999999999</x:v>
      </x:c>
      <x:c r="F1266" s="24" t="n">
        <x:f>ABS(D1266-E1266)</x:f>
        <x:v>0.02789999999999999</x:v>
      </x:c>
    </x:row>
    <x:row r="1267" ht="23" customHeight="1">
      <x:c r="A1267" s="10" t="str">
        <x:v>M10</x:v>
      </x:c>
      <x:c r="B1267" s="10" t="str">
        <x:v>N_H0</x:v>
      </x:c>
      <x:c r="C1267" s="10" t="n">
        <x:v>2</x:v>
      </x:c>
      <x:c r="D1267" s="24" t="n">
        <x:v>0.1033103310331033</x:v>
      </x:c>
      <x:c r="E1267" s="24" t="n">
        <x:v>0.14309999999999995</x:v>
      </x:c>
      <x:c r="F1267" s="24" t="n">
        <x:f>ABS(D1267-E1267)</x:f>
        <x:v>0.039789668966896646</x:v>
      </x:c>
    </x:row>
    <x:row r="1268" ht="23" customHeight="1">
      <x:c r="A1268" s="10" t="str">
        <x:v>M10</x:v>
      </x:c>
      <x:c r="B1268" s="10" t="str">
        <x:v>N_H0</x:v>
      </x:c>
      <x:c r="C1268" s="10" t="n">
        <x:v>3</x:v>
      </x:c>
      <x:c r="D1268" s="24" t="n">
        <x:v>0.039803980398039805</x:v>
      </x:c>
      <x:c r="E1268" s="24" t="n">
        <x:v>0.46589999999999987</x:v>
      </x:c>
      <x:c r="F1268" s="24" t="n">
        <x:f>ABS(D1268-E1268)</x:f>
        <x:v>0.4260960196019601</x:v>
      </x:c>
    </x:row>
    <x:row r="1269" ht="23" customHeight="1">
      <x:c r="A1269" s="10" t="str">
        <x:v>M10</x:v>
      </x:c>
      <x:c r="B1269" s="10" t="str">
        <x:v>N_H0</x:v>
      </x:c>
      <x:c r="C1269" s="10" t="n">
        <x:v>4</x:v>
      </x:c>
      <x:c r="D1269" s="24" t="n">
        <x:v>0</x:v>
      </x:c>
      <x:c r="E1269" s="24" t="n">
        <x:v>0.20029999999999995</x:v>
      </x:c>
      <x:c r="F1269" s="24" t="n">
        <x:f>ABS(D1269-E1269)</x:f>
        <x:v>0.20029999999999995</x:v>
      </x:c>
    </x:row>
    <x:row r="1270" ht="23" customHeight="1">
      <x:c r="A1270" s="10" t="str">
        <x:v>M10</x:v>
      </x:c>
      <x:c r="B1270" s="10" t="str">
        <x:v>N_H0</x:v>
      </x:c>
      <x:c r="C1270" s="10" t="n">
        <x:v>5</x:v>
      </x:c>
      <x:c r="D1270" s="24" t="n">
        <x:v>0.7724772477247722</x:v>
      </x:c>
      <x:c r="E1270" s="24" t="n">
        <x:v>0.05289999999999998</x:v>
      </x:c>
      <x:c r="F1270" s="24" t="n">
        <x:f>ABS(D1270-E1270)</x:f>
        <x:v>0.7195772477247723</x:v>
      </x:c>
    </x:row>
    <x:row r="1271" ht="23" customHeight="1">
      <x:c r="A1271" s="10" t="str">
        <x:v>M10</x:v>
      </x:c>
      <x:c r="B1271" s="10" t="str">
        <x:v>N_H0</x:v>
      </x:c>
      <x:c r="C1271" s="10" t="n">
        <x:v>6</x:v>
      </x:c>
      <x:c r="D1271" s="24" t="n">
        <x:v>0.0067006700670067</x:v>
      </x:c>
      <x:c r="E1271" s="24" t="n">
        <x:v>0.04579999999999998</x:v>
      </x:c>
      <x:c r="F1271" s="24" t="n">
        <x:f>ABS(D1271-E1271)</x:f>
        <x:v>0.03909932993299328</x:v>
      </x:c>
    </x:row>
    <x:row r="1272" ht="23" customHeight="1">
      <x:c r="A1272" s="10" t="str">
        <x:v>M10</x:v>
      </x:c>
      <x:c r="B1272" s="10" t="str">
        <x:v>N_H0</x:v>
      </x:c>
      <x:c r="C1272" s="10" t="n">
        <x:v>7</x:v>
      </x:c>
      <x:c r="D1272" s="24" t="n">
        <x:v>0.0204020402040204</x:v>
      </x:c>
      <x:c r="E1272" s="24" t="n">
        <x:v>0.020399999999999995</x:v>
      </x:c>
      <x:c r="F1272" s="24" t="n">
        <x:f>ABS(D1272-E1272)</x:f>
        <x:v>0.0000020402040204064997</x:v>
      </x:c>
    </x:row>
    <x:row r="1273" ht="23" customHeight="1">
      <x:c r="A1273" s="10" t="str">
        <x:v>M10</x:v>
      </x:c>
      <x:c r="B1273" s="10" t="str">
        <x:v>N_H0</x:v>
      </x:c>
      <x:c r="C1273" s="10" t="n">
        <x:v>8</x:v>
      </x:c>
      <x:c r="D1273" s="24" t="n">
        <x:v>0.0204020402040204</x:v>
      </x:c>
      <x:c r="E1273" s="24" t="n">
        <x:v>0.012899999999999997</x:v>
      </x:c>
      <x:c r="F1273" s="24" t="n">
        <x:f>ABS(D1273-E1273)</x:f>
        <x:v>0.0075020402040204045</x:v>
      </x:c>
    </x:row>
    <x:row r="1274" ht="23" customHeight="1">
      <x:c r="A1274" s="10" t="str">
        <x:v>M10</x:v>
      </x:c>
      <x:c r="B1274" s="10" t="str">
        <x:v>N_H0</x:v>
      </x:c>
      <x:c r="C1274" s="10" t="n">
        <x:v>9</x:v>
      </x:c>
      <x:c r="D1274" s="24" t="n">
        <x:v>0.0369036903690369</x:v>
      </x:c>
      <x:c r="E1274" s="24" t="n">
        <x:v>0.030399999999999993</x:v>
      </x:c>
      <x:c r="F1274" s="24" t="n">
        <x:f>ABS(D1274-E1274)</x:f>
        <x:v>0.006503690369036908</x:v>
      </x:c>
    </x:row>
    <x:row r="1275" ht="23" customHeight="1">
      <x:c r="A1275" s="10" t="str">
        <x:v>M10</x:v>
      </x:c>
      <x:c r="B1275" s="10" t="str">
        <x:v>N_H0</x:v>
      </x:c>
      <x:c r="C1275" s="10" t="n">
        <x:v>10</x:v>
      </x:c>
      <x:c r="D1275" s="24" t="n">
        <x:v>0</x:v>
      </x:c>
      <x:c r="E1275" s="24" t="n">
        <x:v>0.00039999999999999986</x:v>
      </x:c>
      <x:c r="F1275" s="24" t="n">
        <x:f>ABS(D1275-E1275)</x:f>
        <x:v>0.00039999999999999986</x:v>
      </x:c>
    </x:row>
    <x:row r="1276" ht="23" customHeight="1">
      <x:c r="A1276" s="10" t="str">
        <x:v>M10</x:v>
      </x:c>
      <x:c r="B1276" s="10" t="str">
        <x:v>N_H1</x:v>
      </x:c>
      <x:c r="C1276" s="10" t="n">
        <x:v>1</x:v>
      </x:c>
      <x:c r="D1276" s="24" t="n">
        <x:v>0</x:v>
      </x:c>
      <x:c r="E1276" s="24" t="n">
        <x:v>0.02789999999999999</x:v>
      </x:c>
      <x:c r="F1276" s="24" t="n">
        <x:f>ABS(D1276-E1276)</x:f>
        <x:v>0.02789999999999999</x:v>
      </x:c>
    </x:row>
    <x:row r="1277" ht="23" customHeight="1">
      <x:c r="A1277" s="10" t="str">
        <x:v>M10</x:v>
      </x:c>
      <x:c r="B1277" s="10" t="str">
        <x:v>N_H1</x:v>
      </x:c>
      <x:c r="C1277" s="10" t="n">
        <x:v>2</x:v>
      </x:c>
      <x:c r="D1277" s="24" t="n">
        <x:v>0.10331033103310333</x:v>
      </x:c>
      <x:c r="E1277" s="24" t="n">
        <x:v>0.14309999999999995</x:v>
      </x:c>
      <x:c r="F1277" s="24" t="n">
        <x:f>ABS(D1277-E1277)</x:f>
        <x:v>0.03978966896689662</x:v>
      </x:c>
    </x:row>
    <x:row r="1278" ht="23" customHeight="1">
      <x:c r="A1278" s="10" t="str">
        <x:v>M10</x:v>
      </x:c>
      <x:c r="B1278" s="10" t="str">
        <x:v>N_H1</x:v>
      </x:c>
      <x:c r="C1278" s="10" t="n">
        <x:v>3</x:v>
      </x:c>
      <x:c r="D1278" s="24" t="n">
        <x:v>0.011901190119011902</x:v>
      </x:c>
      <x:c r="E1278" s="24" t="n">
        <x:v>0.46589999999999987</x:v>
      </x:c>
      <x:c r="F1278" s="24" t="n">
        <x:f>ABS(D1278-E1278)</x:f>
        <x:v>0.45399880988098795</x:v>
      </x:c>
    </x:row>
    <x:row r="1279" ht="23" customHeight="1">
      <x:c r="A1279" s="10" t="str">
        <x:v>M10</x:v>
      </x:c>
      <x:c r="B1279" s="10" t="str">
        <x:v>N_H1</x:v>
      </x:c>
      <x:c r="C1279" s="10" t="n">
        <x:v>4</x:v>
      </x:c>
      <x:c r="D1279" s="24" t="n">
        <x:v>0</x:v>
      </x:c>
      <x:c r="E1279" s="24" t="n">
        <x:v>0.20029999999999995</x:v>
      </x:c>
      <x:c r="F1279" s="24" t="n">
        <x:f>ABS(D1279-E1279)</x:f>
        <x:v>0.20029999999999995</x:v>
      </x:c>
    </x:row>
    <x:row r="1280" ht="23" customHeight="1">
      <x:c r="A1280" s="10" t="str">
        <x:v>M10</x:v>
      </x:c>
      <x:c r="B1280" s="10" t="str">
        <x:v>N_H1</x:v>
      </x:c>
      <x:c r="C1280" s="10" t="n">
        <x:v>5</x:v>
      </x:c>
      <x:c r="D1280" s="24" t="n">
        <x:v>0.7724772477247724</x:v>
      </x:c>
      <x:c r="E1280" s="24" t="n">
        <x:v>0.05289999999999998</x:v>
      </x:c>
      <x:c r="F1280" s="24" t="n">
        <x:f>ABS(D1280-E1280)</x:f>
        <x:v>0.7195772477247725</x:v>
      </x:c>
    </x:row>
    <x:row r="1281" ht="23" customHeight="1">
      <x:c r="A1281" s="10" t="str">
        <x:v>M10</x:v>
      </x:c>
      <x:c r="B1281" s="10" t="str">
        <x:v>N_H1</x:v>
      </x:c>
      <x:c r="C1281" s="10" t="n">
        <x:v>6</x:v>
      </x:c>
      <x:c r="D1281" s="24" t="n">
        <x:v>0.034603460346034606</x:v>
      </x:c>
      <x:c r="E1281" s="24" t="n">
        <x:v>0.04579999999999998</x:v>
      </x:c>
      <x:c r="F1281" s="24" t="n">
        <x:f>ABS(D1281-E1281)</x:f>
        <x:v>0.011196539653965373</x:v>
      </x:c>
    </x:row>
    <x:row r="1282" ht="23" customHeight="1">
      <x:c r="A1282" s="10" t="str">
        <x:v>M10</x:v>
      </x:c>
      <x:c r="B1282" s="10" t="str">
        <x:v>N_H1</x:v>
      </x:c>
      <x:c r="C1282" s="10" t="n">
        <x:v>7</x:v>
      </x:c>
      <x:c r="D1282" s="24" t="n">
        <x:v>0.0204020402040204</x:v>
      </x:c>
      <x:c r="E1282" s="24" t="n">
        <x:v>0.020399999999999995</x:v>
      </x:c>
      <x:c r="F1282" s="24" t="n">
        <x:f>ABS(D1282-E1282)</x:f>
        <x:v>0.0000020402040204064997</x:v>
      </x:c>
    </x:row>
    <x:row r="1283" ht="23" customHeight="1">
      <x:c r="A1283" s="10" t="str">
        <x:v>M10</x:v>
      </x:c>
      <x:c r="B1283" s="10" t="str">
        <x:v>N_H1</x:v>
      </x:c>
      <x:c r="C1283" s="10" t="n">
        <x:v>8</x:v>
      </x:c>
      <x:c r="D1283" s="24" t="n">
        <x:v>0.0204020402040204</x:v>
      </x:c>
      <x:c r="E1283" s="24" t="n">
        <x:v>0.012899999999999997</x:v>
      </x:c>
      <x:c r="F1283" s="24" t="n">
        <x:f>ABS(D1283-E1283)</x:f>
        <x:v>0.0075020402040204045</x:v>
      </x:c>
    </x:row>
    <x:row r="1284" ht="23" customHeight="1">
      <x:c r="A1284" s="10" t="str">
        <x:v>M10</x:v>
      </x:c>
      <x:c r="B1284" s="10" t="str">
        <x:v>N_H1</x:v>
      </x:c>
      <x:c r="C1284" s="10" t="n">
        <x:v>9</x:v>
      </x:c>
      <x:c r="D1284" s="24" t="n">
        <x:v>0.0369036903690369</x:v>
      </x:c>
      <x:c r="E1284" s="24" t="n">
        <x:v>0.030399999999999993</x:v>
      </x:c>
      <x:c r="F1284" s="24" t="n">
        <x:f>ABS(D1284-E1284)</x:f>
        <x:v>0.006503690369036908</x:v>
      </x:c>
    </x:row>
    <x:row r="1285" ht="23" customHeight="1">
      <x:c r="A1285" s="10" t="str">
        <x:v>M10</x:v>
      </x:c>
      <x:c r="B1285" s="10" t="str">
        <x:v>N_H1</x:v>
      </x:c>
      <x:c r="C1285" s="10" t="n">
        <x:v>10</x:v>
      </x:c>
      <x:c r="D1285" s="24" t="n">
        <x:v>0</x:v>
      </x:c>
      <x:c r="E1285" s="24" t="n">
        <x:v>0.00039999999999999986</x:v>
      </x:c>
      <x:c r="F1285" s="24" t="n">
        <x:f>ABS(D1285-E1285)</x:f>
        <x:v>0.00039999999999999986</x:v>
      </x:c>
    </x:row>
    <x:row r="1286" ht="23" customHeight="1">
      <x:c r="A1286" s="10" t="str">
        <x:v>M10</x:v>
      </x:c>
      <x:c r="B1286" s="10" t="str">
        <x:v>C_H0</x:v>
      </x:c>
      <x:c r="C1286" s="10" t="n">
        <x:v>1</x:v>
      </x:c>
      <x:c r="D1286" s="24" t="n">
        <x:v>0</x:v>
      </x:c>
      <x:c r="E1286" s="24" t="n">
        <x:v>0.02789999999999999</x:v>
      </x:c>
      <x:c r="F1286" s="24" t="n">
        <x:f>ABS(D1286-E1286)</x:f>
        <x:v>0.02789999999999999</x:v>
      </x:c>
    </x:row>
    <x:row r="1287" ht="23" customHeight="1">
      <x:c r="A1287" s="10" t="str">
        <x:v>M10</x:v>
      </x:c>
      <x:c r="B1287" s="10" t="str">
        <x:v>C_H0</x:v>
      </x:c>
      <x:c r="C1287" s="10" t="n">
        <x:v>2</x:v>
      </x:c>
      <x:c r="D1287" s="24" t="n">
        <x:v>0.2235</x:v>
      </x:c>
      <x:c r="E1287" s="24" t="n">
        <x:v>0.14309999999999995</x:v>
      </x:c>
      <x:c r="F1287" s="24" t="n">
        <x:f>ABS(D1287-E1287)</x:f>
        <x:v>0.08040000000000005</x:v>
      </x:c>
    </x:row>
    <x:row r="1288" ht="23" customHeight="1">
      <x:c r="A1288" s="10" t="str">
        <x:v>M10</x:v>
      </x:c>
      <x:c r="B1288" s="10" t="str">
        <x:v>C_H0</x:v>
      </x:c>
      <x:c r="C1288" s="10" t="n">
        <x:v>3</x:v>
      </x:c>
      <x:c r="D1288" s="24" t="n">
        <x:v>0</x:v>
      </x:c>
      <x:c r="E1288" s="24" t="n">
        <x:v>0.46589999999999987</x:v>
      </x:c>
      <x:c r="F1288" s="24" t="n">
        <x:f>ABS(D1288-E1288)</x:f>
        <x:v>0.46589999999999987</x:v>
      </x:c>
    </x:row>
    <x:row r="1289" ht="23" customHeight="1">
      <x:c r="A1289" s="10" t="str">
        <x:v>M10</x:v>
      </x:c>
      <x:c r="B1289" s="10" t="str">
        <x:v>C_H0</x:v>
      </x:c>
      <x:c r="C1289" s="10" t="n">
        <x:v>4</x:v>
      </x:c>
      <x:c r="D1289" s="24" t="n">
        <x:v>0</x:v>
      </x:c>
      <x:c r="E1289" s="24" t="n">
        <x:v>0.20029999999999995</x:v>
      </x:c>
      <x:c r="F1289" s="24" t="n">
        <x:f>ABS(D1289-E1289)</x:f>
        <x:v>0.20029999999999995</x:v>
      </x:c>
    </x:row>
    <x:row r="1290" ht="23" customHeight="1">
      <x:c r="A1290" s="10" t="str">
        <x:v>M10</x:v>
      </x:c>
      <x:c r="B1290" s="10" t="str">
        <x:v>C_H0</x:v>
      </x:c>
      <x:c r="C1290" s="10" t="n">
        <x:v>5</x:v>
      </x:c>
      <x:c r="D1290" s="24" t="n">
        <x:v>0.7757000000000001</x:v>
      </x:c>
      <x:c r="E1290" s="24" t="n">
        <x:v>0.05289999999999998</x:v>
      </x:c>
      <x:c r="F1290" s="24" t="n">
        <x:f>ABS(D1290-E1290)</x:f>
        <x:v>0.7228000000000001</x:v>
      </x:c>
    </x:row>
    <x:row r="1291" ht="23" customHeight="1">
      <x:c r="A1291" s="10" t="str">
        <x:v>M10</x:v>
      </x:c>
      <x:c r="B1291" s="10" t="str">
        <x:v>C_H0</x:v>
      </x:c>
      <x:c r="C1291" s="10" t="n">
        <x:v>6</x:v>
      </x:c>
      <x:c r="D1291" s="24" t="n">
        <x:v>0</x:v>
      </x:c>
      <x:c r="E1291" s="24" t="n">
        <x:v>0.04579999999999998</x:v>
      </x:c>
      <x:c r="F1291" s="24" t="n">
        <x:f>ABS(D1291-E1291)</x:f>
        <x:v>0.04579999999999998</x:v>
      </x:c>
    </x:row>
    <x:row r="1292" ht="23" customHeight="1">
      <x:c r="A1292" s="10" t="str">
        <x:v>M10</x:v>
      </x:c>
      <x:c r="B1292" s="10" t="str">
        <x:v>C_H0</x:v>
      </x:c>
      <x:c r="C1292" s="10" t="n">
        <x:v>7</x:v>
      </x:c>
      <x:c r="D1292" s="24" t="n">
        <x:v>0.0008000000000000001</x:v>
      </x:c>
      <x:c r="E1292" s="24" t="n">
        <x:v>0.020399999999999995</x:v>
      </x:c>
      <x:c r="F1292" s="24" t="n">
        <x:f>ABS(D1292-E1292)</x:f>
        <x:v>0.019599999999999996</x:v>
      </x:c>
    </x:row>
    <x:row r="1293" ht="23" customHeight="1">
      <x:c r="A1293" s="10" t="str">
        <x:v>M10</x:v>
      </x:c>
      <x:c r="B1293" s="10" t="str">
        <x:v>C_H0</x:v>
      </x:c>
      <x:c r="C1293" s="10" t="n">
        <x:v>8</x:v>
      </x:c>
      <x:c r="D1293" s="24" t="n">
        <x:v>0</x:v>
      </x:c>
      <x:c r="E1293" s="24" t="n">
        <x:v>0.012899999999999997</x:v>
      </x:c>
      <x:c r="F1293" s="24" t="n">
        <x:f>ABS(D1293-E1293)</x:f>
        <x:v>0.012899999999999997</x:v>
      </x:c>
    </x:row>
    <x:row r="1294" ht="23" customHeight="1">
      <x:c r="A1294" s="10" t="str">
        <x:v>M10</x:v>
      </x:c>
      <x:c r="B1294" s="10" t="str">
        <x:v>C_H0</x:v>
      </x:c>
      <x:c r="C1294" s="10" t="n">
        <x:v>9</x:v>
      </x:c>
      <x:c r="D1294" s="24" t="n">
        <x:v>0</x:v>
      </x:c>
      <x:c r="E1294" s="24" t="n">
        <x:v>0.030399999999999993</x:v>
      </x:c>
      <x:c r="F1294" s="24" t="n">
        <x:f>ABS(D1294-E1294)</x:f>
        <x:v>0.030399999999999993</x:v>
      </x:c>
    </x:row>
    <x:row r="1295" ht="23" customHeight="1">
      <x:c r="A1295" s="10" t="str">
        <x:v>M10</x:v>
      </x:c>
      <x:c r="B1295" s="10" t="str">
        <x:v>C_H0</x:v>
      </x:c>
      <x:c r="C1295" s="10" t="n">
        <x:v>10</x:v>
      </x:c>
      <x:c r="D1295" s="24" t="n">
        <x:v>0</x:v>
      </x:c>
      <x:c r="E1295" s="24" t="n">
        <x:v>0.00039999999999999986</x:v>
      </x:c>
      <x:c r="F1295" s="24" t="n">
        <x:f>ABS(D1295-E1295)</x:f>
        <x:v>0.00039999999999999986</x:v>
      </x:c>
    </x:row>
    <x:row r="1296" ht="23" customHeight="1">
      <x:c r="A1296" s="10" t="str">
        <x:v>M10</x:v>
      </x:c>
      <x:c r="B1296" s="10" t="str">
        <x:v>C_H1</x:v>
      </x:c>
      <x:c r="C1296" s="10" t="n">
        <x:v>1</x:v>
      </x:c>
      <x:c r="D1296" s="24" t="n">
        <x:v>0</x:v>
      </x:c>
      <x:c r="E1296" s="24" t="n">
        <x:v>0.02789999999999999</x:v>
      </x:c>
      <x:c r="F1296" s="24" t="n">
        <x:f>ABS(D1296-E1296)</x:f>
        <x:v>0.02789999999999999</x:v>
      </x:c>
    </x:row>
    <x:row r="1297" ht="23" customHeight="1">
      <x:c r="A1297" s="10" t="str">
        <x:v>M10</x:v>
      </x:c>
      <x:c r="B1297" s="10" t="str">
        <x:v>C_H1</x:v>
      </x:c>
      <x:c r="C1297" s="10" t="n">
        <x:v>2</x:v>
      </x:c>
      <x:c r="D1297" s="24" t="n">
        <x:v>0.2235</x:v>
      </x:c>
      <x:c r="E1297" s="24" t="n">
        <x:v>0.14309999999999995</x:v>
      </x:c>
      <x:c r="F1297" s="24" t="n">
        <x:f>ABS(D1297-E1297)</x:f>
        <x:v>0.08040000000000005</x:v>
      </x:c>
    </x:row>
    <x:row r="1298" ht="23" customHeight="1">
      <x:c r="A1298" s="10" t="str">
        <x:v>M10</x:v>
      </x:c>
      <x:c r="B1298" s="10" t="str">
        <x:v>C_H1</x:v>
      </x:c>
      <x:c r="C1298" s="10" t="n">
        <x:v>3</x:v>
      </x:c>
      <x:c r="D1298" s="24" t="n">
        <x:v>0</x:v>
      </x:c>
      <x:c r="E1298" s="24" t="n">
        <x:v>0.46589999999999987</x:v>
      </x:c>
      <x:c r="F1298" s="24" t="n">
        <x:f>ABS(D1298-E1298)</x:f>
        <x:v>0.46589999999999987</x:v>
      </x:c>
    </x:row>
    <x:row r="1299" ht="23" customHeight="1">
      <x:c r="A1299" s="10" t="str">
        <x:v>M10</x:v>
      </x:c>
      <x:c r="B1299" s="10" t="str">
        <x:v>C_H1</x:v>
      </x:c>
      <x:c r="C1299" s="10" t="n">
        <x:v>4</x:v>
      </x:c>
      <x:c r="D1299" s="24" t="n">
        <x:v>0</x:v>
      </x:c>
      <x:c r="E1299" s="24" t="n">
        <x:v>0.20029999999999995</x:v>
      </x:c>
      <x:c r="F1299" s="24" t="n">
        <x:f>ABS(D1299-E1299)</x:f>
        <x:v>0.20029999999999995</x:v>
      </x:c>
    </x:row>
    <x:row r="1300" ht="23" customHeight="1">
      <x:c r="A1300" s="10" t="str">
        <x:v>M10</x:v>
      </x:c>
      <x:c r="B1300" s="10" t="str">
        <x:v>C_H1</x:v>
      </x:c>
      <x:c r="C1300" s="10" t="n">
        <x:v>5</x:v>
      </x:c>
      <x:c r="D1300" s="24" t="n">
        <x:v>0.7757000000000001</x:v>
      </x:c>
      <x:c r="E1300" s="24" t="n">
        <x:v>0.05289999999999998</x:v>
      </x:c>
      <x:c r="F1300" s="24" t="n">
        <x:f>ABS(D1300-E1300)</x:f>
        <x:v>0.7228000000000001</x:v>
      </x:c>
    </x:row>
    <x:row r="1301" ht="23" customHeight="1">
      <x:c r="A1301" s="10" t="str">
        <x:v>M10</x:v>
      </x:c>
      <x:c r="B1301" s="10" t="str">
        <x:v>C_H1</x:v>
      </x:c>
      <x:c r="C1301" s="10" t="n">
        <x:v>6</x:v>
      </x:c>
      <x:c r="D1301" s="24" t="n">
        <x:v>0</x:v>
      </x:c>
      <x:c r="E1301" s="24" t="n">
        <x:v>0.04579999999999998</x:v>
      </x:c>
      <x:c r="F1301" s="24" t="n">
        <x:f>ABS(D1301-E1301)</x:f>
        <x:v>0.04579999999999998</x:v>
      </x:c>
    </x:row>
    <x:row r="1302" ht="23" customHeight="1">
      <x:c r="A1302" s="10" t="str">
        <x:v>M10</x:v>
      </x:c>
      <x:c r="B1302" s="10" t="str">
        <x:v>C_H1</x:v>
      </x:c>
      <x:c r="C1302" s="10" t="n">
        <x:v>7</x:v>
      </x:c>
      <x:c r="D1302" s="24" t="n">
        <x:v>0.0008000000000000001</x:v>
      </x:c>
      <x:c r="E1302" s="24" t="n">
        <x:v>0.020399999999999995</x:v>
      </x:c>
      <x:c r="F1302" s="24" t="n">
        <x:f>ABS(D1302-E1302)</x:f>
        <x:v>0.019599999999999996</x:v>
      </x:c>
    </x:row>
    <x:row r="1303" ht="23" customHeight="1">
      <x:c r="A1303" s="10" t="str">
        <x:v>M10</x:v>
      </x:c>
      <x:c r="B1303" s="10" t="str">
        <x:v>C_H1</x:v>
      </x:c>
      <x:c r="C1303" s="10" t="n">
        <x:v>8</x:v>
      </x:c>
      <x:c r="D1303" s="24" t="n">
        <x:v>0</x:v>
      </x:c>
      <x:c r="E1303" s="24" t="n">
        <x:v>0.012899999999999997</x:v>
      </x:c>
      <x:c r="F1303" s="24" t="n">
        <x:f>ABS(D1303-E1303)</x:f>
        <x:v>0.012899999999999997</x:v>
      </x:c>
    </x:row>
    <x:row r="1304" ht="23" customHeight="1">
      <x:c r="A1304" s="10" t="str">
        <x:v>M10</x:v>
      </x:c>
      <x:c r="B1304" s="10" t="str">
        <x:v>C_H1</x:v>
      </x:c>
      <x:c r="C1304" s="10" t="n">
        <x:v>9</x:v>
      </x:c>
      <x:c r="D1304" s="24" t="n">
        <x:v>0</x:v>
      </x:c>
      <x:c r="E1304" s="24" t="n">
        <x:v>0.030399999999999993</x:v>
      </x:c>
      <x:c r="F1304" s="24" t="n">
        <x:f>ABS(D1304-E1304)</x:f>
        <x:v>0.030399999999999993</x:v>
      </x:c>
    </x:row>
    <x:row r="1305" ht="23" customHeight="1">
      <x:c r="A1305" s="10" t="str">
        <x:v>M10</x:v>
      </x:c>
      <x:c r="B1305" s="10" t="str">
        <x:v>C_H1</x:v>
      </x:c>
      <x:c r="C1305" s="10" t="n">
        <x:v>10</x:v>
      </x:c>
      <x:c r="D1305" s="24" t="n">
        <x:v>0</x:v>
      </x:c>
      <x:c r="E1305" s="24" t="n">
        <x:v>0.00039999999999999986</x:v>
      </x:c>
      <x:c r="F1305" s="24" t="n">
        <x:f>ABS(D1305-E1305)</x:f>
        <x:v>0.00039999999999999986</x:v>
      </x:c>
    </x:row>
    <x:row r="1306" ht="23" customHeight="1">
      <x:c r="A1306" s="10" t="str">
        <x:v>M10</x:v>
      </x:c>
      <x:c r="B1306" s="10" t="str">
        <x:v>G_H0</x:v>
      </x:c>
      <x:c r="C1306" s="10" t="n">
        <x:v>1</x:v>
      </x:c>
      <x:c r="D1306" s="24" t="n">
        <x:v>0</x:v>
      </x:c>
      <x:c r="E1306" s="24" t="n">
        <x:v>0.02789999999999999</x:v>
      </x:c>
      <x:c r="F1306" s="24" t="n">
        <x:f>ABS(D1306-E1306)</x:f>
        <x:v>0.02789999999999999</x:v>
      </x:c>
    </x:row>
    <x:row r="1307" ht="23" customHeight="1">
      <x:c r="A1307" s="10" t="str">
        <x:v>M10</x:v>
      </x:c>
      <x:c r="B1307" s="10" t="str">
        <x:v>G_H0</x:v>
      </x:c>
      <x:c r="C1307" s="10" t="n">
        <x:v>2</x:v>
      </x:c>
      <x:c r="D1307" s="24" t="n">
        <x:v>0.2597</x:v>
      </x:c>
      <x:c r="E1307" s="24" t="n">
        <x:v>0.14309999999999995</x:v>
      </x:c>
      <x:c r="F1307" s="24" t="n">
        <x:f>ABS(D1307-E1307)</x:f>
        <x:v>0.11660000000000004</x:v>
      </x:c>
    </x:row>
    <x:row r="1308" ht="23" customHeight="1">
      <x:c r="A1308" s="10" t="str">
        <x:v>M10</x:v>
      </x:c>
      <x:c r="B1308" s="10" t="str">
        <x:v>G_H0</x:v>
      </x:c>
      <x:c r="C1308" s="10" t="n">
        <x:v>3</x:v>
      </x:c>
      <x:c r="D1308" s="24" t="n">
        <x:v>0.5423</x:v>
      </x:c>
      <x:c r="E1308" s="24" t="n">
        <x:v>0.46589999999999987</x:v>
      </x:c>
      <x:c r="F1308" s="24" t="n">
        <x:f>ABS(D1308-E1308)</x:f>
        <x:v>0.07640000000000013</x:v>
      </x:c>
    </x:row>
    <x:row r="1309" ht="23" customHeight="1">
      <x:c r="A1309" s="10" t="str">
        <x:v>M10</x:v>
      </x:c>
      <x:c r="B1309" s="10" t="str">
        <x:v>G_H0</x:v>
      </x:c>
      <x:c r="C1309" s="10" t="n">
        <x:v>4</x:v>
      </x:c>
      <x:c r="D1309" s="24" t="n">
        <x:v>0.147</x:v>
      </x:c>
      <x:c r="E1309" s="24" t="n">
        <x:v>0.20029999999999995</x:v>
      </x:c>
      <x:c r="F1309" s="24" t="n">
        <x:f>ABS(D1309-E1309)</x:f>
        <x:v>0.05329999999999996</x:v>
      </x:c>
    </x:row>
    <x:row r="1310" ht="23" customHeight="1">
      <x:c r="A1310" s="10" t="str">
        <x:v>M10</x:v>
      </x:c>
      <x:c r="B1310" s="10" t="str">
        <x:v>G_H0</x:v>
      </x:c>
      <x:c r="C1310" s="10" t="n">
        <x:v>5</x:v>
      </x:c>
      <x:c r="D1310" s="24" t="n">
        <x:v>0.0387</x:v>
      </x:c>
      <x:c r="E1310" s="24" t="n">
        <x:v>0.05289999999999998</x:v>
      </x:c>
      <x:c r="F1310" s="24" t="n">
        <x:f>ABS(D1310-E1310)</x:f>
        <x:v>0.014199999999999983</x:v>
      </x:c>
    </x:row>
    <x:row r="1311" ht="23" customHeight="1">
      <x:c r="A1311" s="10" t="str">
        <x:v>M10</x:v>
      </x:c>
      <x:c r="B1311" s="10" t="str">
        <x:v>G_H0</x:v>
      </x:c>
      <x:c r="C1311" s="10" t="n">
        <x:v>6</x:v>
      </x:c>
      <x:c r="D1311" s="24" t="n">
        <x:v>0.0123</x:v>
      </x:c>
      <x:c r="E1311" s="24" t="n">
        <x:v>0.04579999999999998</x:v>
      </x:c>
      <x:c r="F1311" s="24" t="n">
        <x:f>ABS(D1311-E1311)</x:f>
        <x:v>0.03349999999999998</x:v>
      </x:c>
    </x:row>
    <x:row r="1312" ht="23" customHeight="1">
      <x:c r="A1312" s="10" t="str">
        <x:v>M10</x:v>
      </x:c>
      <x:c r="B1312" s="10" t="str">
        <x:v>G_H0</x:v>
      </x:c>
      <x:c r="C1312" s="10" t="n">
        <x:v>7</x:v>
      </x:c>
      <x:c r="D1312" s="24" t="n">
        <x:v>0</x:v>
      </x:c>
      <x:c r="E1312" s="24" t="n">
        <x:v>0.020399999999999995</x:v>
      </x:c>
      <x:c r="F1312" s="24" t="n">
        <x:f>ABS(D1312-E1312)</x:f>
        <x:v>0.020399999999999995</x:v>
      </x:c>
    </x:row>
    <x:row r="1313" ht="23" customHeight="1">
      <x:c r="A1313" s="10" t="str">
        <x:v>M10</x:v>
      </x:c>
      <x:c r="B1313" s="10" t="str">
        <x:v>G_H0</x:v>
      </x:c>
      <x:c r="C1313" s="10" t="n">
        <x:v>8</x:v>
      </x:c>
      <x:c r="D1313" s="24" t="n">
        <x:v>0</x:v>
      </x:c>
      <x:c r="E1313" s="24" t="n">
        <x:v>0.012899999999999997</x:v>
      </x:c>
      <x:c r="F1313" s="24" t="n">
        <x:f>ABS(D1313-E1313)</x:f>
        <x:v>0.012899999999999997</x:v>
      </x:c>
    </x:row>
    <x:row r="1314" ht="23" customHeight="1">
      <x:c r="A1314" s="10" t="str">
        <x:v>M10</x:v>
      </x:c>
      <x:c r="B1314" s="10" t="str">
        <x:v>G_H0</x:v>
      </x:c>
      <x:c r="C1314" s="10" t="n">
        <x:v>9</x:v>
      </x:c>
      <x:c r="D1314" s="24" t="n">
        <x:v>0</x:v>
      </x:c>
      <x:c r="E1314" s="24" t="n">
        <x:v>0.030399999999999993</x:v>
      </x:c>
      <x:c r="F1314" s="24" t="n">
        <x:f>ABS(D1314-E1314)</x:f>
        <x:v>0.030399999999999993</x:v>
      </x:c>
    </x:row>
    <x:row r="1315" ht="23" customHeight="1">
      <x:c r="A1315" s="10" t="str">
        <x:v>M10</x:v>
      </x:c>
      <x:c r="B1315" s="10" t="str">
        <x:v>G_H0</x:v>
      </x:c>
      <x:c r="C1315" s="10" t="n">
        <x:v>10</x:v>
      </x:c>
      <x:c r="D1315" s="24" t="n">
        <x:v>0</x:v>
      </x:c>
      <x:c r="E1315" s="24" t="n">
        <x:v>0.00039999999999999986</x:v>
      </x:c>
      <x:c r="F1315" s="24" t="n">
        <x:f>ABS(D1315-E1315)</x:f>
        <x:v>0.00039999999999999986</x:v>
      </x:c>
    </x:row>
    <x:row r="1316" ht="23" customHeight="1">
      <x:c r="A1316" s="10" t="str">
        <x:v>M10</x:v>
      </x:c>
      <x:c r="B1316" s="10" t="str">
        <x:v>G_H1</x:v>
      </x:c>
      <x:c r="C1316" s="10" t="n">
        <x:v>1</x:v>
      </x:c>
      <x:c r="D1316" s="24" t="n">
        <x:v>0</x:v>
      </x:c>
      <x:c r="E1316" s="24" t="n">
        <x:v>0.02789999999999999</x:v>
      </x:c>
      <x:c r="F1316" s="24" t="n">
        <x:f>ABS(D1316-E1316)</x:f>
        <x:v>0.02789999999999999</x:v>
      </x:c>
    </x:row>
    <x:row r="1317" ht="23" customHeight="1">
      <x:c r="A1317" s="10" t="str">
        <x:v>M10</x:v>
      </x:c>
      <x:c r="B1317" s="10" t="str">
        <x:v>G_H1</x:v>
      </x:c>
      <x:c r="C1317" s="10" t="n">
        <x:v>2</x:v>
      </x:c>
      <x:c r="D1317" s="24" t="n">
        <x:v>0.1606</x:v>
      </x:c>
      <x:c r="E1317" s="24" t="n">
        <x:v>0.14309999999999995</x:v>
      </x:c>
      <x:c r="F1317" s="24" t="n">
        <x:f>ABS(D1317-E1317)</x:f>
        <x:v>0.017500000000000043</x:v>
      </x:c>
    </x:row>
    <x:row r="1318" ht="23" customHeight="1">
      <x:c r="A1318" s="10" t="str">
        <x:v>M10</x:v>
      </x:c>
      <x:c r="B1318" s="10" t="str">
        <x:v>G_H1</x:v>
      </x:c>
      <x:c r="C1318" s="10" t="n">
        <x:v>3</x:v>
      </x:c>
      <x:c r="D1318" s="24" t="n">
        <x:v>0.5818</x:v>
      </x:c>
      <x:c r="E1318" s="24" t="n">
        <x:v>0.46589999999999987</x:v>
      </x:c>
      <x:c r="F1318" s="24" t="n">
        <x:f>ABS(D1318-E1318)</x:f>
        <x:v>0.11590000000000011</x:v>
      </x:c>
    </x:row>
    <x:row r="1319" ht="23" customHeight="1">
      <x:c r="A1319" s="10" t="str">
        <x:v>M10</x:v>
      </x:c>
      <x:c r="B1319" s="10" t="str">
        <x:v>G_H1</x:v>
      </x:c>
      <x:c r="C1319" s="10" t="n">
        <x:v>4</x:v>
      </x:c>
      <x:c r="D1319" s="24" t="n">
        <x:v>0.20199999999999999</x:v>
      </x:c>
      <x:c r="E1319" s="24" t="n">
        <x:v>0.20029999999999995</x:v>
      </x:c>
      <x:c r="F1319" s="24" t="n">
        <x:f>ABS(D1319-E1319)</x:f>
        <x:v>0.0017000000000000348</x:v>
      </x:c>
    </x:row>
    <x:row r="1320" ht="23" customHeight="1">
      <x:c r="A1320" s="10" t="str">
        <x:v>M10</x:v>
      </x:c>
      <x:c r="B1320" s="10" t="str">
        <x:v>G_H1</x:v>
      </x:c>
      <x:c r="C1320" s="10" t="n">
        <x:v>5</x:v>
      </x:c>
      <x:c r="D1320" s="24" t="n">
        <x:v>0.0408</x:v>
      </x:c>
      <x:c r="E1320" s="24" t="n">
        <x:v>0.05289999999999998</x:v>
      </x:c>
      <x:c r="F1320" s="24" t="n">
        <x:f>ABS(D1320-E1320)</x:f>
        <x:v>0.012099999999999979</x:v>
      </x:c>
    </x:row>
    <x:row r="1321" ht="23" customHeight="1">
      <x:c r="A1321" s="10" t="str">
        <x:v>M10</x:v>
      </x:c>
      <x:c r="B1321" s="10" t="str">
        <x:v>G_H1</x:v>
      </x:c>
      <x:c r="C1321" s="10" t="n">
        <x:v>6</x:v>
      </x:c>
      <x:c r="D1321" s="24" t="n">
        <x:v>0.0148</x:v>
      </x:c>
      <x:c r="E1321" s="24" t="n">
        <x:v>0.04579999999999998</x:v>
      </x:c>
      <x:c r="F1321" s="24" t="n">
        <x:f>ABS(D1321-E1321)</x:f>
        <x:v>0.03099999999999998</x:v>
      </x:c>
    </x:row>
    <x:row r="1322" ht="23" customHeight="1">
      <x:c r="A1322" s="10" t="str">
        <x:v>M10</x:v>
      </x:c>
      <x:c r="B1322" s="10" t="str">
        <x:v>G_H1</x:v>
      </x:c>
      <x:c r="C1322" s="10" t="n">
        <x:v>7</x:v>
      </x:c>
      <x:c r="D1322" s="24" t="n">
        <x:v>0</x:v>
      </x:c>
      <x:c r="E1322" s="24" t="n">
        <x:v>0.020399999999999995</x:v>
      </x:c>
      <x:c r="F1322" s="24" t="n">
        <x:f>ABS(D1322-E1322)</x:f>
        <x:v>0.020399999999999995</x:v>
      </x:c>
    </x:row>
    <x:row r="1323" ht="23" customHeight="1">
      <x:c r="A1323" s="10" t="str">
        <x:v>M10</x:v>
      </x:c>
      <x:c r="B1323" s="10" t="str">
        <x:v>G_H1</x:v>
      </x:c>
      <x:c r="C1323" s="10" t="n">
        <x:v>8</x:v>
      </x:c>
      <x:c r="D1323" s="24" t="n">
        <x:v>0</x:v>
      </x:c>
      <x:c r="E1323" s="24" t="n">
        <x:v>0.012899999999999997</x:v>
      </x:c>
      <x:c r="F1323" s="24" t="n">
        <x:f>ABS(D1323-E1323)</x:f>
        <x:v>0.012899999999999997</x:v>
      </x:c>
    </x:row>
    <x:row r="1324" ht="23" customHeight="1">
      <x:c r="A1324" s="10" t="str">
        <x:v>M10</x:v>
      </x:c>
      <x:c r="B1324" s="10" t="str">
        <x:v>G_H1</x:v>
      </x:c>
      <x:c r="C1324" s="10" t="n">
        <x:v>9</x:v>
      </x:c>
      <x:c r="D1324" s="24" t="n">
        <x:v>0</x:v>
      </x:c>
      <x:c r="E1324" s="24" t="n">
        <x:v>0.030399999999999993</x:v>
      </x:c>
      <x:c r="F1324" s="24" t="n">
        <x:f>ABS(D1324-E1324)</x:f>
        <x:v>0.030399999999999993</x:v>
      </x:c>
    </x:row>
    <x:row r="1325" ht="23" customHeight="1">
      <x:c r="A1325" s="10" t="str">
        <x:v>M10</x:v>
      </x:c>
      <x:c r="B1325" s="10" t="str">
        <x:v>G_H1</x:v>
      </x:c>
      <x:c r="C1325" s="10" t="n">
        <x:v>10</x:v>
      </x:c>
      <x:c r="D1325" s="24" t="n">
        <x:v>0</x:v>
      </x:c>
      <x:c r="E1325" s="24" t="n">
        <x:v>0.00039999999999999986</x:v>
      </x:c>
      <x:c r="F1325" s="24" t="n">
        <x:f>ABS(D1325-E1325)</x:f>
        <x:v>0.00039999999999999986</x:v>
      </x:c>
    </x:row>
    <x:row r="1326" ht="23" customHeight="1">
      <x:c r="A1326" s="10" t="str">
        <x:v>M10</x:v>
      </x:c>
      <x:c r="B1326" s="10" t="str">
        <x:v>NC_H0</x:v>
      </x:c>
      <x:c r="C1326" s="10" t="n">
        <x:v>1</x:v>
      </x:c>
      <x:c r="D1326" s="24" t="n">
        <x:v>0</x:v>
      </x:c>
      <x:c r="E1326" s="24" t="n">
        <x:v>0.02789999999999999</x:v>
      </x:c>
      <x:c r="F1326" s="24" t="n">
        <x:f>ABS(D1326-E1326)</x:f>
        <x:v>0.02789999999999999</x:v>
      </x:c>
    </x:row>
    <x:row r="1327" ht="23" customHeight="1">
      <x:c r="A1327" s="10" t="str">
        <x:v>M10</x:v>
      </x:c>
      <x:c r="B1327" s="10" t="str">
        <x:v>NC_H0</x:v>
      </x:c>
      <x:c r="C1327" s="10" t="n">
        <x:v>2</x:v>
      </x:c>
      <x:c r="D1327" s="24" t="n">
        <x:v>0.21989999999999998</x:v>
      </x:c>
      <x:c r="E1327" s="24" t="n">
        <x:v>0.14309999999999995</x:v>
      </x:c>
      <x:c r="F1327" s="24" t="n">
        <x:f>ABS(D1327-E1327)</x:f>
        <x:v>0.07680000000000003</x:v>
      </x:c>
    </x:row>
    <x:row r="1328" ht="23" customHeight="1">
      <x:c r="A1328" s="10" t="str">
        <x:v>M10</x:v>
      </x:c>
      <x:c r="B1328" s="10" t="str">
        <x:v>NC_H0</x:v>
      </x:c>
      <x:c r="C1328" s="10" t="n">
        <x:v>3</x:v>
      </x:c>
      <x:c r="D1328" s="24" t="n">
        <x:v>0.0369</x:v>
      </x:c>
      <x:c r="E1328" s="24" t="n">
        <x:v>0.46589999999999987</x:v>
      </x:c>
      <x:c r="F1328" s="24" t="n">
        <x:f>ABS(D1328-E1328)</x:f>
        <x:v>0.4289999999999999</x:v>
      </x:c>
    </x:row>
    <x:row r="1329" ht="23" customHeight="1">
      <x:c r="A1329" s="10" t="str">
        <x:v>M10</x:v>
      </x:c>
      <x:c r="B1329" s="10" t="str">
        <x:v>NC_H0</x:v>
      </x:c>
      <x:c r="C1329" s="10" t="n">
        <x:v>4</x:v>
      </x:c>
      <x:c r="D1329" s="24" t="n">
        <x:v>0</x:v>
      </x:c>
      <x:c r="E1329" s="24" t="n">
        <x:v>0.20029999999999995</x:v>
      </x:c>
      <x:c r="F1329" s="24" t="n">
        <x:f>ABS(D1329-E1329)</x:f>
        <x:v>0.20029999999999995</x:v>
      </x:c>
    </x:row>
    <x:row r="1330" ht="23" customHeight="1">
      <x:c r="A1330" s="10" t="str">
        <x:v>M10</x:v>
      </x:c>
      <x:c r="B1330" s="10" t="str">
        <x:v>NC_H0</x:v>
      </x:c>
      <x:c r="C1330" s="10" t="n">
        <x:v>5</x:v>
      </x:c>
      <x:c r="D1330" s="24" t="n">
        <x:v>0.6747</x:v>
      </x:c>
      <x:c r="E1330" s="24" t="n">
        <x:v>0.05289999999999998</x:v>
      </x:c>
      <x:c r="F1330" s="24" t="n">
        <x:f>ABS(D1330-E1330)</x:f>
        <x:v>0.6218</x:v>
      </x:c>
    </x:row>
    <x:row r="1331" ht="23" customHeight="1">
      <x:c r="A1331" s="10" t="str">
        <x:v>M10</x:v>
      </x:c>
      <x:c r="B1331" s="10" t="str">
        <x:v>NC_H0</x:v>
      </x:c>
      <x:c r="C1331" s="10" t="n">
        <x:v>6</x:v>
      </x:c>
      <x:c r="D1331" s="24" t="n">
        <x:v>0.0067</x:v>
      </x:c>
      <x:c r="E1331" s="24" t="n">
        <x:v>0.04579999999999998</x:v>
      </x:c>
      <x:c r="F1331" s="24" t="n">
        <x:f>ABS(D1331-E1331)</x:f>
        <x:v>0.03909999999999998</x:v>
      </x:c>
    </x:row>
    <x:row r="1332" ht="23" customHeight="1">
      <x:c r="A1332" s="10" t="str">
        <x:v>M10</x:v>
      </x:c>
      <x:c r="B1332" s="10" t="str">
        <x:v>NC_H0</x:v>
      </x:c>
      <x:c r="C1332" s="10" t="n">
        <x:v>7</x:v>
      </x:c>
      <x:c r="D1332" s="24" t="n">
        <x:v>0.018500000000000003</x:v>
      </x:c>
      <x:c r="E1332" s="24" t="n">
        <x:v>0.020399999999999995</x:v>
      </x:c>
      <x:c r="F1332" s="24" t="n">
        <x:f>ABS(D1332-E1332)</x:f>
        <x:v>0.001899999999999992</x:v>
      </x:c>
    </x:row>
    <x:row r="1333" ht="23" customHeight="1">
      <x:c r="A1333" s="10" t="str">
        <x:v>M10</x:v>
      </x:c>
      <x:c r="B1333" s="10" t="str">
        <x:v>NC_H0</x:v>
      </x:c>
      <x:c r="C1333" s="10" t="n">
        <x:v>8</x:v>
      </x:c>
      <x:c r="D1333" s="24" t="n">
        <x:v>0.009399999999999999</x:v>
      </x:c>
      <x:c r="E1333" s="24" t="n">
        <x:v>0.012899999999999997</x:v>
      </x:c>
      <x:c r="F1333" s="24" t="n">
        <x:f>ABS(D1333-E1333)</x:f>
        <x:v>0.003499999999999998</x:v>
      </x:c>
    </x:row>
    <x:row r="1334" ht="23" customHeight="1">
      <x:c r="A1334" s="10" t="str">
        <x:v>M10</x:v>
      </x:c>
      <x:c r="B1334" s="10" t="str">
        <x:v>NC_H0</x:v>
      </x:c>
      <x:c r="C1334" s="10" t="n">
        <x:v>9</x:v>
      </x:c>
      <x:c r="D1334" s="24" t="n">
        <x:v>0.0339</x:v>
      </x:c>
      <x:c r="E1334" s="24" t="n">
        <x:v>0.030399999999999993</x:v>
      </x:c>
      <x:c r="F1334" s="24" t="n">
        <x:f>ABS(D1334-E1334)</x:f>
        <x:v>0.0035000000000000066</x:v>
      </x:c>
    </x:row>
    <x:row r="1335" ht="23" customHeight="1">
      <x:c r="A1335" s="10" t="str">
        <x:v>M10</x:v>
      </x:c>
      <x:c r="B1335" s="10" t="str">
        <x:v>NC_H0</x:v>
      </x:c>
      <x:c r="C1335" s="10" t="n">
        <x:v>10</x:v>
      </x:c>
      <x:c r="D1335" s="24" t="n">
        <x:v>0</x:v>
      </x:c>
      <x:c r="E1335" s="24" t="n">
        <x:v>0.00039999999999999986</x:v>
      </x:c>
      <x:c r="F1335" s="24" t="n">
        <x:f>ABS(D1335-E1335)</x:f>
        <x:v>0.00039999999999999986</x:v>
      </x:c>
    </x:row>
    <x:row r="1336" ht="23" customHeight="1">
      <x:c r="A1336" s="10" t="str">
        <x:v>M10</x:v>
      </x:c>
      <x:c r="B1336" s="10" t="str">
        <x:v>NC_H1</x:v>
      </x:c>
      <x:c r="C1336" s="10" t="n">
        <x:v>1</x:v>
      </x:c>
      <x:c r="D1336" s="24" t="n">
        <x:v>0</x:v>
      </x:c>
      <x:c r="E1336" s="24" t="n">
        <x:v>0.02789999999999999</x:v>
      </x:c>
      <x:c r="F1336" s="24" t="n">
        <x:f>ABS(D1336-E1336)</x:f>
        <x:v>0.02789999999999999</x:v>
      </x:c>
    </x:row>
    <x:row r="1337" ht="23" customHeight="1">
      <x:c r="A1337" s="10" t="str">
        <x:v>M10</x:v>
      </x:c>
      <x:c r="B1337" s="10" t="str">
        <x:v>NC_H1</x:v>
      </x:c>
      <x:c r="C1337" s="10" t="n">
        <x:v>2</x:v>
      </x:c>
      <x:c r="D1337" s="24" t="n">
        <x:v>0.21987801219878014</x:v>
      </x:c>
      <x:c r="E1337" s="24" t="n">
        <x:v>0.14309999999999995</x:v>
      </x:c>
      <x:c r="F1337" s="24" t="n">
        <x:f>ABS(D1337-E1337)</x:f>
        <x:v>0.0767780121987802</x:v>
      </x:c>
    </x:row>
    <x:row r="1338" ht="23" customHeight="1">
      <x:c r="A1338" s="10" t="str">
        <x:v>M10</x:v>
      </x:c>
      <x:c r="B1338" s="10" t="str">
        <x:v>NC_H1</x:v>
      </x:c>
      <x:c r="C1338" s="10" t="n">
        <x:v>3</x:v>
      </x:c>
      <x:c r="D1338" s="24" t="n">
        <x:v>0.009799020097990201</x:v>
      </x:c>
      <x:c r="E1338" s="24" t="n">
        <x:v>0.46589999999999987</x:v>
      </x:c>
      <x:c r="F1338" s="24" t="n">
        <x:f>ABS(D1338-E1338)</x:f>
        <x:v>0.45610097990200965</x:v>
      </x:c>
    </x:row>
    <x:row r="1339" ht="23" customHeight="1">
      <x:c r="A1339" s="10" t="str">
        <x:v>M10</x:v>
      </x:c>
      <x:c r="B1339" s="10" t="str">
        <x:v>NC_H1</x:v>
      </x:c>
      <x:c r="C1339" s="10" t="n">
        <x:v>4</x:v>
      </x:c>
      <x:c r="D1339" s="24" t="n">
        <x:v>0</x:v>
      </x:c>
      <x:c r="E1339" s="24" t="n">
        <x:v>0.20029999999999995</x:v>
      </x:c>
      <x:c r="F1339" s="24" t="n">
        <x:f>ABS(D1339-E1339)</x:f>
        <x:v>0.20029999999999995</x:v>
      </x:c>
    </x:row>
    <x:row r="1340" ht="23" customHeight="1">
      <x:c r="A1340" s="10" t="str">
        <x:v>M10</x:v>
      </x:c>
      <x:c r="B1340" s="10" t="str">
        <x:v>NC_H1</x:v>
      </x:c>
      <x:c r="C1340" s="10" t="n">
        <x:v>5</x:v>
      </x:c>
      <x:c r="D1340" s="24" t="n">
        <x:v>0.6746325367463254</x:v>
      </x:c>
      <x:c r="E1340" s="24" t="n">
        <x:v>0.05289999999999998</x:v>
      </x:c>
      <x:c r="F1340" s="24" t="n">
        <x:f>ABS(D1340-E1340)</x:f>
        <x:v>0.6217325367463254</x:v>
      </x:c>
    </x:row>
    <x:row r="1341" ht="23" customHeight="1">
      <x:c r="A1341" s="10" t="str">
        <x:v>M10</x:v>
      </x:c>
      <x:c r="B1341" s="10" t="str">
        <x:v>NC_H1</x:v>
      </x:c>
      <x:c r="C1341" s="10" t="n">
        <x:v>6</x:v>
      </x:c>
      <x:c r="D1341" s="24" t="n">
        <x:v>0.033896610338966106</x:v>
      </x:c>
      <x:c r="E1341" s="24" t="n">
        <x:v>0.04579999999999998</x:v>
      </x:c>
      <x:c r="F1341" s="24" t="n">
        <x:f>ABS(D1341-E1341)</x:f>
        <x:v>0.011903389661033874</x:v>
      </x:c>
    </x:row>
    <x:row r="1342" ht="23" customHeight="1">
      <x:c r="A1342" s="10" t="str">
        <x:v>M10</x:v>
      </x:c>
      <x:c r="B1342" s="10" t="str">
        <x:v>NC_H1</x:v>
      </x:c>
      <x:c r="C1342" s="10" t="n">
        <x:v>7</x:v>
      </x:c>
      <x:c r="D1342" s="24" t="n">
        <x:v>0.018498150184981504</x:v>
      </x:c>
      <x:c r="E1342" s="24" t="n">
        <x:v>0.020399999999999995</x:v>
      </x:c>
      <x:c r="F1342" s="24" t="n">
        <x:f>ABS(D1342-E1342)</x:f>
        <x:v>0.0019018498150184908</x:v>
      </x:c>
    </x:row>
    <x:row r="1343" ht="23" customHeight="1">
      <x:c r="A1343" s="10" t="str">
        <x:v>M10</x:v>
      </x:c>
      <x:c r="B1343" s="10" t="str">
        <x:v>NC_H1</x:v>
      </x:c>
      <x:c r="C1343" s="10" t="n">
        <x:v>8</x:v>
      </x:c>
      <x:c r="D1343" s="24" t="n">
        <x:v>0.009399060093990603</x:v>
      </x:c>
      <x:c r="E1343" s="24" t="n">
        <x:v>0.012899999999999997</x:v>
      </x:c>
      <x:c r="F1343" s="24" t="n">
        <x:f>ABS(D1343-E1343)</x:f>
        <x:v>0.003500939906009394</x:v>
      </x:c>
    </x:row>
    <x:row r="1344" ht="23" customHeight="1">
      <x:c r="A1344" s="10" t="str">
        <x:v>M10</x:v>
      </x:c>
      <x:c r="B1344" s="10" t="str">
        <x:v>NC_H1</x:v>
      </x:c>
      <x:c r="C1344" s="10" t="n">
        <x:v>9</x:v>
      </x:c>
      <x:c r="D1344" s="24" t="n">
        <x:v>0.033896610338966106</x:v>
      </x:c>
      <x:c r="E1344" s="24" t="n">
        <x:v>0.030399999999999993</x:v>
      </x:c>
      <x:c r="F1344" s="24" t="n">
        <x:f>ABS(D1344-E1344)</x:f>
        <x:v>0.003496610338966113</x:v>
      </x:c>
    </x:row>
    <x:row r="1345" ht="23" customHeight="1">
      <x:c r="A1345" s="10" t="str">
        <x:v>M10</x:v>
      </x:c>
      <x:c r="B1345" s="10" t="str">
        <x:v>NC_H1</x:v>
      </x:c>
      <x:c r="C1345" s="10" t="n">
        <x:v>10</x:v>
      </x:c>
      <x:c r="D1345" s="24" t="n">
        <x:v>0</x:v>
      </x:c>
      <x:c r="E1345" s="24" t="n">
        <x:v>0.00039999999999999986</x:v>
      </x:c>
      <x:c r="F1345" s="24" t="n">
        <x:f>ABS(D1345-E1345)</x:f>
        <x:v>0.00039999999999999986</x:v>
      </x:c>
    </x:row>
    <x:row r="1346" ht="23" customHeight="1">
      <x:c r="A1346" s="10" t="str">
        <x:v>M10</x:v>
      </x:c>
      <x:c r="B1346" s="10" t="str">
        <x:v>NG_H0</x:v>
      </x:c>
      <x:c r="C1346" s="10" t="n">
        <x:v>1</x:v>
      </x:c>
      <x:c r="D1346" s="24" t="n">
        <x:v>0.04019598040195979</x:v>
      </x:c>
      <x:c r="E1346" s="24" t="n">
        <x:v>0.02789999999999999</x:v>
      </x:c>
      <x:c r="F1346" s="24" t="n">
        <x:f>ABS(D1346-E1346)</x:f>
        <x:v>0.0122959804019598</x:v>
      </x:c>
    </x:row>
    <x:row r="1347" ht="23" customHeight="1">
      <x:c r="A1347" s="10" t="str">
        <x:v>M10</x:v>
      </x:c>
      <x:c r="B1347" s="10" t="str">
        <x:v>NG_H0</x:v>
      </x:c>
      <x:c r="C1347" s="10" t="n">
        <x:v>2</x:v>
      </x:c>
      <x:c r="D1347" s="24" t="n">
        <x:v>0.23117688231176878</x:v>
      </x:c>
      <x:c r="E1347" s="24" t="n">
        <x:v>0.14309999999999995</x:v>
      </x:c>
      <x:c r="F1347" s="24" t="n">
        <x:f>ABS(D1347-E1347)</x:f>
        <x:v>0.08807688231176883</x:v>
      </x:c>
    </x:row>
    <x:row r="1348" ht="23" customHeight="1">
      <x:c r="A1348" s="10" t="str">
        <x:v>M10</x:v>
      </x:c>
      <x:c r="B1348" s="10" t="str">
        <x:v>NG_H0</x:v>
      </x:c>
      <x:c r="C1348" s="10" t="n">
        <x:v>3</x:v>
      </x:c>
      <x:c r="D1348" s="24" t="n">
        <x:v>0.46055394460553933</x:v>
      </x:c>
      <x:c r="E1348" s="24" t="n">
        <x:v>0.46589999999999987</x:v>
      </x:c>
      <x:c r="F1348" s="24" t="n">
        <x:f>ABS(D1348-E1348)</x:f>
        <x:v>0.005346055394460536</x:v>
      </x:c>
    </x:row>
    <x:row r="1349" ht="23" customHeight="1">
      <x:c r="A1349" s="10" t="str">
        <x:v>M10</x:v>
      </x:c>
      <x:c r="B1349" s="10" t="str">
        <x:v>NG_H0</x:v>
      </x:c>
      <x:c r="C1349" s="10" t="n">
        <x:v>4</x:v>
      </x:c>
      <x:c r="D1349" s="24" t="n">
        <x:v>0.1348865113488651</x:v>
      </x:c>
      <x:c r="E1349" s="24" t="n">
        <x:v>0.20029999999999995</x:v>
      </x:c>
      <x:c r="F1349" s="24" t="n">
        <x:f>ABS(D1349-E1349)</x:f>
        <x:v>0.06541348865113486</x:v>
      </x:c>
    </x:row>
    <x:row r="1350" ht="23" customHeight="1">
      <x:c r="A1350" s="10" t="str">
        <x:v>M10</x:v>
      </x:c>
      <x:c r="B1350" s="10" t="str">
        <x:v>NG_H0</x:v>
      </x:c>
      <x:c r="C1350" s="10" t="n">
        <x:v>5</x:v>
      </x:c>
      <x:c r="D1350" s="24" t="n">
        <x:v>0.0363963603639636</x:v>
      </x:c>
      <x:c r="E1350" s="24" t="n">
        <x:v>0.05289999999999998</x:v>
      </x:c>
      <x:c r="F1350" s="24" t="n">
        <x:f>ABS(D1350-E1350)</x:f>
        <x:v>0.016503639636036384</x:v>
      </x:c>
    </x:row>
    <x:row r="1351" ht="23" customHeight="1">
      <x:c r="A1351" s="10" t="str">
        <x:v>M10</x:v>
      </x:c>
      <x:c r="B1351" s="10" t="str">
        <x:v>NG_H0</x:v>
      </x:c>
      <x:c r="C1351" s="10" t="n">
        <x:v>6</x:v>
      </x:c>
      <x:c r="D1351" s="24" t="n">
        <x:v>0.018998100189980997</x:v>
      </x:c>
      <x:c r="E1351" s="24" t="n">
        <x:v>0.04579999999999998</x:v>
      </x:c>
      <x:c r="F1351" s="24" t="n">
        <x:f>ABS(D1351-E1351)</x:f>
        <x:v>0.026801899810018983</x:v>
      </x:c>
    </x:row>
    <x:row r="1352" ht="23" customHeight="1">
      <x:c r="A1352" s="10" t="str">
        <x:v>M10</x:v>
      </x:c>
      <x:c r="B1352" s="10" t="str">
        <x:v>NG_H0</x:v>
      </x:c>
      <x:c r="C1352" s="10" t="n">
        <x:v>7</x:v>
      </x:c>
      <x:c r="D1352" s="24" t="n">
        <x:v>0.020397960203979597</x:v>
      </x:c>
      <x:c r="E1352" s="24" t="n">
        <x:v>0.020399999999999995</x:v>
      </x:c>
      <x:c r="F1352" s="24" t="n">
        <x:f>ABS(D1352-E1352)</x:f>
        <x:v>0.0000020397960203977217</x:v>
      </x:c>
    </x:row>
    <x:row r="1353" ht="23" customHeight="1">
      <x:c r="A1353" s="10" t="str">
        <x:v>M10</x:v>
      </x:c>
      <x:c r="B1353" s="10" t="str">
        <x:v>NG_H0</x:v>
      </x:c>
      <x:c r="C1353" s="10" t="n">
        <x:v>8</x:v>
      </x:c>
      <x:c r="D1353" s="24" t="n">
        <x:v>0.020397960203979597</x:v>
      </x:c>
      <x:c r="E1353" s="24" t="n">
        <x:v>0.012899999999999997</x:v>
      </x:c>
      <x:c r="F1353" s="24" t="n">
        <x:f>ABS(D1353-E1353)</x:f>
        <x:v>0.0074979602039796</x:v>
      </x:c>
    </x:row>
    <x:row r="1354" ht="23" customHeight="1">
      <x:c r="A1354" s="10" t="str">
        <x:v>M10</x:v>
      </x:c>
      <x:c r="B1354" s="10" t="str">
        <x:v>NG_H0</x:v>
      </x:c>
      <x:c r="C1354" s="10" t="n">
        <x:v>9</x:v>
      </x:c>
      <x:c r="D1354" s="24" t="n">
        <x:v>0.0363963603639636</x:v>
      </x:c>
      <x:c r="E1354" s="24" t="n">
        <x:v>0.030399999999999993</x:v>
      </x:c>
      <x:c r="F1354" s="24" t="n">
        <x:f>ABS(D1354-E1354)</x:f>
        <x:v>0.005996360363963605</x:v>
      </x:c>
    </x:row>
    <x:row r="1355" ht="23" customHeight="1">
      <x:c r="A1355" s="10" t="str">
        <x:v>M10</x:v>
      </x:c>
      <x:c r="B1355" s="10" t="str">
        <x:v>NG_H0</x:v>
      </x:c>
      <x:c r="C1355" s="10" t="n">
        <x:v>10</x:v>
      </x:c>
      <x:c r="D1355" s="24" t="n">
        <x:v>0.0005999400059994</x:v>
      </x:c>
      <x:c r="E1355" s="24" t="n">
        <x:v>0.00039999999999999986</x:v>
      </x:c>
      <x:c r="F1355" s="24" t="n">
        <x:f>ABS(D1355-E1355)</x:f>
        <x:v>0.0001999400059994001</x:v>
      </x:c>
    </x:row>
    <x:row r="1356" ht="23" customHeight="1">
      <x:c r="A1356" s="10" t="str">
        <x:v>M10</x:v>
      </x:c>
      <x:c r="B1356" s="10" t="str">
        <x:v>NG_H1</x:v>
      </x:c>
      <x:c r="C1356" s="10" t="n">
        <x:v>1</x:v>
      </x:c>
      <x:c r="D1356" s="24" t="n">
        <x:v>0.040199999999999986</x:v>
      </x:c>
      <x:c r="E1356" s="24" t="n">
        <x:v>0.02789999999999999</x:v>
      </x:c>
      <x:c r="F1356" s="24" t="n">
        <x:f>ABS(D1356-E1356)</x:f>
        <x:v>0.012299999999999995</x:v>
      </x:c>
    </x:row>
    <x:row r="1357" ht="23" customHeight="1">
      <x:c r="A1357" s="10" t="str">
        <x:v>M10</x:v>
      </x:c>
      <x:c r="B1357" s="10" t="str">
        <x:v>NG_H1</x:v>
      </x:c>
      <x:c r="C1357" s="10" t="n">
        <x:v>2</x:v>
      </x:c>
      <x:c r="D1357" s="24" t="n">
        <x:v>0.1339</x:v>
      </x:c>
      <x:c r="E1357" s="24" t="n">
        <x:v>0.14309999999999995</x:v>
      </x:c>
      <x:c r="F1357" s="24" t="n">
        <x:f>ABS(D1357-E1357)</x:f>
        <x:v>0.009199999999999958</x:v>
      </x:c>
    </x:row>
    <x:row r="1358" ht="23" customHeight="1">
      <x:c r="A1358" s="10" t="str">
        <x:v>M10</x:v>
      </x:c>
      <x:c r="B1358" s="10" t="str">
        <x:v>NG_H1</x:v>
      </x:c>
      <x:c r="C1358" s="10" t="n">
        <x:v>3</x:v>
      </x:c>
      <x:c r="D1358" s="24" t="n">
        <x:v>0.4820999999999999</x:v>
      </x:c>
      <x:c r="E1358" s="24" t="n">
        <x:v>0.46589999999999987</x:v>
      </x:c>
      <x:c r="F1358" s="24" t="n">
        <x:f>ABS(D1358-E1358)</x:f>
        <x:v>0.016200000000000048</x:v>
      </x:c>
    </x:row>
    <x:row r="1359" ht="23" customHeight="1">
      <x:c r="A1359" s="10" t="str">
        <x:v>M10</x:v>
      </x:c>
      <x:c r="B1359" s="10" t="str">
        <x:v>NG_H1</x:v>
      </x:c>
      <x:c r="C1359" s="10" t="n">
        <x:v>4</x:v>
      </x:c>
      <x:c r="D1359" s="24" t="n">
        <x:v>0.17809999999999995</x:v>
      </x:c>
      <x:c r="E1359" s="24" t="n">
        <x:v>0.20029999999999995</x:v>
      </x:c>
      <x:c r="F1359" s="24" t="n">
        <x:f>ABS(D1359-E1359)</x:f>
        <x:v>0.022199999999999998</x:v>
      </x:c>
    </x:row>
    <x:row r="1360" ht="23" customHeight="1">
      <x:c r="A1360" s="10" t="str">
        <x:v>M10</x:v>
      </x:c>
      <x:c r="B1360" s="10" t="str">
        <x:v>NG_H1</x:v>
      </x:c>
      <x:c r="C1360" s="10" t="n">
        <x:v>5</x:v>
      </x:c>
      <x:c r="D1360" s="24" t="n">
        <x:v>0.0385</x:v>
      </x:c>
      <x:c r="E1360" s="24" t="n">
        <x:v>0.05289999999999998</x:v>
      </x:c>
      <x:c r="F1360" s="24" t="n">
        <x:f>ABS(D1360-E1360)</x:f>
        <x:v>0.014399999999999982</x:v>
      </x:c>
    </x:row>
    <x:row r="1361" ht="23" customHeight="1">
      <x:c r="A1361" s="10" t="str">
        <x:v>M10</x:v>
      </x:c>
      <x:c r="B1361" s="10" t="str">
        <x:v>NG_H1</x:v>
      </x:c>
      <x:c r="C1361" s="10" t="n">
        <x:v>6</x:v>
      </x:c>
      <x:c r="D1361" s="24" t="n">
        <x:v>0.04939999999999999</x:v>
      </x:c>
      <x:c r="E1361" s="24" t="n">
        <x:v>0.04579999999999998</x:v>
      </x:c>
      <x:c r="F1361" s="24" t="n">
        <x:f>ABS(D1361-E1361)</x:f>
        <x:v>0.003600000000000013</x:v>
      </x:c>
    </x:row>
    <x:row r="1362" ht="23" customHeight="1">
      <x:c r="A1362" s="10" t="str">
        <x:v>M10</x:v>
      </x:c>
      <x:c r="B1362" s="10" t="str">
        <x:v>NG_H1</x:v>
      </x:c>
      <x:c r="C1362" s="10" t="n">
        <x:v>7</x:v>
      </x:c>
      <x:c r="D1362" s="24" t="n">
        <x:v>0.020399999999999995</x:v>
      </x:c>
      <x:c r="E1362" s="24" t="n">
        <x:v>0.020399999999999995</x:v>
      </x:c>
      <x:c r="F1362" s="24" t="n">
        <x:f>ABS(D1362-E1362)</x:f>
        <x:v>0</x:v>
      </x:c>
    </x:row>
    <x:row r="1363" ht="23" customHeight="1">
      <x:c r="A1363" s="10" t="str">
        <x:v>M10</x:v>
      </x:c>
      <x:c r="B1363" s="10" t="str">
        <x:v>NG_H1</x:v>
      </x:c>
      <x:c r="C1363" s="10" t="n">
        <x:v>8</x:v>
      </x:c>
      <x:c r="D1363" s="24" t="n">
        <x:v>0.020399999999999995</x:v>
      </x:c>
      <x:c r="E1363" s="24" t="n">
        <x:v>0.012899999999999997</x:v>
      </x:c>
      <x:c r="F1363" s="24" t="n">
        <x:f>ABS(D1363-E1363)</x:f>
        <x:v>0.007499999999999998</x:v>
      </x:c>
    </x:row>
    <x:row r="1364" ht="23" customHeight="1">
      <x:c r="A1364" s="10" t="str">
        <x:v>M10</x:v>
      </x:c>
      <x:c r="B1364" s="10" t="str">
        <x:v>NG_H1</x:v>
      </x:c>
      <x:c r="C1364" s="10" t="n">
        <x:v>9</x:v>
      </x:c>
      <x:c r="D1364" s="24" t="n">
        <x:v>0.036399999999999995</x:v>
      </x:c>
      <x:c r="E1364" s="24" t="n">
        <x:v>0.030399999999999993</x:v>
      </x:c>
      <x:c r="F1364" s="24" t="n">
        <x:f>ABS(D1364-E1364)</x:f>
        <x:v>0.006000000000000002</x:v>
      </x:c>
    </x:row>
    <x:row r="1365" ht="23" customHeight="1">
      <x:c r="A1365" s="10" t="str">
        <x:v>M10</x:v>
      </x:c>
      <x:c r="B1365" s="10" t="str">
        <x:v>NG_H1</x:v>
      </x:c>
      <x:c r="C1365" s="10" t="n">
        <x:v>10</x:v>
      </x:c>
      <x:c r="D1365" s="24" t="n">
        <x:v>0.0006</x:v>
      </x:c>
      <x:c r="E1365" s="24" t="n">
        <x:v>0.00039999999999999986</x:v>
      </x:c>
      <x:c r="F1365" s="24" t="n">
        <x:f>ABS(D1365-E1365)</x:f>
        <x:v>0.0002000000000000001</x:v>
      </x:c>
    </x:row>
    <x:row r="1366" ht="23" customHeight="1">
      <x:c r="A1366" s="10" t="str">
        <x:v>M10</x:v>
      </x:c>
      <x:c r="B1366" s="10" t="str">
        <x:v>CG_H0</x:v>
      </x:c>
      <x:c r="C1366" s="10" t="n">
        <x:v>1</x:v>
      </x:c>
      <x:c r="D1366" s="24" t="n">
        <x:v>0.0069</x:v>
      </x:c>
      <x:c r="E1366" s="24" t="n">
        <x:v>0.02789999999999999</x:v>
      </x:c>
      <x:c r="F1366" s="24" t="n">
        <x:f>ABS(D1366-E1366)</x:f>
        <x:v>0.02099999999999999</x:v>
      </x:c>
    </x:row>
    <x:row r="1367" ht="23" customHeight="1">
      <x:c r="A1367" s="10" t="str">
        <x:v>M10</x:v>
      </x:c>
      <x:c r="B1367" s="10" t="str">
        <x:v>CG_H0</x:v>
      </x:c>
      <x:c r="C1367" s="10" t="n">
        <x:v>2</x:v>
      </x:c>
      <x:c r="D1367" s="24" t="n">
        <x:v>0.319</x:v>
      </x:c>
      <x:c r="E1367" s="24" t="n">
        <x:v>0.14309999999999995</x:v>
      </x:c>
      <x:c r="F1367" s="24" t="n">
        <x:f>ABS(D1367-E1367)</x:f>
        <x:v>0.17590000000000006</x:v>
      </x:c>
    </x:row>
    <x:row r="1368" ht="23" customHeight="1">
      <x:c r="A1368" s="10" t="str">
        <x:v>M10</x:v>
      </x:c>
      <x:c r="B1368" s="10" t="str">
        <x:v>CG_H0</x:v>
      </x:c>
      <x:c r="C1368" s="10" t="n">
        <x:v>3</x:v>
      </x:c>
      <x:c r="D1368" s="24" t="n">
        <x:v>0.4892</x:v>
      </x:c>
      <x:c r="E1368" s="24" t="n">
        <x:v>0.46589999999999987</x:v>
      </x:c>
      <x:c r="F1368" s="24" t="n">
        <x:f>ABS(D1368-E1368)</x:f>
        <x:v>0.023300000000000154</x:v>
      </x:c>
    </x:row>
    <x:row r="1369" ht="23" customHeight="1">
      <x:c r="A1369" s="10" t="str">
        <x:v>M10</x:v>
      </x:c>
      <x:c r="B1369" s="10" t="str">
        <x:v>CG_H0</x:v>
      </x:c>
      <x:c r="C1369" s="10" t="n">
        <x:v>4</x:v>
      </x:c>
      <x:c r="D1369" s="24" t="n">
        <x:v>0.1331</x:v>
      </x:c>
      <x:c r="E1369" s="24" t="n">
        <x:v>0.20029999999999995</x:v>
      </x:c>
      <x:c r="F1369" s="24" t="n">
        <x:f>ABS(D1369-E1369)</x:f>
        <x:v>0.06719999999999995</x:v>
      </x:c>
    </x:row>
    <x:row r="1370" ht="23" customHeight="1">
      <x:c r="A1370" s="10" t="str">
        <x:v>M10</x:v>
      </x:c>
      <x:c r="B1370" s="10" t="str">
        <x:v>CG_H0</x:v>
      </x:c>
      <x:c r="C1370" s="10" t="n">
        <x:v>5</x:v>
      </x:c>
      <x:c r="D1370" s="24" t="n">
        <x:v>0.0387</x:v>
      </x:c>
      <x:c r="E1370" s="24" t="n">
        <x:v>0.05289999999999998</x:v>
      </x:c>
      <x:c r="F1370" s="24" t="n">
        <x:f>ABS(D1370-E1370)</x:f>
        <x:v>0.014199999999999983</x:v>
      </x:c>
    </x:row>
    <x:row r="1371" ht="23" customHeight="1">
      <x:c r="A1371" s="10" t="str">
        <x:v>M10</x:v>
      </x:c>
      <x:c r="B1371" s="10" t="str">
        <x:v>CG_H0</x:v>
      </x:c>
      <x:c r="C1371" s="10" t="n">
        <x:v>6</x:v>
      </x:c>
      <x:c r="D1371" s="24" t="n">
        <x:v>0.0123</x:v>
      </x:c>
      <x:c r="E1371" s="24" t="n">
        <x:v>0.04579999999999998</x:v>
      </x:c>
      <x:c r="F1371" s="24" t="n">
        <x:f>ABS(D1371-E1371)</x:f>
        <x:v>0.03349999999999998</x:v>
      </x:c>
    </x:row>
    <x:row r="1372" ht="23" customHeight="1">
      <x:c r="A1372" s="10" t="str">
        <x:v>M10</x:v>
      </x:c>
      <x:c r="B1372" s="10" t="str">
        <x:v>CG_H0</x:v>
      </x:c>
      <x:c r="C1372" s="10" t="n">
        <x:v>7</x:v>
      </x:c>
      <x:c r="D1372" s="24" t="n">
        <x:v>0.0008</x:v>
      </x:c>
      <x:c r="E1372" s="24" t="n">
        <x:v>0.020399999999999995</x:v>
      </x:c>
      <x:c r="F1372" s="24" t="n">
        <x:f>ABS(D1372-E1372)</x:f>
        <x:v>0.019599999999999996</x:v>
      </x:c>
    </x:row>
    <x:row r="1373" ht="23" customHeight="1">
      <x:c r="A1373" s="10" t="str">
        <x:v>M10</x:v>
      </x:c>
      <x:c r="B1373" s="10" t="str">
        <x:v>CG_H0</x:v>
      </x:c>
      <x:c r="C1373" s="10" t="n">
        <x:v>8</x:v>
      </x:c>
      <x:c r="D1373" s="24" t="n">
        <x:v>0</x:v>
      </x:c>
      <x:c r="E1373" s="24" t="n">
        <x:v>0.012899999999999997</x:v>
      </x:c>
      <x:c r="F1373" s="24" t="n">
        <x:f>ABS(D1373-E1373)</x:f>
        <x:v>0.012899999999999997</x:v>
      </x:c>
    </x:row>
    <x:row r="1374" ht="23" customHeight="1">
      <x:c r="A1374" s="10" t="str">
        <x:v>M10</x:v>
      </x:c>
      <x:c r="B1374" s="10" t="str">
        <x:v>CG_H0</x:v>
      </x:c>
      <x:c r="C1374" s="10" t="n">
        <x:v>9</x:v>
      </x:c>
      <x:c r="D1374" s="24" t="n">
        <x:v>0</x:v>
      </x:c>
      <x:c r="E1374" s="24" t="n">
        <x:v>0.030399999999999993</x:v>
      </x:c>
      <x:c r="F1374" s="24" t="n">
        <x:f>ABS(D1374-E1374)</x:f>
        <x:v>0.030399999999999993</x:v>
      </x:c>
    </x:row>
    <x:row r="1375" ht="23" customHeight="1">
      <x:c r="A1375" s="10" t="str">
        <x:v>M10</x:v>
      </x:c>
      <x:c r="B1375" s="10" t="str">
        <x:v>CG_H0</x:v>
      </x:c>
      <x:c r="C1375" s="10" t="n">
        <x:v>10</x:v>
      </x:c>
      <x:c r="D1375" s="24" t="n">
        <x:v>0</x:v>
      </x:c>
      <x:c r="E1375" s="24" t="n">
        <x:v>0.00039999999999999986</x:v>
      </x:c>
      <x:c r="F1375" s="24" t="n">
        <x:f>ABS(D1375-E1375)</x:f>
        <x:v>0.00039999999999999986</x:v>
      </x:c>
    </x:row>
    <x:row r="1376" ht="23" customHeight="1">
      <x:c r="A1376" s="10" t="str">
        <x:v>M10</x:v>
      </x:c>
      <x:c r="B1376" s="10" t="str">
        <x:v>CG_H1</x:v>
      </x:c>
      <x:c r="C1376" s="10" t="n">
        <x:v>1</x:v>
      </x:c>
      <x:c r="D1376" s="24" t="n">
        <x:v>0.006900690069006902</x:v>
      </x:c>
      <x:c r="E1376" s="24" t="n">
        <x:v>0.02789999999999999</x:v>
      </x:c>
      <x:c r="F1376" s="24" t="n">
        <x:f>ABS(D1376-E1376)</x:f>
        <x:v>0.02099930993099309</x:v>
      </x:c>
    </x:row>
    <x:row r="1377" ht="23" customHeight="1">
      <x:c r="A1377" s="10" t="str">
        <x:v>M10</x:v>
      </x:c>
      <x:c r="B1377" s="10" t="str">
        <x:v>CG_H1</x:v>
      </x:c>
      <x:c r="C1377" s="10" t="n">
        <x:v>2</x:v>
      </x:c>
      <x:c r="D1377" s="24" t="n">
        <x:v>0.21102110211021105</x:v>
      </x:c>
      <x:c r="E1377" s="24" t="n">
        <x:v>0.14309999999999995</x:v>
      </x:c>
      <x:c r="F1377" s="24" t="n">
        <x:f>ABS(D1377-E1377)</x:f>
        <x:v>0.0679211021102111</x:v>
      </x:c>
    </x:row>
    <x:row r="1378" ht="23" customHeight="1">
      <x:c r="A1378" s="10" t="str">
        <x:v>M10</x:v>
      </x:c>
      <x:c r="B1378" s="10" t="str">
        <x:v>CG_H1</x:v>
      </x:c>
      <x:c r="C1378" s="10" t="n">
        <x:v>3</x:v>
      </x:c>
      <x:c r="D1378" s="24" t="n">
        <x:v>0.5577557755775578</x:v>
      </x:c>
      <x:c r="E1378" s="24" t="n">
        <x:v>0.46589999999999987</x:v>
      </x:c>
      <x:c r="F1378" s="24" t="n">
        <x:f>ABS(D1378-E1378)</x:f>
        <x:v>0.09185577557755797</x:v>
      </x:c>
    </x:row>
    <x:row r="1379" ht="23" customHeight="1">
      <x:c r="A1379" s="10" t="str">
        <x:v>M10</x:v>
      </x:c>
      <x:c r="B1379" s="10" t="str">
        <x:v>CG_H1</x:v>
      </x:c>
      <x:c r="C1379" s="10" t="n">
        <x:v>4</x:v>
      </x:c>
      <x:c r="D1379" s="24" t="n">
        <x:v>0.16791679167916793</x:v>
      </x:c>
      <x:c r="E1379" s="24" t="n">
        <x:v>0.20029999999999995</x:v>
      </x:c>
      <x:c r="F1379" s="24" t="n">
        <x:f>ABS(D1379-E1379)</x:f>
        <x:v>0.032383208320832024</x:v>
      </x:c>
    </x:row>
    <x:row r="1380" ht="23" customHeight="1">
      <x:c r="A1380" s="10" t="str">
        <x:v>M10</x:v>
      </x:c>
      <x:c r="B1380" s="10" t="str">
        <x:v>CG_H1</x:v>
      </x:c>
      <x:c r="C1380" s="10" t="n">
        <x:v>5</x:v>
      </x:c>
      <x:c r="D1380" s="24" t="n">
        <x:v>0.040804080408040816</x:v>
      </x:c>
      <x:c r="E1380" s="24" t="n">
        <x:v>0.05289999999999998</x:v>
      </x:c>
      <x:c r="F1380" s="24" t="n">
        <x:f>ABS(D1380-E1380)</x:f>
        <x:v>0.012095919591959166</x:v>
      </x:c>
    </x:row>
    <x:row r="1381" ht="23" customHeight="1">
      <x:c r="A1381" s="10" t="str">
        <x:v>M10</x:v>
      </x:c>
      <x:c r="B1381" s="10" t="str">
        <x:v>CG_H1</x:v>
      </x:c>
      <x:c r="C1381" s="10" t="n">
        <x:v>6</x:v>
      </x:c>
      <x:c r="D1381" s="24" t="n">
        <x:v>0.014601460146014605</x:v>
      </x:c>
      <x:c r="E1381" s="24" t="n">
        <x:v>0.04579999999999998</x:v>
      </x:c>
      <x:c r="F1381" s="24" t="n">
        <x:f>ABS(D1381-E1381)</x:f>
        <x:v>0.031198539853985373</x:v>
      </x:c>
    </x:row>
    <x:row r="1382" ht="23" customHeight="1">
      <x:c r="A1382" s="10" t="str">
        <x:v>M10</x:v>
      </x:c>
      <x:c r="B1382" s="10" t="str">
        <x:v>CG_H1</x:v>
      </x:c>
      <x:c r="C1382" s="10" t="n">
        <x:v>7</x:v>
      </x:c>
      <x:c r="D1382" s="24" t="n">
        <x:v>0.0010001000100010003</x:v>
      </x:c>
      <x:c r="E1382" s="24" t="n">
        <x:v>0.020399999999999995</x:v>
      </x:c>
      <x:c r="F1382" s="24" t="n">
        <x:f>ABS(D1382-E1382)</x:f>
        <x:v>0.019399899989998994</x:v>
      </x:c>
    </x:row>
    <x:row r="1383" ht="23" customHeight="1">
      <x:c r="A1383" s="10" t="str">
        <x:v>M10</x:v>
      </x:c>
      <x:c r="B1383" s="10" t="str">
        <x:v>CG_H1</x:v>
      </x:c>
      <x:c r="C1383" s="10" t="n">
        <x:v>8</x:v>
      </x:c>
      <x:c r="D1383" s="24" t="n">
        <x:v>0</x:v>
      </x:c>
      <x:c r="E1383" s="24" t="n">
        <x:v>0.012899999999999997</x:v>
      </x:c>
      <x:c r="F1383" s="24" t="n">
        <x:f>ABS(D1383-E1383)</x:f>
        <x:v>0.012899999999999997</x:v>
      </x:c>
    </x:row>
    <x:row r="1384" ht="23" customHeight="1">
      <x:c r="A1384" s="10" t="str">
        <x:v>M10</x:v>
      </x:c>
      <x:c r="B1384" s="10" t="str">
        <x:v>CG_H1</x:v>
      </x:c>
      <x:c r="C1384" s="10" t="n">
        <x:v>9</x:v>
      </x:c>
      <x:c r="D1384" s="24" t="n">
        <x:v>0</x:v>
      </x:c>
      <x:c r="E1384" s="24" t="n">
        <x:v>0.030399999999999993</x:v>
      </x:c>
      <x:c r="F1384" s="24" t="n">
        <x:f>ABS(D1384-E1384)</x:f>
        <x:v>0.030399999999999993</x:v>
      </x:c>
    </x:row>
    <x:row r="1385" ht="23" customHeight="1">
      <x:c r="A1385" s="10" t="str">
        <x:v>M10</x:v>
      </x:c>
      <x:c r="B1385" s="10" t="str">
        <x:v>CG_H1</x:v>
      </x:c>
      <x:c r="C1385" s="10" t="n">
        <x:v>10</x:v>
      </x:c>
      <x:c r="D1385" s="24" t="n">
        <x:v>0</x:v>
      </x:c>
      <x:c r="E1385" s="24" t="n">
        <x:v>0.00039999999999999986</x:v>
      </x:c>
      <x:c r="F1385" s="24" t="n">
        <x:f>ABS(D1385-E1385)</x:f>
        <x:v>0.00039999999999999986</x:v>
      </x:c>
    </x:row>
    <x:row r="1386" ht="23" customHeight="1">
      <x:c r="A1386" s="10" t="str">
        <x:v>M10</x:v>
      </x:c>
      <x:c r="B1386" s="10" t="str">
        <x:v>NCG_H0</x:v>
      </x:c>
      <x:c r="C1386" s="10" t="n">
        <x:v>1</x:v>
      </x:c>
      <x:c r="D1386" s="24" t="n">
        <x:v>0.028900000000000006</x:v>
      </x:c>
      <x:c r="E1386" s="24" t="n">
        <x:v>0.02789999999999999</x:v>
      </x:c>
      <x:c r="F1386" s="24" t="n">
        <x:f>ABS(D1386-E1386)</x:f>
        <x:v>0.0010000000000000148</x:v>
      </x:c>
    </x:row>
    <x:row r="1387" ht="23" customHeight="1">
      <x:c r="A1387" s="10" t="str">
        <x:v>M10</x:v>
      </x:c>
      <x:c r="B1387" s="10" t="str">
        <x:v>NCG_H0</x:v>
      </x:c>
      <x:c r="C1387" s="10" t="n">
        <x:v>2</x:v>
      </x:c>
      <x:c r="D1387" s="24" t="n">
        <x:v>0.23970000000000002</x:v>
      </x:c>
      <x:c r="E1387" s="24" t="n">
        <x:v>0.14309999999999995</x:v>
      </x:c>
      <x:c r="F1387" s="24" t="n">
        <x:f>ABS(D1387-E1387)</x:f>
        <x:v>0.09660000000000007</x:v>
      </x:c>
    </x:row>
    <x:row r="1388" ht="23" customHeight="1">
      <x:c r="A1388" s="10" t="str">
        <x:v>M10</x:v>
      </x:c>
      <x:c r="B1388" s="10" t="str">
        <x:v>NCG_H0</x:v>
      </x:c>
      <x:c r="C1388" s="10" t="n">
        <x:v>3</x:v>
      </x:c>
      <x:c r="D1388" s="24" t="n">
        <x:v>0.4565000000000001</x:v>
      </x:c>
      <x:c r="E1388" s="24" t="n">
        <x:v>0.46589999999999987</x:v>
      </x:c>
      <x:c r="F1388" s="24" t="n">
        <x:f>ABS(D1388-E1388)</x:f>
        <x:v>0.009399999999999797</x:v>
      </x:c>
    </x:row>
    <x:row r="1389" ht="23" customHeight="1">
      <x:c r="A1389" s="10" t="str">
        <x:v>M10</x:v>
      </x:c>
      <x:c r="B1389" s="10" t="str">
        <x:v>NCG_H0</x:v>
      </x:c>
      <x:c r="C1389" s="10" t="n">
        <x:v>4</x:v>
      </x:c>
      <x:c r="D1389" s="24" t="n">
        <x:v>0.1531</x:v>
      </x:c>
      <x:c r="E1389" s="24" t="n">
        <x:v>0.20029999999999995</x:v>
      </x:c>
      <x:c r="F1389" s="24" t="n">
        <x:f>ABS(D1389-E1389)</x:f>
        <x:v>0.047199999999999936</x:v>
      </x:c>
    </x:row>
    <x:row r="1390" ht="23" customHeight="1">
      <x:c r="A1390" s="10" t="str">
        <x:v>M10</x:v>
      </x:c>
      <x:c r="B1390" s="10" t="str">
        <x:v>NCG_H0</x:v>
      </x:c>
      <x:c r="C1390" s="10" t="n">
        <x:v>5</x:v>
      </x:c>
      <x:c r="D1390" s="24" t="n">
        <x:v>0.039400000000000004</x:v>
      </x:c>
      <x:c r="E1390" s="24" t="n">
        <x:v>0.05289999999999998</x:v>
      </x:c>
      <x:c r="F1390" s="24" t="n">
        <x:f>ABS(D1390-E1390)</x:f>
        <x:v>0.013499999999999977</x:v>
      </x:c>
    </x:row>
    <x:row r="1391" ht="23" customHeight="1">
      <x:c r="A1391" s="10" t="str">
        <x:v>M10</x:v>
      </x:c>
      <x:c r="B1391" s="10" t="str">
        <x:v>NCG_H0</x:v>
      </x:c>
      <x:c r="C1391" s="10" t="n">
        <x:v>6</x:v>
      </x:c>
      <x:c r="D1391" s="24" t="n">
        <x:v>0.020600000000000004</x:v>
      </x:c>
      <x:c r="E1391" s="24" t="n">
        <x:v>0.04579999999999998</x:v>
      </x:c>
      <x:c r="F1391" s="24" t="n">
        <x:f>ABS(D1391-E1391)</x:f>
        <x:v>0.025199999999999976</x:v>
      </x:c>
    </x:row>
    <x:row r="1392" ht="23" customHeight="1">
      <x:c r="A1392" s="10" t="str">
        <x:v>M10</x:v>
      </x:c>
      <x:c r="B1392" s="10" t="str">
        <x:v>NCG_H0</x:v>
      </x:c>
      <x:c r="C1392" s="10" t="n">
        <x:v>7</x:v>
      </x:c>
      <x:c r="D1392" s="24" t="n">
        <x:v>0.018500000000000003</x:v>
      </x:c>
      <x:c r="E1392" s="24" t="n">
        <x:v>0.020399999999999995</x:v>
      </x:c>
      <x:c r="F1392" s="24" t="n">
        <x:f>ABS(D1392-E1392)</x:f>
        <x:v>0.001899999999999992</x:v>
      </x:c>
    </x:row>
    <x:row r="1393" ht="23" customHeight="1">
      <x:c r="A1393" s="10" t="str">
        <x:v>M10</x:v>
      </x:c>
      <x:c r="B1393" s="10" t="str">
        <x:v>NCG_H0</x:v>
      </x:c>
      <x:c r="C1393" s="10" t="n">
        <x:v>8</x:v>
      </x:c>
      <x:c r="D1393" s="24" t="n">
        <x:v>0.009400000000000002</x:v>
      </x:c>
      <x:c r="E1393" s="24" t="n">
        <x:v>0.012899999999999997</x:v>
      </x:c>
      <x:c r="F1393" s="24" t="n">
        <x:f>ABS(D1393-E1393)</x:f>
        <x:v>0.0034999999999999944</x:v>
      </x:c>
    </x:row>
    <x:row r="1394" ht="23" customHeight="1">
      <x:c r="A1394" s="10" t="str">
        <x:v>M10</x:v>
      </x:c>
      <x:c r="B1394" s="10" t="str">
        <x:v>NCG_H0</x:v>
      </x:c>
      <x:c r="C1394" s="10" t="n">
        <x:v>9</x:v>
      </x:c>
      <x:c r="D1394" s="24" t="n">
        <x:v>0.03370000000000001</x:v>
      </x:c>
      <x:c r="E1394" s="24" t="n">
        <x:v>0.030399999999999993</x:v>
      </x:c>
      <x:c r="F1394" s="24" t="n">
        <x:f>ABS(D1394-E1394)</x:f>
        <x:v>0.0033000000000000147</x:v>
      </x:c>
    </x:row>
    <x:row r="1395" ht="23" customHeight="1">
      <x:c r="A1395" s="10" t="str">
        <x:v>M10</x:v>
      </x:c>
      <x:c r="B1395" s="10" t="str">
        <x:v>NCG_H0</x:v>
      </x:c>
      <x:c r="C1395" s="10" t="n">
        <x:v>10</x:v>
      </x:c>
      <x:c r="D1395" s="24" t="n">
        <x:v>0.00020000000000000004</x:v>
      </x:c>
      <x:c r="E1395" s="24" t="n">
        <x:v>0.00039999999999999986</x:v>
      </x:c>
      <x:c r="F1395" s="24" t="n">
        <x:f>ABS(D1395-E1395)</x:f>
        <x:v>0.00019999999999999982</x:v>
      </x:c>
    </x:row>
    <x:row r="1396" ht="23" customHeight="1">
      <x:c r="A1396" s="10" t="str">
        <x:v>M10</x:v>
      </x:c>
      <x:c r="B1396" s="10" t="str">
        <x:v>NCG_H1</x:v>
      </x:c>
      <x:c r="C1396" s="10" t="n">
        <x:v>1</x:v>
      </x:c>
      <x:c r="D1396" s="24" t="n">
        <x:v>0.0288971102889711</x:v>
      </x:c>
      <x:c r="E1396" s="24" t="n">
        <x:v>0.02789999999999999</x:v>
      </x:c>
      <x:c r="F1396" s="24" t="n">
        <x:f>ABS(D1396-E1396)</x:f>
        <x:v>0.00099711028897111</x:v>
      </x:c>
    </x:row>
    <x:row r="1397" ht="23" customHeight="1">
      <x:c r="A1397" s="10" t="str">
        <x:v>M10</x:v>
      </x:c>
      <x:c r="B1397" s="10" t="str">
        <x:v>NCG_H1</x:v>
      </x:c>
      <x:c r="C1397" s="10" t="n">
        <x:v>2</x:v>
      </x:c>
      <x:c r="D1397" s="24" t="n">
        <x:v>0.14158584141585842</x:v>
      </x:c>
      <x:c r="E1397" s="24" t="n">
        <x:v>0.14309999999999995</x:v>
      </x:c>
      <x:c r="F1397" s="24" t="n">
        <x:f>ABS(D1397-E1397)</x:f>
        <x:v>0.0015141585841415284</x:v>
      </x:c>
    </x:row>
    <x:row r="1398" ht="23" customHeight="1">
      <x:c r="A1398" s="10" t="str">
        <x:v>M10</x:v>
      </x:c>
      <x:c r="B1398" s="10" t="str">
        <x:v>NCG_H1</x:v>
      </x:c>
      <x:c r="C1398" s="10" t="n">
        <x:v>3</x:v>
      </x:c>
      <x:c r="D1398" s="24" t="n">
        <x:v>0.4812518748125187</x:v>
      </x:c>
      <x:c r="E1398" s="24" t="n">
        <x:v>0.46589999999999987</x:v>
      </x:c>
      <x:c r="F1398" s="24" t="n">
        <x:f>ABS(D1398-E1398)</x:f>
        <x:v>0.015351874812518818</x:v>
      </x:c>
    </x:row>
    <x:row r="1399" ht="23" customHeight="1">
      <x:c r="A1399" s="10" t="str">
        <x:v>M10</x:v>
      </x:c>
      <x:c r="B1399" s="10" t="str">
        <x:v>NCG_H1</x:v>
      </x:c>
      <x:c r="C1399" s="10" t="n">
        <x:v>4</x:v>
      </x:c>
      <x:c r="D1399" s="24" t="n">
        <x:v>0.1890810918908109</x:v>
      </x:c>
      <x:c r="E1399" s="24" t="n">
        <x:v>0.20029999999999995</x:v>
      </x:c>
      <x:c r="F1399" s="24" t="n">
        <x:f>ABS(D1399-E1399)</x:f>
        <x:v>0.011218908109189046</x:v>
      </x:c>
    </x:row>
    <x:row r="1400" ht="23" customHeight="1">
      <x:c r="A1400" s="10" t="str">
        <x:v>M10</x:v>
      </x:c>
      <x:c r="B1400" s="10" t="str">
        <x:v>NCG_H1</x:v>
      </x:c>
      <x:c r="C1400" s="10" t="n">
        <x:v>5</x:v>
      </x:c>
      <x:c r="D1400" s="24" t="n">
        <x:v>0.0480951904809519</x:v>
      </x:c>
      <x:c r="E1400" s="24" t="n">
        <x:v>0.05289999999999998</x:v>
      </x:c>
      <x:c r="F1400" s="24" t="n">
        <x:f>ABS(D1400-E1400)</x:f>
        <x:v>0.0048048095190480825</x:v>
      </x:c>
    </x:row>
    <x:row r="1401" ht="23" customHeight="1">
      <x:c r="A1401" s="10" t="str">
        <x:v>M10</x:v>
      </x:c>
      <x:c r="B1401" s="10" t="str">
        <x:v>NCG_H1</x:v>
      </x:c>
      <x:c r="C1401" s="10" t="n">
        <x:v>6</x:v>
      </x:c>
      <x:c r="D1401" s="24" t="n">
        <x:v>0.049095090490950906</x:v>
      </x:c>
      <x:c r="E1401" s="24" t="n">
        <x:v>0.04579999999999998</x:v>
      </x:c>
      <x:c r="F1401" s="24" t="n">
        <x:f>ABS(D1401-E1401)</x:f>
        <x:v>0.0032950904909509263</x:v>
      </x:c>
    </x:row>
    <x:row r="1402" ht="23" customHeight="1">
      <x:c r="A1402" s="10" t="str">
        <x:v>M10</x:v>
      </x:c>
      <x:c r="B1402" s="10" t="str">
        <x:v>NCG_H1</x:v>
      </x:c>
      <x:c r="C1402" s="10" t="n">
        <x:v>7</x:v>
      </x:c>
      <x:c r="D1402" s="24" t="n">
        <x:v>0.018698130186981302</x:v>
      </x:c>
      <x:c r="E1402" s="24" t="n">
        <x:v>0.020399999999999995</x:v>
      </x:c>
      <x:c r="F1402" s="24" t="n">
        <x:f>ABS(D1402-E1402)</x:f>
        <x:v>0.0017018698130186923</x:v>
      </x:c>
    </x:row>
    <x:row r="1403" ht="23" customHeight="1">
      <x:c r="A1403" s="10" t="str">
        <x:v>M10</x:v>
      </x:c>
      <x:c r="B1403" s="10" t="str">
        <x:v>NCG_H1</x:v>
      </x:c>
      <x:c r="C1403" s="10" t="n">
        <x:v>8</x:v>
      </x:c>
      <x:c r="D1403" s="24" t="n">
        <x:v>0.0093990600939906</x:v>
      </x:c>
      <x:c r="E1403" s="24" t="n">
        <x:v>0.012899999999999997</x:v>
      </x:c>
      <x:c r="F1403" s="24" t="n">
        <x:f>ABS(D1403-E1403)</x:f>
        <x:v>0.0035009399060093958</x:v>
      </x:c>
    </x:row>
    <x:row r="1404" ht="23" customHeight="1">
      <x:c r="A1404" s="10" t="str">
        <x:v>M10</x:v>
      </x:c>
      <x:c r="B1404" s="10" t="str">
        <x:v>NCG_H1</x:v>
      </x:c>
      <x:c r="C1404" s="10" t="n">
        <x:v>9</x:v>
      </x:c>
      <x:c r="D1404" s="24" t="n">
        <x:v>0.0336966303369663</x:v>
      </x:c>
      <x:c r="E1404" s="24" t="n">
        <x:v>0.030399999999999993</x:v>
      </x:c>
      <x:c r="F1404" s="24" t="n">
        <x:f>ABS(D1404-E1404)</x:f>
        <x:v>0.0032966303369663073</x:v>
      </x:c>
    </x:row>
    <x:row r="1405" ht="23" customHeight="1">
      <x:c r="A1405" s="10" t="str">
        <x:v>M10</x:v>
      </x:c>
      <x:c r="B1405" s="10" t="str">
        <x:v>NCG_H1</x:v>
      </x:c>
      <x:c r="C1405" s="10" t="n">
        <x:v>10</x:v>
      </x:c>
      <x:c r="D1405" s="24" t="n">
        <x:v>0.0001999800019998</x:v>
      </x:c>
      <x:c r="E1405" s="24" t="n">
        <x:v>0.00039999999999999986</x:v>
      </x:c>
      <x:c r="F1405" s="24" t="n">
        <x:f>ABS(D1405-E1405)</x:f>
        <x:v>0.00020001999800019985</x:v>
      </x:c>
    </x:row>
    <x:row r="1406" ht="23" customHeight="1">
      <x:c r="A1406" s="10" t="str">
        <x:v>M11</x:v>
      </x:c>
      <x:c r="B1406" s="10" t="str">
        <x:v>N_H0</x:v>
      </x:c>
      <x:c r="C1406" s="10" t="n">
        <x:v>1</x:v>
      </x:c>
      <x:c r="D1406" s="24" t="n">
        <x:v>0</x:v>
      </x:c>
      <x:c r="E1406" s="24" t="n">
        <x:v>0.013699999999999999</x:v>
      </x:c>
      <x:c r="F1406" s="24" t="n">
        <x:f>ABS(D1406-E1406)</x:f>
        <x:v>0.013699999999999999</x:v>
      </x:c>
    </x:row>
    <x:row r="1407" ht="23" customHeight="1">
      <x:c r="A1407" s="10" t="str">
        <x:v>M11</x:v>
      </x:c>
      <x:c r="B1407" s="10" t="str">
        <x:v>N_H0</x:v>
      </x:c>
      <x:c r="C1407" s="10" t="n">
        <x:v>2</x:v>
      </x:c>
      <x:c r="D1407" s="24" t="n">
        <x:v>0.0929</x:v>
      </x:c>
      <x:c r="E1407" s="24" t="n">
        <x:v>0.2804</x:v>
      </x:c>
      <x:c r="F1407" s="24" t="n">
        <x:f>ABS(D1407-E1407)</x:f>
        <x:v>0.1875</x:v>
      </x:c>
    </x:row>
    <x:row r="1408" ht="23" customHeight="1">
      <x:c r="A1408" s="10" t="str">
        <x:v>M11</x:v>
      </x:c>
      <x:c r="B1408" s="10" t="str">
        <x:v>N_H0</x:v>
      </x:c>
      <x:c r="C1408" s="10" t="n">
        <x:v>3</x:v>
      </x:c>
      <x:c r="D1408" s="24" t="n">
        <x:v>0.0204</x:v>
      </x:c>
      <x:c r="E1408" s="24" t="n">
        <x:v>0.37349999999999994</x:v>
      </x:c>
      <x:c r="F1408" s="24" t="n">
        <x:f>ABS(D1408-E1408)</x:f>
        <x:v>0.35309999999999997</x:v>
      </x:c>
    </x:row>
    <x:row r="1409" ht="23" customHeight="1">
      <x:c r="A1409" s="10" t="str">
        <x:v>M11</x:v>
      </x:c>
      <x:c r="B1409" s="10" t="str">
        <x:v>N_H0</x:v>
      </x:c>
      <x:c r="C1409" s="10" t="n">
        <x:v>4</x:v>
      </x:c>
      <x:c r="D1409" s="24" t="n">
        <x:v>0</x:v>
      </x:c>
      <x:c r="E1409" s="24" t="n">
        <x:v>0.17239999999999994</x:v>
      </x:c>
      <x:c r="F1409" s="24" t="n">
        <x:f>ABS(D1409-E1409)</x:f>
        <x:v>0.17239999999999994</x:v>
      </x:c>
    </x:row>
    <x:row r="1410" ht="23" customHeight="1">
      <x:c r="A1410" s="10" t="str">
        <x:v>M11</x:v>
      </x:c>
      <x:c r="B1410" s="10" t="str">
        <x:v>N_H0</x:v>
      </x:c>
      <x:c r="C1410" s="10" t="n">
        <x:v>5</x:v>
      </x:c>
      <x:c r="D1410" s="24" t="n">
        <x:v>0.7295999999999999</x:v>
      </x:c>
      <x:c r="E1410" s="24" t="n">
        <x:v>0.04799999999999999</x:v>
      </x:c>
      <x:c r="F1410" s="24" t="n">
        <x:f>ABS(D1410-E1410)</x:f>
        <x:v>0.6816</x:v>
      </x:c>
    </x:row>
    <x:row r="1411" ht="23" customHeight="1">
      <x:c r="A1411" s="10" t="str">
        <x:v>M11</x:v>
      </x:c>
      <x:c r="B1411" s="10" t="str">
        <x:v>N_H0</x:v>
      </x:c>
      <x:c r="C1411" s="10" t="n">
        <x:v>6</x:v>
      </x:c>
      <x:c r="D1411" s="24" t="n">
        <x:v>0.0039000000000000003</x:v>
      </x:c>
      <x:c r="E1411" s="24" t="n">
        <x:v>0.024199999999999996</x:v>
      </x:c>
      <x:c r="F1411" s="24" t="n">
        <x:f>ABS(D1411-E1411)</x:f>
        <x:v>0.020299999999999995</x:v>
      </x:c>
    </x:row>
    <x:row r="1412" ht="23" customHeight="1">
      <x:c r="A1412" s="10" t="str">
        <x:v>M11</x:v>
      </x:c>
      <x:c r="B1412" s="10" t="str">
        <x:v>N_H0</x:v>
      </x:c>
      <x:c r="C1412" s="10" t="n">
        <x:v>7</x:v>
      </x:c>
      <x:c r="D1412" s="24" t="n">
        <x:v>0.0172</x:v>
      </x:c>
      <x:c r="E1412" s="24" t="n">
        <x:v>0.031199999999999995</x:v>
      </x:c>
      <x:c r="F1412" s="24" t="n">
        <x:f>ABS(D1412-E1412)</x:f>
        <x:v>0.013999999999999995</x:v>
      </x:c>
    </x:row>
    <x:row r="1413" ht="23" customHeight="1">
      <x:c r="A1413" s="10" t="str">
        <x:v>M11</x:v>
      </x:c>
      <x:c r="B1413" s="10" t="str">
        <x:v>N_H0</x:v>
      </x:c>
      <x:c r="C1413" s="10" t="n">
        <x:v>8</x:v>
      </x:c>
      <x:c r="D1413" s="24" t="n">
        <x:v>0.0967</x:v>
      </x:c>
      <x:c r="E1413" s="24" t="n">
        <x:v>0.03169999999999999</x:v>
      </x:c>
      <x:c r="F1413" s="24" t="n">
        <x:f>ABS(D1413-E1413)</x:f>
        <x:v>0.065</x:v>
      </x:c>
    </x:row>
    <x:row r="1414" ht="23" customHeight="1">
      <x:c r="A1414" s="10" t="str">
        <x:v>M11</x:v>
      </x:c>
      <x:c r="B1414" s="10" t="str">
        <x:v>N_H0</x:v>
      </x:c>
      <x:c r="C1414" s="10" t="n">
        <x:v>9</x:v>
      </x:c>
      <x:c r="D1414" s="24" t="n">
        <x:v>0.0393</x:v>
      </x:c>
      <x:c r="E1414" s="24" t="n">
        <x:v>0.024499999999999997</x:v>
      </x:c>
      <x:c r="F1414" s="24" t="n">
        <x:f>ABS(D1414-E1414)</x:f>
        <x:v>0.014800000000000004</x:v>
      </x:c>
    </x:row>
    <x:row r="1415" ht="23" customHeight="1">
      <x:c r="A1415" s="10" t="str">
        <x:v>M11</x:v>
      </x:c>
      <x:c r="B1415" s="10" t="str">
        <x:v>N_H0</x:v>
      </x:c>
      <x:c r="C1415" s="10" t="n">
        <x:v>10</x:v>
      </x:c>
      <x:c r="D1415" s="24" t="n">
        <x:v>0</x:v>
      </x:c>
      <x:c r="E1415" s="24" t="n">
        <x:v>0.00039999999999999996</x:v>
      </x:c>
      <x:c r="F1415" s="24" t="n">
        <x:f>ABS(D1415-E1415)</x:f>
        <x:v>0.00039999999999999996</x:v>
      </x:c>
    </x:row>
    <x:row r="1416" ht="23" customHeight="1">
      <x:c r="A1416" s="10" t="str">
        <x:v>M11</x:v>
      </x:c>
      <x:c r="B1416" s="10" t="str">
        <x:v>N_H1</x:v>
      </x:c>
      <x:c r="C1416" s="10" t="n">
        <x:v>1</x:v>
      </x:c>
      <x:c r="D1416" s="24" t="n">
        <x:v>0</x:v>
      </x:c>
      <x:c r="E1416" s="24" t="n">
        <x:v>0.013699999999999999</x:v>
      </x:c>
      <x:c r="F1416" s="24" t="n">
        <x:f>ABS(D1416-E1416)</x:f>
        <x:v>0.013699999999999999</x:v>
      </x:c>
    </x:row>
    <x:row r="1417" ht="23" customHeight="1">
      <x:c r="A1417" s="10" t="str">
        <x:v>M11</x:v>
      </x:c>
      <x:c r="B1417" s="10" t="str">
        <x:v>N_H1</x:v>
      </x:c>
      <x:c r="C1417" s="10" t="n">
        <x:v>2</x:v>
      </x:c>
      <x:c r="D1417" s="24" t="n">
        <x:v>0.08199999999999999</x:v>
      </x:c>
      <x:c r="E1417" s="24" t="n">
        <x:v>0.2804</x:v>
      </x:c>
      <x:c r="F1417" s="24" t="n">
        <x:f>ABS(D1417-E1417)</x:f>
        <x:v>0.1984</x:v>
      </x:c>
    </x:row>
    <x:row r="1418" ht="23" customHeight="1">
      <x:c r="A1418" s="10" t="str">
        <x:v>M11</x:v>
      </x:c>
      <x:c r="B1418" s="10" t="str">
        <x:v>N_H1</x:v>
      </x:c>
      <x:c r="C1418" s="10" t="n">
        <x:v>3</x:v>
      </x:c>
      <x:c r="D1418" s="24" t="n">
        <x:v>0.0069</x:v>
      </x:c>
      <x:c r="E1418" s="24" t="n">
        <x:v>0.37349999999999994</x:v>
      </x:c>
      <x:c r="F1418" s="24" t="n">
        <x:f>ABS(D1418-E1418)</x:f>
        <x:v>0.3665999999999999</x:v>
      </x:c>
    </x:row>
    <x:row r="1419" ht="23" customHeight="1">
      <x:c r="A1419" s="10" t="str">
        <x:v>M11</x:v>
      </x:c>
      <x:c r="B1419" s="10" t="str">
        <x:v>N_H1</x:v>
      </x:c>
      <x:c r="C1419" s="10" t="n">
        <x:v>4</x:v>
      </x:c>
      <x:c r="D1419" s="24" t="n">
        <x:v>0</x:v>
      </x:c>
      <x:c r="E1419" s="24" t="n">
        <x:v>0.17239999999999994</x:v>
      </x:c>
      <x:c r="F1419" s="24" t="n">
        <x:f>ABS(D1419-E1419)</x:f>
        <x:v>0.17239999999999994</x:v>
      </x:c>
    </x:row>
    <x:row r="1420" ht="23" customHeight="1">
      <x:c r="A1420" s="10" t="str">
        <x:v>M11</x:v>
      </x:c>
      <x:c r="B1420" s="10" t="str">
        <x:v>N_H1</x:v>
      </x:c>
      <x:c r="C1420" s="10" t="n">
        <x:v>5</x:v>
      </x:c>
      <x:c r="D1420" s="24" t="n">
        <x:v>0.7295999999999999</x:v>
      </x:c>
      <x:c r="E1420" s="24" t="n">
        <x:v>0.04799999999999999</x:v>
      </x:c>
      <x:c r="F1420" s="24" t="n">
        <x:f>ABS(D1420-E1420)</x:f>
        <x:v>0.6816</x:v>
      </x:c>
    </x:row>
    <x:row r="1421" ht="23" customHeight="1">
      <x:c r="A1421" s="10" t="str">
        <x:v>M11</x:v>
      </x:c>
      <x:c r="B1421" s="10" t="str">
        <x:v>N_H1</x:v>
      </x:c>
      <x:c r="C1421" s="10" t="n">
        <x:v>6</x:v>
      </x:c>
      <x:c r="D1421" s="24" t="n">
        <x:v>0.0171</x:v>
      </x:c>
      <x:c r="E1421" s="24" t="n">
        <x:v>0.024199999999999996</x:v>
      </x:c>
      <x:c r="F1421" s="24" t="n">
        <x:f>ABS(D1421-E1421)</x:f>
        <x:v>0.007099999999999995</x:v>
      </x:c>
    </x:row>
    <x:row r="1422" ht="23" customHeight="1">
      <x:c r="A1422" s="10" t="str">
        <x:v>M11</x:v>
      </x:c>
      <x:c r="B1422" s="10" t="str">
        <x:v>N_H1</x:v>
      </x:c>
      <x:c r="C1422" s="10" t="n">
        <x:v>7</x:v>
      </x:c>
      <x:c r="D1422" s="24" t="n">
        <x:v>0.028399999999999998</x:v>
      </x:c>
      <x:c r="E1422" s="24" t="n">
        <x:v>0.031199999999999995</x:v>
      </x:c>
      <x:c r="F1422" s="24" t="n">
        <x:f>ABS(D1422-E1422)</x:f>
        <x:v>0.002799999999999997</x:v>
      </x:c>
    </x:row>
    <x:row r="1423" ht="23" customHeight="1">
      <x:c r="A1423" s="10" t="str">
        <x:v>M11</x:v>
      </x:c>
      <x:c r="B1423" s="10" t="str">
        <x:v>N_H1</x:v>
      </x:c>
      <x:c r="C1423" s="10" t="n">
        <x:v>8</x:v>
      </x:c>
      <x:c r="D1423" s="24" t="n">
        <x:v>0.0967</x:v>
      </x:c>
      <x:c r="E1423" s="24" t="n">
        <x:v>0.03169999999999999</x:v>
      </x:c>
      <x:c r="F1423" s="24" t="n">
        <x:f>ABS(D1423-E1423)</x:f>
        <x:v>0.065</x:v>
      </x:c>
    </x:row>
    <x:row r="1424" ht="23" customHeight="1">
      <x:c r="A1424" s="10" t="str">
        <x:v>M11</x:v>
      </x:c>
      <x:c r="B1424" s="10" t="str">
        <x:v>N_H1</x:v>
      </x:c>
      <x:c r="C1424" s="10" t="n">
        <x:v>9</x:v>
      </x:c>
      <x:c r="D1424" s="24" t="n">
        <x:v>0.0393</x:v>
      </x:c>
      <x:c r="E1424" s="24" t="n">
        <x:v>0.024499999999999997</x:v>
      </x:c>
      <x:c r="F1424" s="24" t="n">
        <x:f>ABS(D1424-E1424)</x:f>
        <x:v>0.014800000000000004</x:v>
      </x:c>
    </x:row>
    <x:row r="1425" ht="23" customHeight="1">
      <x:c r="A1425" s="10" t="str">
        <x:v>M11</x:v>
      </x:c>
      <x:c r="B1425" s="10" t="str">
        <x:v>N_H1</x:v>
      </x:c>
      <x:c r="C1425" s="10" t="n">
        <x:v>10</x:v>
      </x:c>
      <x:c r="D1425" s="24" t="n">
        <x:v>0</x:v>
      </x:c>
      <x:c r="E1425" s="24" t="n">
        <x:v>0.00039999999999999996</x:v>
      </x:c>
      <x:c r="F1425" s="24" t="n">
        <x:f>ABS(D1425-E1425)</x:f>
        <x:v>0.00039999999999999996</x:v>
      </x:c>
    </x:row>
    <x:row r="1426" ht="23" customHeight="1">
      <x:c r="A1426" s="10" t="str">
        <x:v>M11</x:v>
      </x:c>
      <x:c r="B1426" s="10" t="str">
        <x:v>C_H0</x:v>
      </x:c>
      <x:c r="C1426" s="10" t="n">
        <x:v>1</x:v>
      </x:c>
      <x:c r="D1426" s="24" t="n">
        <x:v>0</x:v>
      </x:c>
      <x:c r="E1426" s="24" t="n">
        <x:v>0.013699999999999999</x:v>
      </x:c>
      <x:c r="F1426" s="24" t="n">
        <x:f>ABS(D1426-E1426)</x:f>
        <x:v>0.013699999999999999</x:v>
      </x:c>
    </x:row>
    <x:row r="1427" ht="23" customHeight="1">
      <x:c r="A1427" s="10" t="str">
        <x:v>M11</x:v>
      </x:c>
      <x:c r="B1427" s="10" t="str">
        <x:v>C_H0</x:v>
      </x:c>
      <x:c r="C1427" s="10" t="n">
        <x:v>2</x:v>
      </x:c>
      <x:c r="D1427" s="24" t="n">
        <x:v>0.2850142507125356</x:v>
      </x:c>
      <x:c r="E1427" s="24" t="n">
        <x:v>0.2804</x:v>
      </x:c>
      <x:c r="F1427" s="24" t="n">
        <x:f>ABS(D1427-E1427)</x:f>
        <x:v>0.004614250712535628</x:v>
      </x:c>
    </x:row>
    <x:row r="1428" ht="23" customHeight="1">
      <x:c r="A1428" s="10" t="str">
        <x:v>M11</x:v>
      </x:c>
      <x:c r="B1428" s="10" t="str">
        <x:v>C_H0</x:v>
      </x:c>
      <x:c r="C1428" s="10" t="n">
        <x:v>3</x:v>
      </x:c>
      <x:c r="D1428" s="24" t="n">
        <x:v>0</x:v>
      </x:c>
      <x:c r="E1428" s="24" t="n">
        <x:v>0.37349999999999994</x:v>
      </x:c>
      <x:c r="F1428" s="24" t="n">
        <x:f>ABS(D1428-E1428)</x:f>
        <x:v>0.37349999999999994</x:v>
      </x:c>
    </x:row>
    <x:row r="1429" ht="23" customHeight="1">
      <x:c r="A1429" s="10" t="str">
        <x:v>M11</x:v>
      </x:c>
      <x:c r="B1429" s="10" t="str">
        <x:v>C_H0</x:v>
      </x:c>
      <x:c r="C1429" s="10" t="n">
        <x:v>4</x:v>
      </x:c>
      <x:c r="D1429" s="24" t="n">
        <x:v>0</x:v>
      </x:c>
      <x:c r="E1429" s="24" t="n">
        <x:v>0.17239999999999994</x:v>
      </x:c>
      <x:c r="F1429" s="24" t="n">
        <x:f>ABS(D1429-E1429)</x:f>
        <x:v>0.17239999999999994</x:v>
      </x:c>
    </x:row>
    <x:row r="1430" ht="23" customHeight="1">
      <x:c r="A1430" s="10" t="str">
        <x:v>M11</x:v>
      </x:c>
      <x:c r="B1430" s="10" t="str">
        <x:v>C_H0</x:v>
      </x:c>
      <x:c r="C1430" s="10" t="n">
        <x:v>5</x:v>
      </x:c>
      <x:c r="D1430" s="24" t="n">
        <x:v>0.7145357267863394</x:v>
      </x:c>
      <x:c r="E1430" s="24" t="n">
        <x:v>0.04799999999999999</x:v>
      </x:c>
      <x:c r="F1430" s="24" t="n">
        <x:f>ABS(D1430-E1430)</x:f>
        <x:v>0.6665357267863394</x:v>
      </x:c>
    </x:row>
    <x:row r="1431" ht="23" customHeight="1">
      <x:c r="A1431" s="10" t="str">
        <x:v>M11</x:v>
      </x:c>
      <x:c r="B1431" s="10" t="str">
        <x:v>C_H0</x:v>
      </x:c>
      <x:c r="C1431" s="10" t="n">
        <x:v>6</x:v>
      </x:c>
      <x:c r="D1431" s="24" t="n">
        <x:v>0</x:v>
      </x:c>
      <x:c r="E1431" s="24" t="n">
        <x:v>0.024199999999999996</x:v>
      </x:c>
      <x:c r="F1431" s="24" t="n">
        <x:f>ABS(D1431-E1431)</x:f>
        <x:v>0.024199999999999996</x:v>
      </x:c>
    </x:row>
    <x:row r="1432" ht="23" customHeight="1">
      <x:c r="A1432" s="10" t="str">
        <x:v>M11</x:v>
      </x:c>
      <x:c r="B1432" s="10" t="str">
        <x:v>C_H0</x:v>
      </x:c>
      <x:c r="C1432" s="10" t="n">
        <x:v>7</x:v>
      </x:c>
      <x:c r="D1432" s="24" t="n">
        <x:v>0.00005000250012500625</x:v>
      </x:c>
      <x:c r="E1432" s="24" t="n">
        <x:v>0.031199999999999995</x:v>
      </x:c>
      <x:c r="F1432" s="24" t="n">
        <x:f>ABS(D1432-E1432)</x:f>
        <x:v>0.031149997499874987</x:v>
      </x:c>
    </x:row>
    <x:row r="1433" ht="23" customHeight="1">
      <x:c r="A1433" s="10" t="str">
        <x:v>M11</x:v>
      </x:c>
      <x:c r="B1433" s="10" t="str">
        <x:v>C_H0</x:v>
      </x:c>
      <x:c r="C1433" s="10" t="n">
        <x:v>8</x:v>
      </x:c>
      <x:c r="D1433" s="24" t="n">
        <x:v>0</x:v>
      </x:c>
      <x:c r="E1433" s="24" t="n">
        <x:v>0.03169999999999999</x:v>
      </x:c>
      <x:c r="F1433" s="24" t="n">
        <x:f>ABS(D1433-E1433)</x:f>
        <x:v>0.03169999999999999</x:v>
      </x:c>
    </x:row>
    <x:row r="1434" ht="23" customHeight="1">
      <x:c r="A1434" s="10" t="str">
        <x:v>M11</x:v>
      </x:c>
      <x:c r="B1434" s="10" t="str">
        <x:v>C_H0</x:v>
      </x:c>
      <x:c r="C1434" s="10" t="n">
        <x:v>9</x:v>
      </x:c>
      <x:c r="D1434" s="24" t="n">
        <x:v>0.00040002000100005</x:v>
      </x:c>
      <x:c r="E1434" s="24" t="n">
        <x:v>0.024499999999999997</x:v>
      </x:c>
      <x:c r="F1434" s="24" t="n">
        <x:f>ABS(D1434-E1434)</x:f>
        <x:v>0.024099979998999946</x:v>
      </x:c>
    </x:row>
    <x:row r="1435" ht="23" customHeight="1">
      <x:c r="A1435" s="10" t="str">
        <x:v>M11</x:v>
      </x:c>
      <x:c r="B1435" s="10" t="str">
        <x:v>C_H0</x:v>
      </x:c>
      <x:c r="C1435" s="10" t="n">
        <x:v>10</x:v>
      </x:c>
      <x:c r="D1435" s="24" t="n">
        <x:v>0</x:v>
      </x:c>
      <x:c r="E1435" s="24" t="n">
        <x:v>0.00039999999999999996</x:v>
      </x:c>
      <x:c r="F1435" s="24" t="n">
        <x:f>ABS(D1435-E1435)</x:f>
        <x:v>0.00039999999999999996</x:v>
      </x:c>
    </x:row>
    <x:row r="1436" ht="23" customHeight="1">
      <x:c r="A1436" s="10" t="str">
        <x:v>M11</x:v>
      </x:c>
      <x:c r="B1436" s="10" t="str">
        <x:v>C_H1</x:v>
      </x:c>
      <x:c r="C1436" s="10" t="n">
        <x:v>1</x:v>
      </x:c>
      <x:c r="D1436" s="24" t="n">
        <x:v>0</x:v>
      </x:c>
      <x:c r="E1436" s="24" t="n">
        <x:v>0.013699999999999999</x:v>
      </x:c>
      <x:c r="F1436" s="24" t="n">
        <x:f>ABS(D1436-E1436)</x:f>
        <x:v>0.013699999999999999</x:v>
      </x:c>
    </x:row>
    <x:row r="1437" ht="23" customHeight="1">
      <x:c r="A1437" s="10" t="str">
        <x:v>M11</x:v>
      </x:c>
      <x:c r="B1437" s="10" t="str">
        <x:v>C_H1</x:v>
      </x:c>
      <x:c r="C1437" s="10" t="n">
        <x:v>2</x:v>
      </x:c>
      <x:c r="D1437" s="24" t="n">
        <x:v>0.27309999999999995</x:v>
      </x:c>
      <x:c r="E1437" s="24" t="n">
        <x:v>0.2804</x:v>
      </x:c>
      <x:c r="F1437" s="24" t="n">
        <x:f>ABS(D1437-E1437)</x:f>
        <x:v>0.007300000000000029</x:v>
      </x:c>
    </x:row>
    <x:row r="1438" ht="23" customHeight="1">
      <x:c r="A1438" s="10" t="str">
        <x:v>M11</x:v>
      </x:c>
      <x:c r="B1438" s="10" t="str">
        <x:v>C_H1</x:v>
      </x:c>
      <x:c r="C1438" s="10" t="n">
        <x:v>3</x:v>
      </x:c>
      <x:c r="D1438" s="24" t="n">
        <x:v>0</x:v>
      </x:c>
      <x:c r="E1438" s="24" t="n">
        <x:v>0.37349999999999994</x:v>
      </x:c>
      <x:c r="F1438" s="24" t="n">
        <x:f>ABS(D1438-E1438)</x:f>
        <x:v>0.37349999999999994</x:v>
      </x:c>
    </x:row>
    <x:row r="1439" ht="23" customHeight="1">
      <x:c r="A1439" s="10" t="str">
        <x:v>M11</x:v>
      </x:c>
      <x:c r="B1439" s="10" t="str">
        <x:v>C_H1</x:v>
      </x:c>
      <x:c r="C1439" s="10" t="n">
        <x:v>4</x:v>
      </x:c>
      <x:c r="D1439" s="24" t="n">
        <x:v>0</x:v>
      </x:c>
      <x:c r="E1439" s="24" t="n">
        <x:v>0.17239999999999994</x:v>
      </x:c>
      <x:c r="F1439" s="24" t="n">
        <x:f>ABS(D1439-E1439)</x:f>
        <x:v>0.17239999999999994</x:v>
      </x:c>
    </x:row>
    <x:row r="1440" ht="23" customHeight="1">
      <x:c r="A1440" s="10" t="str">
        <x:v>M11</x:v>
      </x:c>
      <x:c r="B1440" s="10" t="str">
        <x:v>C_H1</x:v>
      </x:c>
      <x:c r="C1440" s="10" t="n">
        <x:v>5</x:v>
      </x:c>
      <x:c r="D1440" s="24" t="n">
        <x:v>0.7144999999999999</x:v>
      </x:c>
      <x:c r="E1440" s="24" t="n">
        <x:v>0.04799999999999999</x:v>
      </x:c>
      <x:c r="F1440" s="24" t="n">
        <x:f>ABS(D1440-E1440)</x:f>
        <x:v>0.6664999999999999</x:v>
      </x:c>
    </x:row>
    <x:row r="1441" ht="23" customHeight="1">
      <x:c r="A1441" s="10" t="str">
        <x:v>M11</x:v>
      </x:c>
      <x:c r="B1441" s="10" t="str">
        <x:v>C_H1</x:v>
      </x:c>
      <x:c r="C1441" s="10" t="n">
        <x:v>6</x:v>
      </x:c>
      <x:c r="D1441" s="24" t="n">
        <x:v>0</x:v>
      </x:c>
      <x:c r="E1441" s="24" t="n">
        <x:v>0.024199999999999996</x:v>
      </x:c>
      <x:c r="F1441" s="24" t="n">
        <x:f>ABS(D1441-E1441)</x:f>
        <x:v>0.024199999999999996</x:v>
      </x:c>
    </x:row>
    <x:row r="1442" ht="23" customHeight="1">
      <x:c r="A1442" s="10" t="str">
        <x:v>M11</x:v>
      </x:c>
      <x:c r="B1442" s="10" t="str">
        <x:v>C_H1</x:v>
      </x:c>
      <x:c r="C1442" s="10" t="n">
        <x:v>7</x:v>
      </x:c>
      <x:c r="D1442" s="24" t="n">
        <x:v>0.011999999999999997</x:v>
      </x:c>
      <x:c r="E1442" s="24" t="n">
        <x:v>0.031199999999999995</x:v>
      </x:c>
      <x:c r="F1442" s="24" t="n">
        <x:f>ABS(D1442-E1442)</x:f>
        <x:v>0.0192</x:v>
      </x:c>
    </x:row>
    <x:row r="1443" ht="23" customHeight="1">
      <x:c r="A1443" s="10" t="str">
        <x:v>M11</x:v>
      </x:c>
      <x:c r="B1443" s="10" t="str">
        <x:v>C_H1</x:v>
      </x:c>
      <x:c r="C1443" s="10" t="n">
        <x:v>8</x:v>
      </x:c>
      <x:c r="D1443" s="24" t="n">
        <x:v>0</x:v>
      </x:c>
      <x:c r="E1443" s="24" t="n">
        <x:v>0.03169999999999999</x:v>
      </x:c>
      <x:c r="F1443" s="24" t="n">
        <x:f>ABS(D1443-E1443)</x:f>
        <x:v>0.03169999999999999</x:v>
      </x:c>
    </x:row>
    <x:row r="1444" ht="23" customHeight="1">
      <x:c r="A1444" s="10" t="str">
        <x:v>M11</x:v>
      </x:c>
      <x:c r="B1444" s="10" t="str">
        <x:v>C_H1</x:v>
      </x:c>
      <x:c r="C1444" s="10" t="n">
        <x:v>9</x:v>
      </x:c>
      <x:c r="D1444" s="24" t="n">
        <x:v>0.00039999999999999996</x:v>
      </x:c>
      <x:c r="E1444" s="24" t="n">
        <x:v>0.024499999999999997</x:v>
      </x:c>
      <x:c r="F1444" s="24" t="n">
        <x:f>ABS(D1444-E1444)</x:f>
        <x:v>0.024099999999999996</x:v>
      </x:c>
    </x:row>
    <x:row r="1445" ht="23" customHeight="1">
      <x:c r="A1445" s="10" t="str">
        <x:v>M11</x:v>
      </x:c>
      <x:c r="B1445" s="10" t="str">
        <x:v>C_H1</x:v>
      </x:c>
      <x:c r="C1445" s="10" t="n">
        <x:v>10</x:v>
      </x:c>
      <x:c r="D1445" s="24" t="n">
        <x:v>0</x:v>
      </x:c>
      <x:c r="E1445" s="24" t="n">
        <x:v>0.00039999999999999996</x:v>
      </x:c>
      <x:c r="F1445" s="24" t="n">
        <x:f>ABS(D1445-E1445)</x:f>
        <x:v>0.00039999999999999996</x:v>
      </x:c>
    </x:row>
    <x:row r="1446" ht="23" customHeight="1">
      <x:c r="A1446" s="10" t="str">
        <x:v>M11</x:v>
      </x:c>
      <x:c r="B1446" s="10" t="str">
        <x:v>G_H0</x:v>
      </x:c>
      <x:c r="C1446" s="10" t="n">
        <x:v>1</x:v>
      </x:c>
      <x:c r="D1446" s="24" t="n">
        <x:v>0</x:v>
      </x:c>
      <x:c r="E1446" s="24" t="n">
        <x:v>0.013699999999999999</x:v>
      </x:c>
      <x:c r="F1446" s="24" t="n">
        <x:f>ABS(D1446-E1446)</x:f>
        <x:v>0.013699999999999999</x:v>
      </x:c>
    </x:row>
    <x:row r="1447" ht="23" customHeight="1">
      <x:c r="A1447" s="10" t="str">
        <x:v>M11</x:v>
      </x:c>
      <x:c r="B1447" s="10" t="str">
        <x:v>G_H0</x:v>
      </x:c>
      <x:c r="C1447" s="10" t="n">
        <x:v>2</x:v>
      </x:c>
      <x:c r="D1447" s="24" t="n">
        <x:v>0.45699999999999996</x:v>
      </x:c>
      <x:c r="E1447" s="24" t="n">
        <x:v>0.2804</x:v>
      </x:c>
      <x:c r="F1447" s="24" t="n">
        <x:f>ABS(D1447-E1447)</x:f>
        <x:v>0.17659999999999998</x:v>
      </x:c>
    </x:row>
    <x:row r="1448" ht="23" customHeight="1">
      <x:c r="A1448" s="10" t="str">
        <x:v>M11</x:v>
      </x:c>
      <x:c r="B1448" s="10" t="str">
        <x:v>G_H0</x:v>
      </x:c>
      <x:c r="C1448" s="10" t="n">
        <x:v>3</x:v>
      </x:c>
      <x:c r="D1448" s="24" t="n">
        <x:v>0.3947999999999999</x:v>
      </x:c>
      <x:c r="E1448" s="24" t="n">
        <x:v>0.37349999999999994</x:v>
      </x:c>
      <x:c r="F1448" s="24" t="n">
        <x:f>ABS(D1448-E1448)</x:f>
        <x:v>0.02129999999999993</x:v>
      </x:c>
    </x:row>
    <x:row r="1449" ht="23" customHeight="1">
      <x:c r="A1449" s="10" t="str">
        <x:v>M11</x:v>
      </x:c>
      <x:c r="B1449" s="10" t="str">
        <x:v>G_H0</x:v>
      </x:c>
      <x:c r="C1449" s="10" t="n">
        <x:v>4</x:v>
      </x:c>
      <x:c r="D1449" s="24" t="n">
        <x:v>0.118</x:v>
      </x:c>
      <x:c r="E1449" s="24" t="n">
        <x:v>0.17239999999999994</x:v>
      </x:c>
      <x:c r="F1449" s="24" t="n">
        <x:f>ABS(D1449-E1449)</x:f>
        <x:v>0.05439999999999995</x:v>
      </x:c>
    </x:row>
    <x:row r="1450" ht="23" customHeight="1">
      <x:c r="A1450" s="10" t="str">
        <x:v>M11</x:v>
      </x:c>
      <x:c r="B1450" s="10" t="str">
        <x:v>G_H0</x:v>
      </x:c>
      <x:c r="C1450" s="10" t="n">
        <x:v>5</x:v>
      </x:c>
      <x:c r="D1450" s="24" t="n">
        <x:v>0.027299999999999994</x:v>
      </x:c>
      <x:c r="E1450" s="24" t="n">
        <x:v>0.04799999999999999</x:v>
      </x:c>
      <x:c r="F1450" s="24" t="n">
        <x:f>ABS(D1450-E1450)</x:f>
        <x:v>0.020699999999999993</x:v>
      </x:c>
    </x:row>
    <x:row r="1451" ht="23" customHeight="1">
      <x:c r="A1451" s="10" t="str">
        <x:v>M11</x:v>
      </x:c>
      <x:c r="B1451" s="10" t="str">
        <x:v>G_H0</x:v>
      </x:c>
      <x:c r="C1451" s="10" t="n">
        <x:v>6</x:v>
      </x:c>
      <x:c r="D1451" s="24" t="n">
        <x:v>0.0028999999999999994</x:v>
      </x:c>
      <x:c r="E1451" s="24" t="n">
        <x:v>0.024199999999999996</x:v>
      </x:c>
      <x:c r="F1451" s="24" t="n">
        <x:f>ABS(D1451-E1451)</x:f>
        <x:v>0.021299999999999996</x:v>
      </x:c>
    </x:row>
    <x:row r="1452" ht="23" customHeight="1">
      <x:c r="A1452" s="10" t="str">
        <x:v>M11</x:v>
      </x:c>
      <x:c r="B1452" s="10" t="str">
        <x:v>G_H0</x:v>
      </x:c>
      <x:c r="C1452" s="10" t="n">
        <x:v>7</x:v>
      </x:c>
      <x:c r="D1452" s="24" t="n">
        <x:v>0</x:v>
      </x:c>
      <x:c r="E1452" s="24" t="n">
        <x:v>0.031199999999999995</x:v>
      </x:c>
      <x:c r="F1452" s="24" t="n">
        <x:f>ABS(D1452-E1452)</x:f>
        <x:v>0.031199999999999995</x:v>
      </x:c>
    </x:row>
    <x:row r="1453" ht="23" customHeight="1">
      <x:c r="A1453" s="10" t="str">
        <x:v>M11</x:v>
      </x:c>
      <x:c r="B1453" s="10" t="str">
        <x:v>G_H0</x:v>
      </x:c>
      <x:c r="C1453" s="10" t="n">
        <x:v>8</x:v>
      </x:c>
      <x:c r="D1453" s="24" t="n">
        <x:v>0</x:v>
      </x:c>
      <x:c r="E1453" s="24" t="n">
        <x:v>0.03169999999999999</x:v>
      </x:c>
      <x:c r="F1453" s="24" t="n">
        <x:f>ABS(D1453-E1453)</x:f>
        <x:v>0.03169999999999999</x:v>
      </x:c>
    </x:row>
    <x:row r="1454" ht="23" customHeight="1">
      <x:c r="A1454" s="10" t="str">
        <x:v>M11</x:v>
      </x:c>
      <x:c r="B1454" s="10" t="str">
        <x:v>G_H0</x:v>
      </x:c>
      <x:c r="C1454" s="10" t="n">
        <x:v>9</x:v>
      </x:c>
      <x:c r="D1454" s="24" t="n">
        <x:v>0</x:v>
      </x:c>
      <x:c r="E1454" s="24" t="n">
        <x:v>0.024499999999999997</x:v>
      </x:c>
      <x:c r="F1454" s="24" t="n">
        <x:f>ABS(D1454-E1454)</x:f>
        <x:v>0.024499999999999997</x:v>
      </x:c>
    </x:row>
    <x:row r="1455" ht="23" customHeight="1">
      <x:c r="A1455" s="10" t="str">
        <x:v>M11</x:v>
      </x:c>
      <x:c r="B1455" s="10" t="str">
        <x:v>G_H0</x:v>
      </x:c>
      <x:c r="C1455" s="10" t="n">
        <x:v>10</x:v>
      </x:c>
      <x:c r="D1455" s="24" t="n">
        <x:v>0</x:v>
      </x:c>
      <x:c r="E1455" s="24" t="n">
        <x:v>0.00039999999999999996</x:v>
      </x:c>
      <x:c r="F1455" s="24" t="n">
        <x:f>ABS(D1455-E1455)</x:f>
        <x:v>0.00039999999999999996</x:v>
      </x:c>
    </x:row>
    <x:row r="1456" ht="23" customHeight="1">
      <x:c r="A1456" s="10" t="str">
        <x:v>M11</x:v>
      </x:c>
      <x:c r="B1456" s="10" t="str">
        <x:v>G_H1</x:v>
      </x:c>
      <x:c r="C1456" s="10" t="n">
        <x:v>1</x:v>
      </x:c>
      <x:c r="D1456" s="24" t="n">
        <x:v>0</x:v>
      </x:c>
      <x:c r="E1456" s="24" t="n">
        <x:v>0.013699999999999999</x:v>
      </x:c>
      <x:c r="F1456" s="24" t="n">
        <x:f>ABS(D1456-E1456)</x:f>
        <x:v>0.013699999999999999</x:v>
      </x:c>
    </x:row>
    <x:row r="1457" ht="23" customHeight="1">
      <x:c r="A1457" s="10" t="str">
        <x:v>M11</x:v>
      </x:c>
      <x:c r="B1457" s="10" t="str">
        <x:v>G_H1</x:v>
      </x:c>
      <x:c r="C1457" s="10" t="n">
        <x:v>2</x:v>
      </x:c>
      <x:c r="D1457" s="24" t="n">
        <x:v>0.2997700229977002</x:v>
      </x:c>
      <x:c r="E1457" s="24" t="n">
        <x:v>0.2804</x:v>
      </x:c>
      <x:c r="F1457" s="24" t="n">
        <x:f>ABS(D1457-E1457)</x:f>
        <x:v>0.019370022997700242</x:v>
      </x:c>
    </x:row>
    <x:row r="1458" ht="23" customHeight="1">
      <x:c r="A1458" s="10" t="str">
        <x:v>M11</x:v>
      </x:c>
      <x:c r="B1458" s="10" t="str">
        <x:v>G_H1</x:v>
      </x:c>
      <x:c r="C1458" s="10" t="n">
        <x:v>3</x:v>
      </x:c>
      <x:c r="D1458" s="24" t="n">
        <x:v>0.48385161483851613</x:v>
      </x:c>
      <x:c r="E1458" s="24" t="n">
        <x:v>0.37349999999999994</x:v>
      </x:c>
      <x:c r="F1458" s="24" t="n">
        <x:f>ABS(D1458-E1458)</x:f>
        <x:v>0.11035161483851619</x:v>
      </x:c>
    </x:row>
    <x:row r="1459" ht="23" customHeight="1">
      <x:c r="A1459" s="10" t="str">
        <x:v>M11</x:v>
      </x:c>
      <x:c r="B1459" s="10" t="str">
        <x:v>G_H1</x:v>
      </x:c>
      <x:c r="C1459" s="10" t="n">
        <x:v>4</x:v>
      </x:c>
      <x:c r="D1459" s="24" t="n">
        <x:v>0.17758224177582244</x:v>
      </x:c>
      <x:c r="E1459" s="24" t="n">
        <x:v>0.17239999999999994</x:v>
      </x:c>
      <x:c r="F1459" s="24" t="n">
        <x:f>ABS(D1459-E1459)</x:f>
        <x:v>0.005182241775822494</x:v>
      </x:c>
    </x:row>
    <x:row r="1460" ht="23" customHeight="1">
      <x:c r="A1460" s="10" t="str">
        <x:v>M11</x:v>
      </x:c>
      <x:c r="B1460" s="10" t="str">
        <x:v>G_H1</x:v>
      </x:c>
      <x:c r="C1460" s="10" t="n">
        <x:v>5</x:v>
      </x:c>
      <x:c r="D1460" s="24" t="n">
        <x:v>0.0352964703529647</x:v>
      </x:c>
      <x:c r="E1460" s="24" t="n">
        <x:v>0.04799999999999999</x:v>
      </x:c>
      <x:c r="F1460" s="24" t="n">
        <x:f>ABS(D1460-E1460)</x:f>
        <x:v>0.012703529647035285</x:v>
      </x:c>
    </x:row>
    <x:row r="1461" ht="23" customHeight="1">
      <x:c r="A1461" s="10" t="str">
        <x:v>M11</x:v>
      </x:c>
      <x:c r="B1461" s="10" t="str">
        <x:v>G_H1</x:v>
      </x:c>
      <x:c r="C1461" s="10" t="n">
        <x:v>6</x:v>
      </x:c>
      <x:c r="D1461" s="24" t="n">
        <x:v>0.0034996500349965005</x:v>
      </x:c>
      <x:c r="E1461" s="24" t="n">
        <x:v>0.024199999999999996</x:v>
      </x:c>
      <x:c r="F1461" s="24" t="n">
        <x:f>ABS(D1461-E1461)</x:f>
        <x:v>0.020700349965003494</x:v>
      </x:c>
    </x:row>
    <x:row r="1462" ht="23" customHeight="1">
      <x:c r="A1462" s="10" t="str">
        <x:v>M11</x:v>
      </x:c>
      <x:c r="B1462" s="10" t="str">
        <x:v>G_H1</x:v>
      </x:c>
      <x:c r="C1462" s="10" t="n">
        <x:v>7</x:v>
      </x:c>
      <x:c r="D1462" s="24" t="n">
        <x:v>0</x:v>
      </x:c>
      <x:c r="E1462" s="24" t="n">
        <x:v>0.031199999999999995</x:v>
      </x:c>
      <x:c r="F1462" s="24" t="n">
        <x:f>ABS(D1462-E1462)</x:f>
        <x:v>0.031199999999999995</x:v>
      </x:c>
    </x:row>
    <x:row r="1463" ht="23" customHeight="1">
      <x:c r="A1463" s="10" t="str">
        <x:v>M11</x:v>
      </x:c>
      <x:c r="B1463" s="10" t="str">
        <x:v>G_H1</x:v>
      </x:c>
      <x:c r="C1463" s="10" t="n">
        <x:v>8</x:v>
      </x:c>
      <x:c r="D1463" s="24" t="n">
        <x:v>0</x:v>
      </x:c>
      <x:c r="E1463" s="24" t="n">
        <x:v>0.03169999999999999</x:v>
      </x:c>
      <x:c r="F1463" s="24" t="n">
        <x:f>ABS(D1463-E1463)</x:f>
        <x:v>0.03169999999999999</x:v>
      </x:c>
    </x:row>
    <x:row r="1464" ht="23" customHeight="1">
      <x:c r="A1464" s="10" t="str">
        <x:v>M11</x:v>
      </x:c>
      <x:c r="B1464" s="10" t="str">
        <x:v>G_H1</x:v>
      </x:c>
      <x:c r="C1464" s="10" t="n">
        <x:v>9</x:v>
      </x:c>
      <x:c r="D1464" s="24" t="n">
        <x:v>0</x:v>
      </x:c>
      <x:c r="E1464" s="24" t="n">
        <x:v>0.024499999999999997</x:v>
      </x:c>
      <x:c r="F1464" s="24" t="n">
        <x:f>ABS(D1464-E1464)</x:f>
        <x:v>0.024499999999999997</x:v>
      </x:c>
    </x:row>
    <x:row r="1465" ht="23" customHeight="1">
      <x:c r="A1465" s="10" t="str">
        <x:v>M11</x:v>
      </x:c>
      <x:c r="B1465" s="10" t="str">
        <x:v>G_H1</x:v>
      </x:c>
      <x:c r="C1465" s="10" t="n">
        <x:v>10</x:v>
      </x:c>
      <x:c r="D1465" s="24" t="n">
        <x:v>0</x:v>
      </x:c>
      <x:c r="E1465" s="24" t="n">
        <x:v>0.00039999999999999996</x:v>
      </x:c>
      <x:c r="F1465" s="24" t="n">
        <x:f>ABS(D1465-E1465)</x:f>
        <x:v>0.00039999999999999996</x:v>
      </x:c>
    </x:row>
    <x:row r="1466" ht="23" customHeight="1">
      <x:c r="A1466" s="10" t="str">
        <x:v>M11</x:v>
      </x:c>
      <x:c r="B1466" s="10" t="str">
        <x:v>NC_H0</x:v>
      </x:c>
      <x:c r="C1466" s="10" t="n">
        <x:v>1</x:v>
      </x:c>
      <x:c r="D1466" s="24" t="n">
        <x:v>0</x:v>
      </x:c>
      <x:c r="E1466" s="24" t="n">
        <x:v>0.013699999999999999</x:v>
      </x:c>
      <x:c r="F1466" s="24" t="n">
        <x:f>ABS(D1466-E1466)</x:f>
        <x:v>0.013699999999999999</x:v>
      </x:c>
    </x:row>
    <x:row r="1467" ht="23" customHeight="1">
      <x:c r="A1467" s="10" t="str">
        <x:v>M11</x:v>
      </x:c>
      <x:c r="B1467" s="10" t="str">
        <x:v>NC_H0</x:v>
      </x:c>
      <x:c r="C1467" s="10" t="n">
        <x:v>2</x:v>
      </x:c>
      <x:c r="D1467" s="24" t="n">
        <x:v>0.2432</x:v>
      </x:c>
      <x:c r="E1467" s="24" t="n">
        <x:v>0.2804</x:v>
      </x:c>
      <x:c r="F1467" s="24" t="n">
        <x:f>ABS(D1467-E1467)</x:f>
        <x:v>0.03719999999999998</x:v>
      </x:c>
    </x:row>
    <x:row r="1468" ht="23" customHeight="1">
      <x:c r="A1468" s="10" t="str">
        <x:v>M11</x:v>
      </x:c>
      <x:c r="B1468" s="10" t="str">
        <x:v>NC_H0</x:v>
      </x:c>
      <x:c r="C1468" s="10" t="n">
        <x:v>3</x:v>
      </x:c>
      <x:c r="D1468" s="24" t="n">
        <x:v>0.017</x:v>
      </x:c>
      <x:c r="E1468" s="24" t="n">
        <x:v>0.37349999999999994</x:v>
      </x:c>
      <x:c r="F1468" s="24" t="n">
        <x:f>ABS(D1468-E1468)</x:f>
        <x:v>0.35649999999999993</x:v>
      </x:c>
    </x:row>
    <x:row r="1469" ht="23" customHeight="1">
      <x:c r="A1469" s="10" t="str">
        <x:v>M11</x:v>
      </x:c>
      <x:c r="B1469" s="10" t="str">
        <x:v>NC_H0</x:v>
      </x:c>
      <x:c r="C1469" s="10" t="n">
        <x:v>4</x:v>
      </x:c>
      <x:c r="D1469" s="24" t="n">
        <x:v>0</x:v>
      </x:c>
      <x:c r="E1469" s="24" t="n">
        <x:v>0.17239999999999994</x:v>
      </x:c>
      <x:c r="F1469" s="24" t="n">
        <x:f>ABS(D1469-E1469)</x:f>
        <x:v>0.17239999999999994</x:v>
      </x:c>
    </x:row>
    <x:row r="1470" ht="23" customHeight="1">
      <x:c r="A1470" s="10" t="str">
        <x:v>M11</x:v>
      </x:c>
      <x:c r="B1470" s="10" t="str">
        <x:v>NC_H0</x:v>
      </x:c>
      <x:c r="C1470" s="10" t="n">
        <x:v>5</x:v>
      </x:c>
      <x:c r="D1470" s="24" t="n">
        <x:v>0.6618</x:v>
      </x:c>
      <x:c r="E1470" s="24" t="n">
        <x:v>0.04799999999999999</x:v>
      </x:c>
      <x:c r="F1470" s="24" t="n">
        <x:f>ABS(D1470-E1470)</x:f>
        <x:v>0.6138000000000001</x:v>
      </x:c>
    </x:row>
    <x:row r="1471" ht="23" customHeight="1">
      <x:c r="A1471" s="10" t="str">
        <x:v>M11</x:v>
      </x:c>
      <x:c r="B1471" s="10" t="str">
        <x:v>NC_H0</x:v>
      </x:c>
      <x:c r="C1471" s="10" t="n">
        <x:v>6</x:v>
      </x:c>
      <x:c r="D1471" s="24" t="n">
        <x:v>0.0038</x:v>
      </x:c>
      <x:c r="E1471" s="24" t="n">
        <x:v>0.024199999999999996</x:v>
      </x:c>
      <x:c r="F1471" s="24" t="n">
        <x:f>ABS(D1471-E1471)</x:f>
        <x:v>0.020399999999999995</x:v>
      </x:c>
    </x:row>
    <x:row r="1472" ht="23" customHeight="1">
      <x:c r="A1472" s="10" t="str">
        <x:v>M11</x:v>
      </x:c>
      <x:c r="B1472" s="10" t="str">
        <x:v>NC_H0</x:v>
      </x:c>
      <x:c r="C1472" s="10" t="n">
        <x:v>7</x:v>
      </x:c>
      <x:c r="D1472" s="24" t="n">
        <x:v>0.0159</x:v>
      </x:c>
      <x:c r="E1472" s="24" t="n">
        <x:v>0.031199999999999995</x:v>
      </x:c>
      <x:c r="F1472" s="24" t="n">
        <x:f>ABS(D1472-E1472)</x:f>
        <x:v>0.015299999999999994</x:v>
      </x:c>
    </x:row>
    <x:row r="1473" ht="23" customHeight="1">
      <x:c r="A1473" s="10" t="str">
        <x:v>M11</x:v>
      </x:c>
      <x:c r="B1473" s="10" t="str">
        <x:v>NC_H0</x:v>
      </x:c>
      <x:c r="C1473" s="10" t="n">
        <x:v>8</x:v>
      </x:c>
      <x:c r="D1473" s="24" t="n">
        <x:v>0.0297</x:v>
      </x:c>
      <x:c r="E1473" s="24" t="n">
        <x:v>0.03169999999999999</x:v>
      </x:c>
      <x:c r="F1473" s="24" t="n">
        <x:f>ABS(D1473-E1473)</x:f>
        <x:v>0.0019999999999999914</x:v>
      </x:c>
    </x:row>
    <x:row r="1474" ht="23" customHeight="1">
      <x:c r="A1474" s="10" t="str">
        <x:v>M11</x:v>
      </x:c>
      <x:c r="B1474" s="10" t="str">
        <x:v>NC_H0</x:v>
      </x:c>
      <x:c r="C1474" s="10" t="n">
        <x:v>9</x:v>
      </x:c>
      <x:c r="D1474" s="24" t="n">
        <x:v>0.0286</x:v>
      </x:c>
      <x:c r="E1474" s="24" t="n">
        <x:v>0.024499999999999997</x:v>
      </x:c>
      <x:c r="F1474" s="24" t="n">
        <x:f>ABS(D1474-E1474)</x:f>
        <x:v>0.004100000000000003</x:v>
      </x:c>
    </x:row>
    <x:row r="1475" ht="23" customHeight="1">
      <x:c r="A1475" s="10" t="str">
        <x:v>M11</x:v>
      </x:c>
      <x:c r="B1475" s="10" t="str">
        <x:v>NC_H0</x:v>
      </x:c>
      <x:c r="C1475" s="10" t="n">
        <x:v>10</x:v>
      </x:c>
      <x:c r="D1475" s="24" t="n">
        <x:v>0</x:v>
      </x:c>
      <x:c r="E1475" s="24" t="n">
        <x:v>0.00039999999999999996</x:v>
      </x:c>
      <x:c r="F1475" s="24" t="n">
        <x:f>ABS(D1475-E1475)</x:f>
        <x:v>0.00039999999999999996</x:v>
      </x:c>
    </x:row>
    <x:row r="1476" ht="23" customHeight="1">
      <x:c r="A1476" s="10" t="str">
        <x:v>M11</x:v>
      </x:c>
      <x:c r="B1476" s="10" t="str">
        <x:v>NC_H1</x:v>
      </x:c>
      <x:c r="C1476" s="10" t="n">
        <x:v>1</x:v>
      </x:c>
      <x:c r="D1476" s="24" t="n">
        <x:v>0</x:v>
      </x:c>
      <x:c r="E1476" s="24" t="n">
        <x:v>0.013699999999999999</x:v>
      </x:c>
      <x:c r="F1476" s="24" t="n">
        <x:f>ABS(D1476-E1476)</x:f>
        <x:v>0.013699999999999999</x:v>
      </x:c>
    </x:row>
    <x:row r="1477" ht="23" customHeight="1">
      <x:c r="A1477" s="10" t="str">
        <x:v>M11</x:v>
      </x:c>
      <x:c r="B1477" s="10" t="str">
        <x:v>NC_H1</x:v>
      </x:c>
      <x:c r="C1477" s="10" t="n">
        <x:v>2</x:v>
      </x:c>
      <x:c r="D1477" s="24" t="n">
        <x:v>0.22659999999999997</x:v>
      </x:c>
      <x:c r="E1477" s="24" t="n">
        <x:v>0.2804</x:v>
      </x:c>
      <x:c r="F1477" s="24" t="n">
        <x:f>ABS(D1477-E1477)</x:f>
        <x:v>0.053800000000000014</x:v>
      </x:c>
    </x:row>
    <x:row r="1478" ht="23" customHeight="1">
      <x:c r="A1478" s="10" t="str">
        <x:v>M11</x:v>
      </x:c>
      <x:c r="B1478" s="10" t="str">
        <x:v>NC_H1</x:v>
      </x:c>
      <x:c r="C1478" s="10" t="n">
        <x:v>3</x:v>
      </x:c>
      <x:c r="D1478" s="24" t="n">
        <x:v>0.0056999999999999985</x:v>
      </x:c>
      <x:c r="E1478" s="24" t="n">
        <x:v>0.37349999999999994</x:v>
      </x:c>
      <x:c r="F1478" s="24" t="n">
        <x:f>ABS(D1478-E1478)</x:f>
        <x:v>0.36779999999999996</x:v>
      </x:c>
    </x:row>
    <x:row r="1479" ht="23" customHeight="1">
      <x:c r="A1479" s="10" t="str">
        <x:v>M11</x:v>
      </x:c>
      <x:c r="B1479" s="10" t="str">
        <x:v>NC_H1</x:v>
      </x:c>
      <x:c r="C1479" s="10" t="n">
        <x:v>4</x:v>
      </x:c>
      <x:c r="D1479" s="24" t="n">
        <x:v>0</x:v>
      </x:c>
      <x:c r="E1479" s="24" t="n">
        <x:v>0.17239999999999994</x:v>
      </x:c>
      <x:c r="F1479" s="24" t="n">
        <x:f>ABS(D1479-E1479)</x:f>
        <x:v>0.17239999999999994</x:v>
      </x:c>
    </x:row>
    <x:row r="1480" ht="23" customHeight="1">
      <x:c r="A1480" s="10" t="str">
        <x:v>M11</x:v>
      </x:c>
      <x:c r="B1480" s="10" t="str">
        <x:v>NC_H1</x:v>
      </x:c>
      <x:c r="C1480" s="10" t="n">
        <x:v>5</x:v>
      </x:c>
      <x:c r="D1480" s="24" t="n">
        <x:v>0.6617999999999999</x:v>
      </x:c>
      <x:c r="E1480" s="24" t="n">
        <x:v>0.04799999999999999</x:v>
      </x:c>
      <x:c r="F1480" s="24" t="n">
        <x:f>ABS(D1480-E1480)</x:f>
        <x:v>0.6137999999999999</x:v>
      </x:c>
    </x:row>
    <x:row r="1481" ht="23" customHeight="1">
      <x:c r="A1481" s="10" t="str">
        <x:v>M11</x:v>
      </x:c>
      <x:c r="B1481" s="10" t="str">
        <x:v>NC_H1</x:v>
      </x:c>
      <x:c r="C1481" s="10" t="n">
        <x:v>6</x:v>
      </x:c>
      <x:c r="D1481" s="24" t="n">
        <x:v>0.014799999999999997</x:v>
      </x:c>
      <x:c r="E1481" s="24" t="n">
        <x:v>0.024199999999999996</x:v>
      </x:c>
      <x:c r="F1481" s="24" t="n">
        <x:f>ABS(D1481-E1481)</x:f>
        <x:v>0.009399999999999999</x:v>
      </x:c>
    </x:row>
    <x:row r="1482" ht="23" customHeight="1">
      <x:c r="A1482" s="10" t="str">
        <x:v>M11</x:v>
      </x:c>
      <x:c r="B1482" s="10" t="str">
        <x:v>NC_H1</x:v>
      </x:c>
      <x:c r="C1482" s="10" t="n">
        <x:v>7</x:v>
      </x:c>
      <x:c r="D1482" s="24" t="n">
        <x:v>0.032799999999999996</x:v>
      </x:c>
      <x:c r="E1482" s="24" t="n">
        <x:v>0.031199999999999995</x:v>
      </x:c>
      <x:c r="F1482" s="24" t="n">
        <x:f>ABS(D1482-E1482)</x:f>
        <x:v>0.0016000000000000007</x:v>
      </x:c>
    </x:row>
    <x:row r="1483" ht="23" customHeight="1">
      <x:c r="A1483" s="10" t="str">
        <x:v>M11</x:v>
      </x:c>
      <x:c r="B1483" s="10" t="str">
        <x:v>NC_H1</x:v>
      </x:c>
      <x:c r="C1483" s="10" t="n">
        <x:v>8</x:v>
      </x:c>
      <x:c r="D1483" s="24" t="n">
        <x:v>0.029699999999999997</x:v>
      </x:c>
      <x:c r="E1483" s="24" t="n">
        <x:v>0.03169999999999999</x:v>
      </x:c>
      <x:c r="F1483" s="24" t="n">
        <x:f>ABS(D1483-E1483)</x:f>
        <x:v>0.001999999999999995</x:v>
      </x:c>
    </x:row>
    <x:row r="1484" ht="23" customHeight="1">
      <x:c r="A1484" s="10" t="str">
        <x:v>M11</x:v>
      </x:c>
      <x:c r="B1484" s="10" t="str">
        <x:v>NC_H1</x:v>
      </x:c>
      <x:c r="C1484" s="10" t="n">
        <x:v>9</x:v>
      </x:c>
      <x:c r="D1484" s="24" t="n">
        <x:v>0.028599999999999993</x:v>
      </x:c>
      <x:c r="E1484" s="24" t="n">
        <x:v>0.024499999999999997</x:v>
      </x:c>
      <x:c r="F1484" s="24" t="n">
        <x:f>ABS(D1484-E1484)</x:f>
        <x:v>0.004099999999999996</x:v>
      </x:c>
    </x:row>
    <x:row r="1485" ht="23" customHeight="1">
      <x:c r="A1485" s="10" t="str">
        <x:v>M11</x:v>
      </x:c>
      <x:c r="B1485" s="10" t="str">
        <x:v>NC_H1</x:v>
      </x:c>
      <x:c r="C1485" s="10" t="n">
        <x:v>10</x:v>
      </x:c>
      <x:c r="D1485" s="24" t="n">
        <x:v>0</x:v>
      </x:c>
      <x:c r="E1485" s="24" t="n">
        <x:v>0.00039999999999999996</x:v>
      </x:c>
      <x:c r="F1485" s="24" t="n">
        <x:f>ABS(D1485-E1485)</x:f>
        <x:v>0.00039999999999999996</x:v>
      </x:c>
    </x:row>
    <x:row r="1486" ht="23" customHeight="1">
      <x:c r="A1486" s="10" t="str">
        <x:v>M11</x:v>
      </x:c>
      <x:c r="B1486" s="10" t="str">
        <x:v>NG_H0</x:v>
      </x:c>
      <x:c r="C1486" s="10" t="n">
        <x:v>1</x:v>
      </x:c>
      <x:c r="D1486" s="24" t="n">
        <x:v>0.0031003100310031</x:v>
      </x:c>
      <x:c r="E1486" s="24" t="n">
        <x:v>0.013699999999999999</x:v>
      </x:c>
      <x:c r="F1486" s="24" t="n">
        <x:f>ABS(D1486-E1486)</x:f>
        <x:v>0.010599689968996899</x:v>
      </x:c>
    </x:row>
    <x:row r="1487" ht="23" customHeight="1">
      <x:c r="A1487" s="10" t="str">
        <x:v>M11</x:v>
      </x:c>
      <x:c r="B1487" s="10" t="str">
        <x:v>NG_H0</x:v>
      </x:c>
      <x:c r="C1487" s="10" t="n">
        <x:v>2</x:v>
      </x:c>
      <x:c r="D1487" s="24" t="n">
        <x:v>0.3925392539253925</x:v>
      </x:c>
      <x:c r="E1487" s="24" t="n">
        <x:v>0.2804</x:v>
      </x:c>
      <x:c r="F1487" s="24" t="n">
        <x:f>ABS(D1487-E1487)</x:f>
        <x:v>0.11213925392539253</x:v>
      </x:c>
    </x:row>
    <x:row r="1488" ht="23" customHeight="1">
      <x:c r="A1488" s="10" t="str">
        <x:v>M11</x:v>
      </x:c>
      <x:c r="B1488" s="10" t="str">
        <x:v>NG_H0</x:v>
      </x:c>
      <x:c r="C1488" s="10" t="n">
        <x:v>3</x:v>
      </x:c>
      <x:c r="D1488" s="24" t="n">
        <x:v>0.3048304830483048</x:v>
      </x:c>
      <x:c r="E1488" s="24" t="n">
        <x:v>0.37349999999999994</x:v>
      </x:c>
      <x:c r="F1488" s="24" t="n">
        <x:f>ABS(D1488-E1488)</x:f>
        <x:v>0.06866951695169515</x:v>
      </x:c>
    </x:row>
    <x:row r="1489" ht="23" customHeight="1">
      <x:c r="A1489" s="10" t="str">
        <x:v>M11</x:v>
      </x:c>
      <x:c r="B1489" s="10" t="str">
        <x:v>NG_H0</x:v>
      </x:c>
      <x:c r="C1489" s="10" t="n">
        <x:v>4</x:v>
      </x:c>
      <x:c r="D1489" s="24" t="n">
        <x:v>0.11241124112411241</x:v>
      </x:c>
      <x:c r="E1489" s="24" t="n">
        <x:v>0.17239999999999994</x:v>
      </x:c>
      <x:c r="F1489" s="24" t="n">
        <x:f>ABS(D1489-E1489)</x:f>
        <x:v>0.05998875887588753</x:v>
      </x:c>
    </x:row>
    <x:row r="1490" ht="23" customHeight="1">
      <x:c r="A1490" s="10" t="str">
        <x:v>M11</x:v>
      </x:c>
      <x:c r="B1490" s="10" t="str">
        <x:v>NG_H0</x:v>
      </x:c>
      <x:c r="C1490" s="10" t="n">
        <x:v>5</x:v>
      </x:c>
      <x:c r="D1490" s="24" t="n">
        <x:v>0.027202720272027203</x:v>
      </x:c>
      <x:c r="E1490" s="24" t="n">
        <x:v>0.04799999999999999</x:v>
      </x:c>
      <x:c r="F1490" s="24" t="n">
        <x:f>ABS(D1490-E1490)</x:f>
        <x:v>0.020797279727972785</x:v>
      </x:c>
    </x:row>
    <x:row r="1491" ht="23" customHeight="1">
      <x:c r="A1491" s="10" t="str">
        <x:v>M11</x:v>
      </x:c>
      <x:c r="B1491" s="10" t="str">
        <x:v>NG_H0</x:v>
      </x:c>
      <x:c r="C1491" s="10" t="n">
        <x:v>6</x:v>
      </x:c>
      <x:c r="D1491" s="24" t="n">
        <x:v>0.0067006700670067</x:v>
      </x:c>
      <x:c r="E1491" s="24" t="n">
        <x:v>0.024199999999999996</x:v>
      </x:c>
      <x:c r="F1491" s="24" t="n">
        <x:f>ABS(D1491-E1491)</x:f>
        <x:v>0.017499329932993295</x:v>
      </x:c>
    </x:row>
    <x:row r="1492" ht="23" customHeight="1">
      <x:c r="A1492" s="10" t="str">
        <x:v>M11</x:v>
      </x:c>
      <x:c r="B1492" s="10" t="str">
        <x:v>NG_H0</x:v>
      </x:c>
      <x:c r="C1492" s="10" t="n">
        <x:v>7</x:v>
      </x:c>
      <x:c r="D1492" s="24" t="n">
        <x:v>0.0172017201720172</x:v>
      </x:c>
      <x:c r="E1492" s="24" t="n">
        <x:v>0.031199999999999995</x:v>
      </x:c>
      <x:c r="F1492" s="24" t="n">
        <x:f>ABS(D1492-E1492)</x:f>
        <x:v>0.013998279827982796</x:v>
      </x:c>
    </x:row>
    <x:row r="1493" ht="23" customHeight="1">
      <x:c r="A1493" s="10" t="str">
        <x:v>M11</x:v>
      </x:c>
      <x:c r="B1493" s="10" t="str">
        <x:v>NG_H0</x:v>
      </x:c>
      <x:c r="C1493" s="10" t="n">
        <x:v>8</x:v>
      </x:c>
      <x:c r="D1493" s="24" t="n">
        <x:v>0.0967096709670967</x:v>
      </x:c>
      <x:c r="E1493" s="24" t="n">
        <x:v>0.03169999999999999</x:v>
      </x:c>
      <x:c r="F1493" s="24" t="n">
        <x:f>ABS(D1493-E1493)</x:f>
        <x:v>0.06500967096709671</x:v>
      </x:c>
    </x:row>
    <x:row r="1494" ht="23" customHeight="1">
      <x:c r="A1494" s="10" t="str">
        <x:v>M11</x:v>
      </x:c>
      <x:c r="B1494" s="10" t="str">
        <x:v>NG_H0</x:v>
      </x:c>
      <x:c r="C1494" s="10" t="n">
        <x:v>9</x:v>
      </x:c>
      <x:c r="D1494" s="24" t="n">
        <x:v>0.039303930393039296</x:v>
      </x:c>
      <x:c r="E1494" s="24" t="n">
        <x:v>0.024499999999999997</x:v>
      </x:c>
      <x:c r="F1494" s="24" t="n">
        <x:f>ABS(D1494-E1494)</x:f>
        <x:v>0.014803930393039299</x:v>
      </x:c>
    </x:row>
    <x:row r="1495" ht="23" customHeight="1">
      <x:c r="A1495" s="10" t="str">
        <x:v>M11</x:v>
      </x:c>
      <x:c r="B1495" s="10" t="str">
        <x:v>NG_H0</x:v>
      </x:c>
      <x:c r="C1495" s="10" t="n">
        <x:v>10</x:v>
      </x:c>
      <x:c r="D1495" s="24" t="n">
        <x:v>0</x:v>
      </x:c>
      <x:c r="E1495" s="24" t="n">
        <x:v>0.00039999999999999996</x:v>
      </x:c>
      <x:c r="F1495" s="24" t="n">
        <x:f>ABS(D1495-E1495)</x:f>
        <x:v>0.00039999999999999996</x:v>
      </x:c>
    </x:row>
    <x:row r="1496" ht="23" customHeight="1">
      <x:c r="A1496" s="10" t="str">
        <x:v>M11</x:v>
      </x:c>
      <x:c r="B1496" s="10" t="str">
        <x:v>NG_H1</x:v>
      </x:c>
      <x:c r="C1496" s="10" t="n">
        <x:v>1</x:v>
      </x:c>
      <x:c r="D1496" s="24" t="n">
        <x:v>0.0030999999999999995</x:v>
      </x:c>
      <x:c r="E1496" s="24" t="n">
        <x:v>0.013699999999999999</x:v>
      </x:c>
      <x:c r="F1496" s="24" t="n">
        <x:f>ABS(D1496-E1496)</x:f>
        <x:v>0.010599999999999998</x:v>
      </x:c>
    </x:row>
    <x:row r="1497" ht="23" customHeight="1">
      <x:c r="A1497" s="10" t="str">
        <x:v>M11</x:v>
      </x:c>
      <x:c r="B1497" s="10" t="str">
        <x:v>NG_H1</x:v>
      </x:c>
      <x:c r="C1497" s="10" t="n">
        <x:v>2</x:v>
      </x:c>
      <x:c r="D1497" s="24" t="n">
        <x:v>0.2945</x:v>
      </x:c>
      <x:c r="E1497" s="24" t="n">
        <x:v>0.2804</x:v>
      </x:c>
      <x:c r="F1497" s="24" t="n">
        <x:f>ABS(D1497-E1497)</x:f>
        <x:v>0.014100000000000001</x:v>
      </x:c>
    </x:row>
    <x:row r="1498" ht="23" customHeight="1">
      <x:c r="A1498" s="10" t="str">
        <x:v>M11</x:v>
      </x:c>
      <x:c r="B1498" s="10" t="str">
        <x:v>NG_H1</x:v>
      </x:c>
      <x:c r="C1498" s="10" t="n">
        <x:v>3</x:v>
      </x:c>
      <x:c r="D1498" s="24" t="n">
        <x:v>0.3226</x:v>
      </x:c>
      <x:c r="E1498" s="24" t="n">
        <x:v>0.37349999999999994</x:v>
      </x:c>
      <x:c r="F1498" s="24" t="n">
        <x:f>ABS(D1498-E1498)</x:f>
        <x:v>0.050899999999999945</x:v>
      </x:c>
    </x:row>
    <x:row r="1499" ht="23" customHeight="1">
      <x:c r="A1499" s="10" t="str">
        <x:v>M11</x:v>
      </x:c>
      <x:c r="B1499" s="10" t="str">
        <x:v>NG_H1</x:v>
      </x:c>
      <x:c r="C1499" s="10" t="n">
        <x:v>4</x:v>
      </x:c>
      <x:c r="D1499" s="24" t="n">
        <x:v>0.15979999999999997</x:v>
      </x:c>
      <x:c r="E1499" s="24" t="n">
        <x:v>0.17239999999999994</x:v>
      </x:c>
      <x:c r="F1499" s="24" t="n">
        <x:f>ABS(D1499-E1499)</x:f>
        <x:v>0.012599999999999972</x:v>
      </x:c>
    </x:row>
    <x:row r="1500" ht="23" customHeight="1">
      <x:c r="A1500" s="10" t="str">
        <x:v>M11</x:v>
      </x:c>
      <x:c r="B1500" s="10" t="str">
        <x:v>NG_H1</x:v>
      </x:c>
      <x:c r="C1500" s="10" t="n">
        <x:v>5</x:v>
      </x:c>
      <x:c r="D1500" s="24" t="n">
        <x:v>0.03509999999999999</x:v>
      </x:c>
      <x:c r="E1500" s="24" t="n">
        <x:v>0.04799999999999999</x:v>
      </x:c>
      <x:c r="F1500" s="24" t="n">
        <x:f>ABS(D1500-E1500)</x:f>
        <x:v>0.012899999999999995</x:v>
      </x:c>
    </x:row>
    <x:row r="1501" ht="23" customHeight="1">
      <x:c r="A1501" s="10" t="str">
        <x:v>M11</x:v>
      </x:c>
      <x:c r="B1501" s="10" t="str">
        <x:v>NG_H1</x:v>
      </x:c>
      <x:c r="C1501" s="10" t="n">
        <x:v>6</x:v>
      </x:c>
      <x:c r="D1501" s="24" t="n">
        <x:v>0.020499999999999994</x:v>
      </x:c>
      <x:c r="E1501" s="24" t="n">
        <x:v>0.024199999999999996</x:v>
      </x:c>
      <x:c r="F1501" s="24" t="n">
        <x:f>ABS(D1501-E1501)</x:f>
        <x:v>0.003700000000000002</x:v>
      </x:c>
    </x:row>
    <x:row r="1502" ht="23" customHeight="1">
      <x:c r="A1502" s="10" t="str">
        <x:v>M11</x:v>
      </x:c>
      <x:c r="B1502" s="10" t="str">
        <x:v>NG_H1</x:v>
      </x:c>
      <x:c r="C1502" s="10" t="n">
        <x:v>7</x:v>
      </x:c>
      <x:c r="D1502" s="24" t="n">
        <x:v>0.028399999999999995</x:v>
      </x:c>
      <x:c r="E1502" s="24" t="n">
        <x:v>0.031199999999999995</x:v>
      </x:c>
      <x:c r="F1502" s="24" t="n">
        <x:f>ABS(D1502-E1502)</x:f>
        <x:v>0.0028000000000000004</x:v>
      </x:c>
    </x:row>
    <x:row r="1503" ht="23" customHeight="1">
      <x:c r="A1503" s="10" t="str">
        <x:v>M11</x:v>
      </x:c>
      <x:c r="B1503" s="10" t="str">
        <x:v>NG_H1</x:v>
      </x:c>
      <x:c r="C1503" s="10" t="n">
        <x:v>8</x:v>
      </x:c>
      <x:c r="D1503" s="24" t="n">
        <x:v>0.09669999999999998</x:v>
      </x:c>
      <x:c r="E1503" s="24" t="n">
        <x:v>0.03169999999999999</x:v>
      </x:c>
      <x:c r="F1503" s="24" t="n">
        <x:f>ABS(D1503-E1503)</x:f>
        <x:v>0.06499999999999999</x:v>
      </x:c>
    </x:row>
    <x:row r="1504" ht="23" customHeight="1">
      <x:c r="A1504" s="10" t="str">
        <x:v>M11</x:v>
      </x:c>
      <x:c r="B1504" s="10" t="str">
        <x:v>NG_H1</x:v>
      </x:c>
      <x:c r="C1504" s="10" t="n">
        <x:v>9</x:v>
      </x:c>
      <x:c r="D1504" s="24" t="n">
        <x:v>0.039299999999999995</x:v>
      </x:c>
      <x:c r="E1504" s="24" t="n">
        <x:v>0.024499999999999997</x:v>
      </x:c>
      <x:c r="F1504" s="24" t="n">
        <x:f>ABS(D1504-E1504)</x:f>
        <x:v>0.014799999999999997</x:v>
      </x:c>
    </x:row>
    <x:row r="1505" ht="23" customHeight="1">
      <x:c r="A1505" s="10" t="str">
        <x:v>M11</x:v>
      </x:c>
      <x:c r="B1505" s="10" t="str">
        <x:v>NG_H1</x:v>
      </x:c>
      <x:c r="C1505" s="10" t="n">
        <x:v>10</x:v>
      </x:c>
      <x:c r="D1505" s="24" t="n">
        <x:v>0</x:v>
      </x:c>
      <x:c r="E1505" s="24" t="n">
        <x:v>0.00039999999999999996</x:v>
      </x:c>
      <x:c r="F1505" s="24" t="n">
        <x:f>ABS(D1505-E1505)</x:f>
        <x:v>0.00039999999999999996</x:v>
      </x:c>
    </x:row>
    <x:row r="1506" ht="23" customHeight="1">
      <x:c r="A1506" s="10" t="str">
        <x:v>M11</x:v>
      </x:c>
      <x:c r="B1506" s="10" t="str">
        <x:v>CG_H0</x:v>
      </x:c>
      <x:c r="C1506" s="10" t="n">
        <x:v>1</x:v>
      </x:c>
      <x:c r="D1506" s="24" t="n">
        <x:v>0.0018000900045002247</x:v>
      </x:c>
      <x:c r="E1506" s="24" t="n">
        <x:v>0.013699999999999999</x:v>
      </x:c>
      <x:c r="F1506" s="24" t="n">
        <x:f>ABS(D1506-E1506)</x:f>
        <x:v>0.011899909995499773</x:v>
      </x:c>
    </x:row>
    <x:row r="1507" ht="23" customHeight="1">
      <x:c r="A1507" s="10" t="str">
        <x:v>M11</x:v>
      </x:c>
      <x:c r="B1507" s="10" t="str">
        <x:v>CG_H0</x:v>
      </x:c>
      <x:c r="C1507" s="10" t="n">
        <x:v>2</x:v>
      </x:c>
      <x:c r="D1507" s="24" t="n">
        <x:v>0.5969298464923245</x:v>
      </x:c>
      <x:c r="E1507" s="24" t="n">
        <x:v>0.2804</x:v>
      </x:c>
      <x:c r="F1507" s="24" t="n">
        <x:f>ABS(D1507-E1507)</x:f>
        <x:v>0.3165298464923245</x:v>
      </x:c>
    </x:row>
    <x:row r="1508" ht="23" customHeight="1">
      <x:c r="A1508" s="10" t="str">
        <x:v>M11</x:v>
      </x:c>
      <x:c r="B1508" s="10" t="str">
        <x:v>CG_H0</x:v>
      </x:c>
      <x:c r="C1508" s="10" t="n">
        <x:v>3</x:v>
      </x:c>
      <x:c r="D1508" s="24" t="n">
        <x:v>0.2652132606630331</x:v>
      </x:c>
      <x:c r="E1508" s="24" t="n">
        <x:v>0.37349999999999994</x:v>
      </x:c>
      <x:c r="F1508" s="24" t="n">
        <x:f>ABS(D1508-E1508)</x:f>
        <x:v>0.10828673933696686</x:v>
      </x:c>
    </x:row>
    <x:row r="1509" ht="23" customHeight="1">
      <x:c r="A1509" s="10" t="str">
        <x:v>M11</x:v>
      </x:c>
      <x:c r="B1509" s="10" t="str">
        <x:v>CG_H0</x:v>
      </x:c>
      <x:c r="C1509" s="10" t="n">
        <x:v>4</x:v>
      </x:c>
      <x:c r="D1509" s="24" t="n">
        <x:v>0.10540527026351315</x:v>
      </x:c>
      <x:c r="E1509" s="24" t="n">
        <x:v>0.17239999999999994</x:v>
      </x:c>
      <x:c r="F1509" s="24" t="n">
        <x:f>ABS(D1509-E1509)</x:f>
        <x:v>0.06699472973648679</x:v>
      </x:c>
    </x:row>
    <x:row r="1510" ht="23" customHeight="1">
      <x:c r="A1510" s="10" t="str">
        <x:v>M11</x:v>
      </x:c>
      <x:c r="B1510" s="10" t="str">
        <x:v>CG_H0</x:v>
      </x:c>
      <x:c r="C1510" s="10" t="n">
        <x:v>5</x:v>
      </x:c>
      <x:c r="D1510" s="24" t="n">
        <x:v>0.027301365068253407</x:v>
      </x:c>
      <x:c r="E1510" s="24" t="n">
        <x:v>0.04799999999999999</x:v>
      </x:c>
      <x:c r="F1510" s="24" t="n">
        <x:f>ABS(D1510-E1510)</x:f>
        <x:v>0.02069863493174658</x:v>
      </x:c>
    </x:row>
    <x:row r="1511" ht="23" customHeight="1">
      <x:c r="A1511" s="10" t="str">
        <x:v>M11</x:v>
      </x:c>
      <x:c r="B1511" s="10" t="str">
        <x:v>CG_H0</x:v>
      </x:c>
      <x:c r="C1511" s="10" t="n">
        <x:v>6</x:v>
      </x:c>
      <x:c r="D1511" s="24" t="n">
        <x:v>0.0029001450072503616</x:v>
      </x:c>
      <x:c r="E1511" s="24" t="n">
        <x:v>0.024199999999999996</x:v>
      </x:c>
      <x:c r="F1511" s="24" t="n">
        <x:f>ABS(D1511-E1511)</x:f>
        <x:v>0.021299854992749633</x:v>
      </x:c>
    </x:row>
    <x:row r="1512" ht="23" customHeight="1">
      <x:c r="A1512" s="10" t="str">
        <x:v>M11</x:v>
      </x:c>
      <x:c r="B1512" s="10" t="str">
        <x:v>CG_H0</x:v>
      </x:c>
      <x:c r="C1512" s="10" t="n">
        <x:v>7</x:v>
      </x:c>
      <x:c r="D1512" s="24" t="n">
        <x:v>0.00005000250012500624</x:v>
      </x:c>
      <x:c r="E1512" s="24" t="n">
        <x:v>0.031199999999999995</x:v>
      </x:c>
      <x:c r="F1512" s="24" t="n">
        <x:f>ABS(D1512-E1512)</x:f>
        <x:v>0.031149997499874987</x:v>
      </x:c>
    </x:row>
    <x:row r="1513" ht="23" customHeight="1">
      <x:c r="A1513" s="10" t="str">
        <x:v>M11</x:v>
      </x:c>
      <x:c r="B1513" s="10" t="str">
        <x:v>CG_H0</x:v>
      </x:c>
      <x:c r="C1513" s="10" t="n">
        <x:v>8</x:v>
      </x:c>
      <x:c r="D1513" s="24" t="n">
        <x:v>0</x:v>
      </x:c>
      <x:c r="E1513" s="24" t="n">
        <x:v>0.03169999999999999</x:v>
      </x:c>
      <x:c r="F1513" s="24" t="n">
        <x:f>ABS(D1513-E1513)</x:f>
        <x:v>0.03169999999999999</x:v>
      </x:c>
    </x:row>
    <x:row r="1514" ht="23" customHeight="1">
      <x:c r="A1514" s="10" t="str">
        <x:v>M11</x:v>
      </x:c>
      <x:c r="B1514" s="10" t="str">
        <x:v>CG_H0</x:v>
      </x:c>
      <x:c r="C1514" s="10" t="n">
        <x:v>9</x:v>
      </x:c>
      <x:c r="D1514" s="24" t="n">
        <x:v>0.00040002000100004993</x:v>
      </x:c>
      <x:c r="E1514" s="24" t="n">
        <x:v>0.024499999999999997</x:v>
      </x:c>
      <x:c r="F1514" s="24" t="n">
        <x:f>ABS(D1514-E1514)</x:f>
        <x:v>0.024099979998999946</x:v>
      </x:c>
    </x:row>
    <x:row r="1515" ht="23" customHeight="1">
      <x:c r="A1515" s="10" t="str">
        <x:v>M11</x:v>
      </x:c>
      <x:c r="B1515" s="10" t="str">
        <x:v>CG_H0</x:v>
      </x:c>
      <x:c r="C1515" s="10" t="n">
        <x:v>10</x:v>
      </x:c>
      <x:c r="D1515" s="24" t="n">
        <x:v>0</x:v>
      </x:c>
      <x:c r="E1515" s="24" t="n">
        <x:v>0.00039999999999999996</x:v>
      </x:c>
      <x:c r="F1515" s="24" t="n">
        <x:f>ABS(D1515-E1515)</x:f>
        <x:v>0.00039999999999999996</x:v>
      </x:c>
    </x:row>
    <x:row r="1516" ht="23" customHeight="1">
      <x:c r="A1516" s="10" t="str">
        <x:v>M11</x:v>
      </x:c>
      <x:c r="B1516" s="10" t="str">
        <x:v>CG_H1</x:v>
      </x:c>
      <x:c r="C1516" s="10" t="n">
        <x:v>1</x:v>
      </x:c>
      <x:c r="D1516" s="24" t="n">
        <x:v>0.0018</x:v>
      </x:c>
      <x:c r="E1516" s="24" t="n">
        <x:v>0.013699999999999999</x:v>
      </x:c>
      <x:c r="F1516" s="24" t="n">
        <x:f>ABS(D1516-E1516)</x:f>
        <x:v>0.011899999999999999</x:v>
      </x:c>
    </x:row>
    <x:row r="1517" ht="23" customHeight="1">
      <x:c r="A1517" s="10" t="str">
        <x:v>M11</x:v>
      </x:c>
      <x:c r="B1517" s="10" t="str">
        <x:v>CG_H1</x:v>
      </x:c>
      <x:c r="C1517" s="10" t="n">
        <x:v>2</x:v>
      </x:c>
      <x:c r="D1517" s="24" t="n">
        <x:v>0.4359</x:v>
      </x:c>
      <x:c r="E1517" s="24" t="n">
        <x:v>0.2804</x:v>
      </x:c>
      <x:c r="F1517" s="24" t="n">
        <x:f>ABS(D1517-E1517)</x:f>
        <x:v>0.15550000000000003</x:v>
      </x:c>
    </x:row>
    <x:row r="1518" ht="23" customHeight="1">
      <x:c r="A1518" s="10" t="str">
        <x:v>M11</x:v>
      </x:c>
      <x:c r="B1518" s="10" t="str">
        <x:v>CG_H1</x:v>
      </x:c>
      <x:c r="C1518" s="10" t="n">
        <x:v>3</x:v>
      </x:c>
      <x:c r="D1518" s="24" t="n">
        <x:v>0.3593</x:v>
      </x:c>
      <x:c r="E1518" s="24" t="n">
        <x:v>0.37349999999999994</x:v>
      </x:c>
      <x:c r="F1518" s="24" t="n">
        <x:f>ABS(D1518-E1518)</x:f>
        <x:v>0.014199999999999935</x:v>
      </x:c>
    </x:row>
    <x:row r="1519" ht="23" customHeight="1">
      <x:c r="A1519" s="10" t="str">
        <x:v>M11</x:v>
      </x:c>
      <x:c r="B1519" s="10" t="str">
        <x:v>CG_H1</x:v>
      </x:c>
      <x:c r="C1519" s="10" t="n">
        <x:v>4</x:v>
      </x:c>
      <x:c r="D1519" s="24" t="n">
        <x:v>0.1518</x:v>
      </x:c>
      <x:c r="E1519" s="24" t="n">
        <x:v>0.17239999999999994</x:v>
      </x:c>
      <x:c r="F1519" s="24" t="n">
        <x:f>ABS(D1519-E1519)</x:f>
        <x:v>0.02059999999999995</x:v>
      </x:c>
    </x:row>
    <x:row r="1520" ht="23" customHeight="1">
      <x:c r="A1520" s="10" t="str">
        <x:v>M11</x:v>
      </x:c>
      <x:c r="B1520" s="10" t="str">
        <x:v>CG_H1</x:v>
      </x:c>
      <x:c r="C1520" s="10" t="n">
        <x:v>5</x:v>
      </x:c>
      <x:c r="D1520" s="24" t="n">
        <x:v>0.0353</x:v>
      </x:c>
      <x:c r="E1520" s="24" t="n">
        <x:v>0.04799999999999999</x:v>
      </x:c>
      <x:c r="F1520" s="24" t="n">
        <x:f>ABS(D1520-E1520)</x:f>
        <x:v>0.012699999999999989</x:v>
      </x:c>
    </x:row>
    <x:row r="1521" ht="23" customHeight="1">
      <x:c r="A1521" s="10" t="str">
        <x:v>M11</x:v>
      </x:c>
      <x:c r="B1521" s="10" t="str">
        <x:v>CG_H1</x:v>
      </x:c>
      <x:c r="C1521" s="10" t="n">
        <x:v>6</x:v>
      </x:c>
      <x:c r="D1521" s="24" t="n">
        <x:v>0.0034999999999999996</x:v>
      </x:c>
      <x:c r="E1521" s="24" t="n">
        <x:v>0.024199999999999996</x:v>
      </x:c>
      <x:c r="F1521" s="24" t="n">
        <x:f>ABS(D1521-E1521)</x:f>
        <x:v>0.020699999999999996</x:v>
      </x:c>
    </x:row>
    <x:row r="1522" ht="23" customHeight="1">
      <x:c r="A1522" s="10" t="str">
        <x:v>M11</x:v>
      </x:c>
      <x:c r="B1522" s="10" t="str">
        <x:v>CG_H1</x:v>
      </x:c>
      <x:c r="C1522" s="10" t="n">
        <x:v>7</x:v>
      </x:c>
      <x:c r="D1522" s="24" t="n">
        <x:v>0.012</x:v>
      </x:c>
      <x:c r="E1522" s="24" t="n">
        <x:v>0.031199999999999995</x:v>
      </x:c>
      <x:c r="F1522" s="24" t="n">
        <x:f>ABS(D1522-E1522)</x:f>
        <x:v>0.019199999999999995</x:v>
      </x:c>
    </x:row>
    <x:row r="1523" ht="23" customHeight="1">
      <x:c r="A1523" s="10" t="str">
        <x:v>M11</x:v>
      </x:c>
      <x:c r="B1523" s="10" t="str">
        <x:v>CG_H1</x:v>
      </x:c>
      <x:c r="C1523" s="10" t="n">
        <x:v>8</x:v>
      </x:c>
      <x:c r="D1523" s="24" t="n">
        <x:v>0</x:v>
      </x:c>
      <x:c r="E1523" s="24" t="n">
        <x:v>0.03169999999999999</x:v>
      </x:c>
      <x:c r="F1523" s="24" t="n">
        <x:f>ABS(D1523-E1523)</x:f>
        <x:v>0.03169999999999999</x:v>
      </x:c>
    </x:row>
    <x:row r="1524" ht="23" customHeight="1">
      <x:c r="A1524" s="10" t="str">
        <x:v>M11</x:v>
      </x:c>
      <x:c r="B1524" s="10" t="str">
        <x:v>CG_H1</x:v>
      </x:c>
      <x:c r="C1524" s="10" t="n">
        <x:v>9</x:v>
      </x:c>
      <x:c r="D1524" s="24" t="n">
        <x:v>0.0004</x:v>
      </x:c>
      <x:c r="E1524" s="24" t="n">
        <x:v>0.024499999999999997</x:v>
      </x:c>
      <x:c r="F1524" s="24" t="n">
        <x:f>ABS(D1524-E1524)</x:f>
        <x:v>0.024099999999999996</x:v>
      </x:c>
    </x:row>
    <x:row r="1525" ht="23" customHeight="1">
      <x:c r="A1525" s="10" t="str">
        <x:v>M11</x:v>
      </x:c>
      <x:c r="B1525" s="10" t="str">
        <x:v>CG_H1</x:v>
      </x:c>
      <x:c r="C1525" s="10" t="n">
        <x:v>10</x:v>
      </x:c>
      <x:c r="D1525" s="24" t="n">
        <x:v>0</x:v>
      </x:c>
      <x:c r="E1525" s="24" t="n">
        <x:v>0.00039999999999999996</x:v>
      </x:c>
      <x:c r="F1525" s="24" t="n">
        <x:f>ABS(D1525-E1525)</x:f>
        <x:v>0.00039999999999999996</x:v>
      </x:c>
    </x:row>
    <x:row r="1526" ht="23" customHeight="1">
      <x:c r="A1526" s="10" t="str">
        <x:v>M11</x:v>
      </x:c>
      <x:c r="B1526" s="10" t="str">
        <x:v>NCG_H0</x:v>
      </x:c>
      <x:c r="C1526" s="10" t="n">
        <x:v>1</x:v>
      </x:c>
      <x:c r="D1526" s="24" t="n">
        <x:v>0.0017998200179982005</x:v>
      </x:c>
      <x:c r="E1526" s="24" t="n">
        <x:v>0.013699999999999999</x:v>
      </x:c>
      <x:c r="F1526" s="24" t="n">
        <x:f>ABS(D1526-E1526)</x:f>
        <x:v>0.011900179982001798</x:v>
      </x:c>
    </x:row>
    <x:row r="1527" ht="23" customHeight="1">
      <x:c r="A1527" s="10" t="str">
        <x:v>M11</x:v>
      </x:c>
      <x:c r="B1527" s="10" t="str">
        <x:v>NCG_H0</x:v>
      </x:c>
      <x:c r="C1527" s="10" t="n">
        <x:v>2</x:v>
      </x:c>
      <x:c r="D1527" s="24" t="n">
        <x:v>0.401059894010599</x:v>
      </x:c>
      <x:c r="E1527" s="24" t="n">
        <x:v>0.2804</x:v>
      </x:c>
      <x:c r="F1527" s="24" t="n">
        <x:f>ABS(D1527-E1527)</x:f>
        <x:v>0.12065989401059901</x:v>
      </x:c>
    </x:row>
    <x:row r="1528" ht="23" customHeight="1">
      <x:c r="A1528" s="10" t="str">
        <x:v>M11</x:v>
      </x:c>
      <x:c r="B1528" s="10" t="str">
        <x:v>NCG_H0</x:v>
      </x:c>
      <x:c r="C1528" s="10" t="n">
        <x:v>3</x:v>
      </x:c>
      <x:c r="D1528" s="24" t="n">
        <x:v>0.35466453354664546</x:v>
      </x:c>
      <x:c r="E1528" s="24" t="n">
        <x:v>0.37349999999999994</x:v>
      </x:c>
      <x:c r="F1528" s="24" t="n">
        <x:f>ABS(D1528-E1528)</x:f>
        <x:v>0.018835466453354488</x:v>
      </x:c>
    </x:row>
    <x:row r="1529" ht="23" customHeight="1">
      <x:c r="A1529" s="10" t="str">
        <x:v>M11</x:v>
      </x:c>
      <x:c r="B1529" s="10" t="str">
        <x:v>NCG_H0</x:v>
      </x:c>
      <x:c r="C1529" s="10" t="n">
        <x:v>4</x:v>
      </x:c>
      <x:c r="D1529" s="24" t="n">
        <x:v>0.13238676132386765</x:v>
      </x:c>
      <x:c r="E1529" s="24" t="n">
        <x:v>0.17239999999999994</x:v>
      </x:c>
      <x:c r="F1529" s="24" t="n">
        <x:f>ABS(D1529-E1529)</x:f>
        <x:v>0.040013238676132296</x:v>
      </x:c>
    </x:row>
    <x:row r="1530" ht="23" customHeight="1">
      <x:c r="A1530" s="10" t="str">
        <x:v>M11</x:v>
      </x:c>
      <x:c r="B1530" s="10" t="str">
        <x:v>NCG_H0</x:v>
      </x:c>
      <x:c r="C1530" s="10" t="n">
        <x:v>5</x:v>
      </x:c>
      <x:c r="D1530" s="24" t="n">
        <x:v>0.02879712028797121</x:v>
      </x:c>
      <x:c r="E1530" s="24" t="n">
        <x:v>0.04799999999999999</x:v>
      </x:c>
      <x:c r="F1530" s="24" t="n">
        <x:f>ABS(D1530-E1530)</x:f>
        <x:v>0.01920287971202878</x:v>
      </x:c>
    </x:row>
    <x:row r="1531" ht="23" customHeight="1">
      <x:c r="A1531" s="10" t="str">
        <x:v>M11</x:v>
      </x:c>
      <x:c r="B1531" s="10" t="str">
        <x:v>NCG_H0</x:v>
      </x:c>
      <x:c r="C1531" s="10" t="n">
        <x:v>6</x:v>
      </x:c>
      <x:c r="D1531" s="24" t="n">
        <x:v>0.007099290070992902</x:v>
      </x:c>
      <x:c r="E1531" s="24" t="n">
        <x:v>0.024199999999999996</x:v>
      </x:c>
      <x:c r="F1531" s="24" t="n">
        <x:f>ABS(D1531-E1531)</x:f>
        <x:v>0.017100709929007092</x:v>
      </x:c>
    </x:row>
    <x:row r="1532" ht="23" customHeight="1">
      <x:c r="A1532" s="10" t="str">
        <x:v>M11</x:v>
      </x:c>
      <x:c r="B1532" s="10" t="str">
        <x:v>NCG_H0</x:v>
      </x:c>
      <x:c r="C1532" s="10" t="n">
        <x:v>7</x:v>
      </x:c>
      <x:c r="D1532" s="24" t="n">
        <x:v>0.015898410158984105</x:v>
      </x:c>
      <x:c r="E1532" s="24" t="n">
        <x:v>0.031199999999999995</x:v>
      </x:c>
      <x:c r="F1532" s="24" t="n">
        <x:f>ABS(D1532-E1532)</x:f>
        <x:v>0.01530158984101589</x:v>
      </x:c>
    </x:row>
    <x:row r="1533" ht="23" customHeight="1">
      <x:c r="A1533" s="10" t="str">
        <x:v>M11</x:v>
      </x:c>
      <x:c r="B1533" s="10" t="str">
        <x:v>NCG_H0</x:v>
      </x:c>
      <x:c r="C1533" s="10" t="n">
        <x:v>8</x:v>
      </x:c>
      <x:c r="D1533" s="24" t="n">
        <x:v>0.02969703029697031</x:v>
      </x:c>
      <x:c r="E1533" s="24" t="n">
        <x:v>0.03169999999999999</x:v>
      </x:c>
      <x:c r="F1533" s="24" t="n">
        <x:f>ABS(D1533-E1533)</x:f>
        <x:v>0.0020029697030296834</x:v>
      </x:c>
    </x:row>
    <x:row r="1534" ht="23" customHeight="1">
      <x:c r="A1534" s="10" t="str">
        <x:v>M11</x:v>
      </x:c>
      <x:c r="B1534" s="10" t="str">
        <x:v>NCG_H0</x:v>
      </x:c>
      <x:c r="C1534" s="10" t="n">
        <x:v>9</x:v>
      </x:c>
      <x:c r="D1534" s="24" t="n">
        <x:v>0.02859714028597141</x:v>
      </x:c>
      <x:c r="E1534" s="24" t="n">
        <x:v>0.024499999999999997</x:v>
      </x:c>
      <x:c r="F1534" s="24" t="n">
        <x:f>ABS(D1534-E1534)</x:f>
        <x:v>0.004097140285971412</x:v>
      </x:c>
    </x:row>
    <x:row r="1535" ht="23" customHeight="1">
      <x:c r="A1535" s="10" t="str">
        <x:v>M11</x:v>
      </x:c>
      <x:c r="B1535" s="10" t="str">
        <x:v>NCG_H0</x:v>
      </x:c>
      <x:c r="C1535" s="10" t="n">
        <x:v>10</x:v>
      </x:c>
      <x:c r="D1535" s="24" t="n">
        <x:v>0</x:v>
      </x:c>
      <x:c r="E1535" s="24" t="n">
        <x:v>0.00039999999999999996</x:v>
      </x:c>
      <x:c r="F1535" s="24" t="n">
        <x:f>ABS(D1535-E1535)</x:f>
        <x:v>0.00039999999999999996</x:v>
      </x:c>
    </x:row>
    <x:row r="1536" ht="23" customHeight="1">
      <x:c r="A1536" s="10" t="str">
        <x:v>M11</x:v>
      </x:c>
      <x:c r="B1536" s="10" t="str">
        <x:v>NCG_H1</x:v>
      </x:c>
      <x:c r="C1536" s="10" t="n">
        <x:v>1</x:v>
      </x:c>
      <x:c r="D1536" s="24" t="n">
        <x:v>0.0018000000000000002</x:v>
      </x:c>
      <x:c r="E1536" s="24" t="n">
        <x:v>0.013699999999999999</x:v>
      </x:c>
      <x:c r="F1536" s="24" t="n">
        <x:f>ABS(D1536-E1536)</x:f>
        <x:v>0.011899999999999999</x:v>
      </x:c>
    </x:row>
    <x:row r="1537" ht="23" customHeight="1">
      <x:c r="A1537" s="10" t="str">
        <x:v>M11</x:v>
      </x:c>
      <x:c r="B1537" s="10" t="str">
        <x:v>NCG_H1</x:v>
      </x:c>
      <x:c r="C1537" s="10" t="n">
        <x:v>2</x:v>
      </x:c>
      <x:c r="D1537" s="24" t="n">
        <x:v>0.3206</x:v>
      </x:c>
      <x:c r="E1537" s="24" t="n">
        <x:v>0.2804</x:v>
      </x:c>
      <x:c r="F1537" s="24" t="n">
        <x:f>ABS(D1537-E1537)</x:f>
        <x:v>0.040200000000000014</x:v>
      </x:c>
    </x:row>
    <x:row r="1538" ht="23" customHeight="1">
      <x:c r="A1538" s="10" t="str">
        <x:v>M11</x:v>
      </x:c>
      <x:c r="B1538" s="10" t="str">
        <x:v>NCG_H1</x:v>
      </x:c>
      <x:c r="C1538" s="10" t="n">
        <x:v>3</x:v>
      </x:c>
      <x:c r="D1538" s="24" t="n">
        <x:v>0.35230000000000006</x:v>
      </x:c>
      <x:c r="E1538" s="24" t="n">
        <x:v>0.37349999999999994</x:v>
      </x:c>
      <x:c r="F1538" s="24" t="n">
        <x:f>ABS(D1538-E1538)</x:f>
        <x:v>0.021199999999999886</x:v>
      </x:c>
    </x:row>
    <x:row r="1539" ht="23" customHeight="1">
      <x:c r="A1539" s="10" t="str">
        <x:v>M11</x:v>
      </x:c>
      <x:c r="B1539" s="10" t="str">
        <x:v>NCG_H1</x:v>
      </x:c>
      <x:c r="C1539" s="10" t="n">
        <x:v>4</x:v>
      </x:c>
      <x:c r="D1539" s="24" t="n">
        <x:v>0.17800000000000005</x:v>
      </x:c>
      <x:c r="E1539" s="24" t="n">
        <x:v>0.17239999999999994</x:v>
      </x:c>
      <x:c r="F1539" s="24" t="n">
        <x:f>ABS(D1539-E1539)</x:f>
        <x:v>0.005600000000000105</x:v>
      </x:c>
    </x:row>
    <x:row r="1540" ht="23" customHeight="1">
      <x:c r="A1540" s="10" t="str">
        <x:v>M11</x:v>
      </x:c>
      <x:c r="B1540" s="10" t="str">
        <x:v>NCG_H1</x:v>
      </x:c>
      <x:c r="C1540" s="10" t="n">
        <x:v>5</x:v>
      </x:c>
      <x:c r="D1540" s="24" t="n">
        <x:v>0.037700000000000004</x:v>
      </x:c>
      <x:c r="E1540" s="24" t="n">
        <x:v>0.04799999999999999</x:v>
      </x:c>
      <x:c r="F1540" s="24" t="n">
        <x:f>ABS(D1540-E1540)</x:f>
        <x:v>0.010299999999999983</x:v>
      </x:c>
    </x:row>
    <x:row r="1541" ht="23" customHeight="1">
      <x:c r="A1541" s="10" t="str">
        <x:v>M11</x:v>
      </x:c>
      <x:c r="B1541" s="10" t="str">
        <x:v>NCG_H1</x:v>
      </x:c>
      <x:c r="C1541" s="10" t="n">
        <x:v>6</x:v>
      </x:c>
      <x:c r="D1541" s="24" t="n">
        <x:v>0.018500000000000003</x:v>
      </x:c>
      <x:c r="E1541" s="24" t="n">
        <x:v>0.024199999999999996</x:v>
      </x:c>
      <x:c r="F1541" s="24" t="n">
        <x:f>ABS(D1541-E1541)</x:f>
        <x:v>0.005699999999999993</x:v>
      </x:c>
    </x:row>
    <x:row r="1542" ht="23" customHeight="1">
      <x:c r="A1542" s="10" t="str">
        <x:v>M11</x:v>
      </x:c>
      <x:c r="B1542" s="10" t="str">
        <x:v>NCG_H1</x:v>
      </x:c>
      <x:c r="C1542" s="10" t="n">
        <x:v>7</x:v>
      </x:c>
      <x:c r="D1542" s="24" t="n">
        <x:v>0.0328</x:v>
      </x:c>
      <x:c r="E1542" s="24" t="n">
        <x:v>0.031199999999999995</x:v>
      </x:c>
      <x:c r="F1542" s="24" t="n">
        <x:f>ABS(D1542-E1542)</x:f>
        <x:v>0.0016000000000000077</x:v>
      </x:c>
    </x:row>
    <x:row r="1543" ht="23" customHeight="1">
      <x:c r="A1543" s="10" t="str">
        <x:v>M11</x:v>
      </x:c>
      <x:c r="B1543" s="10" t="str">
        <x:v>NCG_H1</x:v>
      </x:c>
      <x:c r="C1543" s="10" t="n">
        <x:v>8</x:v>
      </x:c>
      <x:c r="D1543" s="24" t="n">
        <x:v>0.029700000000000008</x:v>
      </x:c>
      <x:c r="E1543" s="24" t="n">
        <x:v>0.03169999999999999</x:v>
      </x:c>
      <x:c r="F1543" s="24" t="n">
        <x:f>ABS(D1543-E1543)</x:f>
        <x:v>0.0019999999999999844</x:v>
      </x:c>
    </x:row>
    <x:row r="1544" ht="23" customHeight="1">
      <x:c r="A1544" s="10" t="str">
        <x:v>M11</x:v>
      </x:c>
      <x:c r="B1544" s="10" t="str">
        <x:v>NCG_H1</x:v>
      </x:c>
      <x:c r="C1544" s="10" t="n">
        <x:v>9</x:v>
      </x:c>
      <x:c r="D1544" s="24" t="n">
        <x:v>0.028600000000000004</x:v>
      </x:c>
      <x:c r="E1544" s="24" t="n">
        <x:v>0.024499999999999997</x:v>
      </x:c>
      <x:c r="F1544" s="24" t="n">
        <x:f>ABS(D1544-E1544)</x:f>
        <x:v>0.004100000000000006</x:v>
      </x:c>
    </x:row>
    <x:row r="1545" ht="23" customHeight="1">
      <x:c r="A1545" s="10" t="str">
        <x:v>M11</x:v>
      </x:c>
      <x:c r="B1545" s="10" t="str">
        <x:v>NCG_H1</x:v>
      </x:c>
      <x:c r="C1545" s="10" t="n">
        <x:v>10</x:v>
      </x:c>
      <x:c r="D1545" s="24" t="n">
        <x:v>0</x:v>
      </x:c>
      <x:c r="E1545" s="24" t="n">
        <x:v>0.00039999999999999996</x:v>
      </x:c>
      <x:c r="F1545" s="24" t="n">
        <x:f>ABS(D1545-E1545)</x:f>
        <x:v>0.00039999999999999996</x:v>
      </x:c>
    </x:row>
    <x:row r="1546" ht="23" customHeight="1">
      <x:c r="A1546" s="10" t="str">
        <x:v>M12</x:v>
      </x:c>
      <x:c r="B1546" s="10" t="str">
        <x:v>N_H0</x:v>
      </x:c>
      <x:c r="C1546" s="10" t="n">
        <x:v>1</x:v>
      </x:c>
      <x:c r="D1546" s="24" t="n">
        <x:v>0</x:v>
      </x:c>
      <x:c r="E1546" s="24" t="n">
        <x:v>0.0026997300269973002</x:v>
      </x:c>
      <x:c r="F1546" s="24" t="n">
        <x:f>ABS(D1546-E1546)</x:f>
        <x:v>0.0026997300269973002</x:v>
      </x:c>
    </x:row>
    <x:row r="1547" ht="23" customHeight="1">
      <x:c r="A1547" s="10" t="str">
        <x:v>M12</x:v>
      </x:c>
      <x:c r="B1547" s="10" t="str">
        <x:v>N_H0</x:v>
      </x:c>
      <x:c r="C1547" s="10" t="n">
        <x:v>2</x:v>
      </x:c>
      <x:c r="D1547" s="24" t="n">
        <x:v>0.0484</x:v>
      </x:c>
      <x:c r="E1547" s="24" t="n">
        <x:v>0.225977402259774</x:v>
      </x:c>
      <x:c r="F1547" s="24" t="n">
        <x:f>ABS(D1547-E1547)</x:f>
        <x:v>0.177577402259774</x:v>
      </x:c>
    </x:row>
    <x:row r="1548" ht="23" customHeight="1">
      <x:c r="A1548" s="10" t="str">
        <x:v>M12</x:v>
      </x:c>
      <x:c r="B1548" s="10" t="str">
        <x:v>N_H0</x:v>
      </x:c>
      <x:c r="C1548" s="10" t="n">
        <x:v>3</x:v>
      </x:c>
      <x:c r="D1548" s="24" t="n">
        <x:v>0.1515</x:v>
      </x:c>
      <x:c r="E1548" s="24" t="n">
        <x:v>0.5970402959704029</x:v>
      </x:c>
      <x:c r="F1548" s="24" t="n">
        <x:f>ABS(D1548-E1548)</x:f>
        <x:v>0.4455402959704029</x:v>
      </x:c>
    </x:row>
    <x:row r="1549" ht="23" customHeight="1">
      <x:c r="A1549" s="10" t="str">
        <x:v>M12</x:v>
      </x:c>
      <x:c r="B1549" s="10" t="str">
        <x:v>N_H0</x:v>
      </x:c>
      <x:c r="C1549" s="10" t="n">
        <x:v>4</x:v>
      </x:c>
      <x:c r="D1549" s="24" t="n">
        <x:v>0</x:v>
      </x:c>
      <x:c r="E1549" s="24" t="n">
        <x:v>0.08039196080391958</x:v>
      </x:c>
      <x:c r="F1549" s="24" t="n">
        <x:f>ABS(D1549-E1549)</x:f>
        <x:v>0.08039196080391958</x:v>
      </x:c>
    </x:row>
    <x:row r="1550" ht="23" customHeight="1">
      <x:c r="A1550" s="10" t="str">
        <x:v>M12</x:v>
      </x:c>
      <x:c r="B1550" s="10" t="str">
        <x:v>N_H0</x:v>
      </x:c>
      <x:c r="C1550" s="10" t="n">
        <x:v>5</x:v>
      </x:c>
      <x:c r="D1550" s="24" t="n">
        <x:v>0.7437999999999999</x:v>
      </x:c>
      <x:c r="E1550" s="24" t="n">
        <x:v>0.0361963803619638</x:v>
      </x:c>
      <x:c r="F1550" s="24" t="n">
        <x:f>ABS(D1550-E1550)</x:f>
        <x:v>0.7076036196380361</x:v>
      </x:c>
    </x:row>
    <x:row r="1551" ht="23" customHeight="1">
      <x:c r="A1551" s="10" t="str">
        <x:v>M12</x:v>
      </x:c>
      <x:c r="B1551" s="10" t="str">
        <x:v>N_H0</x:v>
      </x:c>
      <x:c r="C1551" s="10" t="n">
        <x:v>6</x:v>
      </x:c>
      <x:c r="D1551" s="24" t="n">
        <x:v>0.005600000000000001</x:v>
      </x:c>
      <x:c r="E1551" s="24" t="n">
        <x:v>0.0090990900909909</x:v>
      </x:c>
      <x:c r="F1551" s="24" t="n">
        <x:f>ABS(D1551-E1551)</x:f>
        <x:v>0.0034990900909908987</x:v>
      </x:c>
    </x:row>
    <x:row r="1552" ht="23" customHeight="1">
      <x:c r="A1552" s="10" t="str">
        <x:v>M12</x:v>
      </x:c>
      <x:c r="B1552" s="10" t="str">
        <x:v>N_H0</x:v>
      </x:c>
      <x:c r="C1552" s="10" t="n">
        <x:v>7</x:v>
      </x:c>
      <x:c r="D1552" s="24" t="n">
        <x:v>0.0059</x:v>
      </x:c>
      <x:c r="E1552" s="24" t="n">
        <x:v>0.0051994800519948</x:v>
      </x:c>
      <x:c r="F1552" s="24" t="n">
        <x:f>ABS(D1552-E1552)</x:f>
        <x:v>0.0007005199480051997</x:v>
      </x:c>
    </x:row>
    <x:row r="1553" ht="23" customHeight="1">
      <x:c r="A1553" s="10" t="str">
        <x:v>M12</x:v>
      </x:c>
      <x:c r="B1553" s="10" t="str">
        <x:v>N_H0</x:v>
      </x:c>
      <x:c r="C1553" s="10" t="n">
        <x:v>8</x:v>
      </x:c>
      <x:c r="D1553" s="24" t="n">
        <x:v>0.009899999999999999</x:v>
      </x:c>
      <x:c r="E1553" s="24" t="n">
        <x:v>0.011998800119988001</x:v>
      </x:c>
      <x:c r="F1553" s="24" t="n">
        <x:f>ABS(D1553-E1553)</x:f>
        <x:v>0.002098800119988002</x:v>
      </x:c>
    </x:row>
    <x:row r="1554" ht="23" customHeight="1">
      <x:c r="A1554" s="10" t="str">
        <x:v>M12</x:v>
      </x:c>
      <x:c r="B1554" s="10" t="str">
        <x:v>N_H0</x:v>
      </x:c>
      <x:c r="C1554" s="10" t="n">
        <x:v>9</x:v>
      </x:c>
      <x:c r="D1554" s="24" t="n">
        <x:v>0.0349</x:v>
      </x:c>
      <x:c r="E1554" s="24" t="n">
        <x:v>0.0313968603139686</x:v>
      </x:c>
      <x:c r="F1554" s="24" t="n">
        <x:f>ABS(D1554-E1554)</x:f>
        <x:v>0.0035031396860314007</x:v>
      </x:c>
    </x:row>
    <x:row r="1555" ht="23" customHeight="1">
      <x:c r="A1555" s="10" t="str">
        <x:v>M12</x:v>
      </x:c>
      <x:c r="B1555" s="10" t="str">
        <x:v>N_H0</x:v>
      </x:c>
      <x:c r="C1555" s="10" t="n">
        <x:v>10</x:v>
      </x:c>
      <x:c r="D1555" s="24" t="n">
        <x:v>0</x:v>
      </x:c>
      <x:c r="E1555" s="24" t="n">
        <x:v>0</x:v>
      </x:c>
      <x:c r="F1555" s="24" t="n">
        <x:f>ABS(D1555-E1555)</x:f>
        <x:v>0</x:v>
      </x:c>
    </x:row>
    <x:row r="1556" ht="23" customHeight="1">
      <x:c r="A1556" s="10" t="str">
        <x:v>M12</x:v>
      </x:c>
      <x:c r="B1556" s="10" t="str">
        <x:v>N_H1</x:v>
      </x:c>
      <x:c r="C1556" s="10" t="n">
        <x:v>1</x:v>
      </x:c>
      <x:c r="D1556" s="24" t="n">
        <x:v>0</x:v>
      </x:c>
      <x:c r="E1556" s="24" t="n">
        <x:v>0.0026997300269973002</x:v>
      </x:c>
      <x:c r="F1556" s="24" t="n">
        <x:f>ABS(D1556-E1556)</x:f>
        <x:v>0.0026997300269973002</x:v>
      </x:c>
    </x:row>
    <x:row r="1557" ht="23" customHeight="1">
      <x:c r="A1557" s="10" t="str">
        <x:v>M12</x:v>
      </x:c>
      <x:c r="B1557" s="10" t="str">
        <x:v>N_H1</x:v>
      </x:c>
      <x:c r="C1557" s="10" t="n">
        <x:v>2</x:v>
      </x:c>
      <x:c r="D1557" s="24" t="n">
        <x:v>0.0484</x:v>
      </x:c>
      <x:c r="E1557" s="24" t="n">
        <x:v>0.225977402259774</x:v>
      </x:c>
      <x:c r="F1557" s="24" t="n">
        <x:f>ABS(D1557-E1557)</x:f>
        <x:v>0.177577402259774</x:v>
      </x:c>
    </x:row>
    <x:row r="1558" ht="23" customHeight="1">
      <x:c r="A1558" s="10" t="str">
        <x:v>M12</x:v>
      </x:c>
      <x:c r="B1558" s="10" t="str">
        <x:v>N_H1</x:v>
      </x:c>
      <x:c r="C1558" s="10" t="n">
        <x:v>3</x:v>
      </x:c>
      <x:c r="D1558" s="24" t="n">
        <x:v>0.1515</x:v>
      </x:c>
      <x:c r="E1558" s="24" t="n">
        <x:v>0.5970402959704029</x:v>
      </x:c>
      <x:c r="F1558" s="24" t="n">
        <x:f>ABS(D1558-E1558)</x:f>
        <x:v>0.4455402959704029</x:v>
      </x:c>
    </x:row>
    <x:row r="1559" ht="23" customHeight="1">
      <x:c r="A1559" s="10" t="str">
        <x:v>M12</x:v>
      </x:c>
      <x:c r="B1559" s="10" t="str">
        <x:v>N_H1</x:v>
      </x:c>
      <x:c r="C1559" s="10" t="n">
        <x:v>4</x:v>
      </x:c>
      <x:c r="D1559" s="24" t="n">
        <x:v>0</x:v>
      </x:c>
      <x:c r="E1559" s="24" t="n">
        <x:v>0.08039196080391958</x:v>
      </x:c>
      <x:c r="F1559" s="24" t="n">
        <x:f>ABS(D1559-E1559)</x:f>
        <x:v>0.08039196080391958</x:v>
      </x:c>
    </x:row>
    <x:row r="1560" ht="23" customHeight="1">
      <x:c r="A1560" s="10" t="str">
        <x:v>M12</x:v>
      </x:c>
      <x:c r="B1560" s="10" t="str">
        <x:v>N_H1</x:v>
      </x:c>
      <x:c r="C1560" s="10" t="n">
        <x:v>5</x:v>
      </x:c>
      <x:c r="D1560" s="24" t="n">
        <x:v>0.7437999999999999</x:v>
      </x:c>
      <x:c r="E1560" s="24" t="n">
        <x:v>0.0361963803619638</x:v>
      </x:c>
      <x:c r="F1560" s="24" t="n">
        <x:f>ABS(D1560-E1560)</x:f>
        <x:v>0.7076036196380361</x:v>
      </x:c>
    </x:row>
    <x:row r="1561" ht="23" customHeight="1">
      <x:c r="A1561" s="10" t="str">
        <x:v>M12</x:v>
      </x:c>
      <x:c r="B1561" s="10" t="str">
        <x:v>N_H1</x:v>
      </x:c>
      <x:c r="C1561" s="10" t="n">
        <x:v>6</x:v>
      </x:c>
      <x:c r="D1561" s="24" t="n">
        <x:v>0.005600000000000001</x:v>
      </x:c>
      <x:c r="E1561" s="24" t="n">
        <x:v>0.0090990900909909</x:v>
      </x:c>
      <x:c r="F1561" s="24" t="n">
        <x:f>ABS(D1561-E1561)</x:f>
        <x:v>0.0034990900909908987</x:v>
      </x:c>
    </x:row>
    <x:row r="1562" ht="23" customHeight="1">
      <x:c r="A1562" s="10" t="str">
        <x:v>M12</x:v>
      </x:c>
      <x:c r="B1562" s="10" t="str">
        <x:v>N_H1</x:v>
      </x:c>
      <x:c r="C1562" s="10" t="n">
        <x:v>7</x:v>
      </x:c>
      <x:c r="D1562" s="24" t="n">
        <x:v>0.0059</x:v>
      </x:c>
      <x:c r="E1562" s="24" t="n">
        <x:v>0.0051994800519948</x:v>
      </x:c>
      <x:c r="F1562" s="24" t="n">
        <x:f>ABS(D1562-E1562)</x:f>
        <x:v>0.0007005199480051997</x:v>
      </x:c>
    </x:row>
    <x:row r="1563" ht="23" customHeight="1">
      <x:c r="A1563" s="10" t="str">
        <x:v>M12</x:v>
      </x:c>
      <x:c r="B1563" s="10" t="str">
        <x:v>N_H1</x:v>
      </x:c>
      <x:c r="C1563" s="10" t="n">
        <x:v>8</x:v>
      </x:c>
      <x:c r="D1563" s="24" t="n">
        <x:v>0.009899999999999999</x:v>
      </x:c>
      <x:c r="E1563" s="24" t="n">
        <x:v>0.011998800119988001</x:v>
      </x:c>
      <x:c r="F1563" s="24" t="n">
        <x:f>ABS(D1563-E1563)</x:f>
        <x:v>0.002098800119988002</x:v>
      </x:c>
    </x:row>
    <x:row r="1564" ht="23" customHeight="1">
      <x:c r="A1564" s="10" t="str">
        <x:v>M12</x:v>
      </x:c>
      <x:c r="B1564" s="10" t="str">
        <x:v>N_H1</x:v>
      </x:c>
      <x:c r="C1564" s="10" t="n">
        <x:v>9</x:v>
      </x:c>
      <x:c r="D1564" s="24" t="n">
        <x:v>0.0349</x:v>
      </x:c>
      <x:c r="E1564" s="24" t="n">
        <x:v>0.0313968603139686</x:v>
      </x:c>
      <x:c r="F1564" s="24" t="n">
        <x:f>ABS(D1564-E1564)</x:f>
        <x:v>0.0035031396860314007</x:v>
      </x:c>
    </x:row>
    <x:row r="1565" ht="23" customHeight="1">
      <x:c r="A1565" s="10" t="str">
        <x:v>M12</x:v>
      </x:c>
      <x:c r="B1565" s="10" t="str">
        <x:v>N_H1</x:v>
      </x:c>
      <x:c r="C1565" s="10" t="n">
        <x:v>10</x:v>
      </x:c>
      <x:c r="D1565" s="24" t="n">
        <x:v>0</x:v>
      </x:c>
      <x:c r="E1565" s="24" t="n">
        <x:v>0</x:v>
      </x:c>
      <x:c r="F1565" s="24" t="n">
        <x:f>ABS(D1565-E1565)</x:f>
        <x:v>0</x:v>
      </x:c>
    </x:row>
    <x:row r="1566" ht="23" customHeight="1">
      <x:c r="A1566" s="10" t="str">
        <x:v>M12</x:v>
      </x:c>
      <x:c r="B1566" s="10" t="str">
        <x:v>C_H0</x:v>
      </x:c>
      <x:c r="C1566" s="10" t="n">
        <x:v>1</x:v>
      </x:c>
      <x:c r="D1566" s="24" t="n">
        <x:v>0</x:v>
      </x:c>
      <x:c r="E1566" s="24" t="n">
        <x:v>0.0026997300269973002</x:v>
      </x:c>
      <x:c r="F1566" s="24" t="n">
        <x:f>ABS(D1566-E1566)</x:f>
        <x:v>0.0026997300269973002</x:v>
      </x:c>
    </x:row>
    <x:row r="1567" ht="23" customHeight="1">
      <x:c r="A1567" s="10" t="str">
        <x:v>M12</x:v>
      </x:c>
      <x:c r="B1567" s="10" t="str">
        <x:v>C_H0</x:v>
      </x:c>
      <x:c r="C1567" s="10" t="n">
        <x:v>2</x:v>
      </x:c>
      <x:c r="D1567" s="24" t="n">
        <x:v>0.2256</x:v>
      </x:c>
      <x:c r="E1567" s="24" t="n">
        <x:v>0.225977402259774</x:v>
      </x:c>
      <x:c r="F1567" s="24" t="n">
        <x:f>ABS(D1567-E1567)</x:f>
        <x:v>0.00037740225977400677</x:v>
      </x:c>
    </x:row>
    <x:row r="1568" ht="23" customHeight="1">
      <x:c r="A1568" s="10" t="str">
        <x:v>M12</x:v>
      </x:c>
      <x:c r="B1568" s="10" t="str">
        <x:v>C_H0</x:v>
      </x:c>
      <x:c r="C1568" s="10" t="n">
        <x:v>3</x:v>
      </x:c>
      <x:c r="D1568" s="24" t="n">
        <x:v>0</x:v>
      </x:c>
      <x:c r="E1568" s="24" t="n">
        <x:v>0.5970402959704029</x:v>
      </x:c>
      <x:c r="F1568" s="24" t="n">
        <x:f>ABS(D1568-E1568)</x:f>
        <x:v>0.5970402959704029</x:v>
      </x:c>
    </x:row>
    <x:row r="1569" ht="23" customHeight="1">
      <x:c r="A1569" s="10" t="str">
        <x:v>M12</x:v>
      </x:c>
      <x:c r="B1569" s="10" t="str">
        <x:v>C_H0</x:v>
      </x:c>
      <x:c r="C1569" s="10" t="n">
        <x:v>4</x:v>
      </x:c>
      <x:c r="D1569" s="24" t="n">
        <x:v>0</x:v>
      </x:c>
      <x:c r="E1569" s="24" t="n">
        <x:v>0.08039196080391958</x:v>
      </x:c>
      <x:c r="F1569" s="24" t="n">
        <x:f>ABS(D1569-E1569)</x:f>
        <x:v>0.08039196080391958</x:v>
      </x:c>
    </x:row>
    <x:row r="1570" ht="23" customHeight="1">
      <x:c r="A1570" s="10" t="str">
        <x:v>M12</x:v>
      </x:c>
      <x:c r="B1570" s="10" t="str">
        <x:v>C_H0</x:v>
      </x:c>
      <x:c r="C1570" s="10" t="n">
        <x:v>5</x:v>
      </x:c>
      <x:c r="D1570" s="24" t="n">
        <x:v>0.7744</x:v>
      </x:c>
      <x:c r="E1570" s="24" t="n">
        <x:v>0.0361963803619638</x:v>
      </x:c>
      <x:c r="F1570" s="24" t="n">
        <x:f>ABS(D1570-E1570)</x:f>
        <x:v>0.7382036196380362</x:v>
      </x:c>
    </x:row>
    <x:row r="1571" ht="23" customHeight="1">
      <x:c r="A1571" s="10" t="str">
        <x:v>M12</x:v>
      </x:c>
      <x:c r="B1571" s="10" t="str">
        <x:v>C_H0</x:v>
      </x:c>
      <x:c r="C1571" s="10" t="n">
        <x:v>6</x:v>
      </x:c>
      <x:c r="D1571" s="24" t="n">
        <x:v>0</x:v>
      </x:c>
      <x:c r="E1571" s="24" t="n">
        <x:v>0.0090990900909909</x:v>
      </x:c>
      <x:c r="F1571" s="24" t="n">
        <x:f>ABS(D1571-E1571)</x:f>
        <x:v>0.0090990900909909</x:v>
      </x:c>
    </x:row>
    <x:row r="1572" ht="23" customHeight="1">
      <x:c r="A1572" s="10" t="str">
        <x:v>M12</x:v>
      </x:c>
      <x:c r="B1572" s="10" t="str">
        <x:v>C_H0</x:v>
      </x:c>
      <x:c r="C1572" s="10" t="n">
        <x:v>7</x:v>
      </x:c>
      <x:c r="D1572" s="24" t="n">
        <x:v>0</x:v>
      </x:c>
      <x:c r="E1572" s="24" t="n">
        <x:v>0.0051994800519948</x:v>
      </x:c>
      <x:c r="F1572" s="24" t="n">
        <x:f>ABS(D1572-E1572)</x:f>
        <x:v>0.0051994800519948</x:v>
      </x:c>
    </x:row>
    <x:row r="1573" ht="23" customHeight="1">
      <x:c r="A1573" s="10" t="str">
        <x:v>M12</x:v>
      </x:c>
      <x:c r="B1573" s="10" t="str">
        <x:v>C_H0</x:v>
      </x:c>
      <x:c r="C1573" s="10" t="n">
        <x:v>8</x:v>
      </x:c>
      <x:c r="D1573" s="24" t="n">
        <x:v>0</x:v>
      </x:c>
      <x:c r="E1573" s="24" t="n">
        <x:v>0.011998800119988001</x:v>
      </x:c>
      <x:c r="F1573" s="24" t="n">
        <x:f>ABS(D1573-E1573)</x:f>
        <x:v>0.011998800119988001</x:v>
      </x:c>
    </x:row>
    <x:row r="1574" ht="23" customHeight="1">
      <x:c r="A1574" s="10" t="str">
        <x:v>M12</x:v>
      </x:c>
      <x:c r="B1574" s="10" t="str">
        <x:v>C_H0</x:v>
      </x:c>
      <x:c r="C1574" s="10" t="n">
        <x:v>9</x:v>
      </x:c>
      <x:c r="D1574" s="24" t="n">
        <x:v>0</x:v>
      </x:c>
      <x:c r="E1574" s="24" t="n">
        <x:v>0.0313968603139686</x:v>
      </x:c>
      <x:c r="F1574" s="24" t="n">
        <x:f>ABS(D1574-E1574)</x:f>
        <x:v>0.0313968603139686</x:v>
      </x:c>
    </x:row>
    <x:row r="1575" ht="23" customHeight="1">
      <x:c r="A1575" s="10" t="str">
        <x:v>M12</x:v>
      </x:c>
      <x:c r="B1575" s="10" t="str">
        <x:v>C_H0</x:v>
      </x:c>
      <x:c r="C1575" s="10" t="n">
        <x:v>10</x:v>
      </x:c>
      <x:c r="D1575" s="24" t="n">
        <x:v>0</x:v>
      </x:c>
      <x:c r="E1575" s="24" t="n">
        <x:v>0</x:v>
      </x:c>
      <x:c r="F1575" s="24" t="n">
        <x:f>ABS(D1575-E1575)</x:f>
        <x:v>0</x:v>
      </x:c>
    </x:row>
    <x:row r="1576" ht="23" customHeight="1">
      <x:c r="A1576" s="10" t="str">
        <x:v>M12</x:v>
      </x:c>
      <x:c r="B1576" s="10" t="str">
        <x:v>C_H1</x:v>
      </x:c>
      <x:c r="C1576" s="10" t="n">
        <x:v>1</x:v>
      </x:c>
      <x:c r="D1576" s="24" t="n">
        <x:v>0</x:v>
      </x:c>
      <x:c r="E1576" s="24" t="n">
        <x:v>0.0026997300269973002</x:v>
      </x:c>
      <x:c r="F1576" s="24" t="n">
        <x:f>ABS(D1576-E1576)</x:f>
        <x:v>0.0026997300269973002</x:v>
      </x:c>
    </x:row>
    <x:row r="1577" ht="23" customHeight="1">
      <x:c r="A1577" s="10" t="str">
        <x:v>M12</x:v>
      </x:c>
      <x:c r="B1577" s="10" t="str">
        <x:v>C_H1</x:v>
      </x:c>
      <x:c r="C1577" s="10" t="n">
        <x:v>2</x:v>
      </x:c>
      <x:c r="D1577" s="24" t="n">
        <x:v>0.2256</x:v>
      </x:c>
      <x:c r="E1577" s="24" t="n">
        <x:v>0.225977402259774</x:v>
      </x:c>
      <x:c r="F1577" s="24" t="n">
        <x:f>ABS(D1577-E1577)</x:f>
        <x:v>0.00037740225977400677</x:v>
      </x:c>
    </x:row>
    <x:row r="1578" ht="23" customHeight="1">
      <x:c r="A1578" s="10" t="str">
        <x:v>M12</x:v>
      </x:c>
      <x:c r="B1578" s="10" t="str">
        <x:v>C_H1</x:v>
      </x:c>
      <x:c r="C1578" s="10" t="n">
        <x:v>3</x:v>
      </x:c>
      <x:c r="D1578" s="24" t="n">
        <x:v>0</x:v>
      </x:c>
      <x:c r="E1578" s="24" t="n">
        <x:v>0.5970402959704029</x:v>
      </x:c>
      <x:c r="F1578" s="24" t="n">
        <x:f>ABS(D1578-E1578)</x:f>
        <x:v>0.5970402959704029</x:v>
      </x:c>
    </x:row>
    <x:row r="1579" ht="23" customHeight="1">
      <x:c r="A1579" s="10" t="str">
        <x:v>M12</x:v>
      </x:c>
      <x:c r="B1579" s="10" t="str">
        <x:v>C_H1</x:v>
      </x:c>
      <x:c r="C1579" s="10" t="n">
        <x:v>4</x:v>
      </x:c>
      <x:c r="D1579" s="24" t="n">
        <x:v>0</x:v>
      </x:c>
      <x:c r="E1579" s="24" t="n">
        <x:v>0.08039196080391958</x:v>
      </x:c>
      <x:c r="F1579" s="24" t="n">
        <x:f>ABS(D1579-E1579)</x:f>
        <x:v>0.08039196080391958</x:v>
      </x:c>
    </x:row>
    <x:row r="1580" ht="23" customHeight="1">
      <x:c r="A1580" s="10" t="str">
        <x:v>M12</x:v>
      </x:c>
      <x:c r="B1580" s="10" t="str">
        <x:v>C_H1</x:v>
      </x:c>
      <x:c r="C1580" s="10" t="n">
        <x:v>5</x:v>
      </x:c>
      <x:c r="D1580" s="24" t="n">
        <x:v>0.7744</x:v>
      </x:c>
      <x:c r="E1580" s="24" t="n">
        <x:v>0.0361963803619638</x:v>
      </x:c>
      <x:c r="F1580" s="24" t="n">
        <x:f>ABS(D1580-E1580)</x:f>
        <x:v>0.7382036196380362</x:v>
      </x:c>
    </x:row>
    <x:row r="1581" ht="23" customHeight="1">
      <x:c r="A1581" s="10" t="str">
        <x:v>M12</x:v>
      </x:c>
      <x:c r="B1581" s="10" t="str">
        <x:v>C_H1</x:v>
      </x:c>
      <x:c r="C1581" s="10" t="n">
        <x:v>6</x:v>
      </x:c>
      <x:c r="D1581" s="24" t="n">
        <x:v>0</x:v>
      </x:c>
      <x:c r="E1581" s="24" t="n">
        <x:v>0.0090990900909909</x:v>
      </x:c>
      <x:c r="F1581" s="24" t="n">
        <x:f>ABS(D1581-E1581)</x:f>
        <x:v>0.0090990900909909</x:v>
      </x:c>
    </x:row>
    <x:row r="1582" ht="23" customHeight="1">
      <x:c r="A1582" s="10" t="str">
        <x:v>M12</x:v>
      </x:c>
      <x:c r="B1582" s="10" t="str">
        <x:v>C_H1</x:v>
      </x:c>
      <x:c r="C1582" s="10" t="n">
        <x:v>7</x:v>
      </x:c>
      <x:c r="D1582" s="24" t="n">
        <x:v>0</x:v>
      </x:c>
      <x:c r="E1582" s="24" t="n">
        <x:v>0.0051994800519948</x:v>
      </x:c>
      <x:c r="F1582" s="24" t="n">
        <x:f>ABS(D1582-E1582)</x:f>
        <x:v>0.0051994800519948</x:v>
      </x:c>
    </x:row>
    <x:row r="1583" ht="23" customHeight="1">
      <x:c r="A1583" s="10" t="str">
        <x:v>M12</x:v>
      </x:c>
      <x:c r="B1583" s="10" t="str">
        <x:v>C_H1</x:v>
      </x:c>
      <x:c r="C1583" s="10" t="n">
        <x:v>8</x:v>
      </x:c>
      <x:c r="D1583" s="24" t="n">
        <x:v>0</x:v>
      </x:c>
      <x:c r="E1583" s="24" t="n">
        <x:v>0.011998800119988001</x:v>
      </x:c>
      <x:c r="F1583" s="24" t="n">
        <x:f>ABS(D1583-E1583)</x:f>
        <x:v>0.011998800119988001</x:v>
      </x:c>
    </x:row>
    <x:row r="1584" ht="23" customHeight="1">
      <x:c r="A1584" s="10" t="str">
        <x:v>M12</x:v>
      </x:c>
      <x:c r="B1584" s="10" t="str">
        <x:v>C_H1</x:v>
      </x:c>
      <x:c r="C1584" s="10" t="n">
        <x:v>9</x:v>
      </x:c>
      <x:c r="D1584" s="24" t="n">
        <x:v>0</x:v>
      </x:c>
      <x:c r="E1584" s="24" t="n">
        <x:v>0.0313968603139686</x:v>
      </x:c>
      <x:c r="F1584" s="24" t="n">
        <x:f>ABS(D1584-E1584)</x:f>
        <x:v>0.0313968603139686</x:v>
      </x:c>
    </x:row>
    <x:row r="1585" ht="23" customHeight="1">
      <x:c r="A1585" s="10" t="str">
        <x:v>M12</x:v>
      </x:c>
      <x:c r="B1585" s="10" t="str">
        <x:v>C_H1</x:v>
      </x:c>
      <x:c r="C1585" s="10" t="n">
        <x:v>10</x:v>
      </x:c>
      <x:c r="D1585" s="24" t="n">
        <x:v>0</x:v>
      </x:c>
      <x:c r="E1585" s="24" t="n">
        <x:v>0</x:v>
      </x:c>
      <x:c r="F1585" s="24" t="n">
        <x:f>ABS(D1585-E1585)</x:f>
        <x:v>0</x:v>
      </x:c>
    </x:row>
    <x:row r="1586" ht="23" customHeight="1">
      <x:c r="A1586" s="10" t="str">
        <x:v>M12</x:v>
      </x:c>
      <x:c r="B1586" s="10" t="str">
        <x:v>G_H0</x:v>
      </x:c>
      <x:c r="C1586" s="10" t="n">
        <x:v>1</x:v>
      </x:c>
      <x:c r="D1586" s="24" t="n">
        <x:v>0</x:v>
      </x:c>
      <x:c r="E1586" s="24" t="n">
        <x:v>0.0026997300269973002</x:v>
      </x:c>
      <x:c r="F1586" s="24" t="n">
        <x:f>ABS(D1586-E1586)</x:f>
        <x:v>0.0026997300269973002</x:v>
      </x:c>
    </x:row>
    <x:row r="1587" ht="23" customHeight="1">
      <x:c r="A1587" s="10" t="str">
        <x:v>M12</x:v>
      </x:c>
      <x:c r="B1587" s="10" t="str">
        <x:v>G_H0</x:v>
      </x:c>
      <x:c r="C1587" s="10" t="n">
        <x:v>2</x:v>
      </x:c>
      <x:c r="D1587" s="24" t="n">
        <x:v>0.7064</x:v>
      </x:c>
      <x:c r="E1587" s="24" t="n">
        <x:v>0.225977402259774</x:v>
      </x:c>
      <x:c r="F1587" s="24" t="n">
        <x:f>ABS(D1587-E1587)</x:f>
        <x:v>0.480422597740226</x:v>
      </x:c>
    </x:row>
    <x:row r="1588" ht="23" customHeight="1">
      <x:c r="A1588" s="10" t="str">
        <x:v>M12</x:v>
      </x:c>
      <x:c r="B1588" s="10" t="str">
        <x:v>G_H0</x:v>
      </x:c>
      <x:c r="C1588" s="10" t="n">
        <x:v>3</x:v>
      </x:c>
      <x:c r="D1588" s="24" t="n">
        <x:v>0.2169</x:v>
      </x:c>
      <x:c r="E1588" s="24" t="n">
        <x:v>0.5970402959704029</x:v>
      </x:c>
      <x:c r="F1588" s="24" t="n">
        <x:f>ABS(D1588-E1588)</x:f>
        <x:v>0.3801402959704029</x:v>
      </x:c>
    </x:row>
    <x:row r="1589" ht="23" customHeight="1">
      <x:c r="A1589" s="10" t="str">
        <x:v>M12</x:v>
      </x:c>
      <x:c r="B1589" s="10" t="str">
        <x:v>G_H0</x:v>
      </x:c>
      <x:c r="C1589" s="10" t="n">
        <x:v>4</x:v>
      </x:c>
      <x:c r="D1589" s="24" t="n">
        <x:v>0.039</x:v>
      </x:c>
      <x:c r="E1589" s="24" t="n">
        <x:v>0.08039196080391958</x:v>
      </x:c>
      <x:c r="F1589" s="24" t="n">
        <x:f>ABS(D1589-E1589)</x:f>
        <x:v>0.04139196080391958</x:v>
      </x:c>
    </x:row>
    <x:row r="1590" ht="23" customHeight="1">
      <x:c r="A1590" s="10" t="str">
        <x:v>M12</x:v>
      </x:c>
      <x:c r="B1590" s="10" t="str">
        <x:v>G_H0</x:v>
      </x:c>
      <x:c r="C1590" s="10" t="n">
        <x:v>5</x:v>
      </x:c>
      <x:c r="D1590" s="24" t="n">
        <x:v>0.0349</x:v>
      </x:c>
      <x:c r="E1590" s="24" t="n">
        <x:v>0.0361963803619638</x:v>
      </x:c>
      <x:c r="F1590" s="24" t="n">
        <x:f>ABS(D1590-E1590)</x:f>
        <x:v>0.001296380361963799</x:v>
      </x:c>
    </x:row>
    <x:row r="1591" ht="23" customHeight="1">
      <x:c r="A1591" s="10" t="str">
        <x:v>M12</x:v>
      </x:c>
      <x:c r="B1591" s="10" t="str">
        <x:v>G_H0</x:v>
      </x:c>
      <x:c r="C1591" s="10" t="n">
        <x:v>6</x:v>
      </x:c>
      <x:c r="D1591" s="24" t="n">
        <x:v>0.0028000000000000004</x:v>
      </x:c>
      <x:c r="E1591" s="24" t="n">
        <x:v>0.0090990900909909</x:v>
      </x:c>
      <x:c r="F1591" s="24" t="n">
        <x:f>ABS(D1591-E1591)</x:f>
        <x:v>0.006299090090990899</x:v>
      </x:c>
    </x:row>
    <x:row r="1592" ht="23" customHeight="1">
      <x:c r="A1592" s="10" t="str">
        <x:v>M12</x:v>
      </x:c>
      <x:c r="B1592" s="10" t="str">
        <x:v>G_H0</x:v>
      </x:c>
      <x:c r="C1592" s="10" t="n">
        <x:v>7</x:v>
      </x:c>
      <x:c r="D1592" s="24" t="n">
        <x:v>0</x:v>
      </x:c>
      <x:c r="E1592" s="24" t="n">
        <x:v>0.0051994800519948</x:v>
      </x:c>
      <x:c r="F1592" s="24" t="n">
        <x:f>ABS(D1592-E1592)</x:f>
        <x:v>0.0051994800519948</x:v>
      </x:c>
    </x:row>
    <x:row r="1593" ht="23" customHeight="1">
      <x:c r="A1593" s="10" t="str">
        <x:v>M12</x:v>
      </x:c>
      <x:c r="B1593" s="10" t="str">
        <x:v>G_H0</x:v>
      </x:c>
      <x:c r="C1593" s="10" t="n">
        <x:v>8</x:v>
      </x:c>
      <x:c r="D1593" s="24" t="n">
        <x:v>0</x:v>
      </x:c>
      <x:c r="E1593" s="24" t="n">
        <x:v>0.011998800119988001</x:v>
      </x:c>
      <x:c r="F1593" s="24" t="n">
        <x:f>ABS(D1593-E1593)</x:f>
        <x:v>0.011998800119988001</x:v>
      </x:c>
    </x:row>
    <x:row r="1594" ht="23" customHeight="1">
      <x:c r="A1594" s="10" t="str">
        <x:v>M12</x:v>
      </x:c>
      <x:c r="B1594" s="10" t="str">
        <x:v>G_H0</x:v>
      </x:c>
      <x:c r="C1594" s="10" t="n">
        <x:v>9</x:v>
      </x:c>
      <x:c r="D1594" s="24" t="n">
        <x:v>0</x:v>
      </x:c>
      <x:c r="E1594" s="24" t="n">
        <x:v>0.0313968603139686</x:v>
      </x:c>
      <x:c r="F1594" s="24" t="n">
        <x:f>ABS(D1594-E1594)</x:f>
        <x:v>0.0313968603139686</x:v>
      </x:c>
    </x:row>
    <x:row r="1595" ht="23" customHeight="1">
      <x:c r="A1595" s="10" t="str">
        <x:v>M12</x:v>
      </x:c>
      <x:c r="B1595" s="10" t="str">
        <x:v>G_H0</x:v>
      </x:c>
      <x:c r="C1595" s="10" t="n">
        <x:v>10</x:v>
      </x:c>
      <x:c r="D1595" s="24" t="n">
        <x:v>0</x:v>
      </x:c>
      <x:c r="E1595" s="24" t="n">
        <x:v>0</x:v>
      </x:c>
      <x:c r="F1595" s="24" t="n">
        <x:f>ABS(D1595-E1595)</x:f>
        <x:v>0</x:v>
      </x:c>
    </x:row>
    <x:row r="1596" ht="23" customHeight="1">
      <x:c r="A1596" s="10" t="str">
        <x:v>M12</x:v>
      </x:c>
      <x:c r="B1596" s="10" t="str">
        <x:v>G_H1</x:v>
      </x:c>
      <x:c r="C1596" s="10" t="n">
        <x:v>1</x:v>
      </x:c>
      <x:c r="D1596" s="24" t="n">
        <x:v>0</x:v>
      </x:c>
      <x:c r="E1596" s="24" t="n">
        <x:v>0.0026997300269973002</x:v>
      </x:c>
      <x:c r="F1596" s="24" t="n">
        <x:f>ABS(D1596-E1596)</x:f>
        <x:v>0.0026997300269973002</x:v>
      </x:c>
    </x:row>
    <x:row r="1597" ht="23" customHeight="1">
      <x:c r="A1597" s="10" t="str">
        <x:v>M12</x:v>
      </x:c>
      <x:c r="B1597" s="10" t="str">
        <x:v>G_H1</x:v>
      </x:c>
      <x:c r="C1597" s="10" t="n">
        <x:v>2</x:v>
      </x:c>
      <x:c r="D1597" s="24" t="n">
        <x:v>0.2720727927207279</x:v>
      </x:c>
      <x:c r="E1597" s="24" t="n">
        <x:v>0.225977402259774</x:v>
      </x:c>
      <x:c r="F1597" s="24" t="n">
        <x:f>ABS(D1597-E1597)</x:f>
        <x:v>0.04609539046095387</x:v>
      </x:c>
    </x:row>
    <x:row r="1598" ht="23" customHeight="1">
      <x:c r="A1598" s="10" t="str">
        <x:v>M12</x:v>
      </x:c>
      <x:c r="B1598" s="10" t="str">
        <x:v>G_H1</x:v>
      </x:c>
      <x:c r="C1598" s="10" t="n">
        <x:v>3</x:v>
      </x:c>
      <x:c r="D1598" s="24" t="n">
        <x:v>0.5543445655434456</x:v>
      </x:c>
      <x:c r="E1598" s="24" t="n">
        <x:v>0.5970402959704029</x:v>
      </x:c>
      <x:c r="F1598" s="24" t="n">
        <x:f>ABS(D1598-E1598)</x:f>
        <x:v>0.04269573042695729</x:v>
      </x:c>
    </x:row>
    <x:row r="1599" ht="23" customHeight="1">
      <x:c r="A1599" s="10" t="str">
        <x:v>M12</x:v>
      </x:c>
      <x:c r="B1599" s="10" t="str">
        <x:v>G_H1</x:v>
      </x:c>
      <x:c r="C1599" s="10" t="n">
        <x:v>4</x:v>
      </x:c>
      <x:c r="D1599" s="24" t="n">
        <x:v>0.13398660133986598</x:v>
      </x:c>
      <x:c r="E1599" s="24" t="n">
        <x:v>0.08039196080391958</x:v>
      </x:c>
      <x:c r="F1599" s="24" t="n">
        <x:f>ABS(D1599-E1599)</x:f>
        <x:v>0.0535946405359464</x:v>
      </x:c>
    </x:row>
    <x:row r="1600" ht="23" customHeight="1">
      <x:c r="A1600" s="10" t="str">
        <x:v>M12</x:v>
      </x:c>
      <x:c r="B1600" s="10" t="str">
        <x:v>G_H1</x:v>
      </x:c>
      <x:c r="C1600" s="10" t="n">
        <x:v>5</x:v>
      </x:c>
      <x:c r="D1600" s="24" t="n">
        <x:v>0.0361963803619638</x:v>
      </x:c>
      <x:c r="E1600" s="24" t="n">
        <x:v>0.0361963803619638</x:v>
      </x:c>
      <x:c r="F1600" s="24" t="n">
        <x:f>ABS(D1600-E1600)</x:f>
        <x:v>0</x:v>
      </x:c>
    </x:row>
    <x:row r="1601" ht="23" customHeight="1">
      <x:c r="A1601" s="10" t="str">
        <x:v>M12</x:v>
      </x:c>
      <x:c r="B1601" s="10" t="str">
        <x:v>G_H1</x:v>
      </x:c>
      <x:c r="C1601" s="10" t="n">
        <x:v>6</x:v>
      </x:c>
      <x:c r="D1601" s="24" t="n">
        <x:v>0.0033996600339966</x:v>
      </x:c>
      <x:c r="E1601" s="24" t="n">
        <x:v>0.0090990900909909</x:v>
      </x:c>
      <x:c r="F1601" s="24" t="n">
        <x:f>ABS(D1601-E1601)</x:f>
        <x:v>0.0056994300569943</x:v>
      </x:c>
    </x:row>
    <x:row r="1602" ht="23" customHeight="1">
      <x:c r="A1602" s="10" t="str">
        <x:v>M12</x:v>
      </x:c>
      <x:c r="B1602" s="10" t="str">
        <x:v>G_H1</x:v>
      </x:c>
      <x:c r="C1602" s="10" t="n">
        <x:v>7</x:v>
      </x:c>
      <x:c r="D1602" s="24" t="n">
        <x:v>0</x:v>
      </x:c>
      <x:c r="E1602" s="24" t="n">
        <x:v>0.0051994800519948</x:v>
      </x:c>
      <x:c r="F1602" s="24" t="n">
        <x:f>ABS(D1602-E1602)</x:f>
        <x:v>0.0051994800519948</x:v>
      </x:c>
    </x:row>
    <x:row r="1603" ht="23" customHeight="1">
      <x:c r="A1603" s="10" t="str">
        <x:v>M12</x:v>
      </x:c>
      <x:c r="B1603" s="10" t="str">
        <x:v>G_H1</x:v>
      </x:c>
      <x:c r="C1603" s="10" t="n">
        <x:v>8</x:v>
      </x:c>
      <x:c r="D1603" s="24" t="n">
        <x:v>0</x:v>
      </x:c>
      <x:c r="E1603" s="24" t="n">
        <x:v>0.011998800119988001</x:v>
      </x:c>
      <x:c r="F1603" s="24" t="n">
        <x:f>ABS(D1603-E1603)</x:f>
        <x:v>0.011998800119988001</x:v>
      </x:c>
    </x:row>
    <x:row r="1604" ht="23" customHeight="1">
      <x:c r="A1604" s="10" t="str">
        <x:v>M12</x:v>
      </x:c>
      <x:c r="B1604" s="10" t="str">
        <x:v>G_H1</x:v>
      </x:c>
      <x:c r="C1604" s="10" t="n">
        <x:v>9</x:v>
      </x:c>
      <x:c r="D1604" s="24" t="n">
        <x:v>0</x:v>
      </x:c>
      <x:c r="E1604" s="24" t="n">
        <x:v>0.0313968603139686</x:v>
      </x:c>
      <x:c r="F1604" s="24" t="n">
        <x:f>ABS(D1604-E1604)</x:f>
        <x:v>0.0313968603139686</x:v>
      </x:c>
    </x:row>
    <x:row r="1605" ht="23" customHeight="1">
      <x:c r="A1605" s="10" t="str">
        <x:v>M12</x:v>
      </x:c>
      <x:c r="B1605" s="10" t="str">
        <x:v>G_H1</x:v>
      </x:c>
      <x:c r="C1605" s="10" t="n">
        <x:v>10</x:v>
      </x:c>
      <x:c r="D1605" s="24" t="n">
        <x:v>0</x:v>
      </x:c>
      <x:c r="E1605" s="24" t="n">
        <x:v>0</x:v>
      </x:c>
      <x:c r="F1605" s="24" t="n">
        <x:f>ABS(D1605-E1605)</x:f>
        <x:v>0</x:v>
      </x:c>
    </x:row>
    <x:row r="1606" ht="23" customHeight="1">
      <x:c r="A1606" s="10" t="str">
        <x:v>M12</x:v>
      </x:c>
      <x:c r="B1606" s="10" t="str">
        <x:v>NC_H0</x:v>
      </x:c>
      <x:c r="C1606" s="10" t="n">
        <x:v>1</x:v>
      </x:c>
      <x:c r="D1606" s="24" t="n">
        <x:v>0</x:v>
      </x:c>
      <x:c r="E1606" s="24" t="n">
        <x:v>0.0026997300269973002</x:v>
      </x:c>
      <x:c r="F1606" s="24" t="n">
        <x:f>ABS(D1606-E1606)</x:f>
        <x:v>0.0026997300269973002</x:v>
      </x:c>
    </x:row>
    <x:row r="1607" ht="23" customHeight="1">
      <x:c r="A1607" s="10" t="str">
        <x:v>M12</x:v>
      </x:c>
      <x:c r="B1607" s="10" t="str">
        <x:v>NC_H0</x:v>
      </x:c>
      <x:c r="C1607" s="10" t="n">
        <x:v>2</x:v>
      </x:c>
      <x:c r="D1607" s="24" t="n">
        <x:v>0.22522252225222522</x:v>
      </x:c>
      <x:c r="E1607" s="24" t="n">
        <x:v>0.225977402259774</x:v>
      </x:c>
      <x:c r="F1607" s="24" t="n">
        <x:f>ABS(D1607-E1607)</x:f>
        <x:v>0.0007548800075487805</x:v>
      </x:c>
    </x:row>
    <x:row r="1608" ht="23" customHeight="1">
      <x:c r="A1608" s="10" t="str">
        <x:v>M12</x:v>
      </x:c>
      <x:c r="B1608" s="10" t="str">
        <x:v>NC_H0</x:v>
      </x:c>
      <x:c r="C1608" s="10" t="n">
        <x:v>3</x:v>
      </x:c>
      <x:c r="D1608" s="24" t="n">
        <x:v>0.11011101110111012</x:v>
      </x:c>
      <x:c r="E1608" s="24" t="n">
        <x:v>0.5970402959704029</x:v>
      </x:c>
      <x:c r="F1608" s="24" t="n">
        <x:f>ABS(D1608-E1608)</x:f>
        <x:v>0.48692928486929277</x:v>
      </x:c>
    </x:row>
    <x:row r="1609" ht="23" customHeight="1">
      <x:c r="A1609" s="10" t="str">
        <x:v>M12</x:v>
      </x:c>
      <x:c r="B1609" s="10" t="str">
        <x:v>NC_H0</x:v>
      </x:c>
      <x:c r="C1609" s="10" t="n">
        <x:v>4</x:v>
      </x:c>
      <x:c r="D1609" s="24" t="n">
        <x:v>0</x:v>
      </x:c>
      <x:c r="E1609" s="24" t="n">
        <x:v>0.08039196080391958</x:v>
      </x:c>
      <x:c r="F1609" s="24" t="n">
        <x:f>ABS(D1609-E1609)</x:f>
        <x:v>0.08039196080391958</x:v>
      </x:c>
    </x:row>
    <x:row r="1610" ht="23" customHeight="1">
      <x:c r="A1610" s="10" t="str">
        <x:v>M12</x:v>
      </x:c>
      <x:c r="B1610" s="10" t="str">
        <x:v>NC_H0</x:v>
      </x:c>
      <x:c r="C1610" s="10" t="n">
        <x:v>5</x:v>
      </x:c>
      <x:c r="D1610" s="24" t="n">
        <x:v>0.6106610661066106</x:v>
      </x:c>
      <x:c r="E1610" s="24" t="n">
        <x:v>0.0361963803619638</x:v>
      </x:c>
      <x:c r="F1610" s="24" t="n">
        <x:f>ABS(D1610-E1610)</x:f>
        <x:v>0.5744646857446468</x:v>
      </x:c>
    </x:row>
    <x:row r="1611" ht="23" customHeight="1">
      <x:c r="A1611" s="10" t="str">
        <x:v>M12</x:v>
      </x:c>
      <x:c r="B1611" s="10" t="str">
        <x:v>NC_H0</x:v>
      </x:c>
      <x:c r="C1611" s="10" t="n">
        <x:v>6</x:v>
      </x:c>
      <x:c r="D1611" s="24" t="n">
        <x:v>0.005600560056005601</x:v>
      </x:c>
      <x:c r="E1611" s="24" t="n">
        <x:v>0.0090990900909909</x:v>
      </x:c>
      <x:c r="F1611" s="24" t="n">
        <x:f>ABS(D1611-E1611)</x:f>
        <x:v>0.003498530034985298</x:v>
      </x:c>
    </x:row>
    <x:row r="1612" ht="23" customHeight="1">
      <x:c r="A1612" s="10" t="str">
        <x:v>M12</x:v>
      </x:c>
      <x:c r="B1612" s="10" t="str">
        <x:v>NC_H0</x:v>
      </x:c>
      <x:c r="C1612" s="10" t="n">
        <x:v>7</x:v>
      </x:c>
      <x:c r="D1612" s="24" t="n">
        <x:v>0.0039003900390039005</x:v>
      </x:c>
      <x:c r="E1612" s="24" t="n">
        <x:v>0.0051994800519948</x:v>
      </x:c>
      <x:c r="F1612" s="24" t="n">
        <x:f>ABS(D1612-E1612)</x:f>
        <x:v>0.0012990900129908997</x:v>
      </x:c>
    </x:row>
    <x:row r="1613" ht="23" customHeight="1">
      <x:c r="A1613" s="10" t="str">
        <x:v>M12</x:v>
      </x:c>
      <x:c r="B1613" s="10" t="str">
        <x:v>NC_H0</x:v>
      </x:c>
      <x:c r="C1613" s="10" t="n">
        <x:v>8</x:v>
      </x:c>
      <x:c r="D1613" s="24" t="n">
        <x:v>0.009600960096009602</x:v>
      </x:c>
      <x:c r="E1613" s="24" t="n">
        <x:v>0.011998800119988001</x:v>
      </x:c>
      <x:c r="F1613" s="24" t="n">
        <x:f>ABS(D1613-E1613)</x:f>
        <x:v>0.002397840023978399</x:v>
      </x:c>
    </x:row>
    <x:row r="1614" ht="23" customHeight="1">
      <x:c r="A1614" s="10" t="str">
        <x:v>M12</x:v>
      </x:c>
      <x:c r="B1614" s="10" t="str">
        <x:v>NC_H0</x:v>
      </x:c>
      <x:c r="C1614" s="10" t="n">
        <x:v>9</x:v>
      </x:c>
      <x:c r="D1614" s="24" t="n">
        <x:v>0.03490349034903491</x:v>
      </x:c>
      <x:c r="E1614" s="24" t="n">
        <x:v>0.0313968603139686</x:v>
      </x:c>
      <x:c r="F1614" s="24" t="n">
        <x:f>ABS(D1614-E1614)</x:f>
        <x:v>0.0035066300350663077</x:v>
      </x:c>
    </x:row>
    <x:row r="1615" ht="23" customHeight="1">
      <x:c r="A1615" s="10" t="str">
        <x:v>M12</x:v>
      </x:c>
      <x:c r="B1615" s="10" t="str">
        <x:v>NC_H0</x:v>
      </x:c>
      <x:c r="C1615" s="10" t="n">
        <x:v>10</x:v>
      </x:c>
      <x:c r="D1615" s="24" t="n">
        <x:v>0</x:v>
      </x:c>
      <x:c r="E1615" s="24" t="n">
        <x:v>0</x:v>
      </x:c>
      <x:c r="F1615" s="24" t="n">
        <x:f>ABS(D1615-E1615)</x:f>
        <x:v>0</x:v>
      </x:c>
    </x:row>
    <x:row r="1616" ht="23" customHeight="1">
      <x:c r="A1616" s="10" t="str">
        <x:v>M12</x:v>
      </x:c>
      <x:c r="B1616" s="10" t="str">
        <x:v>NC_H1</x:v>
      </x:c>
      <x:c r="C1616" s="10" t="n">
        <x:v>1</x:v>
      </x:c>
      <x:c r="D1616" s="24" t="n">
        <x:v>0</x:v>
      </x:c>
      <x:c r="E1616" s="24" t="n">
        <x:v>0.0026997300269973002</x:v>
      </x:c>
      <x:c r="F1616" s="24" t="n">
        <x:f>ABS(D1616-E1616)</x:f>
        <x:v>0.0026997300269973002</x:v>
      </x:c>
    </x:row>
    <x:row r="1617" ht="23" customHeight="1">
      <x:c r="A1617" s="10" t="str">
        <x:v>M12</x:v>
      </x:c>
      <x:c r="B1617" s="10" t="str">
        <x:v>NC_H1</x:v>
      </x:c>
      <x:c r="C1617" s="10" t="n">
        <x:v>2</x:v>
      </x:c>
      <x:c r="D1617" s="24" t="n">
        <x:v>0.22522252225222522</x:v>
      </x:c>
      <x:c r="E1617" s="24" t="n">
        <x:v>0.225977402259774</x:v>
      </x:c>
      <x:c r="F1617" s="24" t="n">
        <x:f>ABS(D1617-E1617)</x:f>
        <x:v>0.0007548800075487805</x:v>
      </x:c>
    </x:row>
    <x:row r="1618" ht="23" customHeight="1">
      <x:c r="A1618" s="10" t="str">
        <x:v>M12</x:v>
      </x:c>
      <x:c r="B1618" s="10" t="str">
        <x:v>NC_H1</x:v>
      </x:c>
      <x:c r="C1618" s="10" t="n">
        <x:v>3</x:v>
      </x:c>
      <x:c r="D1618" s="24" t="n">
        <x:v>0.11011101110111012</x:v>
      </x:c>
      <x:c r="E1618" s="24" t="n">
        <x:v>0.5970402959704029</x:v>
      </x:c>
      <x:c r="F1618" s="24" t="n">
        <x:f>ABS(D1618-E1618)</x:f>
        <x:v>0.48692928486929277</x:v>
      </x:c>
    </x:row>
    <x:row r="1619" ht="23" customHeight="1">
      <x:c r="A1619" s="10" t="str">
        <x:v>M12</x:v>
      </x:c>
      <x:c r="B1619" s="10" t="str">
        <x:v>NC_H1</x:v>
      </x:c>
      <x:c r="C1619" s="10" t="n">
        <x:v>4</x:v>
      </x:c>
      <x:c r="D1619" s="24" t="n">
        <x:v>0</x:v>
      </x:c>
      <x:c r="E1619" s="24" t="n">
        <x:v>0.08039196080391958</x:v>
      </x:c>
      <x:c r="F1619" s="24" t="n">
        <x:f>ABS(D1619-E1619)</x:f>
        <x:v>0.08039196080391958</x:v>
      </x:c>
    </x:row>
    <x:row r="1620" ht="23" customHeight="1">
      <x:c r="A1620" s="10" t="str">
        <x:v>M12</x:v>
      </x:c>
      <x:c r="B1620" s="10" t="str">
        <x:v>NC_H1</x:v>
      </x:c>
      <x:c r="C1620" s="10" t="n">
        <x:v>5</x:v>
      </x:c>
      <x:c r="D1620" s="24" t="n">
        <x:v>0.6106610661066106</x:v>
      </x:c>
      <x:c r="E1620" s="24" t="n">
        <x:v>0.0361963803619638</x:v>
      </x:c>
      <x:c r="F1620" s="24" t="n">
        <x:f>ABS(D1620-E1620)</x:f>
        <x:v>0.5744646857446468</x:v>
      </x:c>
    </x:row>
    <x:row r="1621" ht="23" customHeight="1">
      <x:c r="A1621" s="10" t="str">
        <x:v>M12</x:v>
      </x:c>
      <x:c r="B1621" s="10" t="str">
        <x:v>NC_H1</x:v>
      </x:c>
      <x:c r="C1621" s="10" t="n">
        <x:v>6</x:v>
      </x:c>
      <x:c r="D1621" s="24" t="n">
        <x:v>0.005600560056005601</x:v>
      </x:c>
      <x:c r="E1621" s="24" t="n">
        <x:v>0.0090990900909909</x:v>
      </x:c>
      <x:c r="F1621" s="24" t="n">
        <x:f>ABS(D1621-E1621)</x:f>
        <x:v>0.003498530034985298</x:v>
      </x:c>
    </x:row>
    <x:row r="1622" ht="23" customHeight="1">
      <x:c r="A1622" s="10" t="str">
        <x:v>M12</x:v>
      </x:c>
      <x:c r="B1622" s="10" t="str">
        <x:v>NC_H1</x:v>
      </x:c>
      <x:c r="C1622" s="10" t="n">
        <x:v>7</x:v>
      </x:c>
      <x:c r="D1622" s="24" t="n">
        <x:v>0.0039003900390039005</x:v>
      </x:c>
      <x:c r="E1622" s="24" t="n">
        <x:v>0.0051994800519948</x:v>
      </x:c>
      <x:c r="F1622" s="24" t="n">
        <x:f>ABS(D1622-E1622)</x:f>
        <x:v>0.0012990900129908997</x:v>
      </x:c>
    </x:row>
    <x:row r="1623" ht="23" customHeight="1">
      <x:c r="A1623" s="10" t="str">
        <x:v>M12</x:v>
      </x:c>
      <x:c r="B1623" s="10" t="str">
        <x:v>NC_H1</x:v>
      </x:c>
      <x:c r="C1623" s="10" t="n">
        <x:v>8</x:v>
      </x:c>
      <x:c r="D1623" s="24" t="n">
        <x:v>0.009600960096009602</x:v>
      </x:c>
      <x:c r="E1623" s="24" t="n">
        <x:v>0.011998800119988001</x:v>
      </x:c>
      <x:c r="F1623" s="24" t="n">
        <x:f>ABS(D1623-E1623)</x:f>
        <x:v>0.002397840023978399</x:v>
      </x:c>
    </x:row>
    <x:row r="1624" ht="23" customHeight="1">
      <x:c r="A1624" s="10" t="str">
        <x:v>M12</x:v>
      </x:c>
      <x:c r="B1624" s="10" t="str">
        <x:v>NC_H1</x:v>
      </x:c>
      <x:c r="C1624" s="10" t="n">
        <x:v>9</x:v>
      </x:c>
      <x:c r="D1624" s="24" t="n">
        <x:v>0.03490349034903491</x:v>
      </x:c>
      <x:c r="E1624" s="24" t="n">
        <x:v>0.0313968603139686</x:v>
      </x:c>
      <x:c r="F1624" s="24" t="n">
        <x:f>ABS(D1624-E1624)</x:f>
        <x:v>0.0035066300350663077</x:v>
      </x:c>
    </x:row>
    <x:row r="1625" ht="23" customHeight="1">
      <x:c r="A1625" s="10" t="str">
        <x:v>M12</x:v>
      </x:c>
      <x:c r="B1625" s="10" t="str">
        <x:v>NC_H1</x:v>
      </x:c>
      <x:c r="C1625" s="10" t="n">
        <x:v>10</x:v>
      </x:c>
      <x:c r="D1625" s="24" t="n">
        <x:v>0</x:v>
      </x:c>
      <x:c r="E1625" s="24" t="n">
        <x:v>0</x:v>
      </x:c>
      <x:c r="F1625" s="24" t="n">
        <x:f>ABS(D1625-E1625)</x:f>
        <x:v>0</x:v>
      </x:c>
    </x:row>
    <x:row r="1626" ht="23" customHeight="1">
      <x:c r="A1626" s="10" t="str">
        <x:v>M12</x:v>
      </x:c>
      <x:c r="B1626" s="10" t="str">
        <x:v>NG_H0</x:v>
      </x:c>
      <x:c r="C1626" s="10" t="n">
        <x:v>1</x:v>
      </x:c>
      <x:c r="D1626" s="24" t="n">
        <x:v>0</x:v>
      </x:c>
      <x:c r="E1626" s="24" t="n">
        <x:v>0.0026997300269973002</x:v>
      </x:c>
      <x:c r="F1626" s="24" t="n">
        <x:f>ABS(D1626-E1626)</x:f>
        <x:v>0.0026997300269973002</x:v>
      </x:c>
    </x:row>
    <x:row r="1627" ht="23" customHeight="1">
      <x:c r="A1627" s="10" t="str">
        <x:v>M12</x:v>
      </x:c>
      <x:c r="B1627" s="10" t="str">
        <x:v>NG_H0</x:v>
      </x:c>
      <x:c r="C1627" s="10" t="n">
        <x:v>2</x:v>
      </x:c>
      <x:c r="D1627" s="24" t="n">
        <x:v>0.529047095290471</x:v>
      </x:c>
      <x:c r="E1627" s="24" t="n">
        <x:v>0.225977402259774</x:v>
      </x:c>
      <x:c r="F1627" s="24" t="n">
        <x:f>ABS(D1627-E1627)</x:f>
        <x:v>0.303069693030697</x:v>
      </x:c>
    </x:row>
    <x:row r="1628" ht="23" customHeight="1">
      <x:c r="A1628" s="10" t="str">
        <x:v>M12</x:v>
      </x:c>
      <x:c r="B1628" s="10" t="str">
        <x:v>NG_H0</x:v>
      </x:c>
      <x:c r="C1628" s="10" t="n">
        <x:v>3</x:v>
      </x:c>
      <x:c r="D1628" s="24" t="n">
        <x:v>0.34076592340765927</x:v>
      </x:c>
      <x:c r="E1628" s="24" t="n">
        <x:v>0.5970402959704029</x:v>
      </x:c>
      <x:c r="F1628" s="24" t="n">
        <x:f>ABS(D1628-E1628)</x:f>
        <x:v>0.2562743725627436</x:v>
      </x:c>
    </x:row>
    <x:row r="1629" ht="23" customHeight="1">
      <x:c r="A1629" s="10" t="str">
        <x:v>M12</x:v>
      </x:c>
      <x:c r="B1629" s="10" t="str">
        <x:v>NG_H0</x:v>
      </x:c>
      <x:c r="C1629" s="10" t="n">
        <x:v>4</x:v>
      </x:c>
      <x:c r="D1629" s="24" t="n">
        <x:v>0.037696230376962306</x:v>
      </x:c>
      <x:c r="E1629" s="24" t="n">
        <x:v>0.08039196080391958</x:v>
      </x:c>
      <x:c r="F1629" s="24" t="n">
        <x:f>ABS(D1629-E1629)</x:f>
        <x:v>0.042695730426957276</x:v>
      </x:c>
    </x:row>
    <x:row r="1630" ht="23" customHeight="1">
      <x:c r="A1630" s="10" t="str">
        <x:v>M12</x:v>
      </x:c>
      <x:c r="B1630" s="10" t="str">
        <x:v>NG_H0</x:v>
      </x:c>
      <x:c r="C1630" s="10" t="n">
        <x:v>5</x:v>
      </x:c>
      <x:c r="D1630" s="24" t="n">
        <x:v>0.033396660333966606</x:v>
      </x:c>
      <x:c r="E1630" s="24" t="n">
        <x:v>0.0361963803619638</x:v>
      </x:c>
      <x:c r="F1630" s="24" t="n">
        <x:f>ABS(D1630-E1630)</x:f>
        <x:v>0.0027997200279971934</x:v>
      </x:c>
    </x:row>
    <x:row r="1631" ht="23" customHeight="1">
      <x:c r="A1631" s="10" t="str">
        <x:v>M12</x:v>
      </x:c>
      <x:c r="B1631" s="10" t="str">
        <x:v>NG_H0</x:v>
      </x:c>
      <x:c r="C1631" s="10" t="n">
        <x:v>6</x:v>
      </x:c>
      <x:c r="D1631" s="24" t="n">
        <x:v>0.008399160083991601</x:v>
      </x:c>
      <x:c r="E1631" s="24" t="n">
        <x:v>0.0090990900909909</x:v>
      </x:c>
      <x:c r="F1631" s="24" t="n">
        <x:f>ABS(D1631-E1631)</x:f>
        <x:v>0.0006999300069992984</x:v>
      </x:c>
    </x:row>
    <x:row r="1632" ht="23" customHeight="1">
      <x:c r="A1632" s="10" t="str">
        <x:v>M12</x:v>
      </x:c>
      <x:c r="B1632" s="10" t="str">
        <x:v>NG_H0</x:v>
      </x:c>
      <x:c r="C1632" s="10" t="n">
        <x:v>7</x:v>
      </x:c>
      <x:c r="D1632" s="24" t="n">
        <x:v>0.005899410058994101</x:v>
      </x:c>
      <x:c r="E1632" s="24" t="n">
        <x:v>0.0051994800519948</x:v>
      </x:c>
      <x:c r="F1632" s="24" t="n">
        <x:f>ABS(D1632-E1632)</x:f>
        <x:v>0.000699930006999301</x:v>
      </x:c>
    </x:row>
    <x:row r="1633" ht="23" customHeight="1">
      <x:c r="A1633" s="10" t="str">
        <x:v>M12</x:v>
      </x:c>
      <x:c r="B1633" s="10" t="str">
        <x:v>NG_H0</x:v>
      </x:c>
      <x:c r="C1633" s="10" t="n">
        <x:v>8</x:v>
      </x:c>
      <x:c r="D1633" s="24" t="n">
        <x:v>0.009899010098990102</x:v>
      </x:c>
      <x:c r="E1633" s="24" t="n">
        <x:v>0.011998800119988001</x:v>
      </x:c>
      <x:c r="F1633" s="24" t="n">
        <x:f>ABS(D1633-E1633)</x:f>
        <x:v>0.0020997900209978985</x:v>
      </x:c>
    </x:row>
    <x:row r="1634" ht="23" customHeight="1">
      <x:c r="A1634" s="10" t="str">
        <x:v>M12</x:v>
      </x:c>
      <x:c r="B1634" s="10" t="str">
        <x:v>NG_H0</x:v>
      </x:c>
      <x:c r="C1634" s="10" t="n">
        <x:v>9</x:v>
      </x:c>
      <x:c r="D1634" s="24" t="n">
        <x:v>0.034896510348965105</x:v>
      </x:c>
      <x:c r="E1634" s="24" t="n">
        <x:v>0.0313968603139686</x:v>
      </x:c>
      <x:c r="F1634" s="24" t="n">
        <x:f>ABS(D1634-E1634)</x:f>
        <x:v>0.0034996500349965057</x:v>
      </x:c>
    </x:row>
    <x:row r="1635" ht="23" customHeight="1">
      <x:c r="A1635" s="10" t="str">
        <x:v>M12</x:v>
      </x:c>
      <x:c r="B1635" s="10" t="str">
        <x:v>NG_H0</x:v>
      </x:c>
      <x:c r="C1635" s="10" t="n">
        <x:v>10</x:v>
      </x:c>
      <x:c r="D1635" s="24" t="n">
        <x:v>0</x:v>
      </x:c>
      <x:c r="E1635" s="24" t="n">
        <x:v>0</x:v>
      </x:c>
      <x:c r="F1635" s="24" t="n">
        <x:f>ABS(D1635-E1635)</x:f>
        <x:v>0</x:v>
      </x:c>
    </x:row>
    <x:row r="1636" ht="23" customHeight="1">
      <x:c r="A1636" s="10" t="str">
        <x:v>M12</x:v>
      </x:c>
      <x:c r="B1636" s="10" t="str">
        <x:v>NG_H1</x:v>
      </x:c>
      <x:c r="C1636" s="10" t="n">
        <x:v>1</x:v>
      </x:c>
      <x:c r="D1636" s="24" t="n">
        <x:v>0</x:v>
      </x:c>
      <x:c r="E1636" s="24" t="n">
        <x:v>0.0026997300269973002</x:v>
      </x:c>
      <x:c r="F1636" s="24" t="n">
        <x:f>ABS(D1636-E1636)</x:f>
        <x:v>0.0026997300269973002</x:v>
      </x:c>
    </x:row>
    <x:row r="1637" ht="23" customHeight="1">
      <x:c r="A1637" s="10" t="str">
        <x:v>M12</x:v>
      </x:c>
      <x:c r="B1637" s="10" t="str">
        <x:v>NG_H1</x:v>
      </x:c>
      <x:c r="C1637" s="10" t="n">
        <x:v>2</x:v>
      </x:c>
      <x:c r="D1637" s="24" t="n">
        <x:v>0.21719999999999998</x:v>
      </x:c>
      <x:c r="E1637" s="24" t="n">
        <x:v>0.225977402259774</x:v>
      </x:c>
      <x:c r="F1637" s="24" t="n">
        <x:f>ABS(D1637-E1637)</x:f>
        <x:v>0.008777402259774025</x:v>
      </x:c>
    </x:row>
    <x:row r="1638" ht="23" customHeight="1">
      <x:c r="A1638" s="10" t="str">
        <x:v>M12</x:v>
      </x:c>
      <x:c r="B1638" s="10" t="str">
        <x:v>NG_H1</x:v>
      </x:c>
      <x:c r="C1638" s="10" t="n">
        <x:v>3</x:v>
      </x:c>
      <x:c r="D1638" s="24" t="n">
        <x:v>0.5562</x:v>
      </x:c>
      <x:c r="E1638" s="24" t="n">
        <x:v>0.5970402959704029</x:v>
      </x:c>
      <x:c r="F1638" s="24" t="n">
        <x:f>ABS(D1638-E1638)</x:f>
        <x:v>0.04084029597040284</x:v>
      </x:c>
    </x:row>
    <x:row r="1639" ht="23" customHeight="1">
      <x:c r="A1639" s="10" t="str">
        <x:v>M12</x:v>
      </x:c>
      <x:c r="B1639" s="10" t="str">
        <x:v>NG_H1</x:v>
      </x:c>
      <x:c r="C1639" s="10" t="n">
        <x:v>4</x:v>
      </x:c>
      <x:c r="D1639" s="24" t="n">
        <x:v>0.1323</x:v>
      </x:c>
      <x:c r="E1639" s="24" t="n">
        <x:v>0.08039196080391958</x:v>
      </x:c>
      <x:c r="F1639" s="24" t="n">
        <x:f>ABS(D1639-E1639)</x:f>
        <x:v>0.05190803919608042</x:v>
      </x:c>
    </x:row>
    <x:row r="1640" ht="23" customHeight="1">
      <x:c r="A1640" s="10" t="str">
        <x:v>M12</x:v>
      </x:c>
      <x:c r="B1640" s="10" t="str">
        <x:v>NG_H1</x:v>
      </x:c>
      <x:c r="C1640" s="10" t="n">
        <x:v>5</x:v>
      </x:c>
      <x:c r="D1640" s="24" t="n">
        <x:v>0.0348</x:v>
      </x:c>
      <x:c r="E1640" s="24" t="n">
        <x:v>0.0361963803619638</x:v>
      </x:c>
      <x:c r="F1640" s="24" t="n">
        <x:f>ABS(D1640-E1640)</x:f>
        <x:v>0.0013963803619638018</x:v>
      </x:c>
    </x:row>
    <x:row r="1641" ht="23" customHeight="1">
      <x:c r="A1641" s="10" t="str">
        <x:v>M12</x:v>
      </x:c>
      <x:c r="B1641" s="10" t="str">
        <x:v>NG_H1</x:v>
      </x:c>
      <x:c r="C1641" s="10" t="n">
        <x:v>6</x:v>
      </x:c>
      <x:c r="D1641" s="24" t="n">
        <x:v>0.0088</x:v>
      </x:c>
      <x:c r="E1641" s="24" t="n">
        <x:v>0.0090990900909909</x:v>
      </x:c>
      <x:c r="F1641" s="24" t="n">
        <x:f>ABS(D1641-E1641)</x:f>
        <x:v>0.00029909009099089896</x:v>
      </x:c>
    </x:row>
    <x:row r="1642" ht="23" customHeight="1">
      <x:c r="A1642" s="10" t="str">
        <x:v>M12</x:v>
      </x:c>
      <x:c r="B1642" s="10" t="str">
        <x:v>NG_H1</x:v>
      </x:c>
      <x:c r="C1642" s="10" t="n">
        <x:v>7</x:v>
      </x:c>
      <x:c r="D1642" s="24" t="n">
        <x:v>0.0059</x:v>
      </x:c>
      <x:c r="E1642" s="24" t="n">
        <x:v>0.0051994800519948</x:v>
      </x:c>
      <x:c r="F1642" s="24" t="n">
        <x:f>ABS(D1642-E1642)</x:f>
        <x:v>0.0007005199480051997</x:v>
      </x:c>
    </x:row>
    <x:row r="1643" ht="23" customHeight="1">
      <x:c r="A1643" s="10" t="str">
        <x:v>M12</x:v>
      </x:c>
      <x:c r="B1643" s="10" t="str">
        <x:v>NG_H1</x:v>
      </x:c>
      <x:c r="C1643" s="10" t="n">
        <x:v>8</x:v>
      </x:c>
      <x:c r="D1643" s="24" t="n">
        <x:v>0.009899999999999999</x:v>
      </x:c>
      <x:c r="E1643" s="24" t="n">
        <x:v>0.011998800119988001</x:v>
      </x:c>
      <x:c r="F1643" s="24" t="n">
        <x:f>ABS(D1643-E1643)</x:f>
        <x:v>0.002098800119988002</x:v>
      </x:c>
    </x:row>
    <x:row r="1644" ht="23" customHeight="1">
      <x:c r="A1644" s="10" t="str">
        <x:v>M12</x:v>
      </x:c>
      <x:c r="B1644" s="10" t="str">
        <x:v>NG_H1</x:v>
      </x:c>
      <x:c r="C1644" s="10" t="n">
        <x:v>9</x:v>
      </x:c>
      <x:c r="D1644" s="24" t="n">
        <x:v>0.0349</x:v>
      </x:c>
      <x:c r="E1644" s="24" t="n">
        <x:v>0.0313968603139686</x:v>
      </x:c>
      <x:c r="F1644" s="24" t="n">
        <x:f>ABS(D1644-E1644)</x:f>
        <x:v>0.0035031396860314007</x:v>
      </x:c>
    </x:row>
    <x:row r="1645" ht="23" customHeight="1">
      <x:c r="A1645" s="10" t="str">
        <x:v>M12</x:v>
      </x:c>
      <x:c r="B1645" s="10" t="str">
        <x:v>NG_H1</x:v>
      </x:c>
      <x:c r="C1645" s="10" t="n">
        <x:v>10</x:v>
      </x:c>
      <x:c r="D1645" s="24" t="n">
        <x:v>0</x:v>
      </x:c>
      <x:c r="E1645" s="24" t="n">
        <x:v>0</x:v>
      </x:c>
      <x:c r="F1645" s="24" t="n">
        <x:f>ABS(D1645-E1645)</x:f>
        <x:v>0</x:v>
      </x:c>
    </x:row>
    <x:row r="1646" ht="23" customHeight="1">
      <x:c r="A1646" s="10" t="str">
        <x:v>M12</x:v>
      </x:c>
      <x:c r="B1646" s="10" t="str">
        <x:v>CG_H0</x:v>
      </x:c>
      <x:c r="C1646" s="10" t="n">
        <x:v>1</x:v>
      </x:c>
      <x:c r="D1646" s="24" t="n">
        <x:v>0</x:v>
      </x:c>
      <x:c r="E1646" s="24" t="n">
        <x:v>0.0026997300269973002</x:v>
      </x:c>
      <x:c r="F1646" s="24" t="n">
        <x:f>ABS(D1646-E1646)</x:f>
        <x:v>0.0026997300269973002</x:v>
      </x:c>
    </x:row>
    <x:row r="1647" ht="23" customHeight="1">
      <x:c r="A1647" s="10" t="str">
        <x:v>M12</x:v>
      </x:c>
      <x:c r="B1647" s="10" t="str">
        <x:v>CG_H0</x:v>
      </x:c>
      <x:c r="C1647" s="10" t="n">
        <x:v>2</x:v>
      </x:c>
      <x:c r="D1647" s="24" t="n">
        <x:v>0.8165183481651836</x:v>
      </x:c>
      <x:c r="E1647" s="24" t="n">
        <x:v>0.225977402259774</x:v>
      </x:c>
      <x:c r="F1647" s="24" t="n">
        <x:f>ABS(D1647-E1647)</x:f>
        <x:v>0.5905409459054096</x:v>
      </x:c>
    </x:row>
    <x:row r="1648" ht="23" customHeight="1">
      <x:c r="A1648" s="10" t="str">
        <x:v>M12</x:v>
      </x:c>
      <x:c r="B1648" s="10" t="str">
        <x:v>CG_H0</x:v>
      </x:c>
      <x:c r="C1648" s="10" t="n">
        <x:v>3</x:v>
      </x:c>
      <x:c r="D1648" s="24" t="n">
        <x:v>0.10948905109489053</x:v>
      </x:c>
      <x:c r="E1648" s="24" t="n">
        <x:v>0.5970402959704029</x:v>
      </x:c>
      <x:c r="F1648" s="24" t="n">
        <x:f>ABS(D1648-E1648)</x:f>
        <x:v>0.4875512448755123</x:v>
      </x:c>
    </x:row>
    <x:row r="1649" ht="23" customHeight="1">
      <x:c r="A1649" s="10" t="str">
        <x:v>M12</x:v>
      </x:c>
      <x:c r="B1649" s="10" t="str">
        <x:v>CG_H0</x:v>
      </x:c>
      <x:c r="C1649" s="10" t="n">
        <x:v>4</x:v>
      </x:c>
      <x:c r="D1649" s="24" t="n">
        <x:v>0.03629637036296371</x:v>
      </x:c>
      <x:c r="E1649" s="24" t="n">
        <x:v>0.08039196080391958</x:v>
      </x:c>
      <x:c r="F1649" s="24" t="n">
        <x:f>ABS(D1649-E1649)</x:f>
        <x:v>0.04409559044095587</x:v>
      </x:c>
    </x:row>
    <x:row r="1650" ht="23" customHeight="1">
      <x:c r="A1650" s="10" t="str">
        <x:v>M12</x:v>
      </x:c>
      <x:c r="B1650" s="10" t="str">
        <x:v>CG_H0</x:v>
      </x:c>
      <x:c r="C1650" s="10" t="n">
        <x:v>5</x:v>
      </x:c>
      <x:c r="D1650" s="24" t="n">
        <x:v>0.034896510348965105</x:v>
      </x:c>
      <x:c r="E1650" s="24" t="n">
        <x:v>0.0361963803619638</x:v>
      </x:c>
      <x:c r="F1650" s="24" t="n">
        <x:f>ABS(D1650-E1650)</x:f>
        <x:v>0.001299870012998694</x:v>
      </x:c>
    </x:row>
    <x:row r="1651" ht="23" customHeight="1">
      <x:c r="A1651" s="10" t="str">
        <x:v>M12</x:v>
      </x:c>
      <x:c r="B1651" s="10" t="str">
        <x:v>CG_H0</x:v>
      </x:c>
      <x:c r="C1651" s="10" t="n">
        <x:v>6</x:v>
      </x:c>
      <x:c r="D1651" s="24" t="n">
        <x:v>0.002799720027997201</x:v>
      </x:c>
      <x:c r="E1651" s="24" t="n">
        <x:v>0.0090990900909909</x:v>
      </x:c>
      <x:c r="F1651" s="24" t="n">
        <x:f>ABS(D1651-E1651)</x:f>
        <x:v>0.006299370062993699</x:v>
      </x:c>
    </x:row>
    <x:row r="1652" ht="23" customHeight="1">
      <x:c r="A1652" s="10" t="str">
        <x:v>M12</x:v>
      </x:c>
      <x:c r="B1652" s="10" t="str">
        <x:v>CG_H0</x:v>
      </x:c>
      <x:c r="C1652" s="10" t="n">
        <x:v>7</x:v>
      </x:c>
      <x:c r="D1652" s="24" t="n">
        <x:v>0</x:v>
      </x:c>
      <x:c r="E1652" s="24" t="n">
        <x:v>0.0051994800519948</x:v>
      </x:c>
      <x:c r="F1652" s="24" t="n">
        <x:f>ABS(D1652-E1652)</x:f>
        <x:v>0.0051994800519948</x:v>
      </x:c>
    </x:row>
    <x:row r="1653" ht="23" customHeight="1">
      <x:c r="A1653" s="10" t="str">
        <x:v>M12</x:v>
      </x:c>
      <x:c r="B1653" s="10" t="str">
        <x:v>CG_H0</x:v>
      </x:c>
      <x:c r="C1653" s="10" t="n">
        <x:v>8</x:v>
      </x:c>
      <x:c r="D1653" s="24" t="n">
        <x:v>0</x:v>
      </x:c>
      <x:c r="E1653" s="24" t="n">
        <x:v>0.011998800119988001</x:v>
      </x:c>
      <x:c r="F1653" s="24" t="n">
        <x:f>ABS(D1653-E1653)</x:f>
        <x:v>0.011998800119988001</x:v>
      </x:c>
    </x:row>
    <x:row r="1654" ht="23" customHeight="1">
      <x:c r="A1654" s="10" t="str">
        <x:v>M12</x:v>
      </x:c>
      <x:c r="B1654" s="10" t="str">
        <x:v>CG_H0</x:v>
      </x:c>
      <x:c r="C1654" s="10" t="n">
        <x:v>9</x:v>
      </x:c>
      <x:c r="D1654" s="24" t="n">
        <x:v>0</x:v>
      </x:c>
      <x:c r="E1654" s="24" t="n">
        <x:v>0.0313968603139686</x:v>
      </x:c>
      <x:c r="F1654" s="24" t="n">
        <x:f>ABS(D1654-E1654)</x:f>
        <x:v>0.0313968603139686</x:v>
      </x:c>
    </x:row>
    <x:row r="1655" ht="23" customHeight="1">
      <x:c r="A1655" s="10" t="str">
        <x:v>M12</x:v>
      </x:c>
      <x:c r="B1655" s="10" t="str">
        <x:v>CG_H0</x:v>
      </x:c>
      <x:c r="C1655" s="10" t="n">
        <x:v>10</x:v>
      </x:c>
      <x:c r="D1655" s="24" t="n">
        <x:v>0</x:v>
      </x:c>
      <x:c r="E1655" s="24" t="n">
        <x:v>0</x:v>
      </x:c>
      <x:c r="F1655" s="24" t="n">
        <x:f>ABS(D1655-E1655)</x:f>
        <x:v>0</x:v>
      </x:c>
    </x:row>
    <x:row r="1656" ht="23" customHeight="1">
      <x:c r="A1656" s="10" t="str">
        <x:v>M12</x:v>
      </x:c>
      <x:c r="B1656" s="10" t="str">
        <x:v>CG_H1</x:v>
      </x:c>
      <x:c r="C1656" s="10" t="n">
        <x:v>1</x:v>
      </x:c>
      <x:c r="D1656" s="24" t="n">
        <x:v>0</x:v>
      </x:c>
      <x:c r="E1656" s="24" t="n">
        <x:v>0.0026997300269973002</x:v>
      </x:c>
      <x:c r="F1656" s="24" t="n">
        <x:f>ABS(D1656-E1656)</x:f>
        <x:v>0.0026997300269973002</x:v>
      </x:c>
    </x:row>
    <x:row r="1657" ht="23" customHeight="1">
      <x:c r="A1657" s="10" t="str">
        <x:v>M12</x:v>
      </x:c>
      <x:c r="B1657" s="10" t="str">
        <x:v>CG_H1</x:v>
      </x:c>
      <x:c r="C1657" s="10" t="n">
        <x:v>2</x:v>
      </x:c>
      <x:c r="D1657" s="24" t="n">
        <x:v>0.34773045390921814</x:v>
      </x:c>
      <x:c r="E1657" s="24" t="n">
        <x:v>0.225977402259774</x:v>
      </x:c>
      <x:c r="F1657" s="24" t="n">
        <x:f>ABS(D1657-E1657)</x:f>
        <x:v>0.12175305164944414</x:v>
      </x:c>
    </x:row>
    <x:row r="1658" ht="23" customHeight="1">
      <x:c r="A1658" s="10" t="str">
        <x:v>M12</x:v>
      </x:c>
      <x:c r="B1658" s="10" t="str">
        <x:v>CG_H1</x:v>
      </x:c>
      <x:c r="C1658" s="10" t="n">
        <x:v>3</x:v>
      </x:c>
      <x:c r="D1658" s="24" t="n">
        <x:v>0.5665866826634672</x:v>
      </x:c>
      <x:c r="E1658" s="24" t="n">
        <x:v>0.5970402959704029</x:v>
      </x:c>
      <x:c r="F1658" s="24" t="n">
        <x:f>ABS(D1658-E1658)</x:f>
        <x:v>0.030453613306935634</x:v>
      </x:c>
    </x:row>
    <x:row r="1659" ht="23" customHeight="1">
      <x:c r="A1659" s="10" t="str">
        <x:v>M12</x:v>
      </x:c>
      <x:c r="B1659" s="10" t="str">
        <x:v>CG_H1</x:v>
      </x:c>
      <x:c r="C1659" s="10" t="n">
        <x:v>4</x:v>
      </x:c>
      <x:c r="D1659" s="24" t="n">
        <x:v>0.04609078184363127</x:v>
      </x:c>
      <x:c r="E1659" s="24" t="n">
        <x:v>0.08039196080391958</x:v>
      </x:c>
      <x:c r="F1659" s="24" t="n">
        <x:f>ABS(D1659-E1659)</x:f>
        <x:v>0.03430117896028831</x:v>
      </x:c>
    </x:row>
    <x:row r="1660" ht="23" customHeight="1">
      <x:c r="A1660" s="10" t="str">
        <x:v>M12</x:v>
      </x:c>
      <x:c r="B1660" s="10" t="str">
        <x:v>CG_H1</x:v>
      </x:c>
      <x:c r="C1660" s="10" t="n">
        <x:v>5</x:v>
      </x:c>
      <x:c r="D1660" s="24" t="n">
        <x:v>0.036192761447710456</x:v>
      </x:c>
      <x:c r="E1660" s="24" t="n">
        <x:v>0.0361963803619638</x:v>
      </x:c>
      <x:c r="F1660" s="24" t="n">
        <x:f>ABS(D1660-E1660)</x:f>
        <x:v>0.0000036189142533435414</x:v>
      </x:c>
    </x:row>
    <x:row r="1661" ht="23" customHeight="1">
      <x:c r="A1661" s="10" t="str">
        <x:v>M12</x:v>
      </x:c>
      <x:c r="B1661" s="10" t="str">
        <x:v>CG_H1</x:v>
      </x:c>
      <x:c r="C1661" s="10" t="n">
        <x:v>6</x:v>
      </x:c>
      <x:c r="D1661" s="24" t="n">
        <x:v>0.0033993201359728054</x:v>
      </x:c>
      <x:c r="E1661" s="24" t="n">
        <x:v>0.0090990900909909</x:v>
      </x:c>
      <x:c r="F1661" s="24" t="n">
        <x:f>ABS(D1661-E1661)</x:f>
        <x:v>0.0056997699550180945</x:v>
      </x:c>
    </x:row>
    <x:row r="1662" ht="23" customHeight="1">
      <x:c r="A1662" s="10" t="str">
        <x:v>M12</x:v>
      </x:c>
      <x:c r="B1662" s="10" t="str">
        <x:v>CG_H1</x:v>
      </x:c>
      <x:c r="C1662" s="10" t="n">
        <x:v>7</x:v>
      </x:c>
      <x:c r="D1662" s="24" t="n">
        <x:v>0</x:v>
      </x:c>
      <x:c r="E1662" s="24" t="n">
        <x:v>0.0051994800519948</x:v>
      </x:c>
      <x:c r="F1662" s="24" t="n">
        <x:f>ABS(D1662-E1662)</x:f>
        <x:v>0.0051994800519948</x:v>
      </x:c>
    </x:row>
    <x:row r="1663" ht="23" customHeight="1">
      <x:c r="A1663" s="10" t="str">
        <x:v>M12</x:v>
      </x:c>
      <x:c r="B1663" s="10" t="str">
        <x:v>CG_H1</x:v>
      </x:c>
      <x:c r="C1663" s="10" t="n">
        <x:v>8</x:v>
      </x:c>
      <x:c r="D1663" s="24" t="n">
        <x:v>0</x:v>
      </x:c>
      <x:c r="E1663" s="24" t="n">
        <x:v>0.011998800119988001</x:v>
      </x:c>
      <x:c r="F1663" s="24" t="n">
        <x:f>ABS(D1663-E1663)</x:f>
        <x:v>0.011998800119988001</x:v>
      </x:c>
    </x:row>
    <x:row r="1664" ht="23" customHeight="1">
      <x:c r="A1664" s="10" t="str">
        <x:v>M12</x:v>
      </x:c>
      <x:c r="B1664" s="10" t="str">
        <x:v>CG_H1</x:v>
      </x:c>
      <x:c r="C1664" s="10" t="n">
        <x:v>9</x:v>
      </x:c>
      <x:c r="D1664" s="24" t="n">
        <x:v>0</x:v>
      </x:c>
      <x:c r="E1664" s="24" t="n">
        <x:v>0.0313968603139686</x:v>
      </x:c>
      <x:c r="F1664" s="24" t="n">
        <x:f>ABS(D1664-E1664)</x:f>
        <x:v>0.0313968603139686</x:v>
      </x:c>
    </x:row>
    <x:row r="1665" ht="23" customHeight="1">
      <x:c r="A1665" s="10" t="str">
        <x:v>M12</x:v>
      </x:c>
      <x:c r="B1665" s="10" t="str">
        <x:v>CG_H1</x:v>
      </x:c>
      <x:c r="C1665" s="10" t="n">
        <x:v>10</x:v>
      </x:c>
      <x:c r="D1665" s="24" t="n">
        <x:v>0</x:v>
      </x:c>
      <x:c r="E1665" s="24" t="n">
        <x:v>0</x:v>
      </x:c>
      <x:c r="F1665" s="24" t="n">
        <x:f>ABS(D1665-E1665)</x:f>
        <x:v>0</x:v>
      </x:c>
    </x:row>
    <x:row r="1666" ht="23" customHeight="1">
      <x:c r="A1666" s="10" t="str">
        <x:v>M12</x:v>
      </x:c>
      <x:c r="B1666" s="10" t="str">
        <x:v>NCG_H0</x:v>
      </x:c>
      <x:c r="C1666" s="10" t="n">
        <x:v>1</x:v>
      </x:c>
      <x:c r="D1666" s="24" t="n">
        <x:v>0</x:v>
      </x:c>
      <x:c r="E1666" s="24" t="n">
        <x:v>0.0026997300269973002</x:v>
      </x:c>
      <x:c r="F1666" s="24" t="n">
        <x:f>ABS(D1666-E1666)</x:f>
        <x:v>0.0026997300269973002</x:v>
      </x:c>
    </x:row>
    <x:row r="1667" ht="23" customHeight="1">
      <x:c r="A1667" s="10" t="str">
        <x:v>M12</x:v>
      </x:c>
      <x:c r="B1667" s="10" t="str">
        <x:v>NCG_H0</x:v>
      </x:c>
      <x:c r="C1667" s="10" t="n">
        <x:v>2</x:v>
      </x:c>
      <x:c r="D1667" s="24" t="n">
        <x:v>0.5537000000000002</x:v>
      </x:c>
      <x:c r="E1667" s="24" t="n">
        <x:v>0.225977402259774</x:v>
      </x:c>
      <x:c r="F1667" s="24" t="n">
        <x:f>ABS(D1667-E1667)</x:f>
        <x:v>0.32772259774022616</x:v>
      </x:c>
    </x:row>
    <x:row r="1668" ht="23" customHeight="1">
      <x:c r="A1668" s="10" t="str">
        <x:v>M12</x:v>
      </x:c>
      <x:c r="B1668" s="10" t="str">
        <x:v>NCG_H0</x:v>
      </x:c>
      <x:c r="C1668" s="10" t="n">
        <x:v>3</x:v>
      </x:c>
      <x:c r="D1668" s="24" t="n">
        <x:v>0.3129000000000001</x:v>
      </x:c>
      <x:c r="E1668" s="24" t="n">
        <x:v>0.5970402959704029</x:v>
      </x:c>
      <x:c r="F1668" s="24" t="n">
        <x:f>ABS(D1668-E1668)</x:f>
        <x:v>0.28414029597040275</x:v>
      </x:c>
    </x:row>
    <x:row r="1669" ht="23" customHeight="1">
      <x:c r="A1669" s="10" t="str">
        <x:v>M12</x:v>
      </x:c>
      <x:c r="B1669" s="10" t="str">
        <x:v>NCG_H0</x:v>
      </x:c>
      <x:c r="C1669" s="10" t="n">
        <x:v>4</x:v>
      </x:c>
      <x:c r="D1669" s="24" t="n">
        <x:v>0.042400000000000014</x:v>
      </x:c>
      <x:c r="E1669" s="24" t="n">
        <x:v>0.08039196080391958</x:v>
      </x:c>
      <x:c r="F1669" s="24" t="n">
        <x:f>ABS(D1669-E1669)</x:f>
        <x:v>0.03799196080391957</x:v>
      </x:c>
    </x:row>
    <x:row r="1670" ht="23" customHeight="1">
      <x:c r="A1670" s="10" t="str">
        <x:v>M12</x:v>
      </x:c>
      <x:c r="B1670" s="10" t="str">
        <x:v>NCG_H0</x:v>
      </x:c>
      <x:c r="C1670" s="10" t="n">
        <x:v>5</x:v>
      </x:c>
      <x:c r="D1670" s="24" t="n">
        <x:v>0.03410000000000001</x:v>
      </x:c>
      <x:c r="E1670" s="24" t="n">
        <x:v>0.0361963803619638</x:v>
      </x:c>
      <x:c r="F1670" s="24" t="n">
        <x:f>ABS(D1670-E1670)</x:f>
        <x:v>0.002096380361963787</x:v>
      </x:c>
    </x:row>
    <x:row r="1671" ht="23" customHeight="1">
      <x:c r="A1671" s="10" t="str">
        <x:v>M12</x:v>
      </x:c>
      <x:c r="B1671" s="10" t="str">
        <x:v>NCG_H0</x:v>
      </x:c>
      <x:c r="C1671" s="10" t="n">
        <x:v>6</x:v>
      </x:c>
      <x:c r="D1671" s="24" t="n">
        <x:v>0.008500000000000002</x:v>
      </x:c>
      <x:c r="E1671" s="24" t="n">
        <x:v>0.0090990900909909</x:v>
      </x:c>
      <x:c r="F1671" s="24" t="n">
        <x:f>ABS(D1671-E1671)</x:f>
        <x:v>0.0005990900909908971</x:v>
      </x:c>
    </x:row>
    <x:row r="1672" ht="23" customHeight="1">
      <x:c r="A1672" s="10" t="str">
        <x:v>M12</x:v>
      </x:c>
      <x:c r="B1672" s="10" t="str">
        <x:v>NCG_H0</x:v>
      </x:c>
      <x:c r="C1672" s="10" t="n">
        <x:v>7</x:v>
      </x:c>
      <x:c r="D1672" s="24" t="n">
        <x:v>0.003900000000000001</x:v>
      </x:c>
      <x:c r="E1672" s="24" t="n">
        <x:v>0.0051994800519948</x:v>
      </x:c>
      <x:c r="F1672" s="24" t="n">
        <x:f>ABS(D1672-E1672)</x:f>
        <x:v>0.001299480051994799</x:v>
      </x:c>
    </x:row>
    <x:row r="1673" ht="23" customHeight="1">
      <x:c r="A1673" s="10" t="str">
        <x:v>M12</x:v>
      </x:c>
      <x:c r="B1673" s="10" t="str">
        <x:v>NCG_H0</x:v>
      </x:c>
      <x:c r="C1673" s="10" t="n">
        <x:v>8</x:v>
      </x:c>
      <x:c r="D1673" s="24" t="n">
        <x:v>0.009600000000000003</x:v>
      </x:c>
      <x:c r="E1673" s="24" t="n">
        <x:v>0.011998800119988001</x:v>
      </x:c>
      <x:c r="F1673" s="24" t="n">
        <x:f>ABS(D1673-E1673)</x:f>
        <x:v>0.0023988001199879982</x:v>
      </x:c>
    </x:row>
    <x:row r="1674" ht="23" customHeight="1">
      <x:c r="A1674" s="10" t="str">
        <x:v>M12</x:v>
      </x:c>
      <x:c r="B1674" s="10" t="str">
        <x:v>NCG_H0</x:v>
      </x:c>
      <x:c r="C1674" s="10" t="n">
        <x:v>9</x:v>
      </x:c>
      <x:c r="D1674" s="24" t="n">
        <x:v>0.034900000000000014</x:v>
      </x:c>
      <x:c r="E1674" s="24" t="n">
        <x:v>0.0313968603139686</x:v>
      </x:c>
      <x:c r="F1674" s="24" t="n">
        <x:f>ABS(D1674-E1674)</x:f>
        <x:v>0.0035031396860314146</x:v>
      </x:c>
    </x:row>
    <x:row r="1675" ht="23" customHeight="1">
      <x:c r="A1675" s="10" t="str">
        <x:v>M12</x:v>
      </x:c>
      <x:c r="B1675" s="10" t="str">
        <x:v>NCG_H0</x:v>
      </x:c>
      <x:c r="C1675" s="10" t="n">
        <x:v>10</x:v>
      </x:c>
      <x:c r="D1675" s="24" t="n">
        <x:v>0</x:v>
      </x:c>
      <x:c r="E1675" s="24" t="n">
        <x:v>0</x:v>
      </x:c>
      <x:c r="F1675" s="24" t="n">
        <x:f>ABS(D1675-E1675)</x:f>
        <x:v>0</x:v>
      </x:c>
    </x:row>
    <x:row r="1676" ht="23" customHeight="1">
      <x:c r="A1676" s="10" t="str">
        <x:v>M12</x:v>
      </x:c>
      <x:c r="B1676" s="10" t="str">
        <x:v>NCG_H1</x:v>
      </x:c>
      <x:c r="C1676" s="10" t="n">
        <x:v>1</x:v>
      </x:c>
      <x:c r="D1676" s="24" t="n">
        <x:v>0</x:v>
      </x:c>
      <x:c r="E1676" s="24" t="n">
        <x:v>0.0026997300269973002</x:v>
      </x:c>
      <x:c r="F1676" s="24" t="n">
        <x:f>ABS(D1676-E1676)</x:f>
        <x:v>0.0026997300269973002</x:v>
      </x:c>
    </x:row>
    <x:row r="1677" ht="23" customHeight="1">
      <x:c r="A1677" s="10" t="str">
        <x:v>M12</x:v>
      </x:c>
      <x:c r="B1677" s="10" t="str">
        <x:v>NCG_H1</x:v>
      </x:c>
      <x:c r="C1677" s="10" t="n">
        <x:v>2</x:v>
      </x:c>
      <x:c r="D1677" s="24" t="n">
        <x:v>0.22382238223822387</x:v>
      </x:c>
      <x:c r="E1677" s="24" t="n">
        <x:v>0.225977402259774</x:v>
      </x:c>
      <x:c r="F1677" s="24" t="n">
        <x:f>ABS(D1677-E1677)</x:f>
        <x:v>0.0021550200215501303</x:v>
      </x:c>
    </x:row>
    <x:row r="1678" ht="23" customHeight="1">
      <x:c r="A1678" s="10" t="str">
        <x:v>M12</x:v>
      </x:c>
      <x:c r="B1678" s="10" t="str">
        <x:v>NCG_H1</x:v>
      </x:c>
      <x:c r="C1678" s="10" t="n">
        <x:v>3</x:v>
      </x:c>
      <x:c r="D1678" s="24" t="n">
        <x:v>0.62986298629863</x:v>
      </x:c>
      <x:c r="E1678" s="24" t="n">
        <x:v>0.5970402959704029</x:v>
      </x:c>
      <x:c r="F1678" s="24" t="n">
        <x:f>ABS(D1678-E1678)</x:f>
        <x:v>0.032822690328227155</x:v>
      </x:c>
    </x:row>
    <x:row r="1679" ht="23" customHeight="1">
      <x:c r="A1679" s="10" t="str">
        <x:v>M12</x:v>
      </x:c>
      <x:c r="B1679" s="10" t="str">
        <x:v>NCG_H1</x:v>
      </x:c>
      <x:c r="C1679" s="10" t="n">
        <x:v>4</x:v>
      </x:c>
      <x:c r="D1679" s="24" t="n">
        <x:v>0.051905190519051916</x:v>
      </x:c>
      <x:c r="E1679" s="24" t="n">
        <x:v>0.08039196080391958</x:v>
      </x:c>
      <x:c r="F1679" s="24" t="n">
        <x:f>ABS(D1679-E1679)</x:f>
        <x:v>0.028486770284867666</x:v>
      </x:c>
    </x:row>
    <x:row r="1680" ht="23" customHeight="1">
      <x:c r="A1680" s="10" t="str">
        <x:v>M12</x:v>
      </x:c>
      <x:c r="B1680" s="10" t="str">
        <x:v>NCG_H1</x:v>
      </x:c>
      <x:c r="C1680" s="10" t="n">
        <x:v>5</x:v>
      </x:c>
      <x:c r="D1680" s="24" t="n">
        <x:v>0.03710371037103711</x:v>
      </x:c>
      <x:c r="E1680" s="24" t="n">
        <x:v>0.0361963803619638</x:v>
      </x:c>
      <x:c r="F1680" s="24" t="n">
        <x:f>ABS(D1680-E1680)</x:f>
        <x:v>0.0009073300090733094</x:v>
      </x:c>
    </x:row>
    <x:row r="1681" ht="23" customHeight="1">
      <x:c r="A1681" s="10" t="str">
        <x:v>M12</x:v>
      </x:c>
      <x:c r="B1681" s="10" t="str">
        <x:v>NCG_H1</x:v>
      </x:c>
      <x:c r="C1681" s="10" t="n">
        <x:v>6</x:v>
      </x:c>
      <x:c r="D1681" s="24" t="n">
        <x:v>0.008900890089008903</x:v>
      </x:c>
      <x:c r="E1681" s="24" t="n">
        <x:v>0.0090990900909909</x:v>
      </x:c>
      <x:c r="F1681" s="24" t="n">
        <x:f>ABS(D1681-E1681)</x:f>
        <x:v>0.00019820000198199697</x:v>
      </x:c>
    </x:row>
    <x:row r="1682" ht="23" customHeight="1">
      <x:c r="A1682" s="10" t="str">
        <x:v>M12</x:v>
      </x:c>
      <x:c r="B1682" s="10" t="str">
        <x:v>NCG_H1</x:v>
      </x:c>
      <x:c r="C1682" s="10" t="n">
        <x:v>7</x:v>
      </x:c>
      <x:c r="D1682" s="24" t="n">
        <x:v>0.003900390039003901</x:v>
      </x:c>
      <x:c r="E1682" s="24" t="n">
        <x:v>0.0051994800519948</x:v>
      </x:c>
      <x:c r="F1682" s="24" t="n">
        <x:f>ABS(D1682-E1682)</x:f>
        <x:v>0.0012990900129908993</x:v>
      </x:c>
    </x:row>
    <x:row r="1683" ht="23" customHeight="1">
      <x:c r="A1683" s="10" t="str">
        <x:v>M12</x:v>
      </x:c>
      <x:c r="B1683" s="10" t="str">
        <x:v>NCG_H1</x:v>
      </x:c>
      <x:c r="C1683" s="10" t="n">
        <x:v>8</x:v>
      </x:c>
      <x:c r="D1683" s="24" t="n">
        <x:v>0.009600960096009603</x:v>
      </x:c>
      <x:c r="E1683" s="24" t="n">
        <x:v>0.011998800119988001</x:v>
      </x:c>
      <x:c r="F1683" s="24" t="n">
        <x:f>ABS(D1683-E1683)</x:f>
        <x:v>0.0023978400239783974</x:v>
      </x:c>
    </x:row>
    <x:row r="1684" ht="23" customHeight="1">
      <x:c r="A1684" s="10" t="str">
        <x:v>M12</x:v>
      </x:c>
      <x:c r="B1684" s="10" t="str">
        <x:v>NCG_H1</x:v>
      </x:c>
      <x:c r="C1684" s="10" t="n">
        <x:v>9</x:v>
      </x:c>
      <x:c r="D1684" s="24" t="n">
        <x:v>0.03490349034903491</x:v>
      </x:c>
      <x:c r="E1684" s="24" t="n">
        <x:v>0.0313968603139686</x:v>
      </x:c>
      <x:c r="F1684" s="24" t="n">
        <x:f>ABS(D1684-E1684)</x:f>
        <x:v>0.0035066300350663077</x:v>
      </x:c>
    </x:row>
    <x:row r="1685" ht="23" customHeight="1">
      <x:c r="A1685" s="10" t="str">
        <x:v>M12</x:v>
      </x:c>
      <x:c r="B1685" s="10" t="str">
        <x:v>NCG_H1</x:v>
      </x:c>
      <x:c r="C1685" s="10" t="n">
        <x:v>10</x:v>
      </x:c>
      <x:c r="D1685" s="24" t="n">
        <x:v>0</x:v>
      </x:c>
      <x:c r="E1685" s="24" t="n">
        <x:v>0</x:v>
      </x:c>
      <x:c r="F1685" s="24" t="n">
        <x:f>ABS(D1685-E1685)</x:f>
        <x:v>0</x:v>
      </x:c>
    </x:row>
    <x:row r="1686" ht="23" customHeight="1">
      <x:c r="A1686" s="10" t="str">
        <x:v>M13</x:v>
      </x:c>
      <x:c r="B1686" s="10" t="str">
        <x:v>N_H0</x:v>
      </x:c>
      <x:c r="C1686" s="10" t="n">
        <x:v>1</x:v>
      </x:c>
      <x:c r="D1686" s="24" t="n">
        <x:v>0</x:v>
      </x:c>
      <x:c r="E1686" s="24" t="n">
        <x:v>0.04630926185237048</x:v>
      </x:c>
      <x:c r="F1686" s="24" t="n">
        <x:f>ABS(D1686-E1686)</x:f>
        <x:v>0.04630926185237048</x:v>
      </x:c>
    </x:row>
    <x:row r="1687" ht="23" customHeight="1">
      <x:c r="A1687" s="10" t="str">
        <x:v>M13</x:v>
      </x:c>
      <x:c r="B1687" s="10" t="str">
        <x:v>N_H0</x:v>
      </x:c>
      <x:c r="C1687" s="10" t="n">
        <x:v>2</x:v>
      </x:c>
      <x:c r="D1687" s="24" t="n">
        <x:v>0.1281</x:v>
      </x:c>
      <x:c r="E1687" s="24" t="n">
        <x:v>0.337867573514703</x:v>
      </x:c>
      <x:c r="F1687" s="24" t="n">
        <x:f>ABS(D1687-E1687)</x:f>
        <x:v>0.209767573514703</x:v>
      </x:c>
    </x:row>
    <x:row r="1688" ht="23" customHeight="1">
      <x:c r="A1688" s="10" t="str">
        <x:v>M13</x:v>
      </x:c>
      <x:c r="B1688" s="10" t="str">
        <x:v>N_H0</x:v>
      </x:c>
      <x:c r="C1688" s="10" t="n">
        <x:v>3</x:v>
      </x:c>
      <x:c r="D1688" s="24" t="n">
        <x:v>0.023999999999999994</x:v>
      </x:c>
      <x:c r="E1688" s="24" t="n">
        <x:v>0.42318463692738556</x:v>
      </x:c>
      <x:c r="F1688" s="24" t="n">
        <x:f>ABS(D1688-E1688)</x:f>
        <x:v>0.3991846369273856</x:v>
      </x:c>
    </x:row>
    <x:row r="1689" ht="23" customHeight="1">
      <x:c r="A1689" s="10" t="str">
        <x:v>M13</x:v>
      </x:c>
      <x:c r="B1689" s="10" t="str">
        <x:v>N_H0</x:v>
      </x:c>
      <x:c r="C1689" s="10" t="n">
        <x:v>4</x:v>
      </x:c>
      <x:c r="D1689" s="24" t="n">
        <x:v>0</x:v>
      </x:c>
      <x:c r="E1689" s="24" t="n">
        <x:v>0.09601920384076816</x:v>
      </x:c>
      <x:c r="F1689" s="24" t="n">
        <x:f>ABS(D1689-E1689)</x:f>
        <x:v>0.09601920384076816</x:v>
      </x:c>
    </x:row>
    <x:row r="1690" ht="23" customHeight="1">
      <x:c r="A1690" s="10" t="str">
        <x:v>M13</x:v>
      </x:c>
      <x:c r="B1690" s="10" t="str">
        <x:v>N_H0</x:v>
      </x:c>
      <x:c r="C1690" s="10" t="n">
        <x:v>5</x:v>
      </x:c>
      <x:c r="D1690" s="24" t="n">
        <x:v>0.7622999999999999</x:v>
      </x:c>
      <x:c r="E1690" s="24" t="n">
        <x:v>0.019203840768153634</x:v>
      </x:c>
      <x:c r="F1690" s="24" t="n">
        <x:f>ABS(D1690-E1690)</x:f>
        <x:v>0.7430961592318462</x:v>
      </x:c>
    </x:row>
    <x:row r="1691" ht="23" customHeight="1">
      <x:c r="A1691" s="10" t="str">
        <x:v>M13</x:v>
      </x:c>
      <x:c r="B1691" s="10" t="str">
        <x:v>N_H0</x:v>
      </x:c>
      <x:c r="C1691" s="10" t="n">
        <x:v>6</x:v>
      </x:c>
      <x:c r="D1691" s="24" t="n">
        <x:v>0.0218</x:v>
      </x:c>
      <x:c r="E1691" s="24" t="n">
        <x:v>0.024404880976195243</x:v>
      </x:c>
      <x:c r="F1691" s="24" t="n">
        <x:f>ABS(D1691-E1691)</x:f>
        <x:v>0.002604880976195243</x:v>
      </x:c>
    </x:row>
    <x:row r="1692" ht="23" customHeight="1">
      <x:c r="A1692" s="10" t="str">
        <x:v>M13</x:v>
      </x:c>
      <x:c r="B1692" s="10" t="str">
        <x:v>N_H0</x:v>
      </x:c>
      <x:c r="C1692" s="10" t="n">
        <x:v>7</x:v>
      </x:c>
      <x:c r="D1692" s="24" t="n">
        <x:v>0.0022999999999999995</x:v>
      </x:c>
      <x:c r="E1692" s="24" t="n">
        <x:v>0.009101820364072815</x:v>
      </x:c>
      <x:c r="F1692" s="24" t="n">
        <x:f>ABS(D1692-E1692)</x:f>
        <x:v>0.006801820364072815</x:v>
      </x:c>
    </x:row>
    <x:row r="1693" ht="23" customHeight="1">
      <x:c r="A1693" s="10" t="str">
        <x:v>M13</x:v>
      </x:c>
      <x:c r="B1693" s="10" t="str">
        <x:v>N_H0</x:v>
      </x:c>
      <x:c r="C1693" s="10" t="n">
        <x:v>8</x:v>
      </x:c>
      <x:c r="D1693" s="24" t="n">
        <x:v>0.0136</x:v>
      </x:c>
      <x:c r="E1693" s="24" t="n">
        <x:v>0.013902780556111223</x:v>
      </x:c>
      <x:c r="F1693" s="24" t="n">
        <x:f>ABS(D1693-E1693)</x:f>
        <x:v>0.0003027805561112238</x:v>
      </x:c>
    </x:row>
    <x:row r="1694" ht="23" customHeight="1">
      <x:c r="A1694" s="10" t="str">
        <x:v>M13</x:v>
      </x:c>
      <x:c r="B1694" s="10" t="str">
        <x:v>N_H0</x:v>
      </x:c>
      <x:c r="C1694" s="10" t="n">
        <x:v>9</x:v>
      </x:c>
      <x:c r="D1694" s="24" t="n">
        <x:v>0.04789999999999999</x:v>
      </x:c>
      <x:c r="E1694" s="24" t="n">
        <x:v>0.029905981196239252</x:v>
      </x:c>
      <x:c r="F1694" s="24" t="n">
        <x:f>ABS(D1694-E1694)</x:f>
        <x:v>0.01799401880376074</x:v>
      </x:c>
    </x:row>
    <x:row r="1695" ht="23" customHeight="1">
      <x:c r="A1695" s="10" t="str">
        <x:v>M13</x:v>
      </x:c>
      <x:c r="B1695" s="10" t="str">
        <x:v>N_H0</x:v>
      </x:c>
      <x:c r="C1695" s="10" t="n">
        <x:v>10</x:v>
      </x:c>
      <x:c r="D1695" s="24" t="n">
        <x:v>0</x:v>
      </x:c>
      <x:c r="E1695" s="24" t="n">
        <x:v>0.00010002000400080016</x:v>
      </x:c>
      <x:c r="F1695" s="24" t="n">
        <x:f>ABS(D1695-E1695)</x:f>
        <x:v>0.00010002000400080016</x:v>
      </x:c>
    </x:row>
    <x:row r="1696" ht="23" customHeight="1">
      <x:c r="A1696" s="10" t="str">
        <x:v>M13</x:v>
      </x:c>
      <x:c r="B1696" s="10" t="str">
        <x:v>N_H1</x:v>
      </x:c>
      <x:c r="C1696" s="10" t="n">
        <x:v>1</x:v>
      </x:c>
      <x:c r="D1696" s="24" t="n">
        <x:v>0</x:v>
      </x:c>
      <x:c r="E1696" s="24" t="n">
        <x:v>0.04630926185237048</x:v>
      </x:c>
      <x:c r="F1696" s="24" t="n">
        <x:f>ABS(D1696-E1696)</x:f>
        <x:v>0.04630926185237048</x:v>
      </x:c>
    </x:row>
    <x:row r="1697" ht="23" customHeight="1">
      <x:c r="A1697" s="10" t="str">
        <x:v>M13</x:v>
      </x:c>
      <x:c r="B1697" s="10" t="str">
        <x:v>N_H1</x:v>
      </x:c>
      <x:c r="C1697" s="10" t="n">
        <x:v>2</x:v>
      </x:c>
      <x:c r="D1697" s="24" t="n">
        <x:v>0.12588741125887412</x:v>
      </x:c>
      <x:c r="E1697" s="24" t="n">
        <x:v>0.337867573514703</x:v>
      </x:c>
      <x:c r="F1697" s="24" t="n">
        <x:f>ABS(D1697-E1697)</x:f>
        <x:v>0.21198016225582886</x:v>
      </x:c>
    </x:row>
    <x:row r="1698" ht="23" customHeight="1">
      <x:c r="A1698" s="10" t="str">
        <x:v>M13</x:v>
      </x:c>
      <x:c r="B1698" s="10" t="str">
        <x:v>N_H1</x:v>
      </x:c>
      <x:c r="C1698" s="10" t="n">
        <x:v>3</x:v>
      </x:c>
      <x:c r="D1698" s="24" t="n">
        <x:v>0.015198480151984802</x:v>
      </x:c>
      <x:c r="E1698" s="24" t="n">
        <x:v>0.42318463692738556</x:v>
      </x:c>
      <x:c r="F1698" s="24" t="n">
        <x:f>ABS(D1698-E1698)</x:f>
        <x:v>0.40798615677540073</x:v>
      </x:c>
    </x:row>
    <x:row r="1699" ht="23" customHeight="1">
      <x:c r="A1699" s="10" t="str">
        <x:v>M13</x:v>
      </x:c>
      <x:c r="B1699" s="10" t="str">
        <x:v>N_H1</x:v>
      </x:c>
      <x:c r="C1699" s="10" t="n">
        <x:v>4</x:v>
      </x:c>
      <x:c r="D1699" s="24" t="n">
        <x:v>0</x:v>
      </x:c>
      <x:c r="E1699" s="24" t="n">
        <x:v>0.09601920384076816</x:v>
      </x:c>
      <x:c r="F1699" s="24" t="n">
        <x:f>ABS(D1699-E1699)</x:f>
        <x:v>0.09601920384076816</x:v>
      </x:c>
    </x:row>
    <x:row r="1700" ht="23" customHeight="1">
      <x:c r="A1700" s="10" t="str">
        <x:v>M13</x:v>
      </x:c>
      <x:c r="B1700" s="10" t="str">
        <x:v>N_H1</x:v>
      </x:c>
      <x:c r="C1700" s="10" t="n">
        <x:v>5</x:v>
      </x:c>
      <x:c r="D1700" s="24" t="n">
        <x:v>0.7622237776222377</x:v>
      </x:c>
      <x:c r="E1700" s="24" t="n">
        <x:v>0.019203840768153634</x:v>
      </x:c>
      <x:c r="F1700" s="24" t="n">
        <x:f>ABS(D1700-E1700)</x:f>
        <x:v>0.7430199368540841</x:v>
      </x:c>
    </x:row>
    <x:row r="1701" ht="23" customHeight="1">
      <x:c r="A1701" s="10" t="str">
        <x:v>M13</x:v>
      </x:c>
      <x:c r="B1701" s="10" t="str">
        <x:v>N_H1</x:v>
      </x:c>
      <x:c r="C1701" s="10" t="n">
        <x:v>6</x:v>
      </x:c>
      <x:c r="D1701" s="24" t="n">
        <x:v>0.027697230276972302</x:v>
      </x:c>
      <x:c r="E1701" s="24" t="n">
        <x:v>0.024404880976195243</x:v>
      </x:c>
      <x:c r="F1701" s="24" t="n">
        <x:f>ABS(D1701-E1701)</x:f>
        <x:v>0.0032923493007770595</x:v>
      </x:c>
    </x:row>
    <x:row r="1702" ht="23" customHeight="1">
      <x:c r="A1702" s="10" t="str">
        <x:v>M13</x:v>
      </x:c>
      <x:c r="B1702" s="10" t="str">
        <x:v>N_H1</x:v>
      </x:c>
      <x:c r="C1702" s="10" t="n">
        <x:v>7</x:v>
      </x:c>
      <x:c r="D1702" s="24" t="n">
        <x:v>0.007499250074992501</x:v>
      </x:c>
      <x:c r="E1702" s="24" t="n">
        <x:v>0.009101820364072815</x:v>
      </x:c>
      <x:c r="F1702" s="24" t="n">
        <x:f>ABS(D1702-E1702)</x:f>
        <x:v>0.0016025702890803146</x:v>
      </x:c>
    </x:row>
    <x:row r="1703" ht="23" customHeight="1">
      <x:c r="A1703" s="10" t="str">
        <x:v>M13</x:v>
      </x:c>
      <x:c r="B1703" s="10" t="str">
        <x:v>N_H1</x:v>
      </x:c>
      <x:c r="C1703" s="10" t="n">
        <x:v>8</x:v>
      </x:c>
      <x:c r="D1703" s="24" t="n">
        <x:v>0.013598640135986401</x:v>
      </x:c>
      <x:c r="E1703" s="24" t="n">
        <x:v>0.013902780556111223</x:v>
      </x:c>
      <x:c r="F1703" s="24" t="n">
        <x:f>ABS(D1703-E1703)</x:f>
        <x:v>0.0003041404201248217</x:v>
      </x:c>
    </x:row>
    <x:row r="1704" ht="23" customHeight="1">
      <x:c r="A1704" s="10" t="str">
        <x:v>M13</x:v>
      </x:c>
      <x:c r="B1704" s="10" t="str">
        <x:v>N_H1</x:v>
      </x:c>
      <x:c r="C1704" s="10" t="n">
        <x:v>9</x:v>
      </x:c>
      <x:c r="D1704" s="24" t="n">
        <x:v>0.0478952104789521</x:v>
      </x:c>
      <x:c r="E1704" s="24" t="n">
        <x:v>0.029905981196239252</x:v>
      </x:c>
      <x:c r="F1704" s="24" t="n">
        <x:f>ABS(D1704-E1704)</x:f>
        <x:v>0.01798922928271285</x:v>
      </x:c>
    </x:row>
    <x:row r="1705" ht="23" customHeight="1">
      <x:c r="A1705" s="10" t="str">
        <x:v>M13</x:v>
      </x:c>
      <x:c r="B1705" s="10" t="str">
        <x:v>N_H1</x:v>
      </x:c>
      <x:c r="C1705" s="10" t="n">
        <x:v>10</x:v>
      </x:c>
      <x:c r="D1705" s="24" t="n">
        <x:v>0</x:v>
      </x:c>
      <x:c r="E1705" s="24" t="n">
        <x:v>0.00010002000400080016</x:v>
      </x:c>
      <x:c r="F1705" s="24" t="n">
        <x:f>ABS(D1705-E1705)</x:f>
        <x:v>0.00010002000400080016</x:v>
      </x:c>
    </x:row>
    <x:row r="1706" ht="23" customHeight="1">
      <x:c r="A1706" s="10" t="str">
        <x:v>M13</x:v>
      </x:c>
      <x:c r="B1706" s="10" t="str">
        <x:v>C_H0</x:v>
      </x:c>
      <x:c r="C1706" s="10" t="n">
        <x:v>1</x:v>
      </x:c>
      <x:c r="D1706" s="24" t="n">
        <x:v>0</x:v>
      </x:c>
      <x:c r="E1706" s="24" t="n">
        <x:v>0.04630926185237048</x:v>
      </x:c>
      <x:c r="F1706" s="24" t="n">
        <x:f>ABS(D1706-E1706)</x:f>
        <x:v>0.04630926185237048</x:v>
      </x:c>
    </x:row>
    <x:row r="1707" ht="23" customHeight="1">
      <x:c r="A1707" s="10" t="str">
        <x:v>M13</x:v>
      </x:c>
      <x:c r="B1707" s="10" t="str">
        <x:v>C_H0</x:v>
      </x:c>
      <x:c r="C1707" s="10" t="n">
        <x:v>2</x:v>
      </x:c>
      <x:c r="D1707" s="24" t="n">
        <x:v>0.2872712728727127</x:v>
      </x:c>
      <x:c r="E1707" s="24" t="n">
        <x:v>0.337867573514703</x:v>
      </x:c>
      <x:c r="F1707" s="24" t="n">
        <x:f>ABS(D1707-E1707)</x:f>
        <x:v>0.05059630064199028</x:v>
      </x:c>
    </x:row>
    <x:row r="1708" ht="23" customHeight="1">
      <x:c r="A1708" s="10" t="str">
        <x:v>M13</x:v>
      </x:c>
      <x:c r="B1708" s="10" t="str">
        <x:v>C_H0</x:v>
      </x:c>
      <x:c r="C1708" s="10" t="n">
        <x:v>3</x:v>
      </x:c>
      <x:c r="D1708" s="24" t="n">
        <x:v>0</x:v>
      </x:c>
      <x:c r="E1708" s="24" t="n">
        <x:v>0.42318463692738556</x:v>
      </x:c>
      <x:c r="F1708" s="24" t="n">
        <x:f>ABS(D1708-E1708)</x:f>
        <x:v>0.42318463692738556</x:v>
      </x:c>
    </x:row>
    <x:row r="1709" ht="23" customHeight="1">
      <x:c r="A1709" s="10" t="str">
        <x:v>M13</x:v>
      </x:c>
      <x:c r="B1709" s="10" t="str">
        <x:v>C_H0</x:v>
      </x:c>
      <x:c r="C1709" s="10" t="n">
        <x:v>4</x:v>
      </x:c>
      <x:c r="D1709" s="24" t="n">
        <x:v>0</x:v>
      </x:c>
      <x:c r="E1709" s="24" t="n">
        <x:v>0.09601920384076816</x:v>
      </x:c>
      <x:c r="F1709" s="24" t="n">
        <x:f>ABS(D1709-E1709)</x:f>
        <x:v>0.09601920384076816</x:v>
      </x:c>
    </x:row>
    <x:row r="1710" ht="23" customHeight="1">
      <x:c r="A1710" s="10" t="str">
        <x:v>M13</x:v>
      </x:c>
      <x:c r="B1710" s="10" t="str">
        <x:v>C_H0</x:v>
      </x:c>
      <x:c r="C1710" s="10" t="n">
        <x:v>5</x:v>
      </x:c>
      <x:c r="D1710" s="24" t="n">
        <x:v>0.7124287571242875</x:v>
      </x:c>
      <x:c r="E1710" s="24" t="n">
        <x:v>0.019203840768153634</x:v>
      </x:c>
      <x:c r="F1710" s="24" t="n">
        <x:f>ABS(D1710-E1710)</x:f>
        <x:v>0.6932249163561339</x:v>
      </x:c>
    </x:row>
    <x:row r="1711" ht="23" customHeight="1">
      <x:c r="A1711" s="10" t="str">
        <x:v>M13</x:v>
      </x:c>
      <x:c r="B1711" s="10" t="str">
        <x:v>C_H0</x:v>
      </x:c>
      <x:c r="C1711" s="10" t="n">
        <x:v>6</x:v>
      </x:c>
      <x:c r="D1711" s="24" t="n">
        <x:v>0</x:v>
      </x:c>
      <x:c r="E1711" s="24" t="n">
        <x:v>0.024404880976195243</x:v>
      </x:c>
      <x:c r="F1711" s="24" t="n">
        <x:f>ABS(D1711-E1711)</x:f>
        <x:v>0.024404880976195243</x:v>
      </x:c>
    </x:row>
    <x:row r="1712" ht="23" customHeight="1">
      <x:c r="A1712" s="10" t="str">
        <x:v>M13</x:v>
      </x:c>
      <x:c r="B1712" s="10" t="str">
        <x:v>C_H0</x:v>
      </x:c>
      <x:c r="C1712" s="10" t="n">
        <x:v>7</x:v>
      </x:c>
      <x:c r="D1712" s="24" t="n">
        <x:v>0.00029997000299970003</x:v>
      </x:c>
      <x:c r="E1712" s="24" t="n">
        <x:v>0.009101820364072815</x:v>
      </x:c>
      <x:c r="F1712" s="24" t="n">
        <x:f>ABS(D1712-E1712)</x:f>
        <x:v>0.008801850361073116</x:v>
      </x:c>
    </x:row>
    <x:row r="1713" ht="23" customHeight="1">
      <x:c r="A1713" s="10" t="str">
        <x:v>M13</x:v>
      </x:c>
      <x:c r="B1713" s="10" t="str">
        <x:v>C_H0</x:v>
      </x:c>
      <x:c r="C1713" s="10" t="n">
        <x:v>8</x:v>
      </x:c>
      <x:c r="D1713" s="24" t="n">
        <x:v>0</x:v>
      </x:c>
      <x:c r="E1713" s="24" t="n">
        <x:v>0.013902780556111223</x:v>
      </x:c>
      <x:c r="F1713" s="24" t="n">
        <x:f>ABS(D1713-E1713)</x:f>
        <x:v>0.013902780556111223</x:v>
      </x:c>
    </x:row>
    <x:row r="1714" ht="23" customHeight="1">
      <x:c r="A1714" s="10" t="str">
        <x:v>M13</x:v>
      </x:c>
      <x:c r="B1714" s="10" t="str">
        <x:v>C_H0</x:v>
      </x:c>
      <x:c r="C1714" s="10" t="n">
        <x:v>9</x:v>
      </x:c>
      <x:c r="D1714" s="24" t="n">
        <x:v>0</x:v>
      </x:c>
      <x:c r="E1714" s="24" t="n">
        <x:v>0.029905981196239252</x:v>
      </x:c>
      <x:c r="F1714" s="24" t="n">
        <x:f>ABS(D1714-E1714)</x:f>
        <x:v>0.029905981196239252</x:v>
      </x:c>
    </x:row>
    <x:row r="1715" ht="23" customHeight="1">
      <x:c r="A1715" s="10" t="str">
        <x:v>M13</x:v>
      </x:c>
      <x:c r="B1715" s="10" t="str">
        <x:v>C_H0</x:v>
      </x:c>
      <x:c r="C1715" s="10" t="n">
        <x:v>10</x:v>
      </x:c>
      <x:c r="D1715" s="24" t="n">
        <x:v>0</x:v>
      </x:c>
      <x:c r="E1715" s="24" t="n">
        <x:v>0.00010002000400080016</x:v>
      </x:c>
      <x:c r="F1715" s="24" t="n">
        <x:f>ABS(D1715-E1715)</x:f>
        <x:v>0.00010002000400080016</x:v>
      </x:c>
    </x:row>
    <x:row r="1716" ht="23" customHeight="1">
      <x:c r="A1716" s="10" t="str">
        <x:v>M13</x:v>
      </x:c>
      <x:c r="B1716" s="10" t="str">
        <x:v>C_H1</x:v>
      </x:c>
      <x:c r="C1716" s="10" t="n">
        <x:v>1</x:v>
      </x:c>
      <x:c r="D1716" s="24" t="n">
        <x:v>0</x:v>
      </x:c>
      <x:c r="E1716" s="24" t="n">
        <x:v>0.04630926185237048</x:v>
      </x:c>
      <x:c r="F1716" s="24" t="n">
        <x:f>ABS(D1716-E1716)</x:f>
        <x:v>0.04630926185237048</x:v>
      </x:c>
    </x:row>
    <x:row r="1717" ht="23" customHeight="1">
      <x:c r="A1717" s="10" t="str">
        <x:v>M13</x:v>
      </x:c>
      <x:c r="B1717" s="10" t="str">
        <x:v>C_H1</x:v>
      </x:c>
      <x:c r="C1717" s="10" t="n">
        <x:v>2</x:v>
      </x:c>
      <x:c r="D1717" s="24" t="n">
        <x:v>0.28477152284771523</x:v>
      </x:c>
      <x:c r="E1717" s="24" t="n">
        <x:v>0.337867573514703</x:v>
      </x:c>
      <x:c r="F1717" s="24" t="n">
        <x:f>ABS(D1717-E1717)</x:f>
        <x:v>0.05309605066698775</x:v>
      </x:c>
    </x:row>
    <x:row r="1718" ht="23" customHeight="1">
      <x:c r="A1718" s="10" t="str">
        <x:v>M13</x:v>
      </x:c>
      <x:c r="B1718" s="10" t="str">
        <x:v>C_H1</x:v>
      </x:c>
      <x:c r="C1718" s="10" t="n">
        <x:v>3</x:v>
      </x:c>
      <x:c r="D1718" s="24" t="n">
        <x:v>0</x:v>
      </x:c>
      <x:c r="E1718" s="24" t="n">
        <x:v>0.42318463692738556</x:v>
      </x:c>
      <x:c r="F1718" s="24" t="n">
        <x:f>ABS(D1718-E1718)</x:f>
        <x:v>0.42318463692738556</x:v>
      </x:c>
    </x:row>
    <x:row r="1719" ht="23" customHeight="1">
      <x:c r="A1719" s="10" t="str">
        <x:v>M13</x:v>
      </x:c>
      <x:c r="B1719" s="10" t="str">
        <x:v>C_H1</x:v>
      </x:c>
      <x:c r="C1719" s="10" t="n">
        <x:v>4</x:v>
      </x:c>
      <x:c r="D1719" s="24" t="n">
        <x:v>0</x:v>
      </x:c>
      <x:c r="E1719" s="24" t="n">
        <x:v>0.09601920384076816</x:v>
      </x:c>
      <x:c r="F1719" s="24" t="n">
        <x:f>ABS(D1719-E1719)</x:f>
        <x:v>0.09601920384076816</x:v>
      </x:c>
    </x:row>
    <x:row r="1720" ht="23" customHeight="1">
      <x:c r="A1720" s="10" t="str">
        <x:v>M13</x:v>
      </x:c>
      <x:c r="B1720" s="10" t="str">
        <x:v>C_H1</x:v>
      </x:c>
      <x:c r="C1720" s="10" t="n">
        <x:v>5</x:v>
      </x:c>
      <x:c r="D1720" s="24" t="n">
        <x:v>0.7124287571242875</x:v>
      </x:c>
      <x:c r="E1720" s="24" t="n">
        <x:v>0.019203840768153634</x:v>
      </x:c>
      <x:c r="F1720" s="24" t="n">
        <x:f>ABS(D1720-E1720)</x:f>
        <x:v>0.6932249163561339</x:v>
      </x:c>
    </x:row>
    <x:row r="1721" ht="23" customHeight="1">
      <x:c r="A1721" s="10" t="str">
        <x:v>M13</x:v>
      </x:c>
      <x:c r="B1721" s="10" t="str">
        <x:v>C_H1</x:v>
      </x:c>
      <x:c r="C1721" s="10" t="n">
        <x:v>6</x:v>
      </x:c>
      <x:c r="D1721" s="24" t="n">
        <x:v>0</x:v>
      </x:c>
      <x:c r="E1721" s="24" t="n">
        <x:v>0.024404880976195243</x:v>
      </x:c>
      <x:c r="F1721" s="24" t="n">
        <x:f>ABS(D1721-E1721)</x:f>
        <x:v>0.024404880976195243</x:v>
      </x:c>
    </x:row>
    <x:row r="1722" ht="23" customHeight="1">
      <x:c r="A1722" s="10" t="str">
        <x:v>M13</x:v>
      </x:c>
      <x:c r="B1722" s="10" t="str">
        <x:v>C_H1</x:v>
      </x:c>
      <x:c r="C1722" s="10" t="n">
        <x:v>7</x:v>
      </x:c>
      <x:c r="D1722" s="24" t="n">
        <x:v>0.002799720027997201</x:v>
      </x:c>
      <x:c r="E1722" s="24" t="n">
        <x:v>0.009101820364072815</x:v>
      </x:c>
      <x:c r="F1722" s="24" t="n">
        <x:f>ABS(D1722-E1722)</x:f>
        <x:v>0.006302100336075615</x:v>
      </x:c>
    </x:row>
    <x:row r="1723" ht="23" customHeight="1">
      <x:c r="A1723" s="10" t="str">
        <x:v>M13</x:v>
      </x:c>
      <x:c r="B1723" s="10" t="str">
        <x:v>C_H1</x:v>
      </x:c>
      <x:c r="C1723" s="10" t="n">
        <x:v>8</x:v>
      </x:c>
      <x:c r="D1723" s="24" t="n">
        <x:v>0</x:v>
      </x:c>
      <x:c r="E1723" s="24" t="n">
        <x:v>0.013902780556111223</x:v>
      </x:c>
      <x:c r="F1723" s="24" t="n">
        <x:f>ABS(D1723-E1723)</x:f>
        <x:v>0.013902780556111223</x:v>
      </x:c>
    </x:row>
    <x:row r="1724" ht="23" customHeight="1">
      <x:c r="A1724" s="10" t="str">
        <x:v>M13</x:v>
      </x:c>
      <x:c r="B1724" s="10" t="str">
        <x:v>C_H1</x:v>
      </x:c>
      <x:c r="C1724" s="10" t="n">
        <x:v>9</x:v>
      </x:c>
      <x:c r="D1724" s="24" t="n">
        <x:v>0</x:v>
      </x:c>
      <x:c r="E1724" s="24" t="n">
        <x:v>0.029905981196239252</x:v>
      </x:c>
      <x:c r="F1724" s="24" t="n">
        <x:f>ABS(D1724-E1724)</x:f>
        <x:v>0.029905981196239252</x:v>
      </x:c>
    </x:row>
    <x:row r="1725" ht="23" customHeight="1">
      <x:c r="A1725" s="10" t="str">
        <x:v>M13</x:v>
      </x:c>
      <x:c r="B1725" s="10" t="str">
        <x:v>C_H1</x:v>
      </x:c>
      <x:c r="C1725" s="10" t="n">
        <x:v>10</x:v>
      </x:c>
      <x:c r="D1725" s="24" t="n">
        <x:v>0</x:v>
      </x:c>
      <x:c r="E1725" s="24" t="n">
        <x:v>0.00010002000400080016</x:v>
      </x:c>
      <x:c r="F1725" s="24" t="n">
        <x:f>ABS(D1725-E1725)</x:f>
        <x:v>0.00010002000400080016</x:v>
      </x:c>
    </x:row>
    <x:row r="1726" ht="23" customHeight="1">
      <x:c r="A1726" s="10" t="str">
        <x:v>M13</x:v>
      </x:c>
      <x:c r="B1726" s="10" t="str">
        <x:v>G_H0</x:v>
      </x:c>
      <x:c r="C1726" s="10" t="n">
        <x:v>1</x:v>
      </x:c>
      <x:c r="D1726" s="24" t="n">
        <x:v>0</x:v>
      </x:c>
      <x:c r="E1726" s="24" t="n">
        <x:v>0.04630926185237048</x:v>
      </x:c>
      <x:c r="F1726" s="24" t="n">
        <x:f>ABS(D1726-E1726)</x:f>
        <x:v>0.04630926185237048</x:v>
      </x:c>
    </x:row>
    <x:row r="1727" ht="23" customHeight="1">
      <x:c r="A1727" s="10" t="str">
        <x:v>M13</x:v>
      </x:c>
      <x:c r="B1727" s="10" t="str">
        <x:v>G_H0</x:v>
      </x:c>
      <x:c r="C1727" s="10" t="n">
        <x:v>2</x:v>
      </x:c>
      <x:c r="D1727" s="24" t="n">
        <x:v>0.5890705464726764</x:v>
      </x:c>
      <x:c r="E1727" s="24" t="n">
        <x:v>0.337867573514703</x:v>
      </x:c>
      <x:c r="F1727" s="24" t="n">
        <x:f>ABS(D1727-E1727)</x:f>
        <x:v>0.25120297295797345</x:v>
      </x:c>
    </x:row>
    <x:row r="1728" ht="23" customHeight="1">
      <x:c r="A1728" s="10" t="str">
        <x:v>M13</x:v>
      </x:c>
      <x:c r="B1728" s="10" t="str">
        <x:v>G_H0</x:v>
      </x:c>
      <x:c r="C1728" s="10" t="n">
        <x:v>3</x:v>
      </x:c>
      <x:c r="D1728" s="24" t="n">
        <x:v>0.3380830958452078</x:v>
      </x:c>
      <x:c r="E1728" s="24" t="n">
        <x:v>0.42318463692738556</x:v>
      </x:c>
      <x:c r="F1728" s="24" t="n">
        <x:f>ABS(D1728-E1728)</x:f>
        <x:v>0.08510154108217777</x:v>
      </x:c>
    </x:row>
    <x:row r="1729" ht="23" customHeight="1">
      <x:c r="A1729" s="10" t="str">
        <x:v>M13</x:v>
      </x:c>
      <x:c r="B1729" s="10" t="str">
        <x:v>G_H0</x:v>
      </x:c>
      <x:c r="C1729" s="10" t="n">
        <x:v>4</x:v>
      </x:c>
      <x:c r="D1729" s="24" t="n">
        <x:v>0.06169691515424229</x:v>
      </x:c>
      <x:c r="E1729" s="24" t="n">
        <x:v>0.09601920384076816</x:v>
      </x:c>
      <x:c r="F1729" s="24" t="n">
        <x:f>ABS(D1729-E1729)</x:f>
        <x:v>0.03432228868652587</x:v>
      </x:c>
    </x:row>
    <x:row r="1730" ht="23" customHeight="1">
      <x:c r="A1730" s="10" t="str">
        <x:v>M13</x:v>
      </x:c>
      <x:c r="B1730" s="10" t="str">
        <x:v>G_H0</x:v>
      </x:c>
      <x:c r="C1730" s="10" t="n">
        <x:v>5</x:v>
      </x:c>
      <x:c r="D1730" s="24" t="n">
        <x:v>0.01079946002699865</x:v>
      </x:c>
      <x:c r="E1730" s="24" t="n">
        <x:v>0.019203840768153634</x:v>
      </x:c>
      <x:c r="F1730" s="24" t="n">
        <x:f>ABS(D1730-E1730)</x:f>
        <x:v>0.008404380741154984</x:v>
      </x:c>
    </x:row>
    <x:row r="1731" ht="23" customHeight="1">
      <x:c r="A1731" s="10" t="str">
        <x:v>M13</x:v>
      </x:c>
      <x:c r="B1731" s="10" t="str">
        <x:v>G_H0</x:v>
      </x:c>
      <x:c r="C1731" s="10" t="n">
        <x:v>6</x:v>
      </x:c>
      <x:c r="D1731" s="24" t="n">
        <x:v>0.00029998500074996255</x:v>
      </x:c>
      <x:c r="E1731" s="24" t="n">
        <x:v>0.024404880976195243</x:v>
      </x:c>
      <x:c r="F1731" s="24" t="n">
        <x:f>ABS(D1731-E1731)</x:f>
        <x:v>0.02410489597544528</x:v>
      </x:c>
    </x:row>
    <x:row r="1732" ht="23" customHeight="1">
      <x:c r="A1732" s="10" t="str">
        <x:v>M13</x:v>
      </x:c>
      <x:c r="B1732" s="10" t="str">
        <x:v>G_H0</x:v>
      </x:c>
      <x:c r="C1732" s="10" t="n">
        <x:v>7</x:v>
      </x:c>
      <x:c r="D1732" s="24" t="n">
        <x:v>0.000049997500124993755</x:v>
      </x:c>
      <x:c r="E1732" s="24" t="n">
        <x:v>0.009101820364072815</x:v>
      </x:c>
      <x:c r="F1732" s="24" t="n">
        <x:f>ABS(D1732-E1732)</x:f>
        <x:v>0.009051822863947822</x:v>
      </x:c>
    </x:row>
    <x:row r="1733" ht="23" customHeight="1">
      <x:c r="A1733" s="10" t="str">
        <x:v>M13</x:v>
      </x:c>
      <x:c r="B1733" s="10" t="str">
        <x:v>G_H0</x:v>
      </x:c>
      <x:c r="C1733" s="10" t="n">
        <x:v>8</x:v>
      </x:c>
      <x:c r="D1733" s="24" t="n">
        <x:v>0</x:v>
      </x:c>
      <x:c r="E1733" s="24" t="n">
        <x:v>0.013902780556111223</x:v>
      </x:c>
      <x:c r="F1733" s="24" t="n">
        <x:f>ABS(D1733-E1733)</x:f>
        <x:v>0.013902780556111223</x:v>
      </x:c>
    </x:row>
    <x:row r="1734" ht="23" customHeight="1">
      <x:c r="A1734" s="10" t="str">
        <x:v>M13</x:v>
      </x:c>
      <x:c r="B1734" s="10" t="str">
        <x:v>G_H0</x:v>
      </x:c>
      <x:c r="C1734" s="10" t="n">
        <x:v>9</x:v>
      </x:c>
      <x:c r="D1734" s="24" t="n">
        <x:v>0</x:v>
      </x:c>
      <x:c r="E1734" s="24" t="n">
        <x:v>0.029905981196239252</x:v>
      </x:c>
      <x:c r="F1734" s="24" t="n">
        <x:f>ABS(D1734-E1734)</x:f>
        <x:v>0.029905981196239252</x:v>
      </x:c>
    </x:row>
    <x:row r="1735" ht="23" customHeight="1">
      <x:c r="A1735" s="10" t="str">
        <x:v>M13</x:v>
      </x:c>
      <x:c r="B1735" s="10" t="str">
        <x:v>G_H0</x:v>
      </x:c>
      <x:c r="C1735" s="10" t="n">
        <x:v>10</x:v>
      </x:c>
      <x:c r="D1735" s="24" t="n">
        <x:v>0</x:v>
      </x:c>
      <x:c r="E1735" s="24" t="n">
        <x:v>0.00010002000400080016</x:v>
      </x:c>
      <x:c r="F1735" s="24" t="n">
        <x:f>ABS(D1735-E1735)</x:f>
        <x:v>0.00010002000400080016</x:v>
      </x:c>
    </x:row>
    <x:row r="1736" ht="23" customHeight="1">
      <x:c r="A1736" s="10" t="str">
        <x:v>M13</x:v>
      </x:c>
      <x:c r="B1736" s="10" t="str">
        <x:v>G_H1</x:v>
      </x:c>
      <x:c r="C1736" s="10" t="n">
        <x:v>1</x:v>
      </x:c>
      <x:c r="D1736" s="24" t="n">
        <x:v>0</x:v>
      </x:c>
      <x:c r="E1736" s="24" t="n">
        <x:v>0.04630926185237048</x:v>
      </x:c>
      <x:c r="F1736" s="24" t="n">
        <x:f>ABS(D1736-E1736)</x:f>
        <x:v>0.04630926185237048</x:v>
      </x:c>
    </x:row>
    <x:row r="1737" ht="23" customHeight="1">
      <x:c r="A1737" s="10" t="str">
        <x:v>M13</x:v>
      </x:c>
      <x:c r="B1737" s="10" t="str">
        <x:v>G_H1</x:v>
      </x:c>
      <x:c r="C1737" s="10" t="n">
        <x:v>2</x:v>
      </x:c>
      <x:c r="D1737" s="24" t="n">
        <x:v>0.38978051097445127</x:v>
      </x:c>
      <x:c r="E1737" s="24" t="n">
        <x:v>0.337867573514703</x:v>
      </x:c>
      <x:c r="F1737" s="24" t="n">
        <x:f>ABS(D1737-E1737)</x:f>
        <x:v>0.05191293745974829</x:v>
      </x:c>
    </x:row>
    <x:row r="1738" ht="23" customHeight="1">
      <x:c r="A1738" s="10" t="str">
        <x:v>M13</x:v>
      </x:c>
      <x:c r="B1738" s="10" t="str">
        <x:v>G_H1</x:v>
      </x:c>
      <x:c r="C1738" s="10" t="n">
        <x:v>3</x:v>
      </x:c>
      <x:c r="D1738" s="24" t="n">
        <x:v>0.5097745112744363</x:v>
      </x:c>
      <x:c r="E1738" s="24" t="n">
        <x:v>0.42318463692738556</x:v>
      </x:c>
      <x:c r="F1738" s="24" t="n">
        <x:f>ABS(D1738-E1738)</x:f>
        <x:v>0.08658987434705073</x:v>
      </x:c>
    </x:row>
    <x:row r="1739" ht="23" customHeight="1">
      <x:c r="A1739" s="10" t="str">
        <x:v>M13</x:v>
      </x:c>
      <x:c r="B1739" s="10" t="str">
        <x:v>G_H1</x:v>
      </x:c>
      <x:c r="C1739" s="10" t="n">
        <x:v>4</x:v>
      </x:c>
      <x:c r="D1739" s="24" t="n">
        <x:v>0.08649567521623919</x:v>
      </x:c>
      <x:c r="E1739" s="24" t="n">
        <x:v>0.09601920384076816</x:v>
      </x:c>
      <x:c r="F1739" s="24" t="n">
        <x:f>ABS(D1739-E1739)</x:f>
        <x:v>0.009523528624528974</x:v>
      </x:c>
    </x:row>
    <x:row r="1740" ht="23" customHeight="1">
      <x:c r="A1740" s="10" t="str">
        <x:v>M13</x:v>
      </x:c>
      <x:c r="B1740" s="10" t="str">
        <x:v>G_H1</x:v>
      </x:c>
      <x:c r="C1740" s="10" t="n">
        <x:v>5</x:v>
      </x:c>
      <x:c r="D1740" s="24" t="n">
        <x:v>0.013099345032748365</x:v>
      </x:c>
      <x:c r="E1740" s="24" t="n">
        <x:v>0.019203840768153634</x:v>
      </x:c>
      <x:c r="F1740" s="24" t="n">
        <x:f>ABS(D1740-E1740)</x:f>
        <x:v>0.006104495735405269</x:v>
      </x:c>
    </x:row>
    <x:row r="1741" ht="23" customHeight="1">
      <x:c r="A1741" s="10" t="str">
        <x:v>M13</x:v>
      </x:c>
      <x:c r="B1741" s="10" t="str">
        <x:v>G_H1</x:v>
      </x:c>
      <x:c r="C1741" s="10" t="n">
        <x:v>6</x:v>
      </x:c>
      <x:c r="D1741" s="24" t="n">
        <x:v>0.0007999600019999001</x:v>
      </x:c>
      <x:c r="E1741" s="24" t="n">
        <x:v>0.024404880976195243</x:v>
      </x:c>
      <x:c r="F1741" s="24" t="n">
        <x:f>ABS(D1741-E1741)</x:f>
        <x:v>0.023604920974195344</x:v>
      </x:c>
    </x:row>
    <x:row r="1742" ht="23" customHeight="1">
      <x:c r="A1742" s="10" t="str">
        <x:v>M13</x:v>
      </x:c>
      <x:c r="B1742" s="10" t="str">
        <x:v>G_H1</x:v>
      </x:c>
      <x:c r="C1742" s="10" t="n">
        <x:v>7</x:v>
      </x:c>
      <x:c r="D1742" s="24" t="n">
        <x:v>0.000049997500124993755</x:v>
      </x:c>
      <x:c r="E1742" s="24" t="n">
        <x:v>0.009101820364072815</x:v>
      </x:c>
      <x:c r="F1742" s="24" t="n">
        <x:f>ABS(D1742-E1742)</x:f>
        <x:v>0.009051822863947822</x:v>
      </x:c>
    </x:row>
    <x:row r="1743" ht="23" customHeight="1">
      <x:c r="A1743" s="10" t="str">
        <x:v>M13</x:v>
      </x:c>
      <x:c r="B1743" s="10" t="str">
        <x:v>G_H1</x:v>
      </x:c>
      <x:c r="C1743" s="10" t="n">
        <x:v>8</x:v>
      </x:c>
      <x:c r="D1743" s="24" t="n">
        <x:v>0</x:v>
      </x:c>
      <x:c r="E1743" s="24" t="n">
        <x:v>0.013902780556111223</x:v>
      </x:c>
      <x:c r="F1743" s="24" t="n">
        <x:f>ABS(D1743-E1743)</x:f>
        <x:v>0.013902780556111223</x:v>
      </x:c>
    </x:row>
    <x:row r="1744" ht="23" customHeight="1">
      <x:c r="A1744" s="10" t="str">
        <x:v>M13</x:v>
      </x:c>
      <x:c r="B1744" s="10" t="str">
        <x:v>G_H1</x:v>
      </x:c>
      <x:c r="C1744" s="10" t="n">
        <x:v>9</x:v>
      </x:c>
      <x:c r="D1744" s="24" t="n">
        <x:v>0</x:v>
      </x:c>
      <x:c r="E1744" s="24" t="n">
        <x:v>0.029905981196239252</x:v>
      </x:c>
      <x:c r="F1744" s="24" t="n">
        <x:f>ABS(D1744-E1744)</x:f>
        <x:v>0.029905981196239252</x:v>
      </x:c>
    </x:row>
    <x:row r="1745" ht="23" customHeight="1">
      <x:c r="A1745" s="10" t="str">
        <x:v>M13</x:v>
      </x:c>
      <x:c r="B1745" s="10" t="str">
        <x:v>G_H1</x:v>
      </x:c>
      <x:c r="C1745" s="10" t="n">
        <x:v>10</x:v>
      </x:c>
      <x:c r="D1745" s="24" t="n">
        <x:v>0</x:v>
      </x:c>
      <x:c r="E1745" s="24" t="n">
        <x:v>0.00010002000400080016</x:v>
      </x:c>
      <x:c r="F1745" s="24" t="n">
        <x:f>ABS(D1745-E1745)</x:f>
        <x:v>0.00010002000400080016</x:v>
      </x:c>
    </x:row>
    <x:row r="1746" ht="23" customHeight="1">
      <x:c r="A1746" s="10" t="str">
        <x:v>M13</x:v>
      </x:c>
      <x:c r="B1746" s="10" t="str">
        <x:v>NC_H0</x:v>
      </x:c>
      <x:c r="C1746" s="10" t="n">
        <x:v>1</x:v>
      </x:c>
      <x:c r="D1746" s="24" t="n">
        <x:v>0</x:v>
      </x:c>
      <x:c r="E1746" s="24" t="n">
        <x:v>0.04630926185237048</x:v>
      </x:c>
      <x:c r="F1746" s="24" t="n">
        <x:f>ABS(D1746-E1746)</x:f>
        <x:v>0.04630926185237048</x:v>
      </x:c>
    </x:row>
    <x:row r="1747" ht="23" customHeight="1">
      <x:c r="A1747" s="10" t="str">
        <x:v>M13</x:v>
      </x:c>
      <x:c r="B1747" s="10" t="str">
        <x:v>NC_H0</x:v>
      </x:c>
      <x:c r="C1747" s="10" t="n">
        <x:v>2</x:v>
      </x:c>
      <x:c r="D1747" s="24" t="n">
        <x:v>0.29350000000000004</x:v>
      </x:c>
      <x:c r="E1747" s="24" t="n">
        <x:v>0.337867573514703</x:v>
      </x:c>
      <x:c r="F1747" s="24" t="n">
        <x:f>ABS(D1747-E1747)</x:f>
        <x:v>0.04436757351470294</x:v>
      </x:c>
    </x:row>
    <x:row r="1748" ht="23" customHeight="1">
      <x:c r="A1748" s="10" t="str">
        <x:v>M13</x:v>
      </x:c>
      <x:c r="B1748" s="10" t="str">
        <x:v>NC_H0</x:v>
      </x:c>
      <x:c r="C1748" s="10" t="n">
        <x:v>3</x:v>
      </x:c>
      <x:c r="D1748" s="24" t="n">
        <x:v>0.0192</x:v>
      </x:c>
      <x:c r="E1748" s="24" t="n">
        <x:v>0.42318463692738556</x:v>
      </x:c>
      <x:c r="F1748" s="24" t="n">
        <x:f>ABS(D1748-E1748)</x:f>
        <x:v>0.40398463692738557</x:v>
      </x:c>
    </x:row>
    <x:row r="1749" ht="23" customHeight="1">
      <x:c r="A1749" s="10" t="str">
        <x:v>M13</x:v>
      </x:c>
      <x:c r="B1749" s="10" t="str">
        <x:v>NC_H0</x:v>
      </x:c>
      <x:c r="C1749" s="10" t="n">
        <x:v>4</x:v>
      </x:c>
      <x:c r="D1749" s="24" t="n">
        <x:v>0</x:v>
      </x:c>
      <x:c r="E1749" s="24" t="n">
        <x:v>0.09601920384076816</x:v>
      </x:c>
      <x:c r="F1749" s="24" t="n">
        <x:f>ABS(D1749-E1749)</x:f>
        <x:v>0.09601920384076816</x:v>
      </x:c>
    </x:row>
    <x:row r="1750" ht="23" customHeight="1">
      <x:c r="A1750" s="10" t="str">
        <x:v>M13</x:v>
      </x:c>
      <x:c r="B1750" s="10" t="str">
        <x:v>NC_H0</x:v>
      </x:c>
      <x:c r="C1750" s="10" t="n">
        <x:v>5</x:v>
      </x:c>
      <x:c r="D1750" s="24" t="n">
        <x:v>0.6185</x:v>
      </x:c>
      <x:c r="E1750" s="24" t="n">
        <x:v>0.019203840768153634</x:v>
      </x:c>
      <x:c r="F1750" s="24" t="n">
        <x:f>ABS(D1750-E1750)</x:f>
        <x:v>0.5992961592318464</x:v>
      </x:c>
    </x:row>
    <x:row r="1751" ht="23" customHeight="1">
      <x:c r="A1751" s="10" t="str">
        <x:v>M13</x:v>
      </x:c>
      <x:c r="B1751" s="10" t="str">
        <x:v>NC_H0</x:v>
      </x:c>
      <x:c r="C1751" s="10" t="n">
        <x:v>6</x:v>
      </x:c>
      <x:c r="D1751" s="24" t="n">
        <x:v>0.0218</x:v>
      </x:c>
      <x:c r="E1751" s="24" t="n">
        <x:v>0.024404880976195243</x:v>
      </x:c>
      <x:c r="F1751" s="24" t="n">
        <x:f>ABS(D1751-E1751)</x:f>
        <x:v>0.002604880976195243</x:v>
      </x:c>
    </x:row>
    <x:row r="1752" ht="23" customHeight="1">
      <x:c r="A1752" s="10" t="str">
        <x:v>M13</x:v>
      </x:c>
      <x:c r="B1752" s="10" t="str">
        <x:v>NC_H0</x:v>
      </x:c>
      <x:c r="C1752" s="10" t="n">
        <x:v>7</x:v>
      </x:c>
      <x:c r="D1752" s="24" t="n">
        <x:v>0.0024</x:v>
      </x:c>
      <x:c r="E1752" s="24" t="n">
        <x:v>0.009101820364072815</x:v>
      </x:c>
      <x:c r="F1752" s="24" t="n">
        <x:f>ABS(D1752-E1752)</x:f>
        <x:v>0.006701820364072816</x:v>
      </x:c>
    </x:row>
    <x:row r="1753" ht="23" customHeight="1">
      <x:c r="A1753" s="10" t="str">
        <x:v>M13</x:v>
      </x:c>
      <x:c r="B1753" s="10" t="str">
        <x:v>NC_H0</x:v>
      </x:c>
      <x:c r="C1753" s="10" t="n">
        <x:v>8</x:v>
      </x:c>
      <x:c r="D1753" s="24" t="n">
        <x:v>0.011000000000000001</x:v>
      </x:c>
      <x:c r="E1753" s="24" t="n">
        <x:v>0.013902780556111223</x:v>
      </x:c>
      <x:c r="F1753" s="24" t="n">
        <x:f>ABS(D1753-E1753)</x:f>
        <x:v>0.002902780556111222</x:v>
      </x:c>
    </x:row>
    <x:row r="1754" ht="23" customHeight="1">
      <x:c r="A1754" s="10" t="str">
        <x:v>M13</x:v>
      </x:c>
      <x:c r="B1754" s="10" t="str">
        <x:v>NC_H0</x:v>
      </x:c>
      <x:c r="C1754" s="10" t="n">
        <x:v>9</x:v>
      </x:c>
      <x:c r="D1754" s="24" t="n">
        <x:v>0.0336</x:v>
      </x:c>
      <x:c r="E1754" s="24" t="n">
        <x:v>0.029905981196239252</x:v>
      </x:c>
      <x:c r="F1754" s="24" t="n">
        <x:f>ABS(D1754-E1754)</x:f>
        <x:v>0.0036940188037607458</x:v>
      </x:c>
    </x:row>
    <x:row r="1755" ht="23" customHeight="1">
      <x:c r="A1755" s="10" t="str">
        <x:v>M13</x:v>
      </x:c>
      <x:c r="B1755" s="10" t="str">
        <x:v>NC_H0</x:v>
      </x:c>
      <x:c r="C1755" s="10" t="n">
        <x:v>10</x:v>
      </x:c>
      <x:c r="D1755" s="24" t="n">
        <x:v>0</x:v>
      </x:c>
      <x:c r="E1755" s="24" t="n">
        <x:v>0.00010002000400080016</x:v>
      </x:c>
      <x:c r="F1755" s="24" t="n">
        <x:f>ABS(D1755-E1755)</x:f>
        <x:v>0.00010002000400080016</x:v>
      </x:c>
    </x:row>
    <x:row r="1756" ht="23" customHeight="1">
      <x:c r="A1756" s="10" t="str">
        <x:v>M13</x:v>
      </x:c>
      <x:c r="B1756" s="10" t="str">
        <x:v>NC_H1</x:v>
      </x:c>
      <x:c r="C1756" s="10" t="n">
        <x:v>1</x:v>
      </x:c>
      <x:c r="D1756" s="24" t="n">
        <x:v>0</x:v>
      </x:c>
      <x:c r="E1756" s="24" t="n">
        <x:v>0.04630926185237048</x:v>
      </x:c>
      <x:c r="F1756" s="24" t="n">
        <x:f>ABS(D1756-E1756)</x:f>
        <x:v>0.04630926185237048</x:v>
      </x:c>
    </x:row>
    <x:row r="1757" ht="23" customHeight="1">
      <x:c r="A1757" s="10" t="str">
        <x:v>M13</x:v>
      </x:c>
      <x:c r="B1757" s="10" t="str">
        <x:v>NC_H1</x:v>
      </x:c>
      <x:c r="C1757" s="10" t="n">
        <x:v>2</x:v>
      </x:c>
      <x:c r="D1757" s="24" t="n">
        <x:v>0.2913</x:v>
      </x:c>
      <x:c r="E1757" s="24" t="n">
        <x:v>0.337867573514703</x:v>
      </x:c>
      <x:c r="F1757" s="24" t="n">
        <x:f>ABS(D1757-E1757)</x:f>
        <x:v>0.046567573514702976</x:v>
      </x:c>
    </x:row>
    <x:row r="1758" ht="23" customHeight="1">
      <x:c r="A1758" s="10" t="str">
        <x:v>M13</x:v>
      </x:c>
      <x:c r="B1758" s="10" t="str">
        <x:v>NC_H1</x:v>
      </x:c>
      <x:c r="C1758" s="10" t="n">
        <x:v>3</x:v>
      </x:c>
      <x:c r="D1758" s="24" t="n">
        <x:v>0.0121</x:v>
      </x:c>
      <x:c r="E1758" s="24" t="n">
        <x:v>0.42318463692738556</x:v>
      </x:c>
      <x:c r="F1758" s="24" t="n">
        <x:f>ABS(D1758-E1758)</x:f>
        <x:v>0.41108463692738556</x:v>
      </x:c>
    </x:row>
    <x:row r="1759" ht="23" customHeight="1">
      <x:c r="A1759" s="10" t="str">
        <x:v>M13</x:v>
      </x:c>
      <x:c r="B1759" s="10" t="str">
        <x:v>NC_H1</x:v>
      </x:c>
      <x:c r="C1759" s="10" t="n">
        <x:v>4</x:v>
      </x:c>
      <x:c r="D1759" s="24" t="n">
        <x:v>0</x:v>
      </x:c>
      <x:c r="E1759" s="24" t="n">
        <x:v>0.09601920384076816</x:v>
      </x:c>
      <x:c r="F1759" s="24" t="n">
        <x:f>ABS(D1759-E1759)</x:f>
        <x:v>0.09601920384076816</x:v>
      </x:c>
    </x:row>
    <x:row r="1760" ht="23" customHeight="1">
      <x:c r="A1760" s="10" t="str">
        <x:v>M13</x:v>
      </x:c>
      <x:c r="B1760" s="10" t="str">
        <x:v>NC_H1</x:v>
      </x:c>
      <x:c r="C1760" s="10" t="n">
        <x:v>5</x:v>
      </x:c>
      <x:c r="D1760" s="24" t="n">
        <x:v>0.6185</x:v>
      </x:c>
      <x:c r="E1760" s="24" t="n">
        <x:v>0.019203840768153634</x:v>
      </x:c>
      <x:c r="F1760" s="24" t="n">
        <x:f>ABS(D1760-E1760)</x:f>
        <x:v>0.5992961592318464</x:v>
      </x:c>
    </x:row>
    <x:row r="1761" ht="23" customHeight="1">
      <x:c r="A1761" s="10" t="str">
        <x:v>M13</x:v>
      </x:c>
      <x:c r="B1761" s="10" t="str">
        <x:v>NC_H1</x:v>
      </x:c>
      <x:c r="C1761" s="10" t="n">
        <x:v>6</x:v>
      </x:c>
      <x:c r="D1761" s="24" t="n">
        <x:v>0.026699999999999998</x:v>
      </x:c>
      <x:c r="E1761" s="24" t="n">
        <x:v>0.024404880976195243</x:v>
      </x:c>
      <x:c r="F1761" s="24" t="n">
        <x:f>ABS(D1761-E1761)</x:f>
        <x:v>0.002295119023804755</x:v>
      </x:c>
    </x:row>
    <x:row r="1762" ht="23" customHeight="1">
      <x:c r="A1762" s="10" t="str">
        <x:v>M13</x:v>
      </x:c>
      <x:c r="B1762" s="10" t="str">
        <x:v>NC_H1</x:v>
      </x:c>
      <x:c r="C1762" s="10" t="n">
        <x:v>7</x:v>
      </x:c>
      <x:c r="D1762" s="24" t="n">
        <x:v>0.0068000000000000005</x:v>
      </x:c>
      <x:c r="E1762" s="24" t="n">
        <x:v>0.009101820364072815</x:v>
      </x:c>
      <x:c r="F1762" s="24" t="n">
        <x:f>ABS(D1762-E1762)</x:f>
        <x:v>0.002301820364072815</x:v>
      </x:c>
    </x:row>
    <x:row r="1763" ht="23" customHeight="1">
      <x:c r="A1763" s="10" t="str">
        <x:v>M13</x:v>
      </x:c>
      <x:c r="B1763" s="10" t="str">
        <x:v>NC_H1</x:v>
      </x:c>
      <x:c r="C1763" s="10" t="n">
        <x:v>8</x:v>
      </x:c>
      <x:c r="D1763" s="24" t="n">
        <x:v>0.011000000000000001</x:v>
      </x:c>
      <x:c r="E1763" s="24" t="n">
        <x:v>0.013902780556111223</x:v>
      </x:c>
      <x:c r="F1763" s="24" t="n">
        <x:f>ABS(D1763-E1763)</x:f>
        <x:v>0.002902780556111222</x:v>
      </x:c>
    </x:row>
    <x:row r="1764" ht="23" customHeight="1">
      <x:c r="A1764" s="10" t="str">
        <x:v>M13</x:v>
      </x:c>
      <x:c r="B1764" s="10" t="str">
        <x:v>NC_H1</x:v>
      </x:c>
      <x:c r="C1764" s="10" t="n">
        <x:v>9</x:v>
      </x:c>
      <x:c r="D1764" s="24" t="n">
        <x:v>0.0336</x:v>
      </x:c>
      <x:c r="E1764" s="24" t="n">
        <x:v>0.029905981196239252</x:v>
      </x:c>
      <x:c r="F1764" s="24" t="n">
        <x:f>ABS(D1764-E1764)</x:f>
        <x:v>0.0036940188037607458</x:v>
      </x:c>
    </x:row>
    <x:row r="1765" ht="23" customHeight="1">
      <x:c r="A1765" s="10" t="str">
        <x:v>M13</x:v>
      </x:c>
      <x:c r="B1765" s="10" t="str">
        <x:v>NC_H1</x:v>
      </x:c>
      <x:c r="C1765" s="10" t="n">
        <x:v>10</x:v>
      </x:c>
      <x:c r="D1765" s="24" t="n">
        <x:v>0</x:v>
      </x:c>
      <x:c r="E1765" s="24" t="n">
        <x:v>0.00010002000400080016</x:v>
      </x:c>
      <x:c r="F1765" s="24" t="n">
        <x:f>ABS(D1765-E1765)</x:f>
        <x:v>0.00010002000400080016</x:v>
      </x:c>
    </x:row>
    <x:row r="1766" ht="23" customHeight="1">
      <x:c r="A1766" s="10" t="str">
        <x:v>M13</x:v>
      </x:c>
      <x:c r="B1766" s="10" t="str">
        <x:v>NG_H0</x:v>
      </x:c>
      <x:c r="C1766" s="10" t="n">
        <x:v>1</x:v>
      </x:c>
      <x:c r="D1766" s="24" t="n">
        <x:v>0.0018</x:v>
      </x:c>
      <x:c r="E1766" s="24" t="n">
        <x:v>0.04630926185237048</x:v>
      </x:c>
      <x:c r="F1766" s="24" t="n">
        <x:f>ABS(D1766-E1766)</x:f>
        <x:v>0.044509261852370474</x:v>
      </x:c>
    </x:row>
    <x:row r="1767" ht="23" customHeight="1">
      <x:c r="A1767" s="10" t="str">
        <x:v>M13</x:v>
      </x:c>
      <x:c r="B1767" s="10" t="str">
        <x:v>NG_H0</x:v>
      </x:c>
      <x:c r="C1767" s="10" t="n">
        <x:v>2</x:v>
      </x:c>
      <x:c r="D1767" s="24" t="n">
        <x:v>0.5304</x:v>
      </x:c>
      <x:c r="E1767" s="24" t="n">
        <x:v>0.337867573514703</x:v>
      </x:c>
      <x:c r="F1767" s="24" t="n">
        <x:f>ABS(D1767-E1767)</x:f>
        <x:v>0.192532426485297</x:v>
      </x:c>
    </x:row>
    <x:row r="1768" ht="23" customHeight="1">
      <x:c r="A1768" s="10" t="str">
        <x:v>M13</x:v>
      </x:c>
      <x:c r="B1768" s="10" t="str">
        <x:v>NG_H0</x:v>
      </x:c>
      <x:c r="C1768" s="10" t="n">
        <x:v>3</x:v>
      </x:c>
      <x:c r="D1768" s="24" t="n">
        <x:v>0.3127</x:v>
      </x:c>
      <x:c r="E1768" s="24" t="n">
        <x:v>0.42318463692738556</x:v>
      </x:c>
      <x:c r="F1768" s="24" t="n">
        <x:f>ABS(D1768-E1768)</x:f>
        <x:v>0.11048463692738558</x:v>
      </x:c>
    </x:row>
    <x:row r="1769" ht="23" customHeight="1">
      <x:c r="A1769" s="10" t="str">
        <x:v>M13</x:v>
      </x:c>
      <x:c r="B1769" s="10" t="str">
        <x:v>NG_H0</x:v>
      </x:c>
      <x:c r="C1769" s="10" t="n">
        <x:v>4</x:v>
      </x:c>
      <x:c r="D1769" s="24" t="n">
        <x:v>0.0587</x:v>
      </x:c>
      <x:c r="E1769" s="24" t="n">
        <x:v>0.09601920384076816</x:v>
      </x:c>
      <x:c r="F1769" s="24" t="n">
        <x:f>ABS(D1769-E1769)</x:f>
        <x:v>0.03731920384076816</x:v>
      </x:c>
    </x:row>
    <x:row r="1770" ht="23" customHeight="1">
      <x:c r="A1770" s="10" t="str">
        <x:v>M13</x:v>
      </x:c>
      <x:c r="B1770" s="10" t="str">
        <x:v>NG_H0</x:v>
      </x:c>
      <x:c r="C1770" s="10" t="n">
        <x:v>5</x:v>
      </x:c>
      <x:c r="D1770" s="24" t="n">
        <x:v>0.0105</x:v>
      </x:c>
      <x:c r="E1770" s="24" t="n">
        <x:v>0.019203840768153634</x:v>
      </x:c>
      <x:c r="F1770" s="24" t="n">
        <x:f>ABS(D1770-E1770)</x:f>
        <x:v>0.008703840768153634</x:v>
      </x:c>
    </x:row>
    <x:row r="1771" ht="23" customHeight="1">
      <x:c r="A1771" s="10" t="str">
        <x:v>M13</x:v>
      </x:c>
      <x:c r="B1771" s="10" t="str">
        <x:v>NG_H0</x:v>
      </x:c>
      <x:c r="C1771" s="10" t="n">
        <x:v>6</x:v>
      </x:c>
      <x:c r="D1771" s="24" t="n">
        <x:v>0.022000000000000002</x:v>
      </x:c>
      <x:c r="E1771" s="24" t="n">
        <x:v>0.024404880976195243</x:v>
      </x:c>
      <x:c r="F1771" s="24" t="n">
        <x:f>ABS(D1771-E1771)</x:f>
        <x:v>0.002404880976195241</x:v>
      </x:c>
    </x:row>
    <x:row r="1772" ht="23" customHeight="1">
      <x:c r="A1772" s="10" t="str">
        <x:v>M13</x:v>
      </x:c>
      <x:c r="B1772" s="10" t="str">
        <x:v>NG_H0</x:v>
      </x:c>
      <x:c r="C1772" s="10" t="n">
        <x:v>7</x:v>
      </x:c>
      <x:c r="D1772" s="24" t="n">
        <x:v>0.0024</x:v>
      </x:c>
      <x:c r="E1772" s="24" t="n">
        <x:v>0.009101820364072815</x:v>
      </x:c>
      <x:c r="F1772" s="24" t="n">
        <x:f>ABS(D1772-E1772)</x:f>
        <x:v>0.006701820364072816</x:v>
      </x:c>
    </x:row>
    <x:row r="1773" ht="23" customHeight="1">
      <x:c r="A1773" s="10" t="str">
        <x:v>M13</x:v>
      </x:c>
      <x:c r="B1773" s="10" t="str">
        <x:v>NG_H0</x:v>
      </x:c>
      <x:c r="C1773" s="10" t="n">
        <x:v>8</x:v>
      </x:c>
      <x:c r="D1773" s="24" t="n">
        <x:v>0.013600000000000001</x:v>
      </x:c>
      <x:c r="E1773" s="24" t="n">
        <x:v>0.013902780556111223</x:v>
      </x:c>
      <x:c r="F1773" s="24" t="n">
        <x:f>ABS(D1773-E1773)</x:f>
        <x:v>0.00030278055611122207</x:v>
      </x:c>
    </x:row>
    <x:row r="1774" ht="23" customHeight="1">
      <x:c r="A1774" s="10" t="str">
        <x:v>M13</x:v>
      </x:c>
      <x:c r="B1774" s="10" t="str">
        <x:v>NG_H0</x:v>
      </x:c>
      <x:c r="C1774" s="10" t="n">
        <x:v>9</x:v>
      </x:c>
      <x:c r="D1774" s="24" t="n">
        <x:v>0.0479</x:v>
      </x:c>
      <x:c r="E1774" s="24" t="n">
        <x:v>0.029905981196239252</x:v>
      </x:c>
      <x:c r="F1774" s="24" t="n">
        <x:f>ABS(D1774-E1774)</x:f>
        <x:v>0.017994018803760746</x:v>
      </x:c>
    </x:row>
    <x:row r="1775" ht="23" customHeight="1">
      <x:c r="A1775" s="10" t="str">
        <x:v>M13</x:v>
      </x:c>
      <x:c r="B1775" s="10" t="str">
        <x:v>NG_H0</x:v>
      </x:c>
      <x:c r="C1775" s="10" t="n">
        <x:v>10</x:v>
      </x:c>
      <x:c r="D1775" s="24" t="n">
        <x:v>0</x:v>
      </x:c>
      <x:c r="E1775" s="24" t="n">
        <x:v>0.00010002000400080016</x:v>
      </x:c>
      <x:c r="F1775" s="24" t="n">
        <x:f>ABS(D1775-E1775)</x:f>
        <x:v>0.00010002000400080016</x:v>
      </x:c>
    </x:row>
    <x:row r="1776" ht="23" customHeight="1">
      <x:c r="A1776" s="10" t="str">
        <x:v>M13</x:v>
      </x:c>
      <x:c r="B1776" s="10" t="str">
        <x:v>NG_H1</x:v>
      </x:c>
      <x:c r="C1776" s="10" t="n">
        <x:v>1</x:v>
      </x:c>
      <x:c r="D1776" s="24" t="n">
        <x:v>0.0017998200179982005</x:v>
      </x:c>
      <x:c r="E1776" s="24" t="n">
        <x:v>0.04630926185237048</x:v>
      </x:c>
      <x:c r="F1776" s="24" t="n">
        <x:f>ABS(D1776-E1776)</x:f>
        <x:v>0.044509441834372276</x:v>
      </x:c>
    </x:row>
    <x:row r="1777" ht="23" customHeight="1">
      <x:c r="A1777" s="10" t="str">
        <x:v>M13</x:v>
      </x:c>
      <x:c r="B1777" s="10" t="str">
        <x:v>NG_H1</x:v>
      </x:c>
      <x:c r="C1777" s="10" t="n">
        <x:v>2</x:v>
      </x:c>
      <x:c r="D1777" s="24" t="n">
        <x:v>0.3642635736426358</x:v>
      </x:c>
      <x:c r="E1777" s="24" t="n">
        <x:v>0.337867573514703</x:v>
      </x:c>
      <x:c r="F1777" s="24" t="n">
        <x:f>ABS(D1777-E1777)</x:f>
        <x:v>0.026396000127932806</x:v>
      </x:c>
    </x:row>
    <x:row r="1778" ht="23" customHeight="1">
      <x:c r="A1778" s="10" t="str">
        <x:v>M13</x:v>
      </x:c>
      <x:c r="B1778" s="10" t="str">
        <x:v>NG_H1</x:v>
      </x:c>
      <x:c r="C1778" s="10" t="n">
        <x:v>3</x:v>
      </x:c>
      <x:c r="D1778" s="24" t="n">
        <x:v>0.4451554844515549</x:v>
      </x:c>
      <x:c r="E1778" s="24" t="n">
        <x:v>0.42318463692738556</x:v>
      </x:c>
      <x:c r="F1778" s="24" t="n">
        <x:f>ABS(D1778-E1778)</x:f>
        <x:v>0.021970847524169335</x:v>
      </x:c>
    </x:row>
    <x:row r="1779" ht="23" customHeight="1">
      <x:c r="A1779" s="10" t="str">
        <x:v>M13</x:v>
      </x:c>
      <x:c r="B1779" s="10" t="str">
        <x:v>NG_H1</x:v>
      </x:c>
      <x:c r="C1779" s="10" t="n">
        <x:v>4</x:v>
      </x:c>
      <x:c r="D1779" s="24" t="n">
        <x:v>0.07849215078492151</x:v>
      </x:c>
      <x:c r="E1779" s="24" t="n">
        <x:v>0.09601920384076816</x:v>
      </x:c>
      <x:c r="F1779" s="24" t="n">
        <x:f>ABS(D1779-E1779)</x:f>
        <x:v>0.017527053055846648</x:v>
      </x:c>
    </x:row>
    <x:row r="1780" ht="23" customHeight="1">
      <x:c r="A1780" s="10" t="str">
        <x:v>M13</x:v>
      </x:c>
      <x:c r="B1780" s="10" t="str">
        <x:v>NG_H1</x:v>
      </x:c>
      <x:c r="C1780" s="10" t="n">
        <x:v>5</x:v>
      </x:c>
      <x:c r="D1780" s="24" t="n">
        <x:v>0.012798720127987202</x:v>
      </x:c>
      <x:c r="E1780" s="24" t="n">
        <x:v>0.019203840768153634</x:v>
      </x:c>
      <x:c r="F1780" s="24" t="n">
        <x:f>ABS(D1780-E1780)</x:f>
        <x:v>0.006405120640166432</x:v>
      </x:c>
    </x:row>
    <x:row r="1781" ht="23" customHeight="1">
      <x:c r="A1781" s="10" t="str">
        <x:v>M13</x:v>
      </x:c>
      <x:c r="B1781" s="10" t="str">
        <x:v>NG_H1</x:v>
      </x:c>
      <x:c r="C1781" s="10" t="n">
        <x:v>6</x:v>
      </x:c>
      <x:c r="D1781" s="24" t="n">
        <x:v>0.028497150284971507</x:v>
      </x:c>
      <x:c r="E1781" s="24" t="n">
        <x:v>0.024404880976195243</x:v>
      </x:c>
      <x:c r="F1781" s="24" t="n">
        <x:f>ABS(D1781-E1781)</x:f>
        <x:v>0.004092269308776264</x:v>
      </x:c>
    </x:row>
    <x:row r="1782" ht="23" customHeight="1">
      <x:c r="A1782" s="10" t="str">
        <x:v>M13</x:v>
      </x:c>
      <x:c r="B1782" s="10" t="str">
        <x:v>NG_H1</x:v>
      </x:c>
      <x:c r="C1782" s="10" t="n">
        <x:v>7</x:v>
      </x:c>
      <x:c r="D1782" s="24" t="n">
        <x:v>0.007499250074992502</x:v>
      </x:c>
      <x:c r="E1782" s="24" t="n">
        <x:v>0.009101820364072815</x:v>
      </x:c>
      <x:c r="F1782" s="24" t="n">
        <x:f>ABS(D1782-E1782)</x:f>
        <x:v>0.0016025702890803137</x:v>
      </x:c>
    </x:row>
    <x:row r="1783" ht="23" customHeight="1">
      <x:c r="A1783" s="10" t="str">
        <x:v>M13</x:v>
      </x:c>
      <x:c r="B1783" s="10" t="str">
        <x:v>NG_H1</x:v>
      </x:c>
      <x:c r="C1783" s="10" t="n">
        <x:v>8</x:v>
      </x:c>
      <x:c r="D1783" s="24" t="n">
        <x:v>0.013598640135986401</x:v>
      </x:c>
      <x:c r="E1783" s="24" t="n">
        <x:v>0.013902780556111223</x:v>
      </x:c>
      <x:c r="F1783" s="24" t="n">
        <x:f>ABS(D1783-E1783)</x:f>
        <x:v>0.0003041404201248217</x:v>
      </x:c>
    </x:row>
    <x:row r="1784" ht="23" customHeight="1">
      <x:c r="A1784" s="10" t="str">
        <x:v>M13</x:v>
      </x:c>
      <x:c r="B1784" s="10" t="str">
        <x:v>NG_H1</x:v>
      </x:c>
      <x:c r="C1784" s="10" t="n">
        <x:v>9</x:v>
      </x:c>
      <x:c r="D1784" s="24" t="n">
        <x:v>0.04789521047895211</x:v>
      </x:c>
      <x:c r="E1784" s="24" t="n">
        <x:v>0.029905981196239252</x:v>
      </x:c>
      <x:c r="F1784" s="24" t="n">
        <x:f>ABS(D1784-E1784)</x:f>
        <x:v>0.017989229282712856</x:v>
      </x:c>
    </x:row>
    <x:row r="1785" ht="23" customHeight="1">
      <x:c r="A1785" s="10" t="str">
        <x:v>M13</x:v>
      </x:c>
      <x:c r="B1785" s="10" t="str">
        <x:v>NG_H1</x:v>
      </x:c>
      <x:c r="C1785" s="10" t="n">
        <x:v>10</x:v>
      </x:c>
      <x:c r="D1785" s="24" t="n">
        <x:v>0</x:v>
      </x:c>
      <x:c r="E1785" s="24" t="n">
        <x:v>0.00010002000400080016</x:v>
      </x:c>
      <x:c r="F1785" s="24" t="n">
        <x:f>ABS(D1785-E1785)</x:f>
        <x:v>0.00010002000400080016</x:v>
      </x:c>
    </x:row>
    <x:row r="1786" ht="23" customHeight="1">
      <x:c r="A1786" s="10" t="str">
        <x:v>M13</x:v>
      </x:c>
      <x:c r="B1786" s="10" t="str">
        <x:v>CG_H0</x:v>
      </x:c>
      <x:c r="C1786" s="10" t="n">
        <x:v>1</x:v>
      </x:c>
      <x:c r="D1786" s="24" t="n">
        <x:v>0.049300000000000004</x:v>
      </x:c>
      <x:c r="E1786" s="24" t="n">
        <x:v>0.04630926185237048</x:v>
      </x:c>
      <x:c r="F1786" s="24" t="n">
        <x:f>ABS(D1786-E1786)</x:f>
        <x:v>0.0029907381476295264</x:v>
      </x:c>
    </x:row>
    <x:row r="1787" ht="23" customHeight="1">
      <x:c r="A1787" s="10" t="str">
        <x:v>M13</x:v>
      </x:c>
      <x:c r="B1787" s="10" t="str">
        <x:v>CG_H0</x:v>
      </x:c>
      <x:c r="C1787" s="10" t="n">
        <x:v>2</x:v>
      </x:c>
      <x:c r="D1787" s="24" t="n">
        <x:v>0.6808000000000001</x:v>
      </x:c>
      <x:c r="E1787" s="24" t="n">
        <x:v>0.337867573514703</x:v>
      </x:c>
      <x:c r="F1787" s="24" t="n">
        <x:f>ABS(D1787-E1787)</x:f>
        <x:v>0.3429324264852971</x:v>
      </x:c>
    </x:row>
    <x:row r="1788" ht="23" customHeight="1">
      <x:c r="A1788" s="10" t="str">
        <x:v>M13</x:v>
      </x:c>
      <x:c r="B1788" s="10" t="str">
        <x:v>CG_H0</x:v>
      </x:c>
      <x:c r="C1788" s="10" t="n">
        <x:v>3</x:v>
      </x:c>
      <x:c r="D1788" s="24" t="n">
        <x:v>0.21420000000000003</x:v>
      </x:c>
      <x:c r="E1788" s="24" t="n">
        <x:v>0.42318463692738556</x:v>
      </x:c>
      <x:c r="F1788" s="24" t="n">
        <x:f>ABS(D1788-E1788)</x:f>
        <x:v>0.20898463692738553</x:v>
      </x:c>
    </x:row>
    <x:row r="1789" ht="23" customHeight="1">
      <x:c r="A1789" s="10" t="str">
        <x:v>M13</x:v>
      </x:c>
      <x:c r="B1789" s="10" t="str">
        <x:v>CG_H0</x:v>
      </x:c>
      <x:c r="C1789" s="10" t="n">
        <x:v>4</x:v>
      </x:c>
      <x:c r="D1789" s="24" t="n">
        <x:v>0.044300000000000006</x:v>
      </x:c>
      <x:c r="E1789" s="24" t="n">
        <x:v>0.09601920384076816</x:v>
      </x:c>
      <x:c r="F1789" s="24" t="n">
        <x:f>ABS(D1789-E1789)</x:f>
        <x:v>0.051719203840768155</x:v>
      </x:c>
    </x:row>
    <x:row r="1790" ht="23" customHeight="1">
      <x:c r="A1790" s="10" t="str">
        <x:v>M13</x:v>
      </x:c>
      <x:c r="B1790" s="10" t="str">
        <x:v>CG_H0</x:v>
      </x:c>
      <x:c r="C1790" s="10" t="n">
        <x:v>5</x:v>
      </x:c>
      <x:c r="D1790" s="24" t="n">
        <x:v>0.0108</x:v>
      </x:c>
      <x:c r="E1790" s="24" t="n">
        <x:v>0.019203840768153634</x:v>
      </x:c>
      <x:c r="F1790" s="24" t="n">
        <x:f>ABS(D1790-E1790)</x:f>
        <x:v>0.008403840768153634</x:v>
      </x:c>
    </x:row>
    <x:row r="1791" ht="23" customHeight="1">
      <x:c r="A1791" s="10" t="str">
        <x:v>M13</x:v>
      </x:c>
      <x:c r="B1791" s="10" t="str">
        <x:v>CG_H0</x:v>
      </x:c>
      <x:c r="C1791" s="10" t="n">
        <x:v>6</x:v>
      </x:c>
      <x:c r="D1791" s="24" t="n">
        <x:v>0.0003000000000000001</x:v>
      </x:c>
      <x:c r="E1791" s="24" t="n">
        <x:v>0.024404880976195243</x:v>
      </x:c>
      <x:c r="F1791" s="24" t="n">
        <x:f>ABS(D1791-E1791)</x:f>
        <x:v>0.02410488097619524</x:v>
      </x:c>
    </x:row>
    <x:row r="1792" ht="23" customHeight="1">
      <x:c r="A1792" s="10" t="str">
        <x:v>M13</x:v>
      </x:c>
      <x:c r="B1792" s="10" t="str">
        <x:v>CG_H0</x:v>
      </x:c>
      <x:c r="C1792" s="10" t="n">
        <x:v>7</x:v>
      </x:c>
      <x:c r="D1792" s="24" t="n">
        <x:v>0.0003000000000000001</x:v>
      </x:c>
      <x:c r="E1792" s="24" t="n">
        <x:v>0.009101820364072815</x:v>
      </x:c>
      <x:c r="F1792" s="24" t="n">
        <x:f>ABS(D1792-E1792)</x:f>
        <x:v>0.008801820364072815</x:v>
      </x:c>
    </x:row>
    <x:row r="1793" ht="23" customHeight="1">
      <x:c r="A1793" s="10" t="str">
        <x:v>M13</x:v>
      </x:c>
      <x:c r="B1793" s="10" t="str">
        <x:v>CG_H0</x:v>
      </x:c>
      <x:c r="C1793" s="10" t="n">
        <x:v>8</x:v>
      </x:c>
      <x:c r="D1793" s="24" t="n">
        <x:v>0</x:v>
      </x:c>
      <x:c r="E1793" s="24" t="n">
        <x:v>0.013902780556111223</x:v>
      </x:c>
      <x:c r="F1793" s="24" t="n">
        <x:f>ABS(D1793-E1793)</x:f>
        <x:v>0.013902780556111223</x:v>
      </x:c>
    </x:row>
    <x:row r="1794" ht="23" customHeight="1">
      <x:c r="A1794" s="10" t="str">
        <x:v>M13</x:v>
      </x:c>
      <x:c r="B1794" s="10" t="str">
        <x:v>CG_H0</x:v>
      </x:c>
      <x:c r="C1794" s="10" t="n">
        <x:v>9</x:v>
      </x:c>
      <x:c r="D1794" s="24" t="n">
        <x:v>0</x:v>
      </x:c>
      <x:c r="E1794" s="24" t="n">
        <x:v>0.029905981196239252</x:v>
      </x:c>
      <x:c r="F1794" s="24" t="n">
        <x:f>ABS(D1794-E1794)</x:f>
        <x:v>0.029905981196239252</x:v>
      </x:c>
    </x:row>
    <x:row r="1795" ht="23" customHeight="1">
      <x:c r="A1795" s="10" t="str">
        <x:v>M13</x:v>
      </x:c>
      <x:c r="B1795" s="10" t="str">
        <x:v>CG_H0</x:v>
      </x:c>
      <x:c r="C1795" s="10" t="n">
        <x:v>10</x:v>
      </x:c>
      <x:c r="D1795" s="24" t="n">
        <x:v>0</x:v>
      </x:c>
      <x:c r="E1795" s="24" t="n">
        <x:v>0.00010002000400080016</x:v>
      </x:c>
      <x:c r="F1795" s="24" t="n">
        <x:f>ABS(D1795-E1795)</x:f>
        <x:v>0.00010002000400080016</x:v>
      </x:c>
    </x:row>
    <x:row r="1796" ht="23" customHeight="1">
      <x:c r="A1796" s="10" t="str">
        <x:v>M13</x:v>
      </x:c>
      <x:c r="B1796" s="10" t="str">
        <x:v>CG_H1</x:v>
      </x:c>
      <x:c r="C1796" s="10" t="n">
        <x:v>1</x:v>
      </x:c>
      <x:c r="D1796" s="24" t="n">
        <x:v>0.0493</x:v>
      </x:c>
      <x:c r="E1796" s="24" t="n">
        <x:v>0.04630926185237048</x:v>
      </x:c>
      <x:c r="F1796" s="24" t="n">
        <x:f>ABS(D1796-E1796)</x:f>
        <x:v>0.0029907381476295195</x:v>
      </x:c>
    </x:row>
    <x:row r="1797" ht="23" customHeight="1">
      <x:c r="A1797" s="10" t="str">
        <x:v>M13</x:v>
      </x:c>
      <x:c r="B1797" s="10" t="str">
        <x:v>CG_H1</x:v>
      </x:c>
      <x:c r="C1797" s="10" t="n">
        <x:v>2</x:v>
      </x:c>
      <x:c r="D1797" s="24" t="n">
        <x:v>0.4861999999999999</x:v>
      </x:c>
      <x:c r="E1797" s="24" t="n">
        <x:v>0.337867573514703</x:v>
      </x:c>
      <x:c r="F1797" s="24" t="n">
        <x:f>ABS(D1797-E1797)</x:f>
        <x:v>0.14833242648529693</x:v>
      </x:c>
    </x:row>
    <x:row r="1798" ht="23" customHeight="1">
      <x:c r="A1798" s="10" t="str">
        <x:v>M13</x:v>
      </x:c>
      <x:c r="B1798" s="10" t="str">
        <x:v>CG_H1</x:v>
      </x:c>
      <x:c r="C1798" s="10" t="n">
        <x:v>3</x:v>
      </x:c>
      <x:c r="D1798" s="24" t="n">
        <x:v>0.38699999999999996</x:v>
      </x:c>
      <x:c r="E1798" s="24" t="n">
        <x:v>0.42318463692738556</x:v>
      </x:c>
      <x:c r="F1798" s="24" t="n">
        <x:f>ABS(D1798-E1798)</x:f>
        <x:v>0.036184636927385605</x:v>
      </x:c>
    </x:row>
    <x:row r="1799" ht="23" customHeight="1">
      <x:c r="A1799" s="10" t="str">
        <x:v>M13</x:v>
      </x:c>
      <x:c r="B1799" s="10" t="str">
        <x:v>CG_H1</x:v>
      </x:c>
      <x:c r="C1799" s="10" t="n">
        <x:v>4</x:v>
      </x:c>
      <x:c r="D1799" s="24" t="n">
        <x:v>0.06089999999999999</x:v>
      </x:c>
      <x:c r="E1799" s="24" t="n">
        <x:v>0.09601920384076816</x:v>
      </x:c>
      <x:c r="F1799" s="24" t="n">
        <x:f>ABS(D1799-E1799)</x:f>
        <x:v>0.03511920384076817</x:v>
      </x:c>
    </x:row>
    <x:row r="1800" ht="23" customHeight="1">
      <x:c r="A1800" s="10" t="str">
        <x:v>M13</x:v>
      </x:c>
      <x:c r="B1800" s="10" t="str">
        <x:v>CG_H1</x:v>
      </x:c>
      <x:c r="C1800" s="10" t="n">
        <x:v>5</x:v>
      </x:c>
      <x:c r="D1800" s="24" t="n">
        <x:v>0.013099999999999999</x:v>
      </x:c>
      <x:c r="E1800" s="24" t="n">
        <x:v>0.019203840768153634</x:v>
      </x:c>
      <x:c r="F1800" s="24" t="n">
        <x:f>ABS(D1800-E1800)</x:f>
        <x:v>0.0061038407681536355</x:v>
      </x:c>
    </x:row>
    <x:row r="1801" ht="23" customHeight="1">
      <x:c r="A1801" s="10" t="str">
        <x:v>M13</x:v>
      </x:c>
      <x:c r="B1801" s="10" t="str">
        <x:v>CG_H1</x:v>
      </x:c>
      <x:c r="C1801" s="10" t="n">
        <x:v>6</x:v>
      </x:c>
      <x:c r="D1801" s="24" t="n">
        <x:v>0.0006</x:v>
      </x:c>
      <x:c r="E1801" s="24" t="n">
        <x:v>0.024404880976195243</x:v>
      </x:c>
      <x:c r="F1801" s="24" t="n">
        <x:f>ABS(D1801-E1801)</x:f>
        <x:v>0.023804880976195243</x:v>
      </x:c>
    </x:row>
    <x:row r="1802" ht="23" customHeight="1">
      <x:c r="A1802" s="10" t="str">
        <x:v>M13</x:v>
      </x:c>
      <x:c r="B1802" s="10" t="str">
        <x:v>CG_H1</x:v>
      </x:c>
      <x:c r="C1802" s="10" t="n">
        <x:v>7</x:v>
      </x:c>
      <x:c r="D1802" s="24" t="n">
        <x:v>0.0028999999999999994</x:v>
      </x:c>
      <x:c r="E1802" s="24" t="n">
        <x:v>0.009101820364072815</x:v>
      </x:c>
      <x:c r="F1802" s="24" t="n">
        <x:f>ABS(D1802-E1802)</x:f>
        <x:v>0.0062018203640728155</x:v>
      </x:c>
    </x:row>
    <x:row r="1803" ht="23" customHeight="1">
      <x:c r="A1803" s="10" t="str">
        <x:v>M13</x:v>
      </x:c>
      <x:c r="B1803" s="10" t="str">
        <x:v>CG_H1</x:v>
      </x:c>
      <x:c r="C1803" s="10" t="n">
        <x:v>8</x:v>
      </x:c>
      <x:c r="D1803" s="24" t="n">
        <x:v>0</x:v>
      </x:c>
      <x:c r="E1803" s="24" t="n">
        <x:v>0.013902780556111223</x:v>
      </x:c>
      <x:c r="F1803" s="24" t="n">
        <x:f>ABS(D1803-E1803)</x:f>
        <x:v>0.013902780556111223</x:v>
      </x:c>
    </x:row>
    <x:row r="1804" ht="23" customHeight="1">
      <x:c r="A1804" s="10" t="str">
        <x:v>M13</x:v>
      </x:c>
      <x:c r="B1804" s="10" t="str">
        <x:v>CG_H1</x:v>
      </x:c>
      <x:c r="C1804" s="10" t="n">
        <x:v>9</x:v>
      </x:c>
      <x:c r="D1804" s="24" t="n">
        <x:v>0</x:v>
      </x:c>
      <x:c r="E1804" s="24" t="n">
        <x:v>0.029905981196239252</x:v>
      </x:c>
      <x:c r="F1804" s="24" t="n">
        <x:f>ABS(D1804-E1804)</x:f>
        <x:v>0.029905981196239252</x:v>
      </x:c>
    </x:row>
    <x:row r="1805" ht="23" customHeight="1">
      <x:c r="A1805" s="10" t="str">
        <x:v>M13</x:v>
      </x:c>
      <x:c r="B1805" s="10" t="str">
        <x:v>CG_H1</x:v>
      </x:c>
      <x:c r="C1805" s="10" t="n">
        <x:v>10</x:v>
      </x:c>
      <x:c r="D1805" s="24" t="n">
        <x:v>0</x:v>
      </x:c>
      <x:c r="E1805" s="24" t="n">
        <x:v>0.00010002000400080016</x:v>
      </x:c>
      <x:c r="F1805" s="24" t="n">
        <x:f>ABS(D1805-E1805)</x:f>
        <x:v>0.00010002000400080016</x:v>
      </x:c>
    </x:row>
    <x:row r="1806" ht="23" customHeight="1">
      <x:c r="A1806" s="10" t="str">
        <x:v>M13</x:v>
      </x:c>
      <x:c r="B1806" s="10" t="str">
        <x:v>NCG_H0</x:v>
      </x:c>
      <x:c r="C1806" s="10" t="n">
        <x:v>1</x:v>
      </x:c>
      <x:c r="D1806" s="24" t="n">
        <x:v>0.047904790479047915</x:v>
      </x:c>
      <x:c r="E1806" s="24" t="n">
        <x:v>0.04630926185237048</x:v>
      </x:c>
      <x:c r="F1806" s="24" t="n">
        <x:f>ABS(D1806-E1806)</x:f>
        <x:v>0.001595528626677438</x:v>
      </x:c>
    </x:row>
    <x:row r="1807" ht="23" customHeight="1">
      <x:c r="A1807" s="10" t="str">
        <x:v>M13</x:v>
      </x:c>
      <x:c r="B1807" s="10" t="str">
        <x:v>NCG_H0</x:v>
      </x:c>
      <x:c r="C1807" s="10" t="n">
        <x:v>2</x:v>
      </x:c>
      <x:c r="D1807" s="24" t="n">
        <x:v>0.5267526752675269</x:v>
      </x:c>
      <x:c r="E1807" s="24" t="n">
        <x:v>0.337867573514703</x:v>
      </x:c>
      <x:c r="F1807" s="24" t="n">
        <x:f>ABS(D1807-E1807)</x:f>
        <x:v>0.18888510175282391</x:v>
      </x:c>
    </x:row>
    <x:row r="1808" ht="23" customHeight="1">
      <x:c r="A1808" s="10" t="str">
        <x:v>M13</x:v>
      </x:c>
      <x:c r="B1808" s="10" t="str">
        <x:v>NCG_H0</x:v>
      </x:c>
      <x:c r="C1808" s="10" t="n">
        <x:v>3</x:v>
      </x:c>
      <x:c r="D1808" s="24" t="n">
        <x:v>0.2933293329332934</x:v>
      </x:c>
      <x:c r="E1808" s="24" t="n">
        <x:v>0.42318463692738556</x:v>
      </x:c>
      <x:c r="F1808" s="24" t="n">
        <x:f>ABS(D1808-E1808)</x:f>
        <x:v>0.12985530399409217</x:v>
      </x:c>
    </x:row>
    <x:row r="1809" ht="23" customHeight="1">
      <x:c r="A1809" s="10" t="str">
        <x:v>M13</x:v>
      </x:c>
      <x:c r="B1809" s="10" t="str">
        <x:v>NCG_H0</x:v>
      </x:c>
      <x:c r="C1809" s="10" t="n">
        <x:v>4</x:v>
      </x:c>
      <x:c r="D1809" s="24" t="n">
        <x:v>0.05050505050505051</x:v>
      </x:c>
      <x:c r="E1809" s="24" t="n">
        <x:v>0.09601920384076816</x:v>
      </x:c>
      <x:c r="F1809" s="24" t="n">
        <x:f>ABS(D1809-E1809)</x:f>
        <x:v>0.04551415333571765</x:v>
      </x:c>
    </x:row>
    <x:row r="1810" ht="23" customHeight="1">
      <x:c r="A1810" s="10" t="str">
        <x:v>M13</x:v>
      </x:c>
      <x:c r="B1810" s="10" t="str">
        <x:v>NCG_H0</x:v>
      </x:c>
      <x:c r="C1810" s="10" t="n">
        <x:v>5</x:v>
      </x:c>
      <x:c r="D1810" s="24" t="n">
        <x:v>0.012301230123012303</x:v>
      </x:c>
      <x:c r="E1810" s="24" t="n">
        <x:v>0.019203840768153634</x:v>
      </x:c>
      <x:c r="F1810" s="24" t="n">
        <x:f>ABS(D1810-E1810)</x:f>
        <x:v>0.006902610645141331</x:v>
      </x:c>
    </x:row>
    <x:row r="1811" ht="23" customHeight="1">
      <x:c r="A1811" s="10" t="str">
        <x:v>M13</x:v>
      </x:c>
      <x:c r="B1811" s="10" t="str">
        <x:v>NCG_H0</x:v>
      </x:c>
      <x:c r="C1811" s="10" t="n">
        <x:v>6</x:v>
      </x:c>
      <x:c r="D1811" s="24" t="n">
        <x:v>0.02220222022202221</x:v>
      </x:c>
      <x:c r="E1811" s="24" t="n">
        <x:v>0.024404880976195243</x:v>
      </x:c>
      <x:c r="F1811" s="24" t="n">
        <x:f>ABS(D1811-E1811)</x:f>
        <x:v>0.0022026607541730317</x:v>
      </x:c>
    </x:row>
    <x:row r="1812" ht="23" customHeight="1">
      <x:c r="A1812" s="10" t="str">
        <x:v>M13</x:v>
      </x:c>
      <x:c r="B1812" s="10" t="str">
        <x:v>NCG_H0</x:v>
      </x:c>
      <x:c r="C1812" s="10" t="n">
        <x:v>7</x:v>
      </x:c>
      <x:c r="D1812" s="24" t="n">
        <x:v>0.002400240024002401</x:v>
      </x:c>
      <x:c r="E1812" s="24" t="n">
        <x:v>0.009101820364072815</x:v>
      </x:c>
      <x:c r="F1812" s="24" t="n">
        <x:f>ABS(D1812-E1812)</x:f>
        <x:v>0.006701580340070415</x:v>
      </x:c>
    </x:row>
    <x:row r="1813" ht="23" customHeight="1">
      <x:c r="A1813" s="10" t="str">
        <x:v>M13</x:v>
      </x:c>
      <x:c r="B1813" s="10" t="str">
        <x:v>NCG_H0</x:v>
      </x:c>
      <x:c r="C1813" s="10" t="n">
        <x:v>8</x:v>
      </x:c>
      <x:c r="D1813" s="24" t="n">
        <x:v>0.011001100110011004</x:v>
      </x:c>
      <x:c r="E1813" s="24" t="n">
        <x:v>0.013902780556111223</x:v>
      </x:c>
      <x:c r="F1813" s="24" t="n">
        <x:f>ABS(D1813-E1813)</x:f>
        <x:v>0.0029016804461002195</x:v>
      </x:c>
    </x:row>
    <x:row r="1814" ht="23" customHeight="1">
      <x:c r="A1814" s="10" t="str">
        <x:v>M13</x:v>
      </x:c>
      <x:c r="B1814" s="10" t="str">
        <x:v>NCG_H0</x:v>
      </x:c>
      <x:c r="C1814" s="10" t="n">
        <x:v>9</x:v>
      </x:c>
      <x:c r="D1814" s="24" t="n">
        <x:v>0.03360336033603361</x:v>
      </x:c>
      <x:c r="E1814" s="24" t="n">
        <x:v>0.029905981196239252</x:v>
      </x:c>
      <x:c r="F1814" s="24" t="n">
        <x:f>ABS(D1814-E1814)</x:f>
        <x:v>0.0036973791397943573</x:v>
      </x:c>
    </x:row>
    <x:row r="1815" ht="23" customHeight="1">
      <x:c r="A1815" s="10" t="str">
        <x:v>M13</x:v>
      </x:c>
      <x:c r="B1815" s="10" t="str">
        <x:v>NCG_H0</x:v>
      </x:c>
      <x:c r="C1815" s="10" t="n">
        <x:v>10</x:v>
      </x:c>
      <x:c r="D1815" s="24" t="n">
        <x:v>0</x:v>
      </x:c>
      <x:c r="E1815" s="24" t="n">
        <x:v>0.00010002000400080016</x:v>
      </x:c>
      <x:c r="F1815" s="24" t="n">
        <x:f>ABS(D1815-E1815)</x:f>
        <x:v>0.00010002000400080016</x:v>
      </x:c>
    </x:row>
    <x:row r="1816" ht="23" customHeight="1">
      <x:c r="A1816" s="10" t="str">
        <x:v>M13</x:v>
      </x:c>
      <x:c r="B1816" s="10" t="str">
        <x:v>NCG_H1</x:v>
      </x:c>
      <x:c r="C1816" s="10" t="n">
        <x:v>1</x:v>
      </x:c>
      <x:c r="D1816" s="24" t="n">
        <x:v>0.047904790479047915</x:v>
      </x:c>
      <x:c r="E1816" s="24" t="n">
        <x:v>0.04630926185237048</x:v>
      </x:c>
      <x:c r="F1816" s="24" t="n">
        <x:f>ABS(D1816-E1816)</x:f>
        <x:v>0.001595528626677438</x:v>
      </x:c>
    </x:row>
    <x:row r="1817" ht="23" customHeight="1">
      <x:c r="A1817" s="10" t="str">
        <x:v>M13</x:v>
      </x:c>
      <x:c r="B1817" s="10" t="str">
        <x:v>NCG_H1</x:v>
      </x:c>
      <x:c r="C1817" s="10" t="n">
        <x:v>2</x:v>
      </x:c>
      <x:c r="D1817" s="24" t="n">
        <x:v>0.3637363736373638</x:v>
      </x:c>
      <x:c r="E1817" s="24" t="n">
        <x:v>0.337867573514703</x:v>
      </x:c>
      <x:c r="F1817" s="24" t="n">
        <x:f>ABS(D1817-E1817)</x:f>
        <x:v>0.025868800122660796</x:v>
      </x:c>
    </x:row>
    <x:row r="1818" ht="23" customHeight="1">
      <x:c r="A1818" s="10" t="str">
        <x:v>M13</x:v>
      </x:c>
      <x:c r="B1818" s="10" t="str">
        <x:v>NCG_H1</x:v>
      </x:c>
      <x:c r="C1818" s="10" t="n">
        <x:v>3</x:v>
      </x:c>
      <x:c r="D1818" s="24" t="n">
        <x:v>0.41794179417941807</x:v>
      </x:c>
      <x:c r="E1818" s="24" t="n">
        <x:v>0.42318463692738556</x:v>
      </x:c>
      <x:c r="F1818" s="24" t="n">
        <x:f>ABS(D1818-E1818)</x:f>
        <x:v>0.005242842747967491</x:v>
      </x:c>
    </x:row>
    <x:row r="1819" ht="23" customHeight="1">
      <x:c r="A1819" s="10" t="str">
        <x:v>M13</x:v>
      </x:c>
      <x:c r="B1819" s="10" t="str">
        <x:v>NCG_H1</x:v>
      </x:c>
      <x:c r="C1819" s="10" t="n">
        <x:v>4</x:v>
      </x:c>
      <x:c r="D1819" s="24" t="n">
        <x:v>0.07640764076407641</x:v>
      </x:c>
      <x:c r="E1819" s="24" t="n">
        <x:v>0.09601920384076816</x:v>
      </x:c>
      <x:c r="F1819" s="24" t="n">
        <x:f>ABS(D1819-E1819)</x:f>
        <x:v>0.01961156307669175</x:v>
      </x:c>
    </x:row>
    <x:row r="1820" ht="23" customHeight="1">
      <x:c r="A1820" s="10" t="str">
        <x:v>M13</x:v>
      </x:c>
      <x:c r="B1820" s="10" t="str">
        <x:v>NCG_H1</x:v>
      </x:c>
      <x:c r="C1820" s="10" t="n">
        <x:v>5</x:v>
      </x:c>
      <x:c r="D1820" s="24" t="n">
        <x:v>0.015001500150015003</x:v>
      </x:c>
      <x:c r="E1820" s="24" t="n">
        <x:v>0.019203840768153634</x:v>
      </x:c>
      <x:c r="F1820" s="24" t="n">
        <x:f>ABS(D1820-E1820)</x:f>
        <x:v>0.004202340618138631</x:v>
      </x:c>
    </x:row>
    <x:row r="1821" ht="23" customHeight="1">
      <x:c r="A1821" s="10" t="str">
        <x:v>M13</x:v>
      </x:c>
      <x:c r="B1821" s="10" t="str">
        <x:v>NCG_H1</x:v>
      </x:c>
      <x:c r="C1821" s="10" t="n">
        <x:v>6</x:v>
      </x:c>
      <x:c r="D1821" s="24" t="n">
        <x:v>0.027402740274027407</x:v>
      </x:c>
      <x:c r="E1821" s="24" t="n">
        <x:v>0.024404880976195243</x:v>
      </x:c>
      <x:c r="F1821" s="24" t="n">
        <x:f>ABS(D1821-E1821)</x:f>
        <x:v>0.0029978592978321637</x:v>
      </x:c>
    </x:row>
    <x:row r="1822" ht="23" customHeight="1">
      <x:c r="A1822" s="10" t="str">
        <x:v>M13</x:v>
      </x:c>
      <x:c r="B1822" s="10" t="str">
        <x:v>NCG_H1</x:v>
      </x:c>
      <x:c r="C1822" s="10" t="n">
        <x:v>7</x:v>
      </x:c>
      <x:c r="D1822" s="24" t="n">
        <x:v>0.007000700070007002</x:v>
      </x:c>
      <x:c r="E1822" s="24" t="n">
        <x:v>0.009101820364072815</x:v>
      </x:c>
      <x:c r="F1822" s="24" t="n">
        <x:f>ABS(D1822-E1822)</x:f>
        <x:v>0.002101120294065813</x:v>
      </x:c>
    </x:row>
    <x:row r="1823" ht="23" customHeight="1">
      <x:c r="A1823" s="10" t="str">
        <x:v>M13</x:v>
      </x:c>
      <x:c r="B1823" s="10" t="str">
        <x:v>NCG_H1</x:v>
      </x:c>
      <x:c r="C1823" s="10" t="n">
        <x:v>8</x:v>
      </x:c>
      <x:c r="D1823" s="24" t="n">
        <x:v>0.011001100110011004</x:v>
      </x:c>
      <x:c r="E1823" s="24" t="n">
        <x:v>0.013902780556111223</x:v>
      </x:c>
      <x:c r="F1823" s="24" t="n">
        <x:f>ABS(D1823-E1823)</x:f>
        <x:v>0.0029016804461002195</x:v>
      </x:c>
    </x:row>
    <x:row r="1824" ht="23" customHeight="1">
      <x:c r="A1824" s="10" t="str">
        <x:v>M13</x:v>
      </x:c>
      <x:c r="B1824" s="10" t="str">
        <x:v>NCG_H1</x:v>
      </x:c>
      <x:c r="C1824" s="10" t="n">
        <x:v>9</x:v>
      </x:c>
      <x:c r="D1824" s="24" t="n">
        <x:v>0.03360336033603361</x:v>
      </x:c>
      <x:c r="E1824" s="24" t="n">
        <x:v>0.029905981196239252</x:v>
      </x:c>
      <x:c r="F1824" s="24" t="n">
        <x:f>ABS(D1824-E1824)</x:f>
        <x:v>0.0036973791397943573</x:v>
      </x:c>
    </x:row>
    <x:row r="1825" ht="23" customHeight="1">
      <x:c r="A1825" s="10" t="str">
        <x:v>M13</x:v>
      </x:c>
      <x:c r="B1825" s="10" t="str">
        <x:v>NCG_H1</x:v>
      </x:c>
      <x:c r="C1825" s="10" t="n">
        <x:v>10</x:v>
      </x:c>
      <x:c r="D1825" s="24" t="n">
        <x:v>0</x:v>
      </x:c>
      <x:c r="E1825" s="24" t="n">
        <x:v>0.00010002000400080016</x:v>
      </x:c>
      <x:c r="F1825" s="24" t="n">
        <x:f>ABS(D1825-E1825)</x:f>
        <x:v>0.00010002000400080016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27" hidden="0" customWidth="1"/>
    <x:col min="4" max="4" width="27" hidden="0" customWidth="1"/>
  </x:cols>
  <x:sheetData>
    <x:row r="2">
      <x:c r="A2" s="3" t="str">
        <x:v>182组分布距离复算</x:v>
      </x:c>
      <x:c r="B2" s="3"/>
      <x:c r="C2" s="3"/>
      <x:c r="D2" s="3"/>
    </x:row>
    <x:row r="3">
      <x:c r="A3" s="4" t="str">
        <x:v>TVD=0.5×10个档位的绝对占比差；按百分点显示。</x:v>
      </x:c>
      <x:c r="B3" s="4"/>
      <x:c r="C3" s="4"/>
      <x:c r="D3" s="4"/>
    </x:row>
    <x:row r="4">
      <x:c r="A4" s="1"/>
      <x:c r="B4" s="1"/>
      <x:c r="C4" s="1"/>
      <x:c r="D4" s="1"/>
    </x:row>
    <x:row r="5" ht="37" customHeight="1">
      <x:c r="A5" s="9" t="str">
        <x:v>模型</x:v>
      </x:c>
      <x:c r="B5" s="9" t="str">
        <x:v>配置</x:v>
      </x:c>
      <x:c r="C5" s="9" t="str">
        <x:v>复算TVD/百分点</x:v>
      </x:c>
      <x:c r="D5" s="9" t="str">
        <x:v>记录TVD/百分点</x:v>
      </x:c>
    </x:row>
    <x:row r="6" ht="23" customHeight="1">
      <x:c r="A6" s="10" t="str">
        <x:v>M1</x:v>
      </x:c>
      <x:c r="B6" s="10" t="str">
        <x:v>N_H0</x:v>
      </x:c>
      <x:c r="C6" s="36" t="n">
        <x:f>50*SUM('分布占比原始'!F6:F15)</x:f>
        <x:v>67.10000000000001</x:v>
      </x:c>
      <x:c r="D6" s="36" t="n">
        <x:v>67.10000000000001</x:v>
      </x:c>
    </x:row>
    <x:row r="7" ht="23" customHeight="1">
      <x:c r="A7" s="10" t="str">
        <x:v>M1</x:v>
      </x:c>
      <x:c r="B7" s="10" t="str">
        <x:v>N_H1</x:v>
      </x:c>
      <x:c r="C7" s="36" t="n">
        <x:f>50*SUM('分布占比原始'!F16:F25)</x:f>
        <x:v>67.10000000000001</x:v>
      </x:c>
      <x:c r="D7" s="36" t="n">
        <x:v>67.10000000000001</x:v>
      </x:c>
    </x:row>
    <x:row r="8" ht="23" customHeight="1">
      <x:c r="A8" s="10" t="str">
        <x:v>M1</x:v>
      </x:c>
      <x:c r="B8" s="10" t="str">
        <x:v>C_H0</x:v>
      </x:c>
      <x:c r="C8" s="36" t="n">
        <x:f>50*SUM('分布占比原始'!F26:F35)</x:f>
        <x:v>74.38</x:v>
      </x:c>
      <x:c r="D8" s="36" t="n">
        <x:v>74.38000000000001</x:v>
      </x:c>
    </x:row>
    <x:row r="9" ht="23" customHeight="1">
      <x:c r="A9" s="10" t="str">
        <x:v>M1</x:v>
      </x:c>
      <x:c r="B9" s="10" t="str">
        <x:v>C_H1</x:v>
      </x:c>
      <x:c r="C9" s="36" t="n">
        <x:f>50*SUM('分布占比原始'!F36:F45)</x:f>
        <x:v>74.38</x:v>
      </x:c>
      <x:c r="D9" s="36" t="n">
        <x:v>74.38000000000001</x:v>
      </x:c>
    </x:row>
    <x:row r="10" ht="23" customHeight="1">
      <x:c r="A10" s="10" t="str">
        <x:v>M1</x:v>
      </x:c>
      <x:c r="B10" s="10" t="str">
        <x:v>G_H0</x:v>
      </x:c>
      <x:c r="C10" s="36" t="n">
        <x:f>50*SUM('分布占比原始'!F46:F55)</x:f>
        <x:v>12.079999999999998</x:v>
      </x:c>
      <x:c r="D10" s="36" t="n">
        <x:v>12.079999999999998</x:v>
      </x:c>
    </x:row>
    <x:row r="11" ht="23" customHeight="1">
      <x:c r="A11" s="10" t="str">
        <x:v>M1</x:v>
      </x:c>
      <x:c r="B11" s="10" t="str">
        <x:v>G_H1</x:v>
      </x:c>
      <x:c r="C11" s="36" t="n">
        <x:f>50*SUM('分布占比原始'!F56:F65)</x:f>
        <x:v>5.824190580941907</x:v>
      </x:c>
      <x:c r="D11" s="36" t="n">
        <x:v>5.824190580941907</x:v>
      </x:c>
    </x:row>
    <x:row r="12" ht="23" customHeight="1">
      <x:c r="A12" s="10" t="str">
        <x:v>M1</x:v>
      </x:c>
      <x:c r="B12" s="10" t="str">
        <x:v>NC_H0</x:v>
      </x:c>
      <x:c r="C12" s="36" t="n">
        <x:f>50*SUM('分布占比原始'!F66:F75)</x:f>
        <x:v>67.61061693830617</x:v>
      </x:c>
      <x:c r="D12" s="36" t="n">
        <x:v>67.61061693830618</x:v>
      </x:c>
    </x:row>
    <x:row r="13" ht="23" customHeight="1">
      <x:c r="A13" s="10" t="str">
        <x:v>M1</x:v>
      </x:c>
      <x:c r="B13" s="10" t="str">
        <x:v>NC_H1</x:v>
      </x:c>
      <x:c r="C13" s="36" t="n">
        <x:f>50*SUM('分布占比原始'!F76:F85)</x:f>
        <x:v>67.61061693830615</x:v>
      </x:c>
      <x:c r="D13" s="36" t="n">
        <x:v>67.61061693830617</x:v>
      </x:c>
    </x:row>
    <x:row r="14" ht="23" customHeight="1">
      <x:c r="A14" s="10" t="str">
        <x:v>M1</x:v>
      </x:c>
      <x:c r="B14" s="10" t="str">
        <x:v>NG_H0</x:v>
      </x:c>
      <x:c r="C14" s="36" t="n">
        <x:f>50*SUM('分布占比原始'!F86:F95)</x:f>
        <x:v>9.77</x:v>
      </x:c>
      <x:c r="D14" s="36" t="n">
        <x:v>9.77</x:v>
      </x:c>
    </x:row>
    <x:row r="15" ht="23" customHeight="1">
      <x:c r="A15" s="10" t="str">
        <x:v>M1</x:v>
      </x:c>
      <x:c r="B15" s="10" t="str">
        <x:v>NG_H1</x:v>
      </x:c>
      <x:c r="C15" s="36" t="n">
        <x:f>50*SUM('分布占比原始'!F96:F105)</x:f>
        <x:v>2.483607639236073</x:v>
      </x:c>
      <x:c r="D15" s="36" t="n">
        <x:v>2.483607639236073</x:v>
      </x:c>
    </x:row>
    <x:row r="16" ht="23" customHeight="1">
      <x:c r="A16" s="10" t="str">
        <x:v>M1</x:v>
      </x:c>
      <x:c r="B16" s="10" t="str">
        <x:v>CG_H0</x:v>
      </x:c>
      <x:c r="C16" s="36" t="n">
        <x:f>50*SUM('分布占比原始'!F106:F115)</x:f>
        <x:v>11.139999999999997</x:v>
      </x:c>
      <x:c r="D16" s="36" t="n">
        <x:v>11.139999999999999</x:v>
      </x:c>
    </x:row>
    <x:row r="17" ht="23" customHeight="1">
      <x:c r="A17" s="10" t="str">
        <x:v>M1</x:v>
      </x:c>
      <x:c r="B17" s="10" t="str">
        <x:v>CG_H1</x:v>
      </x:c>
      <x:c r="C17" s="36" t="n">
        <x:f>50*SUM('分布占比原始'!F116:F125)</x:f>
        <x:v>4.539999999999997</x:v>
      </x:c>
      <x:c r="D17" s="36" t="n">
        <x:v>4.539999999999999</x:v>
      </x:c>
    </x:row>
    <x:row r="18" ht="23" customHeight="1">
      <x:c r="A18" s="10" t="str">
        <x:v>M1</x:v>
      </x:c>
      <x:c r="B18" s="10" t="str">
        <x:v>NCG_H0</x:v>
      </x:c>
      <x:c r="C18" s="36" t="n">
        <x:f>50*SUM('分布占比原始'!F126:F135)</x:f>
        <x:v>7.203992600739929</x:v>
      </x:c>
      <x:c r="D18" s="36" t="n">
        <x:v>7.203992600739928</x:v>
      </x:c>
    </x:row>
    <x:row r="19" ht="23" customHeight="1">
      <x:c r="A19" s="10" t="str">
        <x:v>M1</x:v>
      </x:c>
      <x:c r="B19" s="10" t="str">
        <x:v>NCG_H1</x:v>
      </x:c>
      <x:c r="C19" s="36" t="n">
        <x:f>50*SUM('分布占比原始'!F136:F145)</x:f>
        <x:v>1.2009599040095928</x:v>
      </x:c>
      <x:c r="D19" s="36" t="n">
        <x:v>1.2009599040095917</x:v>
      </x:c>
    </x:row>
    <x:row r="20" ht="23" customHeight="1">
      <x:c r="A20" s="10" t="str">
        <x:v>M2</x:v>
      </x:c>
      <x:c r="B20" s="10" t="str">
        <x:v>N_H0</x:v>
      </x:c>
      <x:c r="C20" s="36" t="n">
        <x:f>50*SUM('分布占比原始'!F146:F155)</x:f>
        <x:v>75.19807380738074</x:v>
      </x:c>
      <x:c r="D20" s="36" t="n">
        <x:v>75.19807380738074</x:v>
      </x:c>
    </x:row>
    <x:row r="21" ht="23" customHeight="1">
      <x:c r="A21" s="10" t="str">
        <x:v>M2</x:v>
      </x:c>
      <x:c r="B21" s="10" t="str">
        <x:v>N_H1</x:v>
      </x:c>
      <x:c r="C21" s="36" t="n">
        <x:f>50*SUM('分布占比原始'!F156:F165)</x:f>
        <x:v>70.93808170938082</x:v>
      </x:c>
      <x:c r="D21" s="36" t="n">
        <x:v>70.93808170938082</x:v>
      </x:c>
    </x:row>
    <x:row r="22" ht="23" customHeight="1">
      <x:c r="A22" s="10" t="str">
        <x:v>M2</x:v>
      </x:c>
      <x:c r="B22" s="10" t="str">
        <x:v>C_H0</x:v>
      </x:c>
      <x:c r="C22" s="36" t="n">
        <x:f>50*SUM('分布占比原始'!F166:F175)</x:f>
        <x:v>83.50835783578358</x:v>
      </x:c>
      <x:c r="D22" s="36" t="n">
        <x:v>83.50835783578358</x:v>
      </x:c>
    </x:row>
    <x:row r="23" ht="23" customHeight="1">
      <x:c r="A23" s="10" t="str">
        <x:v>M2</x:v>
      </x:c>
      <x:c r="B23" s="10" t="str">
        <x:v>C_H1</x:v>
      </x:c>
      <x:c r="C23" s="36" t="n">
        <x:f>50*SUM('分布占比原始'!F176:F185)</x:f>
        <x:v>78.64787178717873</x:v>
      </x:c>
      <x:c r="D23" s="36" t="n">
        <x:v>78.64787178717872</x:v>
      </x:c>
    </x:row>
    <x:row r="24" ht="23" customHeight="1">
      <x:c r="A24" s="10" t="str">
        <x:v>M2</x:v>
      </x:c>
      <x:c r="B24" s="10" t="str">
        <x:v>G_H0</x:v>
      </x:c>
      <x:c r="C24" s="36" t="n">
        <x:f>50*SUM('分布占比原始'!F186:F195)</x:f>
        <x:v>18.851885188518853</x:v>
      </x:c>
      <x:c r="D24" s="36" t="n">
        <x:v>18.851885188518853</x:v>
      </x:c>
    </x:row>
    <x:row r="25" ht="23" customHeight="1">
      <x:c r="A25" s="10" t="str">
        <x:v>M2</x:v>
      </x:c>
      <x:c r="B25" s="10" t="str">
        <x:v>G_H1</x:v>
      </x:c>
      <x:c r="C25" s="36" t="n">
        <x:f>50*SUM('分布占比原始'!F196:F205)</x:f>
        <x:v>20.06317531753175</x:v>
      </x:c>
      <x:c r="D25" s="36" t="n">
        <x:v>20.063175317531748</x:v>
      </x:c>
    </x:row>
    <x:row r="26" ht="23" customHeight="1">
      <x:c r="A26" s="10" t="str">
        <x:v>M2</x:v>
      </x:c>
      <x:c r="B26" s="10" t="str">
        <x:v>NC_H0</x:v>
      </x:c>
      <x:c r="C26" s="36" t="n">
        <x:f>50*SUM('分布占比原始'!F206:F215)</x:f>
        <x:v>75.38860875388609</x:v>
      </x:c>
      <x:c r="D26" s="36" t="n">
        <x:v>75.38860875388609</x:v>
      </x:c>
    </x:row>
    <x:row r="27" ht="23" customHeight="1">
      <x:c r="A27" s="10" t="str">
        <x:v>M2</x:v>
      </x:c>
      <x:c r="B27" s="10" t="str">
        <x:v>NC_H1</x:v>
      </x:c>
      <x:c r="C27" s="36" t="n">
        <x:f>50*SUM('分布占比原始'!F216:F225)</x:f>
        <x:v>71.06806871068069</x:v>
      </x:c>
      <x:c r="D27" s="36" t="n">
        <x:v>71.06806871068068</x:v>
      </x:c>
    </x:row>
    <x:row r="28" ht="23" customHeight="1">
      <x:c r="A28" s="10" t="str">
        <x:v>M2</x:v>
      </x:c>
      <x:c r="B28" s="10" t="str">
        <x:v>NG_H0</x:v>
      </x:c>
      <x:c r="C28" s="36" t="n">
        <x:f>50*SUM('分布占比原始'!F226:F235)</x:f>
        <x:v>16.755175517551756</x:v>
      </x:c>
      <x:c r="D28" s="36" t="n">
        <x:v>16.755175517551756</x:v>
      </x:c>
    </x:row>
    <x:row r="29" ht="23" customHeight="1">
      <x:c r="A29" s="10" t="str">
        <x:v>M2</x:v>
      </x:c>
      <x:c r="B29" s="10" t="str">
        <x:v>NG_H1</x:v>
      </x:c>
      <x:c r="C29" s="36" t="n">
        <x:f>50*SUM('分布占比原始'!F236:F245)</x:f>
        <x:v>5.408838054088381</x:v>
      </x:c>
      <x:c r="D29" s="36" t="n">
        <x:v>5.40883805408838</x:v>
      </x:c>
    </x:row>
    <x:row r="30" ht="23" customHeight="1">
      <x:c r="A30" s="10" t="str">
        <x:v>M2</x:v>
      </x:c>
      <x:c r="B30" s="10" t="str">
        <x:v>CG_H0</x:v>
      </x:c>
      <x:c r="C30" s="36" t="n">
        <x:f>50*SUM('分布占比原始'!F246:F255)</x:f>
        <x:v>17.76914217769142</x:v>
      </x:c>
      <x:c r="D30" s="36" t="n">
        <x:v>17.769142177691425</x:v>
      </x:c>
    </x:row>
    <x:row r="31" ht="23" customHeight="1">
      <x:c r="A31" s="10" t="str">
        <x:v>M2</x:v>
      </x:c>
      <x:c r="B31" s="10" t="str">
        <x:v>CG_H1</x:v>
      </x:c>
      <x:c r="C31" s="36" t="n">
        <x:f>50*SUM('分布占比原始'!F256:F265)</x:f>
        <x:v>13.042689268926896</x:v>
      </x:c>
      <x:c r="D31" s="36" t="n">
        <x:v>13.042689268926894</x:v>
      </x:c>
    </x:row>
    <x:row r="32" ht="23" customHeight="1">
      <x:c r="A32" s="10" t="str">
        <x:v>M2</x:v>
      </x:c>
      <x:c r="B32" s="10" t="str">
        <x:v>NCG_H0</x:v>
      </x:c>
      <x:c r="C32" s="36" t="n">
        <x:f>50*SUM('分布占比原始'!F266:F275)</x:f>
        <x:v>12.221222122212216</x:v>
      </x:c>
      <x:c r="D32" s="36" t="n">
        <x:v>12.221222122212218</x:v>
      </x:c>
    </x:row>
    <x:row r="33" ht="23" customHeight="1">
      <x:c r="A33" s="10" t="str">
        <x:v>M2</x:v>
      </x:c>
      <x:c r="B33" s="10" t="str">
        <x:v>NCG_H1</x:v>
      </x:c>
      <x:c r="C33" s="36" t="n">
        <x:f>50*SUM('分布占比原始'!F276:F285)</x:f>
        <x:v>6.412405240524042</x:v>
      </x:c>
      <x:c r="D33" s="36" t="n">
        <x:v>6.412405240524043</x:v>
      </x:c>
    </x:row>
    <x:row r="34" ht="23" customHeight="1">
      <x:c r="A34" s="10" t="str">
        <x:v>M3</x:v>
      </x:c>
      <x:c r="B34" s="10" t="str">
        <x:v>N_H0</x:v>
      </x:c>
      <x:c r="C34" s="36" t="n">
        <x:f>50*SUM('分布占比原始'!F286:F295)</x:f>
        <x:v>77.10095544647447</x:v>
      </x:c>
      <x:c r="D34" s="36" t="n">
        <x:v>77.10095544647447</x:v>
      </x:c>
    </x:row>
    <x:row r="35" ht="23" customHeight="1">
      <x:c r="A35" s="10" t="str">
        <x:v>M3</x:v>
      </x:c>
      <x:c r="B35" s="10" t="str">
        <x:v>N_H1</x:v>
      </x:c>
      <x:c r="C35" s="36" t="n">
        <x:f>50*SUM('分布占比原始'!F296:F305)</x:f>
        <x:v>77.11879187918794</x:v>
      </x:c>
      <x:c r="D35" s="36" t="n">
        <x:v>77.11879187918792</x:v>
      </x:c>
    </x:row>
    <x:row r="36" ht="23" customHeight="1">
      <x:c r="A36" s="10" t="str">
        <x:v>M3</x:v>
      </x:c>
      <x:c r="B36" s="10" t="str">
        <x:v>C_H0</x:v>
      </x:c>
      <x:c r="C36" s="36" t="n">
        <x:f>50*SUM('分布占比原始'!F306:F315)</x:f>
        <x:v>82.57825782578257</x:v>
      </x:c>
      <x:c r="D36" s="36" t="n">
        <x:v>82.57825782578259</x:v>
      </x:c>
    </x:row>
    <x:row r="37" ht="23" customHeight="1">
      <x:c r="A37" s="10" t="str">
        <x:v>M3</x:v>
      </x:c>
      <x:c r="B37" s="10" t="str">
        <x:v>C_H1</x:v>
      </x:c>
      <x:c r="C37" s="36" t="n">
        <x:f>50*SUM('分布占比原始'!F316:F325)</x:f>
        <x:v>80.54825782578257</x:v>
      </x:c>
      <x:c r="D37" s="36" t="n">
        <x:v>80.54825782578258</x:v>
      </x:c>
    </x:row>
    <x:row r="38" ht="23" customHeight="1">
      <x:c r="A38" s="10" t="str">
        <x:v>M3</x:v>
      </x:c>
      <x:c r="B38" s="10" t="str">
        <x:v>G_H0</x:v>
      </x:c>
      <x:c r="C38" s="36" t="n">
        <x:f>50*SUM('分布占比原始'!F326:F335)</x:f>
        <x:v>11.874759475947595</x:v>
      </x:c>
      <x:c r="D38" s="36" t="n">
        <x:v>11.874759475947597</x:v>
      </x:c>
    </x:row>
    <x:row r="39" ht="23" customHeight="1">
      <x:c r="A39" s="10" t="str">
        <x:v>M3</x:v>
      </x:c>
      <x:c r="B39" s="10" t="str">
        <x:v>G_H1</x:v>
      </x:c>
      <x:c r="C39" s="36" t="n">
        <x:f>50*SUM('分布占比原始'!F336:F345)</x:f>
        <x:v>9.381721172117208</x:v>
      </x:c>
      <x:c r="D39" s="36" t="n">
        <x:v>9.381721172117206</x:v>
      </x:c>
    </x:row>
    <x:row r="40" ht="23" customHeight="1">
      <x:c r="A40" s="10" t="str">
        <x:v>M3</x:v>
      </x:c>
      <x:c r="B40" s="10" t="str">
        <x:v>NC_H0</x:v>
      </x:c>
      <x:c r="C40" s="36" t="n">
        <x:f>50*SUM('分布占比原始'!F346:F355)</x:f>
        <x:v>75.95804880488048</x:v>
      </x:c>
      <x:c r="D40" s="36" t="n">
        <x:v>75.95804880488049</x:v>
      </x:c>
    </x:row>
    <x:row r="41" ht="23" customHeight="1">
      <x:c r="A41" s="10" t="str">
        <x:v>M3</x:v>
      </x:c>
      <x:c r="B41" s="10" t="str">
        <x:v>NC_H1</x:v>
      </x:c>
      <x:c r="C41" s="36" t="n">
        <x:f>50*SUM('分布占比原始'!F356:F365)</x:f>
        <x:v>74.21679455403033</x:v>
      </x:c>
      <x:c r="D41" s="36" t="n">
        <x:v>74.21679455403033</x:v>
      </x:c>
    </x:row>
    <x:row r="42" ht="23" customHeight="1">
      <x:c r="A42" s="10" t="str">
        <x:v>M3</x:v>
      </x:c>
      <x:c r="B42" s="10" t="str">
        <x:v>NG_H0</x:v>
      </x:c>
      <x:c r="C42" s="36" t="n">
        <x:f>50*SUM('分布占比原始'!F366:F375)</x:f>
        <x:v>9.384287428742876</x:v>
      </x:c>
      <x:c r="D42" s="36" t="n">
        <x:v>9.384287428742876</x:v>
      </x:c>
    </x:row>
    <x:row r="43" ht="23" customHeight="1">
      <x:c r="A43" s="10" t="str">
        <x:v>M3</x:v>
      </x:c>
      <x:c r="B43" s="10" t="str">
        <x:v>NG_H1</x:v>
      </x:c>
      <x:c r="C43" s="36" t="n">
        <x:f>50*SUM('分布占比原始'!F376:F385)</x:f>
        <x:v>6.96548354835484</x:v>
      </x:c>
      <x:c r="D43" s="36" t="n">
        <x:v>6.965483548354839</x:v>
      </x:c>
    </x:row>
    <x:row r="44" ht="23" customHeight="1">
      <x:c r="A44" s="10" t="str">
        <x:v>M3</x:v>
      </x:c>
      <x:c r="B44" s="10" t="str">
        <x:v>CG_H0</x:v>
      </x:c>
      <x:c r="C44" s="36" t="n">
        <x:f>50*SUM('分布占比原始'!F386:F395)</x:f>
        <x:v>11.874759475947599</x:v>
      </x:c>
      <x:c r="D44" s="36" t="n">
        <x:v>11.874759475947597</x:v>
      </x:c>
    </x:row>
    <x:row r="45" ht="23" customHeight="1">
      <x:c r="A45" s="10" t="str">
        <x:v>M3</x:v>
      </x:c>
      <x:c r="B45" s="10" t="str">
        <x:v>CG_H1</x:v>
      </x:c>
      <x:c r="C45" s="36" t="n">
        <x:f>50*SUM('分布占比原始'!F396:F405)</x:f>
        <x:v>7.412701074127012</x:v>
      </x:c>
      <x:c r="D45" s="36" t="n">
        <x:v>7.412701074127012</x:v>
      </x:c>
    </x:row>
    <x:row r="46" ht="23" customHeight="1">
      <x:c r="A46" s="10" t="str">
        <x:v>M3</x:v>
      </x:c>
      <x:c r="B46" s="10" t="str">
        <x:v>NCG_H0</x:v>
      </x:c>
      <x:c r="C46" s="36" t="n">
        <x:f>50*SUM('分布占比原始'!F406:F415)</x:f>
        <x:v>8.834550455045507</x:v>
      </x:c>
      <x:c r="D46" s="36" t="n">
        <x:v>8.834550455045509</x:v>
      </x:c>
    </x:row>
    <x:row r="47" ht="23" customHeight="1">
      <x:c r="A47" s="10" t="str">
        <x:v>M3</x:v>
      </x:c>
      <x:c r="B47" s="10" t="str">
        <x:v>NCG_H1</x:v>
      </x:c>
      <x:c r="C47" s="36" t="n">
        <x:f>50*SUM('分布占比原始'!F416:F425)</x:f>
        <x:v>2.0302030203020354</x:v>
      </x:c>
      <x:c r="D47" s="36" t="n">
        <x:v>2.030203020302032</x:v>
      </x:c>
    </x:row>
    <x:row r="48" ht="23" customHeight="1">
      <x:c r="A48" s="10" t="str">
        <x:v>M4</x:v>
      </x:c>
      <x:c r="B48" s="10" t="str">
        <x:v>N_H0</x:v>
      </x:c>
      <x:c r="C48" s="36" t="n">
        <x:f>50*SUM('分布占比原始'!F426:F435)</x:f>
        <x:v>80.61</x:v>
      </x:c>
      <x:c r="D48" s="36" t="n">
        <x:v>80.61</x:v>
      </x:c>
    </x:row>
    <x:row r="49" ht="23" customHeight="1">
      <x:c r="A49" s="10" t="str">
        <x:v>M4</x:v>
      </x:c>
      <x:c r="B49" s="10" t="str">
        <x:v>N_H1</x:v>
      </x:c>
      <x:c r="C49" s="36" t="n">
        <x:f>50*SUM('分布占比原始'!F436:F445)</x:f>
        <x:v>80.61</x:v>
      </x:c>
      <x:c r="D49" s="36" t="n">
        <x:v>80.61</x:v>
      </x:c>
    </x:row>
    <x:row r="50" ht="23" customHeight="1">
      <x:c r="A50" s="10" t="str">
        <x:v>M4</x:v>
      </x:c>
      <x:c r="B50" s="10" t="str">
        <x:v>C_H0</x:v>
      </x:c>
      <x:c r="C50" s="36" t="n">
        <x:f>50*SUM('分布占比原始'!F446:F455)</x:f>
        <x:v>82.85999999999999</x:v>
      </x:c>
      <x:c r="D50" s="36" t="n">
        <x:v>82.86</x:v>
      </x:c>
    </x:row>
    <x:row r="51" ht="23" customHeight="1">
      <x:c r="A51" s="10" t="str">
        <x:v>M4</x:v>
      </x:c>
      <x:c r="B51" s="10" t="str">
        <x:v>C_H1</x:v>
      </x:c>
      <x:c r="C51" s="36" t="n">
        <x:f>50*SUM('分布占比原始'!F456:F465)</x:f>
        <x:v>82.83999999999999</x:v>
      </x:c>
      <x:c r="D51" s="36" t="n">
        <x:v>82.84</x:v>
      </x:c>
    </x:row>
    <x:row r="52" ht="23" customHeight="1">
      <x:c r="A52" s="10" t="str">
        <x:v>M4</x:v>
      </x:c>
      <x:c r="B52" s="10" t="str">
        <x:v>G_H0</x:v>
      </x:c>
      <x:c r="C52" s="36" t="n">
        <x:f>50*SUM('分布占比原始'!F466:F475)</x:f>
        <x:v>11.630000000000004</x:v>
      </x:c>
      <x:c r="D52" s="36" t="n">
        <x:v>11.630000000000006</x:v>
      </x:c>
    </x:row>
    <x:row r="53" ht="23" customHeight="1">
      <x:c r="A53" s="10" t="str">
        <x:v>M4</x:v>
      </x:c>
      <x:c r="B53" s="10" t="str">
        <x:v>G_H1</x:v>
      </x:c>
      <x:c r="C53" s="36" t="n">
        <x:f>50*SUM('分布占比原始'!F476:F485)</x:f>
        <x:v>13.11261273872613</x:v>
      </x:c>
      <x:c r="D53" s="36" t="n">
        <x:v>13.11261273872613</x:v>
      </x:c>
    </x:row>
    <x:row r="54" ht="23" customHeight="1">
      <x:c r="A54" s="10" t="str">
        <x:v>M4</x:v>
      </x:c>
      <x:c r="B54" s="10" t="str">
        <x:v>NC_H0</x:v>
      </x:c>
      <x:c r="C54" s="36" t="n">
        <x:f>50*SUM('分布占比原始'!F486:F495)</x:f>
        <x:v>77.85</x:v>
      </x:c>
      <x:c r="D54" s="36" t="n">
        <x:v>77.85</x:v>
      </x:c>
    </x:row>
    <x:row r="55" ht="23" customHeight="1">
      <x:c r="A55" s="10" t="str">
        <x:v>M4</x:v>
      </x:c>
      <x:c r="B55" s="10" t="str">
        <x:v>NC_H1</x:v>
      </x:c>
      <x:c r="C55" s="36" t="n">
        <x:f>50*SUM('分布占比原始'!F496:F505)</x:f>
        <x:v>77.83</x:v>
      </x:c>
      <x:c r="D55" s="36" t="n">
        <x:v>77.83</x:v>
      </x:c>
    </x:row>
    <x:row r="56" ht="23" customHeight="1">
      <x:c r="A56" s="10" t="str">
        <x:v>M4</x:v>
      </x:c>
      <x:c r="B56" s="10" t="str">
        <x:v>NG_H0</x:v>
      </x:c>
      <x:c r="C56" s="36" t="n">
        <x:f>50*SUM('分布占比原始'!F506:F515)</x:f>
        <x:v>8.55</x:v>
      </x:c>
      <x:c r="D56" s="36" t="n">
        <x:v>8.550000000000002</x:v>
      </x:c>
    </x:row>
    <x:row r="57" ht="23" customHeight="1">
      <x:c r="A57" s="10" t="str">
        <x:v>M4</x:v>
      </x:c>
      <x:c r="B57" s="10" t="str">
        <x:v>NG_H1</x:v>
      </x:c>
      <x:c r="C57" s="36" t="n">
        <x:f>50*SUM('分布占比原始'!F516:F525)</x:f>
        <x:v>8.04</x:v>
      </x:c>
      <x:c r="D57" s="36" t="n">
        <x:v>8.040000000000003</x:v>
      </x:c>
    </x:row>
    <x:row r="58" ht="23" customHeight="1">
      <x:c r="A58" s="10" t="str">
        <x:v>M4</x:v>
      </x:c>
      <x:c r="B58" s="10" t="str">
        <x:v>CG_H0</x:v>
      </x:c>
      <x:c r="C58" s="36" t="n">
        <x:f>50*SUM('分布占比原始'!F526:F535)</x:f>
        <x:v>11.650000000000006</x:v>
      </x:c>
      <x:c r="D58" s="36" t="n">
        <x:v>11.650000000000004</x:v>
      </x:c>
    </x:row>
    <x:row r="59" ht="23" customHeight="1">
      <x:c r="A59" s="10" t="str">
        <x:v>M4</x:v>
      </x:c>
      <x:c r="B59" s="10" t="str">
        <x:v>CG_H1</x:v>
      </x:c>
      <x:c r="C59" s="36" t="n">
        <x:f>50*SUM('分布占比原始'!F536:F545)</x:f>
        <x:v>9.440000000000005</x:v>
      </x:c>
      <x:c r="D59" s="36" t="n">
        <x:v>9.440000000000003</x:v>
      </x:c>
    </x:row>
    <x:row r="60" ht="23" customHeight="1">
      <x:c r="A60" s="10" t="str">
        <x:v>M4</x:v>
      </x:c>
      <x:c r="B60" s="10" t="str">
        <x:v>NCG_H0</x:v>
      </x:c>
      <x:c r="C60" s="36" t="n">
        <x:f>50*SUM('分布占比原始'!F546:F555)</x:f>
        <x:v>7.111532846715328</x:v>
      </x:c>
      <x:c r="D60" s="36" t="n">
        <x:v>7.111532846715329</x:v>
      </x:c>
    </x:row>
    <x:row r="61" ht="23" customHeight="1">
      <x:c r="A61" s="10" t="str">
        <x:v>M4</x:v>
      </x:c>
      <x:c r="B61" s="10" t="str">
        <x:v>NCG_H1</x:v>
      </x:c>
      <x:c r="C61" s="36" t="n">
        <x:f>50*SUM('分布占比原始'!F556:F565)</x:f>
        <x:v>5.146364727054577</x:v>
      </x:c>
      <x:c r="D61" s="36" t="n">
        <x:v>5.14636472705458</x:v>
      </x:c>
    </x:row>
    <x:row r="62" ht="23" customHeight="1">
      <x:c r="A62" s="10" t="str">
        <x:v>M5</x:v>
      </x:c>
      <x:c r="B62" s="10" t="str">
        <x:v>N_H0</x:v>
      </x:c>
      <x:c r="C62" s="36" t="n">
        <x:f>50*SUM('分布占比原始'!F566:F575)</x:f>
        <x:v>68.74688737747549</x:v>
      </x:c>
      <x:c r="D62" s="36" t="n">
        <x:v>68.74688737747549</x:v>
      </x:c>
    </x:row>
    <x:row r="63" ht="23" customHeight="1">
      <x:c r="A63" s="10" t="str">
        <x:v>M5</x:v>
      </x:c>
      <x:c r="B63" s="10" t="str">
        <x:v>N_H1</x:v>
      </x:c>
      <x:c r="C63" s="36" t="n">
        <x:f>50*SUM('分布占比原始'!F576:F585)</x:f>
        <x:v>68.74688737747549</x:v>
      </x:c>
      <x:c r="D63" s="36" t="n">
        <x:v>68.74688737747549</x:v>
      </x:c>
    </x:row>
    <x:row r="64" ht="23" customHeight="1">
      <x:c r="A64" s="10" t="str">
        <x:v>M5</x:v>
      </x:c>
      <x:c r="B64" s="10" t="str">
        <x:v>C_H0</x:v>
      </x:c>
      <x:c r="C64" s="36" t="n">
        <x:f>50*SUM('分布占比原始'!F586:F595)</x:f>
        <x:v>74.41488297659532</x:v>
      </x:c>
      <x:c r="D64" s="36" t="n">
        <x:v>74.41488297659532</x:v>
      </x:c>
    </x:row>
    <x:row r="65" ht="23" customHeight="1">
      <x:c r="A65" s="10" t="str">
        <x:v>M5</x:v>
      </x:c>
      <x:c r="B65" s="10" t="str">
        <x:v>C_H1</x:v>
      </x:c>
      <x:c r="C65" s="36" t="n">
        <x:f>50*SUM('分布占比原始'!F596:F605)</x:f>
        <x:v>74.18490597429553</x:v>
      </x:c>
      <x:c r="D65" s="36" t="n">
        <x:v>74.18490597429555</x:v>
      </x:c>
    </x:row>
    <x:row r="66" ht="23" customHeight="1">
      <x:c r="A66" s="10" t="str">
        <x:v>M5</x:v>
      </x:c>
      <x:c r="B66" s="10" t="str">
        <x:v>G_H0</x:v>
      </x:c>
      <x:c r="C66" s="36" t="n">
        <x:f>50*SUM('分布占比原始'!F606:F615)</x:f>
        <x:v>15.682042408481692</x:v>
      </x:c>
      <x:c r="D66" s="36" t="n">
        <x:v>15.682042408481692</x:v>
      </x:c>
    </x:row>
    <x:row r="67" ht="23" customHeight="1">
      <x:c r="A67" s="10" t="str">
        <x:v>M5</x:v>
      </x:c>
      <x:c r="B67" s="10" t="str">
        <x:v>G_H1</x:v>
      </x:c>
      <x:c r="C67" s="36" t="n">
        <x:f>50*SUM('分布占比原始'!F616:F625)</x:f>
        <x:v>14.073976911593947</x:v>
      </x:c>
      <x:c r="D67" s="36" t="n">
        <x:v>14.073976911593945</x:v>
      </x:c>
    </x:row>
    <x:row r="68" ht="23" customHeight="1">
      <x:c r="A68" s="10" t="str">
        <x:v>M5</x:v>
      </x:c>
      <x:c r="B68" s="10" t="str">
        <x:v>NC_H0</x:v>
      </x:c>
      <x:c r="C68" s="36" t="n">
        <x:f>50*SUM('分布占比原始'!F626:F635)</x:f>
        <x:v>64.63448289657933</x:v>
      </x:c>
      <x:c r="D68" s="36" t="n">
        <x:v>64.63448289657931</x:v>
      </x:c>
    </x:row>
    <x:row r="69" ht="23" customHeight="1">
      <x:c r="A69" s="10" t="str">
        <x:v>M5</x:v>
      </x:c>
      <x:c r="B69" s="10" t="str">
        <x:v>NC_H1</x:v>
      </x:c>
      <x:c r="C69" s="36" t="n">
        <x:f>50*SUM('分布占比原始'!F636:F645)</x:f>
        <x:v>64.40387677535506</x:v>
      </x:c>
      <x:c r="D69" s="36" t="n">
        <x:v>64.40387677535506</x:v>
      </x:c>
    </x:row>
    <x:row r="70" ht="23" customHeight="1">
      <x:c r="A70" s="10" t="str">
        <x:v>M5</x:v>
      </x:c>
      <x:c r="B70" s="10" t="str">
        <x:v>NG_H0</x:v>
      </x:c>
      <x:c r="C70" s="36" t="n">
        <x:f>50*SUM('分布占比原始'!F646:F655)</x:f>
        <x:v>8.418025605121022</x:v>
      </x:c>
      <x:c r="D70" s="36" t="n">
        <x:v>8.418025605121022</x:v>
      </x:c>
    </x:row>
    <x:row r="71" ht="23" customHeight="1">
      <x:c r="A71" s="10" t="str">
        <x:v>M5</x:v>
      </x:c>
      <x:c r="B71" s="10" t="str">
        <x:v>NG_H1</x:v>
      </x:c>
      <x:c r="C71" s="36" t="n">
        <x:f>50*SUM('分布占比原始'!F656:F665)</x:f>
        <x:v>2.8159831966393285</x:v>
      </x:c>
      <x:c r="D71" s="36" t="n">
        <x:v>2.815983196639331</x:v>
      </x:c>
    </x:row>
    <x:row r="72" ht="23" customHeight="1">
      <x:c r="A72" s="10" t="str">
        <x:v>M5</x:v>
      </x:c>
      <x:c r="B72" s="10" t="str">
        <x:v>CG_H0</x:v>
      </x:c>
      <x:c r="C72" s="36" t="n">
        <x:f>50*SUM('分布占比原始'!F666:F675)</x:f>
        <x:v>15.626078511031741</x:v>
      </x:c>
      <x:c r="D72" s="36" t="n">
        <x:v>15.62607851103174</x:v>
      </x:c>
    </x:row>
    <x:row r="73" ht="23" customHeight="1">
      <x:c r="A73" s="10" t="str">
        <x:v>M5</x:v>
      </x:c>
      <x:c r="B73" s="10" t="str">
        <x:v>CG_H1</x:v>
      </x:c>
      <x:c r="C73" s="36" t="n">
        <x:f>50*SUM('分布占比原始'!F676:F685)</x:f>
        <x:v>12.476925385077015</x:v>
      </x:c>
      <x:c r="D73" s="36" t="n">
        <x:v>12.476925385077013</x:v>
      </x:c>
    </x:row>
    <x:row r="74" ht="23" customHeight="1">
      <x:c r="A74" s="10" t="str">
        <x:v>M5</x:v>
      </x:c>
      <x:c r="B74" s="10" t="str">
        <x:v>NCG_H0</x:v>
      </x:c>
      <x:c r="C74" s="36" t="n">
        <x:f>50*SUM('分布占比原始'!F686:F695)</x:f>
        <x:v>5.44380703323383</x:v>
      </x:c>
      <x:c r="D74" s="36" t="n">
        <x:v>5.4438070332338295</x:v>
      </x:c>
    </x:row>
    <x:row r="75" ht="23" customHeight="1">
      <x:c r="A75" s="10" t="str">
        <x:v>M5</x:v>
      </x:c>
      <x:c r="B75" s="10" t="str">
        <x:v>NCG_H1</x:v>
      </x:c>
      <x:c r="C75" s="36" t="n">
        <x:f>50*SUM('分布占比原始'!F696:F705)</x:f>
        <x:v>1.7820904180836146</x:v>
      </x:c>
      <x:c r="D75" s="36" t="n">
        <x:v>1.7820904180836146</x:v>
      </x:c>
    </x:row>
    <x:row r="76" ht="23" customHeight="1">
      <x:c r="A76" s="10" t="str">
        <x:v>M6</x:v>
      </x:c>
      <x:c r="B76" s="10" t="str">
        <x:v>N_H0</x:v>
      </x:c>
      <x:c r="C76" s="36" t="n">
        <x:f>50*SUM('分布占比原始'!F706:F715)</x:f>
        <x:v>64.29722564297226</x:v>
      </x:c>
      <x:c r="D76" s="36" t="n">
        <x:v>64.29722564297225</x:v>
      </x:c>
    </x:row>
    <x:row r="77" ht="23" customHeight="1">
      <x:c r="A77" s="10" t="str">
        <x:v>M6</x:v>
      </x:c>
      <x:c r="B77" s="10" t="str">
        <x:v>N_H1</x:v>
      </x:c>
      <x:c r="C77" s="36" t="n">
        <x:f>50*SUM('分布占比原始'!F716:F725)</x:f>
        <x:v>64.29722564297226</x:v>
      </x:c>
      <x:c r="D77" s="36" t="n">
        <x:v>64.29722564297225</x:v>
      </x:c>
    </x:row>
    <x:row r="78" ht="23" customHeight="1">
      <x:c r="A78" s="10" t="str">
        <x:v>M6</x:v>
      </x:c>
      <x:c r="B78" s="10" t="str">
        <x:v>C_H0</x:v>
      </x:c>
      <x:c r="C78" s="36" t="n">
        <x:f>50*SUM('分布占比原始'!F726:F735)</x:f>
        <x:v>77.17772677267727</x:v>
      </x:c>
      <x:c r="D78" s="36" t="n">
        <x:v>77.17772677267726</x:v>
      </x:c>
    </x:row>
    <x:row r="79" ht="23" customHeight="1">
      <x:c r="A79" s="10" t="str">
        <x:v>M6</x:v>
      </x:c>
      <x:c r="B79" s="10" t="str">
        <x:v>C_H1</x:v>
      </x:c>
      <x:c r="C79" s="36" t="n">
        <x:f>50*SUM('分布占比原始'!F736:F745)</x:f>
        <x:v>77.17772677267727</x:v>
      </x:c>
      <x:c r="D79" s="36" t="n">
        <x:v>77.17772677267726</x:v>
      </x:c>
    </x:row>
    <x:row r="80" ht="23" customHeight="1">
      <x:c r="A80" s="10" t="str">
        <x:v>M6</x:v>
      </x:c>
      <x:c r="B80" s="10" t="str">
        <x:v>G_H0</x:v>
      </x:c>
      <x:c r="C80" s="36" t="n">
        <x:f>50*SUM('分布占比原始'!F746:F755)</x:f>
        <x:v>15.971998199819982</x:v>
      </x:c>
      <x:c r="D80" s="36" t="n">
        <x:v>15.971998199819984</x:v>
      </x:c>
    </x:row>
    <x:row r="81" ht="23" customHeight="1">
      <x:c r="A81" s="10" t="str">
        <x:v>M6</x:v>
      </x:c>
      <x:c r="B81" s="10" t="str">
        <x:v>G_H1</x:v>
      </x:c>
      <x:c r="C81" s="36" t="n">
        <x:f>50*SUM('分布占比原始'!F756:F765)</x:f>
        <x:v>18.54363536353635</x:v>
      </x:c>
      <x:c r="D81" s="36" t="n">
        <x:v>18.543635363536353</x:v>
      </x:c>
    </x:row>
    <x:row r="82" ht="23" customHeight="1">
      <x:c r="A82" s="10" t="str">
        <x:v>M6</x:v>
      </x:c>
      <x:c r="B82" s="10" t="str">
        <x:v>NC_H0</x:v>
      </x:c>
      <x:c r="C82" s="36" t="n">
        <x:f>50*SUM('分布占比原始'!F766:F775)</x:f>
        <x:v>65.22713265227134</x:v>
      </x:c>
      <x:c r="D82" s="36" t="n">
        <x:v>65.22713265227132</x:v>
      </x:c>
    </x:row>
    <x:row r="83" ht="23" customHeight="1">
      <x:c r="A83" s="10" t="str">
        <x:v>M6</x:v>
      </x:c>
      <x:c r="B83" s="10" t="str">
        <x:v>NC_H1</x:v>
      </x:c>
      <x:c r="C83" s="36" t="n">
        <x:f>50*SUM('分布占比原始'!F776:F785)</x:f>
        <x:v>65.22713265227132</x:v>
      </x:c>
      <x:c r="D83" s="36" t="n">
        <x:v>65.22713265227132</x:v>
      </x:c>
    </x:row>
    <x:row r="84" ht="23" customHeight="1">
      <x:c r="A84" s="10" t="str">
        <x:v>M6</x:v>
      </x:c>
      <x:c r="B84" s="10" t="str">
        <x:v>NG_H0</x:v>
      </x:c>
      <x:c r="C84" s="36" t="n">
        <x:f>50*SUM('分布占比原始'!F786:F795)</x:f>
        <x:v>10.838955108389552</x:v>
      </x:c>
      <x:c r="D84" s="36" t="n">
        <x:v>10.83895510838955</x:v>
      </x:c>
    </x:row>
    <x:row r="85" ht="23" customHeight="1">
      <x:c r="A85" s="10" t="str">
        <x:v>M6</x:v>
      </x:c>
      <x:c r="B85" s="10" t="str">
        <x:v>NG_H1</x:v>
      </x:c>
      <x:c r="C85" s="36" t="n">
        <x:f>50*SUM('分布占比原始'!F796:F805)</x:f>
        <x:v>9.76310588467365</x:v>
      </x:c>
      <x:c r="D85" s="36" t="n">
        <x:v>9.763105884673648</x:v>
      </x:c>
    </x:row>
    <x:row r="86" ht="23" customHeight="1">
      <x:c r="A86" s="10" t="str">
        <x:v>M6</x:v>
      </x:c>
      <x:c r="B86" s="10" t="str">
        <x:v>CG_H0</x:v>
      </x:c>
      <x:c r="C86" s="36" t="n">
        <x:f>50*SUM('分布占比原始'!F806:F815)</x:f>
        <x:v>15.91439443944394</x:v>
      </x:c>
      <x:c r="D86" s="36" t="n">
        <x:v>15.914394439443944</x:v>
      </x:c>
    </x:row>
    <x:row r="87" ht="23" customHeight="1">
      <x:c r="A87" s="10" t="str">
        <x:v>M6</x:v>
      </x:c>
      <x:c r="B87" s="10" t="str">
        <x:v>CG_H1</x:v>
      </x:c>
      <x:c r="C87" s="36" t="n">
        <x:f>50*SUM('分布占比原始'!F816:F825)</x:f>
        <x:v>13.55439443944394</x:v>
      </x:c>
      <x:c r="D87" s="36" t="n">
        <x:v>13.554394439443943</x:v>
      </x:c>
    </x:row>
    <x:row r="88" ht="23" customHeight="1">
      <x:c r="A88" s="10" t="str">
        <x:v>M6</x:v>
      </x:c>
      <x:c r="B88" s="10" t="str">
        <x:v>NCG_H0</x:v>
      </x:c>
      <x:c r="C88" s="36" t="n">
        <x:f>50*SUM('分布占比原始'!F826:F835)</x:f>
        <x:v>6.303869739103485</x:v>
      </x:c>
      <x:c r="D88" s="36" t="n">
        <x:v>6.303869739103483</x:v>
      </x:c>
    </x:row>
    <x:row r="89" ht="23" customHeight="1">
      <x:c r="A89" s="10" t="str">
        <x:v>M6</x:v>
      </x:c>
      <x:c r="B89" s="10" t="str">
        <x:v>NCG_H1</x:v>
      </x:c>
      <x:c r="C89" s="36" t="n">
        <x:f>50*SUM('分布占比原始'!F836:F845)</x:f>
        <x:v>2.63351935193519</x:v>
      </x:c>
      <x:c r="D89" s="36" t="n">
        <x:v>2.63351935193519</x:v>
      </x:c>
    </x:row>
    <x:row r="90" ht="23" customHeight="1">
      <x:c r="A90" s="10" t="str">
        <x:v>M7</x:v>
      </x:c>
      <x:c r="B90" s="10" t="str">
        <x:v>N_H0</x:v>
      </x:c>
      <x:c r="C90" s="36" t="n">
        <x:f>50*SUM('分布占比原始'!F846:F855)</x:f>
        <x:v>82.16805161032208</x:v>
      </x:c>
      <x:c r="D90" s="36" t="n">
        <x:v>82.16805161032208</x:v>
      </x:c>
    </x:row>
    <x:row r="91" ht="23" customHeight="1">
      <x:c r="A91" s="10" t="str">
        <x:v>M7</x:v>
      </x:c>
      <x:c r="B91" s="10" t="str">
        <x:v>N_H1</x:v>
      </x:c>
      <x:c r="C91" s="36" t="n">
        <x:f>50*SUM('分布占比原始'!F856:F865)</x:f>
        <x:v>82.36722351971144</x:v>
      </x:c>
      <x:c r="D91" s="36" t="n">
        <x:v>82.36722351971146</x:v>
      </x:c>
    </x:row>
    <x:row r="92" ht="23" customHeight="1">
      <x:c r="A92" s="10" t="str">
        <x:v>M7</x:v>
      </x:c>
      <x:c r="B92" s="10" t="str">
        <x:v>C_H0</x:v>
      </x:c>
      <x:c r="C92" s="36" t="n">
        <x:f>50*SUM('分布占比原始'!F866:F875)</x:f>
        <x:v>81.67840168033608</x:v>
      </x:c>
      <x:c r="D92" s="36" t="n">
        <x:v>81.67840168033607</x:v>
      </x:c>
    </x:row>
    <x:row r="93" ht="23" customHeight="1">
      <x:c r="A93" s="10" t="str">
        <x:v>M7</x:v>
      </x:c>
      <x:c r="B93" s="10" t="str">
        <x:v>C_H1</x:v>
      </x:c>
      <x:c r="C93" s="36" t="n">
        <x:f>50*SUM('分布占比原始'!F876:F885)</x:f>
        <x:v>81.6784016803361</x:v>
      </x:c>
      <x:c r="D93" s="36" t="n">
        <x:v>81.67840168033607</x:v>
      </x:c>
    </x:row>
    <x:row r="94" ht="23" customHeight="1">
      <x:c r="A94" s="10" t="str">
        <x:v>M7</x:v>
      </x:c>
      <x:c r="B94" s="10" t="str">
        <x:v>G_H0</x:v>
      </x:c>
      <x:c r="C94" s="36" t="n">
        <x:f>50*SUM('分布占比原始'!F886:F895)</x:f>
        <x:v>11.877522989849448</x:v>
      </x:c>
      <x:c r="D94" s="36" t="n">
        <x:v>11.877522989849444</x:v>
      </x:c>
    </x:row>
    <x:row r="95" ht="23" customHeight="1">
      <x:c r="A95" s="10" t="str">
        <x:v>M7</x:v>
      </x:c>
      <x:c r="B95" s="10" t="str">
        <x:v>G_H1</x:v>
      </x:c>
      <x:c r="C95" s="36" t="n">
        <x:f>50*SUM('分布占比原始'!F896:F905)</x:f>
        <x:v>12.166333266653321</x:v>
      </x:c>
      <x:c r="D95" s="36" t="n">
        <x:v>12.166333266653325</x:v>
      </x:c>
    </x:row>
    <x:row r="96" ht="23" customHeight="1">
      <x:c r="A96" s="10" t="str">
        <x:v>M7</x:v>
      </x:c>
      <x:c r="B96" s="10" t="str">
        <x:v>NC_H0</x:v>
      </x:c>
      <x:c r="C96" s="36" t="n">
        <x:f>50*SUM('分布占比原始'!F906:F915)</x:f>
        <x:v>78.45923149233387</x:v>
      </x:c>
      <x:c r="D96" s="36" t="n">
        <x:v>78.45923149233387</x:v>
      </x:c>
    </x:row>
    <x:row r="97" ht="23" customHeight="1">
      <x:c r="A97" s="10" t="str">
        <x:v>M7</x:v>
      </x:c>
      <x:c r="B97" s="10" t="str">
        <x:v>NC_H1</x:v>
      </x:c>
      <x:c r="C97" s="36" t="n">
        <x:f>50*SUM('分布占比原始'!F916:F925)</x:f>
        <x:v>78.56797359471895</x:v>
      </x:c>
      <x:c r="D97" s="36" t="n">
        <x:v>78.56797359471895</x:v>
      </x:c>
    </x:row>
    <x:row r="98" ht="23" customHeight="1">
      <x:c r="A98" s="10" t="str">
        <x:v>M7</x:v>
      </x:c>
      <x:c r="B98" s="10" t="str">
        <x:v>NG_H0</x:v>
      </x:c>
      <x:c r="C98" s="36" t="n">
        <x:f>50*SUM('分布占比原始'!F926:F935)</x:f>
        <x:v>9.155457091418278</x:v>
      </x:c>
      <x:c r="D98" s="36" t="n">
        <x:v>9.15545709141828</x:v>
      </x:c>
    </x:row>
    <x:row r="99" ht="23" customHeight="1">
      <x:c r="A99" s="10" t="str">
        <x:v>M7</x:v>
      </x:c>
      <x:c r="B99" s="10" t="str">
        <x:v>NG_H1</x:v>
      </x:c>
      <x:c r="C99" s="36" t="n">
        <x:f>50*SUM('分布占比原始'!F936:F945)</x:f>
        <x:v>6.9059051810362035</x:v>
      </x:c>
      <x:c r="D99" s="36" t="n">
        <x:v>6.905905181036206</x:v>
      </x:c>
    </x:row>
    <x:row r="100" ht="23" customHeight="1">
      <x:c r="A100" s="10" t="str">
        <x:v>M7</x:v>
      </x:c>
      <x:c r="B100" s="10" t="str">
        <x:v>CG_H0</x:v>
      </x:c>
      <x:c r="C100" s="36" t="n">
        <x:f>50*SUM('分布占比原始'!F946:F955)</x:f>
        <x:v>11.487561985949828</x:v>
      </x:c>
      <x:c r="D100" s="36" t="n">
        <x:v>11.487561985949828</x:v>
      </x:c>
    </x:row>
    <x:row r="101" ht="23" customHeight="1">
      <x:c r="A101" s="10" t="str">
        <x:v>M7</x:v>
      </x:c>
      <x:c r="B101" s="10" t="str">
        <x:v>CG_H1</x:v>
      </x:c>
      <x:c r="C101" s="36" t="n">
        <x:f>50*SUM('分布占比原始'!F956:F965)</x:f>
        <x:v>8.174208841768344</x:v>
      </x:c>
      <x:c r="D101" s="36" t="n">
        <x:v>8.17420884176835</x:v>
      </x:c>
    </x:row>
    <x:row r="102" ht="23" customHeight="1">
      <x:c r="A102" s="10" t="str">
        <x:v>M7</x:v>
      </x:c>
      <x:c r="B102" s="10" t="str">
        <x:v>NCG_H0</x:v>
      </x:c>
      <x:c r="C102" s="36" t="n">
        <x:f>50*SUM('分布占比原始'!F966:F975)</x:f>
        <x:v>9.055457091418283</x:v>
      </x:c>
      <x:c r="D102" s="36" t="n">
        <x:v>9.055457091418285</x:v>
      </x:c>
    </x:row>
    <x:row r="103" ht="23" customHeight="1">
      <x:c r="A103" s="10" t="str">
        <x:v>M7</x:v>
      </x:c>
      <x:c r="B103" s="10" t="str">
        <x:v>NCG_H1</x:v>
      </x:c>
      <x:c r="C103" s="36" t="n">
        <x:f>50*SUM('分布占比原始'!F976:F985)</x:f>
        <x:v>7.007601900342062</x:v>
      </x:c>
      <x:c r="D103" s="36" t="n">
        <x:v>7.007601900342067</x:v>
      </x:c>
    </x:row>
    <x:row r="104" ht="23" customHeight="1">
      <x:c r="A104" s="10" t="str">
        <x:v>M8</x:v>
      </x:c>
      <x:c r="B104" s="10" t="str">
        <x:v>N_H0</x:v>
      </x:c>
      <x:c r="C104" s="36" t="n">
        <x:f>50*SUM('分布占比原始'!F986:F995)</x:f>
        <x:v>70.64000000000001</x:v>
      </x:c>
      <x:c r="D104" s="36" t="n">
        <x:v>70.64</x:v>
      </x:c>
    </x:row>
    <x:row r="105" ht="23" customHeight="1">
      <x:c r="A105" s="10" t="str">
        <x:v>M8</x:v>
      </x:c>
      <x:c r="B105" s="10" t="str">
        <x:v>N_H1</x:v>
      </x:c>
      <x:c r="C105" s="36" t="n">
        <x:f>50*SUM('分布占比原始'!F996:F1005)</x:f>
        <x:v>70.64</x:v>
      </x:c>
      <x:c r="D105" s="36" t="n">
        <x:v>70.64</x:v>
      </x:c>
    </x:row>
    <x:row r="106" ht="23" customHeight="1">
      <x:c r="A106" s="10" t="str">
        <x:v>M8</x:v>
      </x:c>
      <x:c r="B106" s="10" t="str">
        <x:v>C_H0</x:v>
      </x:c>
      <x:c r="C106" s="36" t="n">
        <x:f>50*SUM('分布占比原始'!F1006:F1015)</x:f>
        <x:v>75.9499789978998</x:v>
      </x:c>
      <x:c r="D106" s="36" t="n">
        <x:v>75.94997899789979</x:v>
      </x:c>
    </x:row>
    <x:row r="107" ht="23" customHeight="1">
      <x:c r="A107" s="10" t="str">
        <x:v>M8</x:v>
      </x:c>
      <x:c r="B107" s="10" t="str">
        <x:v>C_H1</x:v>
      </x:c>
      <x:c r="C107" s="36" t="n">
        <x:f>50*SUM('分布占比原始'!F1016:F1025)</x:f>
        <x:v>75.8</x:v>
      </x:c>
      <x:c r="D107" s="36" t="n">
        <x:v>75.8</x:v>
      </x:c>
    </x:row>
    <x:row r="108" ht="23" customHeight="1">
      <x:c r="A108" s="10" t="str">
        <x:v>M8</x:v>
      </x:c>
      <x:c r="B108" s="10" t="str">
        <x:v>G_H0</x:v>
      </x:c>
      <x:c r="C108" s="36" t="n">
        <x:f>50*SUM('分布占比原始'!F1026:F1035)</x:f>
        <x:v>12.809999999999997</x:v>
      </x:c>
      <x:c r="D108" s="36" t="n">
        <x:v>12.809999999999999</x:v>
      </x:c>
    </x:row>
    <x:row r="109" ht="23" customHeight="1">
      <x:c r="A109" s="10" t="str">
        <x:v>M8</x:v>
      </x:c>
      <x:c r="B109" s="10" t="str">
        <x:v>G_H1</x:v>
      </x:c>
      <x:c r="C109" s="36" t="n">
        <x:f>50*SUM('分布占比原始'!F1036:F1045)</x:f>
        <x:v>14.399999999999997</x:v>
      </x:c>
      <x:c r="D109" s="36" t="n">
        <x:v>14.399999999999995</x:v>
      </x:c>
    </x:row>
    <x:row r="110" ht="23" customHeight="1">
      <x:c r="A110" s="10" t="str">
        <x:v>M8</x:v>
      </x:c>
      <x:c r="B110" s="10" t="str">
        <x:v>NC_H0</x:v>
      </x:c>
      <x:c r="C110" s="36" t="n">
        <x:f>50*SUM('分布占比原始'!F1046:F1055)</x:f>
        <x:v>66.17999999999998</x:v>
      </x:c>
      <x:c r="D110" s="36" t="n">
        <x:v>66.17999999999999</x:v>
      </x:c>
    </x:row>
    <x:row r="111" ht="23" customHeight="1">
      <x:c r="A111" s="10" t="str">
        <x:v>M8</x:v>
      </x:c>
      <x:c r="B111" s="10" t="str">
        <x:v>NC_H1</x:v>
      </x:c>
      <x:c r="C111" s="36" t="n">
        <x:f>50*SUM('分布占比原始'!F1056:F1065)</x:f>
        <x:v>66.07918191819181</x:v>
      </x:c>
      <x:c r="D111" s="36" t="n">
        <x:v>66.07918191819182</x:v>
      </x:c>
    </x:row>
    <x:row r="112" ht="23" customHeight="1">
      <x:c r="A112" s="10" t="str">
        <x:v>M8</x:v>
      </x:c>
      <x:c r="B112" s="10" t="str">
        <x:v>NG_H0</x:v>
      </x:c>
      <x:c r="C112" s="36" t="n">
        <x:f>50*SUM('分布占比原始'!F1066:F1075)</x:f>
        <x:v>6.999999999999999</x:v>
      </x:c>
      <x:c r="D112" s="36" t="n">
        <x:v>7.000000000000001</x:v>
      </x:c>
    </x:row>
    <x:row r="113" ht="23" customHeight="1">
      <x:c r="A113" s="10" t="str">
        <x:v>M8</x:v>
      </x:c>
      <x:c r="B113" s="10" t="str">
        <x:v>NG_H1</x:v>
      </x:c>
      <x:c r="C113" s="36" t="n">
        <x:f>50*SUM('分布占比原始'!F1076:F1085)</x:f>
        <x:v>5.324189581041894</x:v>
      </x:c>
      <x:c r="D113" s="36" t="n">
        <x:v>5.324189581041893</x:v>
      </x:c>
    </x:row>
    <x:row r="114" ht="23" customHeight="1">
      <x:c r="A114" s="10" t="str">
        <x:v>M8</x:v>
      </x:c>
      <x:c r="B114" s="10" t="str">
        <x:v>CG_H0</x:v>
      </x:c>
      <x:c r="C114" s="36" t="n">
        <x:f>50*SUM('分布占比原始'!F1086:F1095)</x:f>
        <x:v>13.240000000000004</x:v>
      </x:c>
      <x:c r="D114" s="36" t="n">
        <x:v>13.240000000000004</x:v>
      </x:c>
    </x:row>
    <x:row r="115" ht="23" customHeight="1">
      <x:c r="A115" s="10" t="str">
        <x:v>M8</x:v>
      </x:c>
      <x:c r="B115" s="10" t="str">
        <x:v>CG_H1</x:v>
      </x:c>
      <x:c r="C115" s="36" t="n">
        <x:f>50*SUM('分布占比原始'!F1096:F1105)</x:f>
        <x:v>11.239999999999997</x:v>
      </x:c>
      <x:c r="D115" s="36" t="n">
        <x:v>11.24</x:v>
      </x:c>
    </x:row>
    <x:row r="116" ht="23" customHeight="1">
      <x:c r="A116" s="10" t="str">
        <x:v>M8</x:v>
      </x:c>
      <x:c r="B116" s="10" t="str">
        <x:v>NCG_H0</x:v>
      </x:c>
      <x:c r="C116" s="36" t="n">
        <x:f>50*SUM('分布占比原始'!F1106:F1115)</x:f>
        <x:v>6.1099999999999985</x:v>
      </x:c>
      <x:c r="D116" s="36" t="n">
        <x:v>6.109999999999999</x:v>
      </x:c>
    </x:row>
    <x:row r="117" ht="23" customHeight="1">
      <x:c r="A117" s="10" t="str">
        <x:v>M8</x:v>
      </x:c>
      <x:c r="B117" s="10" t="str">
        <x:v>NCG_H1</x:v>
      </x:c>
      <x:c r="C117" s="36" t="n">
        <x:f>50*SUM('分布占比原始'!F1116:F1125)</x:f>
        <x:v>5.929999999999998</x:v>
      </x:c>
      <x:c r="D117" s="36" t="n">
        <x:v>5.929999999999999</x:v>
      </x:c>
    </x:row>
    <x:row r="118" ht="23" customHeight="1">
      <x:c r="A118" s="10" t="str">
        <x:v>M9</x:v>
      </x:c>
      <x:c r="B118" s="10" t="str">
        <x:v>N_H0</x:v>
      </x:c>
      <x:c r="C118" s="36" t="n">
        <x:f>50*SUM('分布占比原始'!F1126:F1135)</x:f>
        <x:v>65.004642307215</x:v>
      </x:c>
      <x:c r="D118" s="36" t="n">
        <x:v>65.004642307215</x:v>
      </x:c>
    </x:row>
    <x:row r="119" ht="23" customHeight="1">
      <x:c r="A119" s="10" t="str">
        <x:v>M9</x:v>
      </x:c>
      <x:c r="B119" s="10" t="str">
        <x:v>N_H1</x:v>
      </x:c>
      <x:c r="C119" s="36" t="n">
        <x:f>50*SUM('分布占比原始'!F1136:F1145)</x:f>
        <x:v>65.004642307215</x:v>
      </x:c>
      <x:c r="D119" s="36" t="n">
        <x:v>65.004642307215</x:v>
      </x:c>
    </x:row>
    <x:row r="120" ht="23" customHeight="1">
      <x:c r="A120" s="10" t="str">
        <x:v>M9</x:v>
      </x:c>
      <x:c r="B120" s="10" t="str">
        <x:v>C_H0</x:v>
      </x:c>
      <x:c r="C120" s="36" t="n">
        <x:f>50*SUM('分布占比原始'!F1146:F1155)</x:f>
        <x:v>81.68180281971803</x:v>
      </x:c>
      <x:c r="D120" s="36" t="n">
        <x:v>81.68180281971803</x:v>
      </x:c>
    </x:row>
    <x:row r="121" ht="23" customHeight="1">
      <x:c r="A121" s="10" t="str">
        <x:v>M9</x:v>
      </x:c>
      <x:c r="B121" s="10" t="str">
        <x:v>C_H1</x:v>
      </x:c>
      <x:c r="C121" s="36" t="n">
        <x:f>50*SUM('分布占比原始'!F1156:F1165)</x:f>
        <x:v>81.42185781421858</x:v>
      </x:c>
      <x:c r="D121" s="36" t="n">
        <x:v>81.42185781421858</x:v>
      </x:c>
    </x:row>
    <x:row r="122" ht="23" customHeight="1">
      <x:c r="A122" s="10" t="str">
        <x:v>M9</x:v>
      </x:c>
      <x:c r="B122" s="10" t="str">
        <x:v>G_H0</x:v>
      </x:c>
      <x:c r="C122" s="36" t="n">
        <x:f>50*SUM('分布占比原始'!F1166:F1175)</x:f>
        <x:v>23.023537646235376</x:v>
      </x:c>
      <x:c r="D122" s="36" t="n">
        <x:v>23.023537646235376</x:v>
      </x:c>
    </x:row>
    <x:row r="123" ht="23" customHeight="1">
      <x:c r="A123" s="10" t="str">
        <x:v>M9</x:v>
      </x:c>
      <x:c r="B123" s="10" t="str">
        <x:v>G_H1</x:v>
      </x:c>
      <x:c r="C123" s="36" t="n">
        <x:f>50*SUM('分布占比原始'!F1176:F1185)</x:f>
        <x:v>23.85602639736027</x:v>
      </x:c>
      <x:c r="D123" s="36" t="n">
        <x:v>23.85602639736027</x:v>
      </x:c>
    </x:row>
    <x:row r="124" ht="23" customHeight="1">
      <x:c r="A124" s="10" t="str">
        <x:v>M9</x:v>
      </x:c>
      <x:c r="B124" s="10" t="str">
        <x:v>NC_H0</x:v>
      </x:c>
      <x:c r="C124" s="36" t="n">
        <x:f>50*SUM('分布占比原始'!F1186:F1195)</x:f>
        <x:v>64.2035796420358</x:v>
      </x:c>
      <x:c r="D124" s="36" t="n">
        <x:v>64.2035796420358</x:v>
      </x:c>
    </x:row>
    <x:row r="125" ht="23" customHeight="1">
      <x:c r="A125" s="10" t="str">
        <x:v>M9</x:v>
      </x:c>
      <x:c r="B125" s="10" t="str">
        <x:v>NC_H1</x:v>
      </x:c>
      <x:c r="C125" s="36" t="n">
        <x:f>50*SUM('分布占比原始'!F1196:F1205)</x:f>
        <x:v>64.2035796420358</x:v>
      </x:c>
      <x:c r="D125" s="36" t="n">
        <x:v>64.20357964203579</x:v>
      </x:c>
    </x:row>
    <x:row r="126" ht="23" customHeight="1">
      <x:c r="A126" s="10" t="str">
        <x:v>M9</x:v>
      </x:c>
      <x:c r="B126" s="10" t="str">
        <x:v>NG_H0</x:v>
      </x:c>
      <x:c r="C126" s="36" t="n">
        <x:f>50*SUM('分布占比原始'!F1206:F1215)</x:f>
        <x:v>8.019198080191982</x:v>
      </x:c>
      <x:c r="D126" s="36" t="n">
        <x:v>8.01919808019198</x:v>
      </x:c>
    </x:row>
    <x:row r="127" ht="23" customHeight="1">
      <x:c r="A127" s="10" t="str">
        <x:v>M9</x:v>
      </x:c>
      <x:c r="B127" s="10" t="str">
        <x:v>NG_H1</x:v>
      </x:c>
      <x:c r="C127" s="36" t="n">
        <x:f>50*SUM('分布占比原始'!F1216:F1225)</x:f>
        <x:v>5.334938506149384</x:v>
      </x:c>
      <x:c r="D127" s="36" t="n">
        <x:v>5.334938506149383</x:v>
      </x:c>
    </x:row>
    <x:row r="128" ht="23" customHeight="1">
      <x:c r="A128" s="10" t="str">
        <x:v>M9</x:v>
      </x:c>
      <x:c r="B128" s="10" t="str">
        <x:v>CG_H0</x:v>
      </x:c>
      <x:c r="C128" s="36" t="n">
        <x:f>50*SUM('分布占比原始'!F1226:F1235)</x:f>
        <x:v>22.604384561543846</x:v>
      </x:c>
      <x:c r="D128" s="36" t="n">
        <x:v>22.604384561543842</x:v>
      </x:c>
    </x:row>
    <x:row r="129" ht="23" customHeight="1">
      <x:c r="A129" s="10" t="str">
        <x:v>M9</x:v>
      </x:c>
      <x:c r="B129" s="10" t="str">
        <x:v>CG_H1</x:v>
      </x:c>
      <x:c r="C129" s="36" t="n">
        <x:f>50*SUM('分布占比原始'!F1236:F1245)</x:f>
        <x:v>19.88573519885735</x:v>
      </x:c>
      <x:c r="D129" s="36" t="n">
        <x:v>19.885735198857354</x:v>
      </x:c>
    </x:row>
    <x:row r="130" ht="23" customHeight="1">
      <x:c r="A130" s="10" t="str">
        <x:v>M9</x:v>
      </x:c>
      <x:c r="B130" s="10" t="str">
        <x:v>NCG_H0</x:v>
      </x:c>
      <x:c r="C130" s="36" t="n">
        <x:f>50*SUM('分布占比原始'!F1246:F1255)</x:f>
        <x:v>5.705785421457852</x:v>
      </x:c>
      <x:c r="D130" s="36" t="n">
        <x:v>5.705785421457851</x:v>
      </x:c>
    </x:row>
    <x:row r="131" ht="23" customHeight="1">
      <x:c r="A131" s="10" t="str">
        <x:v>M9</x:v>
      </x:c>
      <x:c r="B131" s="10" t="str">
        <x:v>NCG_H1</x:v>
      </x:c>
      <x:c r="C131" s="36" t="n">
        <x:f>50*SUM('分布占比原始'!F1256:F1265)</x:f>
        <x:v>3.307427257274273</x:v>
      </x:c>
      <x:c r="D131" s="36" t="n">
        <x:v>3.307427257274271</x:v>
      </x:c>
    </x:row>
    <x:row r="132" ht="23" customHeight="1">
      <x:c r="A132" s="10" t="str">
        <x:v>M10</x:v>
      </x:c>
      <x:c r="B132" s="10" t="str">
        <x:v>N_H0</x:v>
      </x:c>
      <x:c r="C132" s="36" t="n">
        <x:f>50*SUM('分布占比原始'!F1266:F1275)</x:f>
        <x:v>73.358501850185</x:v>
      </x:c>
      <x:c r="D132" s="36" t="n">
        <x:v>73.35850185018501</x:v>
      </x:c>
    </x:row>
    <x:row r="133" ht="23" customHeight="1">
      <x:c r="A133" s="10" t="str">
        <x:v>M10</x:v>
      </x:c>
      <x:c r="B133" s="10" t="str">
        <x:v>N_H1</x:v>
      </x:c>
      <x:c r="C133" s="36" t="n">
        <x:f>50*SUM('分布占比原始'!F1276:F1285)</x:f>
        <x:v>73.358501850185</x:v>
      </x:c>
      <x:c r="D133" s="36" t="n">
        <x:v>73.35850185018501</x:v>
      </x:c>
    </x:row>
    <x:row r="134" ht="23" customHeight="1">
      <x:c r="A134" s="10" t="str">
        <x:v>M10</x:v>
      </x:c>
      <x:c r="B134" s="10" t="str">
        <x:v>C_H0</x:v>
      </x:c>
      <x:c r="C134" s="36" t="n">
        <x:f>50*SUM('分布占比原始'!F1286:F1295)</x:f>
        <x:v>80.32000000000001</x:v>
      </x:c>
      <x:c r="D134" s="36" t="n">
        <x:v>80.32</x:v>
      </x:c>
    </x:row>
    <x:row r="135" ht="23" customHeight="1">
      <x:c r="A135" s="10" t="str">
        <x:v>M10</x:v>
      </x:c>
      <x:c r="B135" s="10" t="str">
        <x:v>C_H1</x:v>
      </x:c>
      <x:c r="C135" s="36" t="n">
        <x:f>50*SUM('分布占比原始'!F1296:F1305)</x:f>
        <x:v>80.32000000000001</x:v>
      </x:c>
      <x:c r="D135" s="36" t="n">
        <x:v>80.32</x:v>
      </x:c>
    </x:row>
    <x:row r="136" ht="23" customHeight="1">
      <x:c r="A136" s="10" t="str">
        <x:v>M10</x:v>
      </x:c>
      <x:c r="B136" s="10" t="str">
        <x:v>G_H0</x:v>
      </x:c>
      <x:c r="C136" s="36" t="n">
        <x:f>50*SUM('分布占比原始'!F1306:F1315)</x:f>
        <x:v>19.300000000000004</x:v>
      </x:c>
      <x:c r="D136" s="36" t="n">
        <x:v>19.3</x:v>
      </x:c>
    </x:row>
    <x:row r="137" ht="23" customHeight="1">
      <x:c r="A137" s="10" t="str">
        <x:v>M10</x:v>
      </x:c>
      <x:c r="B137" s="10" t="str">
        <x:v>G_H1</x:v>
      </x:c>
      <x:c r="C137" s="36" t="n">
        <x:f>50*SUM('分布占比原始'!F1316:F1325)</x:f>
        <x:v>13.510000000000009</x:v>
      </x:c>
      <x:c r="D137" s="36" t="n">
        <x:v>13.510000000000007</x:v>
      </x:c>
    </x:row>
    <x:row r="138" ht="23" customHeight="1">
      <x:c r="A138" s="10" t="str">
        <x:v>M10</x:v>
      </x:c>
      <x:c r="B138" s="10" t="str">
        <x:v>NC_H0</x:v>
      </x:c>
      <x:c r="C138" s="36" t="n">
        <x:f>50*SUM('分布占比原始'!F1326:F1335)</x:f>
        <x:v>70.21</x:v>
      </x:c>
      <x:c r="D138" s="36" t="n">
        <x:v>70.21</x:v>
      </x:c>
    </x:row>
    <x:row r="139" ht="23" customHeight="1">
      <x:c r="A139" s="10" t="str">
        <x:v>M10</x:v>
      </x:c>
      <x:c r="B139" s="10" t="str">
        <x:v>NC_H1</x:v>
      </x:c>
      <x:c r="C139" s="36" t="n">
        <x:f>50*SUM('分布占比原始'!F1336:F1345)</x:f>
        <x:v>70.20071592840715</x:v>
      </x:c>
      <x:c r="D139" s="36" t="n">
        <x:v>70.20071592840715</x:v>
      </x:c>
    </x:row>
    <x:row r="140" ht="23" customHeight="1">
      <x:c r="A140" s="10" t="str">
        <x:v>M10</x:v>
      </x:c>
      <x:c r="B140" s="10" t="str">
        <x:v>NG_H0</x:v>
      </x:c>
      <x:c r="C140" s="36" t="n">
        <x:f>50*SUM('分布占比原始'!F1346:F1355)</x:f>
        <x:v>11.406712328767119</x:v>
      </x:c>
      <x:c r="D140" s="36" t="n">
        <x:v>11.40671232876712</x:v>
      </x:c>
    </x:row>
    <x:row r="141" ht="23" customHeight="1">
      <x:c r="A141" s="10" t="str">
        <x:v>M10</x:v>
      </x:c>
      <x:c r="B141" s="10" t="str">
        <x:v>NG_H1</x:v>
      </x:c>
      <x:c r="C141" s="36" t="n">
        <x:f>50*SUM('分布占比原始'!F1356:F1365)</x:f>
        <x:v>4.58</x:v>
      </x:c>
      <x:c r="D141" s="36" t="n">
        <x:v>4.58</x:v>
      </x:c>
    </x:row>
    <x:row r="142" ht="23" customHeight="1">
      <x:c r="A142" s="10" t="str">
        <x:v>M10</x:v>
      </x:c>
      <x:c r="B142" s="10" t="str">
        <x:v>CG_H0</x:v>
      </x:c>
      <x:c r="C142" s="36" t="n">
        <x:f>50*SUM('分布占比原始'!F1366:F1375)</x:f>
        <x:v>19.92000000000001</x:v>
      </x:c>
      <x:c r="D142" s="36" t="n">
        <x:v>19.92</x:v>
      </x:c>
    </x:row>
    <x:row r="143" ht="23" customHeight="1">
      <x:c r="A143" s="10" t="str">
        <x:v>M10</x:v>
      </x:c>
      <x:c r="B143" s="10" t="str">
        <x:v>CG_H1</x:v>
      </x:c>
      <x:c r="C143" s="36" t="n">
        <x:f>50*SUM('分布占比原始'!F1376:F1385)</x:f>
        <x:v>15.977687768776885</x:v>
      </x:c>
      <x:c r="D143" s="36" t="n">
        <x:v>15.977687768776887</x:v>
      </x:c>
    </x:row>
    <x:row r="144" ht="23" customHeight="1">
      <x:c r="A144" s="10" t="str">
        <x:v>M10</x:v>
      </x:c>
      <x:c r="B144" s="10" t="str">
        <x:v>NCG_H0</x:v>
      </x:c>
      <x:c r="C144" s="36" t="n">
        <x:f>50*SUM('分布占比原始'!F1386:F1395)</x:f>
        <x:v>10.089999999999991</x:v>
      </x:c>
      <x:c r="D144" s="36" t="n">
        <x:v>10.08999999999999</x:v>
      </x:c>
    </x:row>
    <x:row r="145" ht="23" customHeight="1">
      <x:c r="A145" s="10" t="str">
        <x:v>M10</x:v>
      </x:c>
      <x:c r="B145" s="10" t="str">
        <x:v>NCG_H1</x:v>
      </x:c>
      <x:c r="C145" s="36" t="n">
        <x:f>50*SUM('分布占比原始'!F1396:F1405)</x:f>
        <x:v>2.2940705929407055</x:v>
      </x:c>
      <x:c r="D145" s="36" t="n">
        <x:v>2.2940705929407046</x:v>
      </x:c>
    </x:row>
    <x:row r="146" ht="23" customHeight="1">
      <x:c r="A146" s="10" t="str">
        <x:v>M11</x:v>
      </x:c>
      <x:c r="B146" s="10" t="str">
        <x:v>N_H0</x:v>
      </x:c>
      <x:c r="C146" s="36" t="n">
        <x:f>50*SUM('分布占比原始'!F1406:F1415)</x:f>
        <x:v>76.13999999999999</x:v>
      </x:c>
      <x:c r="D146" s="36" t="n">
        <x:v>76.13999999999999</x:v>
      </x:c>
    </x:row>
    <x:row r="147" ht="23" customHeight="1">
      <x:c r="A147" s="10" t="str">
        <x:v>M11</x:v>
      </x:c>
      <x:c r="B147" s="10" t="str">
        <x:v>N_H1</x:v>
      </x:c>
      <x:c r="C147" s="36" t="n">
        <x:f>50*SUM('分布占比原始'!F1416:F1425)</x:f>
        <x:v>76.13999999999999</x:v>
      </x:c>
      <x:c r="D147" s="36" t="n">
        <x:v>76.13999999999999</x:v>
      </x:c>
    </x:row>
    <x:row r="148" ht="23" customHeight="1">
      <x:c r="A148" s="10" t="str">
        <x:v>M11</x:v>
      </x:c>
      <x:c r="B148" s="10" t="str">
        <x:v>C_H0</x:v>
      </x:c>
      <x:c r="C148" s="36" t="n">
        <x:f>50*SUM('分布占比原始'!F1426:F1435)</x:f>
        <x:v>67.11499774988751</x:v>
      </x:c>
      <x:c r="D148" s="36" t="n">
        <x:v>67.1149977498875</x:v>
      </x:c>
    </x:row>
    <x:row r="149" ht="23" customHeight="1">
      <x:c r="A149" s="10" t="str">
        <x:v>M11</x:v>
      </x:c>
      <x:c r="B149" s="10" t="str">
        <x:v>C_H1</x:v>
      </x:c>
      <x:c r="C149" s="36" t="n">
        <x:f>50*SUM('分布占比原始'!F1436:F1445)</x:f>
        <x:v>66.64999999999999</x:v>
      </x:c>
      <x:c r="D149" s="36" t="n">
        <x:v>66.64999999999999</x:v>
      </x:c>
    </x:row>
    <x:row r="150" ht="23" customHeight="1">
      <x:c r="A150" s="10" t="str">
        <x:v>M11</x:v>
      </x:c>
      <x:c r="B150" s="10" t="str">
        <x:v>G_H0</x:v>
      </x:c>
      <x:c r="C150" s="36" t="n">
        <x:f>50*SUM('分布占比原始'!F1446:F1455)</x:f>
        <x:v>19.789999999999992</x:v>
      </x:c>
      <x:c r="D150" s="36" t="n">
        <x:v>19.789999999999996</x:v>
      </x:c>
    </x:row>
    <x:row r="151" ht="23" customHeight="1">
      <x:c r="A151" s="10" t="str">
        <x:v>M11</x:v>
      </x:c>
      <x:c r="B151" s="10" t="str">
        <x:v>G_H1</x:v>
      </x:c>
      <x:c r="C151" s="36" t="n">
        <x:f>50*SUM('分布占比原始'!F1456:F1465)</x:f>
        <x:v>13.490387961203886</x:v>
      </x:c>
      <x:c r="D151" s="36" t="n">
        <x:v>13.490387961203883</x:v>
      </x:c>
    </x:row>
    <x:row r="152" ht="23" customHeight="1">
      <x:c r="A152" s="10" t="str">
        <x:v>M11</x:v>
      </x:c>
      <x:c r="B152" s="10" t="str">
        <x:v>NC_H0</x:v>
      </x:c>
      <x:c r="C152" s="36" t="n">
        <x:f>50*SUM('分布占比原始'!F1466:F1475)</x:f>
        <x:v>61.79</x:v>
      </x:c>
      <x:c r="D152" s="36" t="n">
        <x:v>61.78999999999999</x:v>
      </x:c>
    </x:row>
    <x:row r="153" ht="23" customHeight="1">
      <x:c r="A153" s="10" t="str">
        <x:v>M11</x:v>
      </x:c>
      <x:c r="B153" s="10" t="str">
        <x:v>NC_H1</x:v>
      </x:c>
      <x:c r="C153" s="36" t="n">
        <x:f>50*SUM('分布占比原始'!F1476:F1485)</x:f>
        <x:v>61.949999999999996</x:v>
      </x:c>
      <x:c r="D153" s="36" t="n">
        <x:v>61.94999999999999</x:v>
      </x:c>
    </x:row>
    <x:row r="154" ht="23" customHeight="1">
      <x:c r="A154" s="10" t="str">
        <x:v>M11</x:v>
      </x:c>
      <x:c r="B154" s="10" t="str">
        <x:v>NG_H0</x:v>
      </x:c>
      <x:c r="C154" s="36" t="n">
        <x:f>50*SUM('分布占比原始'!F1486:F1495)</x:f>
        <x:v>19.19528552855285</x:v>
      </x:c>
      <x:c r="D154" s="36" t="n">
        <x:v>19.19528552855285</x:v>
      </x:c>
    </x:row>
    <x:row r="155" ht="23" customHeight="1">
      <x:c r="A155" s="10" t="str">
        <x:v>M11</x:v>
      </x:c>
      <x:c r="B155" s="10" t="str">
        <x:v>NG_H1</x:v>
      </x:c>
      <x:c r="C155" s="36" t="n">
        <x:f>50*SUM('分布占比原始'!F1496:F1505)</x:f>
        <x:v>9.389999999999997</x:v>
      </x:c>
      <x:c r="D155" s="36" t="n">
        <x:v>9.389999999999995</x:v>
      </x:c>
    </x:row>
    <x:row r="156" ht="23" customHeight="1">
      <x:c r="A156" s="10" t="str">
        <x:v>M11</x:v>
      </x:c>
      <x:c r="B156" s="10" t="str">
        <x:v>CG_H0</x:v>
      </x:c>
      <x:c r="C156" s="36" t="n">
        <x:f>50*SUM('分布占比原始'!F1506:F1515)</x:f>
        <x:v>31.65298464923245</x:v>
      </x:c>
      <x:c r="D156" s="36" t="n">
        <x:v>31.652984649232454</x:v>
      </x:c>
    </x:row>
    <x:row r="157" ht="23" customHeight="1">
      <x:c r="A157" s="10" t="str">
        <x:v>M11</x:v>
      </x:c>
      <x:c r="B157" s="10" t="str">
        <x:v>CG_H1</x:v>
      </x:c>
      <x:c r="C157" s="36" t="n">
        <x:f>50*SUM('分布占比原始'!F1516:F1525)</x:f>
        <x:v>15.549999999999997</x:v>
      </x:c>
      <x:c r="D157" s="36" t="n">
        <x:v>15.549999999999997</x:v>
      </x:c>
    </x:row>
    <x:row r="158" ht="23" customHeight="1">
      <x:c r="A158" s="10" t="str">
        <x:v>M11</x:v>
      </x:c>
      <x:c r="B158" s="10" t="str">
        <x:v>NCG_H0</x:v>
      </x:c>
      <x:c r="C158" s="36" t="n">
        <x:f>50*SUM('分布占比原始'!F1526:F1535)</x:f>
        <x:v>12.475703429657022</x:v>
      </x:c>
      <x:c r="D158" s="36" t="n">
        <x:v>12.475703429657026</x:v>
      </x:c>
    </x:row>
    <x:row r="159" ht="23" customHeight="1">
      <x:c r="A159" s="10" t="str">
        <x:v>M11</x:v>
      </x:c>
      <x:c r="B159" s="10" t="str">
        <x:v>NCG_H1</x:v>
      </x:c>
      <x:c r="C159" s="36" t="n">
        <x:f>50*SUM('分布占比原始'!F1536:F1545)</x:f>
        <x:v>5.149999999999999</x:v>
      </x:c>
      <x:c r="D159" s="36" t="n">
        <x:v>5.150000000000002</x:v>
      </x:c>
    </x:row>
    <x:row r="160" ht="23" customHeight="1">
      <x:c r="A160" s="10" t="str">
        <x:v>M12</x:v>
      </x:c>
      <x:c r="B160" s="10" t="str">
        <x:v>N_H0</x:v>
      </x:c>
      <x:c r="C160" s="36" t="n">
        <x:f>50*SUM('分布占比原始'!F1546:F1555)</x:f>
        <x:v>71.18072792720727</x:v>
      </x:c>
      <x:c r="D160" s="36" t="n">
        <x:v>71.18072792720727</x:v>
      </x:c>
    </x:row>
    <x:row r="161" ht="23" customHeight="1">
      <x:c r="A161" s="10" t="str">
        <x:v>M12</x:v>
      </x:c>
      <x:c r="B161" s="10" t="str">
        <x:v>N_H1</x:v>
      </x:c>
      <x:c r="C161" s="36" t="n">
        <x:f>50*SUM('分布占比原始'!F1556:F1565)</x:f>
        <x:v>71.18072792720727</x:v>
      </x:c>
      <x:c r="D161" s="36" t="n">
        <x:v>71.18072792720727</x:v>
      </x:c>
    </x:row>
    <x:row r="162" ht="23" customHeight="1">
      <x:c r="A162" s="10" t="str">
        <x:v>M12</x:v>
      </x:c>
      <x:c r="B162" s="10" t="str">
        <x:v>C_H0</x:v>
      </x:c>
      <x:c r="C162" s="36" t="n">
        <x:f>50*SUM('分布占比原始'!F1566:F1575)</x:f>
        <x:v>73.82036196380362</x:v>
      </x:c>
      <x:c r="D162" s="36" t="n">
        <x:v>73.82036196380362</x:v>
      </x:c>
    </x:row>
    <x:row r="163" ht="23" customHeight="1">
      <x:c r="A163" s="10" t="str">
        <x:v>M12</x:v>
      </x:c>
      <x:c r="B163" s="10" t="str">
        <x:v>C_H1</x:v>
      </x:c>
      <x:c r="C163" s="36" t="n">
        <x:f>50*SUM('分布占比原始'!F1576:F1585)</x:f>
        <x:v>73.82036196380362</x:v>
      </x:c>
      <x:c r="D163" s="36" t="n">
        <x:v>73.82036196380362</x:v>
      </x:c>
    </x:row>
    <x:row r="164" ht="23" customHeight="1">
      <x:c r="A164" s="10" t="str">
        <x:v>M12</x:v>
      </x:c>
      <x:c r="B164" s="10" t="str">
        <x:v>G_H0</x:v>
      </x:c>
      <x:c r="C164" s="36" t="n">
        <x:f>50*SUM('分布占比原始'!F1586:F1595)</x:f>
        <x:v>48.0422597740226</x:v>
      </x:c>
      <x:c r="D164" s="36" t="n">
        <x:v>48.0422597740226</x:v>
      </x:c>
    </x:row>
    <x:row r="165" ht="23" customHeight="1">
      <x:c r="A165" s="10" t="str">
        <x:v>M12</x:v>
      </x:c>
      <x:c r="B165" s="10" t="str">
        <x:v>G_H1</x:v>
      </x:c>
      <x:c r="C165" s="36" t="n">
        <x:f>50*SUM('分布占比原始'!F1596:F1605)</x:f>
        <x:v>9.969003099690028</x:v>
      </x:c>
      <x:c r="D165" s="36" t="n">
        <x:v>9.969003099690031</x:v>
      </x:c>
    </x:row>
    <x:row r="166" ht="23" customHeight="1">
      <x:c r="A166" s="10" t="str">
        <x:v>M12</x:v>
      </x:c>
      <x:c r="B166" s="10" t="str">
        <x:v>NC_H0</x:v>
      </x:c>
      <x:c r="C166" s="36" t="n">
        <x:f>50*SUM('分布占比原始'!F1606:F1615)</x:f>
        <x:v>57.797131577971314</x:v>
      </x:c>
      <x:c r="D166" s="36" t="n">
        <x:v>57.79713157797131</x:v>
      </x:c>
    </x:row>
    <x:row r="167" ht="23" customHeight="1">
      <x:c r="A167" s="10" t="str">
        <x:v>M12</x:v>
      </x:c>
      <x:c r="B167" s="10" t="str">
        <x:v>NC_H1</x:v>
      </x:c>
      <x:c r="C167" s="36" t="n">
        <x:f>50*SUM('分布占比原始'!F1616:F1625)</x:f>
        <x:v>57.797131577971314</x:v>
      </x:c>
      <x:c r="D167" s="36" t="n">
        <x:v>57.79713157797131</x:v>
      </x:c>
    </x:row>
    <x:row r="168" ht="23" customHeight="1">
      <x:c r="A168" s="10" t="str">
        <x:v>M12</x:v>
      </x:c>
      <x:c r="B168" s="10" t="str">
        <x:v>NG_H0</x:v>
      </x:c>
      <x:c r="C168" s="36" t="n">
        <x:f>50*SUM('分布占比原始'!F1626:F1635)</x:f>
        <x:v>30.72692730726927</x:v>
      </x:c>
      <x:c r="D168" s="36" t="n">
        <x:v>30.72692730726927</x:v>
      </x:c>
    </x:row>
    <x:row r="169" ht="23" customHeight="1">
      <x:c r="A169" s="10" t="str">
        <x:v>M12</x:v>
      </x:c>
      <x:c r="B169" s="10" t="str">
        <x:v>NG_H1</x:v>
      </x:c>
      <x:c r="C169" s="36" t="n">
        <x:f>50*SUM('分布占比原始'!F1636:F1645)</x:f>
        <x:v>5.611169883011694</x:v>
      </x:c>
      <x:c r="D169" s="36" t="n">
        <x:v>5.611169883011698</x:v>
      </x:c>
    </x:row>
    <x:row r="170" ht="23" customHeight="1">
      <x:c r="A170" s="10" t="str">
        <x:v>M12</x:v>
      </x:c>
      <x:c r="B170" s="10" t="str">
        <x:v>CG_H0</x:v>
      </x:c>
      <x:c r="C170" s="36" t="n">
        <x:f>50*SUM('分布占比原始'!F1646:F1655)</x:f>
        <x:v>59.05409459054094</x:v>
      </x:c>
      <x:c r="D170" s="36" t="n">
        <x:v>59.05409459054094</x:v>
      </x:c>
    </x:row>
    <x:row r="171" ht="23" customHeight="1">
      <x:c r="A171" s="10" t="str">
        <x:v>M12</x:v>
      </x:c>
      <x:c r="B171" s="10" t="str">
        <x:v>CG_H1</x:v>
      </x:c>
      <x:c r="C171" s="36" t="n">
        <x:f>50*SUM('分布占比原始'!F1656:F1665)</x:f>
        <x:v>12.175305164944412</x:v>
      </x:c>
      <x:c r="D171" s="36" t="n">
        <x:v>12.175305164944414</x:v>
      </x:c>
    </x:row>
    <x:row r="172" ht="23" customHeight="1">
      <x:c r="A172" s="10" t="str">
        <x:v>M12</x:v>
      </x:c>
      <x:c r="B172" s="10" t="str">
        <x:v>NCG_H0</x:v>
      </x:c>
      <x:c r="C172" s="36" t="n">
        <x:f>50*SUM('分布占比原始'!F1666:F1675)</x:f>
        <x:v>33.12257374262574</x:v>
      </x:c>
      <x:c r="D172" s="36" t="n">
        <x:v>33.12257374262573</x:v>
      </x:c>
    </x:row>
    <x:row r="173" ht="23" customHeight="1">
      <x:c r="A173" s="10" t="str">
        <x:v>M12</x:v>
      </x:c>
      <x:c r="B173" s="10" t="str">
        <x:v>NCG_H1</x:v>
      </x:c>
      <x:c r="C173" s="36" t="n">
        <x:f>50*SUM('分布占比原始'!F1676:F1685)</x:f>
        <x:v>3.7236650372366578</x:v>
      </x:c>
      <x:c r="D173" s="36" t="n">
        <x:v>3.723665037236656</x:v>
      </x:c>
    </x:row>
    <x:row r="174" ht="23" customHeight="1">
      <x:c r="A174" s="10" t="str">
        <x:v>M13</x:v>
      </x:c>
      <x:c r="B174" s="10" t="str">
        <x:v>N_H0</x:v>
      </x:c>
      <x:c r="C174" s="36" t="n">
        <x:f>50*SUM('分布占比原始'!F1686:F1695)</x:f>
        <x:v>76.10901780356072</x:v>
      </x:c>
      <x:c r="D174" s="36" t="n">
        <x:v>76.10901780356072</x:v>
      </x:c>
    </x:row>
    <x:row r="175" ht="23" customHeight="1">
      <x:c r="A175" s="10" t="str">
        <x:v>M13</x:v>
      </x:c>
      <x:c r="B175" s="10" t="str">
        <x:v>N_H1</x:v>
      </x:c>
      <x:c r="C175" s="36" t="n">
        <x:f>50*SUM('分布占比原始'!F1696:F1705)</x:f>
        <x:v>76.4301515437574</x:v>
      </x:c>
      <x:c r="D175" s="36" t="n">
        <x:v>76.4301515437574</x:v>
      </x:c>
    </x:row>
    <x:row r="176" ht="23" customHeight="1">
      <x:c r="A176" s="10" t="str">
        <x:v>M13</x:v>
      </x:c>
      <x:c r="B176" s="10" t="str">
        <x:v>C_H0</x:v>
      </x:c>
      <x:c r="C176" s="36" t="n">
        <x:f>50*SUM('分布占比原始'!F1706:F1715)</x:f>
        <x:v>69.32249163561339</x:v>
      </x:c>
      <x:c r="D176" s="36" t="n">
        <x:v>69.3224916356134</x:v>
      </x:c>
    </x:row>
    <x:row r="177" ht="23" customHeight="1">
      <x:c r="A177" s="10" t="str">
        <x:v>M13</x:v>
      </x:c>
      <x:c r="B177" s="10" t="str">
        <x:v>C_H1</x:v>
      </x:c>
      <x:c r="C177" s="36" t="n">
        <x:f>50*SUM('分布占比原始'!F1716:F1725)</x:f>
        <x:v>69.32249163561339</x:v>
      </x:c>
      <x:c r="D177" s="36" t="n">
        <x:v>69.3224916356134</x:v>
      </x:c>
    </x:row>
    <x:row r="178" ht="23" customHeight="1">
      <x:c r="A178" s="10" t="str">
        <x:v>M13</x:v>
      </x:c>
      <x:c r="B178" s="10" t="str">
        <x:v>G_H0</x:v>
      </x:c>
      <x:c r="C178" s="36" t="n">
        <x:f>50*SUM('分布占比原始'!F1726:F1735)</x:f>
        <x:v>25.120297295797343</x:v>
      </x:c>
      <x:c r="D178" s="36" t="n">
        <x:v>25.120297295797346</x:v>
      </x:c>
    </x:row>
    <x:row r="179" ht="23" customHeight="1">
      <x:c r="A179" s="10" t="str">
        <x:v>M13</x:v>
      </x:c>
      <x:c r="B179" s="10" t="str">
        <x:v>G_H1</x:v>
      </x:c>
      <x:c r="C179" s="36" t="n">
        <x:f>50*SUM('分布占比原始'!F1736:F1745)</x:f>
        <x:v>13.850281180679907</x:v>
      </x:c>
      <x:c r="D179" s="36" t="n">
        <x:v>13.850281180679907</x:v>
      </x:c>
    </x:row>
    <x:row r="180" ht="23" customHeight="1">
      <x:c r="A180" s="10" t="str">
        <x:v>M13</x:v>
      </x:c>
      <x:c r="B180" s="10" t="str">
        <x:v>NC_H0</x:v>
      </x:c>
      <x:c r="C180" s="36" t="n">
        <x:f>50*SUM('分布占比原始'!F1746:F1755)</x:f>
        <x:v>60.29901780356071</x:v>
      </x:c>
      <x:c r="D180" s="36" t="n">
        <x:v>60.299017803560716</x:v>
      </x:c>
    </x:row>
    <x:row r="181" ht="23" customHeight="1">
      <x:c r="A181" s="10" t="str">
        <x:v>M13</x:v>
      </x:c>
      <x:c r="B181" s="10" t="str">
        <x:v>NC_H1</x:v>
      </x:c>
      <x:c r="C181" s="36" t="n">
        <x:f>50*SUM('分布占比原始'!F1756:F1765)</x:f>
        <x:v>60.5285297059412</x:v>
      </x:c>
      <x:c r="D181" s="36" t="n">
        <x:v>60.528529705941196</x:v>
      </x:c>
    </x:row>
    <x:row r="182" ht="23" customHeight="1">
      <x:c r="A182" s="10" t="str">
        <x:v>M13</x:v>
      </x:c>
      <x:c r="B182" s="10" t="str">
        <x:v>NG_H0</x:v>
      </x:c>
      <x:c r="C182" s="36" t="n">
        <x:f>50*SUM('分布占比原始'!F1766:F1775)</x:f>
        <x:v>21.052644528905777</x:v>
      </x:c>
      <x:c r="D182" s="36" t="n">
        <x:v>21.05264452890578</x:v>
      </x:c>
    </x:row>
    <x:row r="183" ht="23" customHeight="1">
      <x:c r="A183" s="10" t="str">
        <x:v>M13</x:v>
      </x:c>
      <x:c r="B183" s="10" t="str">
        <x:v>NG_H1</x:v>
      </x:c>
      <x:c r="C183" s="36" t="n">
        <x:f>50*SUM('分布占比原始'!F1776:F1785)</x:f>
        <x:v>7.044834624359128</x:v>
      </x:c>
      <x:c r="D183" s="36" t="n">
        <x:v>7.044834624359129</x:v>
      </x:c>
    </x:row>
    <x:row r="184" ht="23" customHeight="1">
      <x:c r="A184" s="10" t="str">
        <x:v>M13</x:v>
      </x:c>
      <x:c r="B184" s="10" t="str">
        <x:v>CG_H0</x:v>
      </x:c>
      <x:c r="C184" s="36" t="n">
        <x:f>50*SUM('分布占比原始'!F1786:F1795)</x:f>
        <x:v>34.59231646329266</x:v>
      </x:c>
      <x:c r="D184" s="36" t="n">
        <x:v>34.59231646329267</x:v>
      </x:c>
    </x:row>
    <x:row r="185" ht="23" customHeight="1">
      <x:c r="A185" s="10" t="str">
        <x:v>M13</x:v>
      </x:c>
      <x:c r="B185" s="10" t="str">
        <x:v>CG_H1</x:v>
      </x:c>
      <x:c r="C185" s="36" t="n">
        <x:f>50*SUM('分布占比原始'!F1796:F1805)</x:f>
        <x:v>15.132316463292659</x:v>
      </x:c>
      <x:c r="D185" s="36" t="n">
        <x:v>15.132316463292657</x:v>
      </x:c>
    </x:row>
    <x:row r="186" ht="23" customHeight="1">
      <x:c r="A186" s="10" t="str">
        <x:v>M13</x:v>
      </x:c>
      <x:c r="B186" s="10" t="str">
        <x:v>NCG_H0</x:v>
      </x:c>
      <x:c r="C186" s="36" t="n">
        <x:f>50*SUM('分布占比原始'!F1806:F1815)</x:f>
        <x:v>19.41780095192956</x:v>
      </x:c>
      <x:c r="D186" s="36" t="n">
        <x:v>19.41780095192956</x:v>
      </x:c>
    </x:row>
    <x:row r="187" ht="23" customHeight="1">
      <x:c r="A187" s="10" t="str">
        <x:v>M13</x:v>
      </x:c>
      <x:c r="B187" s="10" t="str">
        <x:v>NCG_H1</x:v>
      </x:c>
      <x:c r="C187" s="36" t="n">
        <x:f>50*SUM('分布占比原始'!F1816:F1825)</x:f>
        <x:v>3.415956718696473</x:v>
      </x:c>
      <x:c r="D187" s="36" t="n">
        <x:v>3.415956718696472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2">
      <x:c r="A2" s="3" t="str">
        <x:v>融合分布宏平均复算</x:v>
      </x:c>
      <x:c r="B2" s="3"/>
      <x:c r="C2" s="3"/>
      <x:c r="D2" s="3"/>
      <x:c r="E2" s="3"/>
      <x:c r="F2" s="3"/>
      <x:c r="G2" s="3"/>
    </x:row>
    <x:row r="3">
      <x:c r="A3" s="4" t="str">
        <x:v>13场景等权平均；单位百分点。差值使用未舍入结果，末位可能与显示数值相减不同。</x:v>
      </x:c>
      <x:c r="B3" s="4"/>
      <x:c r="C3" s="4"/>
      <x:c r="D3" s="4"/>
      <x:c r="E3" s="4"/>
      <x:c r="F3" s="4"/>
      <x:c r="G3" s="4"/>
    </x:row>
    <x:row r="4">
      <x:c r="A4" s="1"/>
      <x:c r="B4" s="1"/>
      <x:c r="C4" s="1"/>
      <x:c r="D4" s="1"/>
      <x:c r="E4" s="1"/>
      <x:c r="F4" s="1"/>
      <x:c r="G4" s="1"/>
    </x:row>
    <x:row r="5" ht="37" customHeight="1">
      <x:c r="A5" s="9" t="str">
        <x:v>分支组合</x:v>
      </x:c>
      <x:c r="B5" s="9" t="str">
        <x:v>H0距离</x:v>
      </x:c>
      <x:c r="C5" s="9" t="str">
        <x:v>H1距离</x:v>
      </x:c>
      <x:c r="D5" s="9" t="str">
        <x:v>减少量</x:v>
      </x:c>
      <x:c r="E5" s="9" t="str">
        <x:v>论文H0</x:v>
      </x:c>
      <x:c r="F5" s="9" t="str">
        <x:v>论文H1</x:v>
      </x:c>
      <x:c r="G5" s="9" t="str">
        <x:v>论文减少量</x:v>
      </x:c>
    </x:row>
    <x:row r="6" ht="23" customHeight="1">
      <x:c r="A6" s="10" t="str">
        <x:v>N</x:v>
      </x:c>
      <x:c r="B6" s="36" t="n">
        <x:f>AVERAGEIFS('分布距离182组'!$C$6:$C$187,'分布距离182组'!$B$6:$B$187,A6&amp;"_H0")</x:f>
        <x:v>72.89646798252254</x:v>
      </x:c>
      <x:c r="C6" s="36" t="n">
        <x:f>AVERAGEIFS('分布距离182组'!$C$6:$C$187,'分布距离182组'!$B$6:$B$187,A6&amp;"_H1")</x:f>
        <x:v>72.61017182746868</x:v>
      </x:c>
      <x:c r="D6" s="36" t="n">
        <x:f>B6-C6</x:f>
        <x:v>0.2862961550538614</x:v>
      </x:c>
      <x:c r="E6" s="21" t="n">
        <x:v>72.9</x:v>
      </x:c>
      <x:c r="F6" s="21" t="n">
        <x:v>72.61</x:v>
      </x:c>
      <x:c r="G6" s="21" t="n">
        <x:v>0.29</x:v>
      </x:c>
    </x:row>
    <x:row r="7" ht="23" customHeight="1">
      <x:c r="A7" s="10" t="str">
        <x:v>C</x:v>
      </x:c>
      <x:c r="B7" s="36" t="n">
        <x:f>AVERAGEIFS('分布距离182组'!$C$6:$C$187,'分布距离182组'!$B$6:$B$187,A7&amp;"_H0")</x:f>
        <x:v>77.29286617369979</x:v>
      </x:c>
      <x:c r="C7" s="36" t="n">
        <x:f>AVERAGEIFS('分布距离182组'!$C$6:$C$187,'分布距离182组'!$B$6:$B$187,A7&amp;"_H1")</x:f>
        <x:v>76.6762981118389</x:v>
      </x:c>
      <x:c r="D7" s="36" t="n">
        <x:f>B7-C7</x:f>
        <x:v>0.6165680618608889</x:v>
      </x:c>
      <x:c r="E7" s="21" t="n">
        <x:v>77.29</x:v>
      </x:c>
      <x:c r="F7" s="21" t="n">
        <x:v>76.68</x:v>
      </x:c>
      <x:c r="G7" s="21" t="n">
        <x:v>0.62</x:v>
      </x:c>
    </x:row>
    <x:row r="8" ht="23" customHeight="1">
      <x:c r="A8" s="10" t="str">
        <x:v>G</x:v>
      </x:c>
      <x:c r="B8" s="36" t="n">
        <x:f>AVERAGEIFS('分布距离182组'!$C$6:$C$187,'分布距离182组'!$B$6:$B$187,A8&amp;"_H0")</x:f>
        <x:v>18.92725407528253</x:v>
      </x:c>
      <x:c r="C8" s="36" t="n">
        <x:f>AVERAGEIFS('分布距离182组'!$C$6:$C$187,'分布距离182组'!$B$6:$B$187,A8&amp;"_H1")</x:f>
        <x:v>14.018564922310363</x:v>
      </x:c>
      <x:c r="D8" s="36" t="n">
        <x:f>B8-C8</x:f>
        <x:v>4.908689152972167</x:v>
      </x:c>
      <x:c r="E8" s="21" t="n">
        <x:v>18.93</x:v>
      </x:c>
      <x:c r="F8" s="21" t="n">
        <x:v>14.02</x:v>
      </x:c>
      <x:c r="G8" s="21" t="n">
        <x:v>4.91</x:v>
      </x:c>
    </x:row>
    <x:row r="9" ht="23" customHeight="1">
      <x:c r="A9" s="10" t="str">
        <x:v>NC</x:v>
      </x:c>
      <x:c r="B9" s="36" t="n">
        <x:f>AVERAGEIFS('分布距离182组'!$C$6:$C$187,'分布距离182组'!$B$6:$B$187,A9&amp;"_H0")</x:f>
        <x:v>68.12368081244809</x:v>
      </x:c>
      <x:c r="C9" s="36" t="n">
        <x:f>AVERAGEIFS('分布距离182组'!$C$6:$C$187,'分布距离182组'!$B$6:$B$187,A9&amp;"_H1")</x:f>
        <x:v>67.66796938445461</x:v>
      </x:c>
      <x:c r="D9" s="36" t="n">
        <x:f>B9-C9</x:f>
        <x:v>0.45571142799347797</x:v>
      </x:c>
      <x:c r="E9" s="21" t="n">
        <x:v>68.12</x:v>
      </x:c>
      <x:c r="F9" s="21" t="n">
        <x:v>67.67</x:v>
      </x:c>
      <x:c r="G9" s="21" t="n">
        <x:v>0.46</x:v>
      </x:c>
    </x:row>
    <x:row r="10" ht="23" customHeight="1">
      <x:c r="A10" s="10" t="str">
        <x:v>NG</x:v>
      </x:c>
      <x:c r="B10" s="36" t="n">
        <x:f>AVERAGEIFS('分布距离182组'!$C$6:$C$187,'分布距离182组'!$B$6:$B$187,A10&amp;"_H0")</x:f>
        <x:v>13.097897578839268</x:v>
      </x:c>
      <x:c r="C10" s="36" t="n">
        <x:f>AVERAGEIFS('分布距离182组'!$C$6:$C$187,'分布距离182组'!$B$6:$B$187,A10&amp;"_H1")</x:f>
        <x:v>6.12831200758389</x:v>
      </x:c>
      <x:c r="D10" s="36" t="n">
        <x:f>B10-C10</x:f>
        <x:v>6.969585571255378</x:v>
      </x:c>
      <x:c r="E10" s="21" t="n">
        <x:v>13.1</x:v>
      </x:c>
      <x:c r="F10" s="21" t="n">
        <x:v>6.13</x:v>
      </x:c>
      <x:c r="G10" s="21" t="n">
        <x:v>6.97</x:v>
      </x:c>
    </x:row>
    <x:row r="11" ht="23" customHeight="1">
      <x:c r="A11" s="10" t="str">
        <x:v>CG</x:v>
      </x:c>
      <x:c r="B11" s="36" t="n">
        <x:f>AVERAGEIFS('分布距离182组'!$C$6:$C$187,'分布距离182组'!$B$6:$B$187,A11&amp;"_H0")</x:f>
        <x:v>21.27120898882111</x:v>
      </x:c>
      <x:c r="C11" s="36" t="n">
        <x:f>AVERAGEIFS('分布距离182组'!$C$6:$C$187,'分布距离182组'!$B$6:$B$187,A11&amp;"_H1")</x:f>
        <x:v>12.20015104655496</x:v>
      </x:c>
      <x:c r="D11" s="36" t="n">
        <x:f>B11-C11</x:f>
        <x:v>9.071057942266151</x:v>
      </x:c>
      <x:c r="E11" s="21" t="n">
        <x:v>21.27</x:v>
      </x:c>
      <x:c r="F11" s="21" t="n">
        <x:v>12.2</x:v>
      </x:c>
      <x:c r="G11" s="21" t="n">
        <x:v>9.07</x:v>
      </x:c>
    </x:row>
    <x:row r="12" ht="23" customHeight="1">
      <x:c r="A12" s="10" t="str">
        <x:v>NCG</x:v>
      </x:c>
      <x:c r="B12" s="36" t="n">
        <x:f>AVERAGEIFS('分布距离182组'!$C$6:$C$187,'分布距离182组'!$B$6:$B$187,A12&amp;"_H0")</x:f>
        <x:v>11.007407341087596</x:v>
      </x:c>
      <x:c r="C12" s="36" t="n">
        <x:f>AVERAGEIFS('分布距离182组'!$C$6:$C$187,'分布距离182组'!$B$6:$B$187,A12&amp;"_H1")</x:f>
        <x:v>3.848789551415324</x:v>
      </x:c>
      <x:c r="D12" s="36" t="n">
        <x:f>B12-C12</x:f>
        <x:v>7.158617789672272</x:v>
      </x:c>
      <x:c r="E12" s="21" t="n">
        <x:v>11.01</x:v>
      </x:c>
      <x:c r="F12" s="21" t="n">
        <x:v>3.85</x:v>
      </x:c>
      <x:c r="G12" s="21" t="n">
        <x:v>7.16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8" hidden="0" customWidth="1"/>
  </x:cols>
  <x:sheetData>
    <x:row r="2">
      <x:c r="A2" s="3" t="str">
        <x:v>逐实例准确率算术核验</x:v>
      </x:c>
      <x:c r="B2" s="3"/>
      <x:c r="C2" s="3"/>
      <x:c r="D2" s="3"/>
      <x:c r="E2" s="3"/>
      <x:c r="F2" s="3"/>
      <x:c r="G2" s="3"/>
      <x:c r="H2" s="3"/>
    </x:row>
    <x:row r="3">
      <x:c r="A3" s="4" t="str">
        <x:v>计数来源仅为本次论文及用户给定汇总；现有参考分析记录individual_ground_truth_available=false。不能从分布占比推导逐实例准确率。</x:v>
      </x:c>
      <x:c r="B3" s="4"/>
      <x:c r="C3" s="4"/>
      <x:c r="D3" s="4"/>
      <x:c r="E3" s="4"/>
      <x:c r="F3" s="4"/>
      <x:c r="G3" s="4"/>
      <x:c r="H3" s="4"/>
    </x:row>
    <x:row r="4">
      <x:c r="A4" s="1"/>
      <x:c r="B4" s="1"/>
      <x:c r="C4" s="1"/>
      <x:c r="D4" s="1"/>
      <x:c r="E4" s="1"/>
      <x:c r="F4" s="1"/>
      <x:c r="G4" s="1"/>
      <x:c r="H4" s="1"/>
    </x:row>
    <x:row r="5" ht="37" customHeight="1">
      <x:c r="A5" s="9" t="str">
        <x:v>模型</x:v>
      </x:c>
      <x:c r="B5" s="9" t="str">
        <x:v>有效实例</x:v>
      </x:c>
      <x:c r="C5" s="9" t="str">
        <x:v>正确数</x:v>
      </x:c>
      <x:c r="D5" s="9" t="str">
        <x:v>错误数</x:v>
      </x:c>
      <x:c r="E5" s="9" t="str">
        <x:v>计数残差</x:v>
      </x:c>
      <x:c r="F5" s="9" t="str">
        <x:v>复算准确率</x:v>
      </x:c>
      <x:c r="G5" s="9" t="str">
        <x:v>论文准确率</x:v>
      </x:c>
      <x:c r="H5" s="9" t="str">
        <x:v>证据状态</x:v>
      </x:c>
    </x:row>
    <x:row r="6" ht="23" customHeight="1">
      <x:c r="A6" s="10" t="str">
        <x:v>M1</x:v>
      </x:c>
      <x:c r="B6" s="18" t="n">
        <x:v>1167</x:v>
      </x:c>
      <x:c r="C6" s="18" t="n">
        <x:v>960</x:v>
      </x:c>
      <x:c r="D6" s="18" t="n">
        <x:v>207</x:v>
      </x:c>
      <x:c r="E6" s="18" t="n">
        <x:f>C6+D6-B6</x:f>
        <x:v>0</x:v>
      </x:c>
      <x:c r="F6" s="33" t="n">
        <x:f>C6/B6</x:f>
        <x:v>0.8226221079691517</x:v>
      </x:c>
      <x:c r="G6" s="33" t="n">
        <x:v>0.8226</x:v>
      </x:c>
      <x:c r="H6" s="10" t="str">
        <x:v>待补实例ID、人工档位及匹配记录</x:v>
      </x:c>
    </x:row>
    <x:row r="7" ht="23" customHeight="1">
      <x:c r="A7" s="10" t="str">
        <x:v>M2</x:v>
      </x:c>
      <x:c r="B7" s="18" t="n">
        <x:v>1480</x:v>
      </x:c>
      <x:c r="C7" s="18" t="n">
        <x:v>1165</x:v>
      </x:c>
      <x:c r="D7" s="18" t="n">
        <x:v>315</x:v>
      </x:c>
      <x:c r="E7" s="18" t="n">
        <x:f>C7+D7-B7</x:f>
        <x:v>0</x:v>
      </x:c>
      <x:c r="F7" s="33" t="n">
        <x:f>C7/B7</x:f>
        <x:v>0.7871621621621622</x:v>
      </x:c>
      <x:c r="G7" s="33" t="n">
        <x:v>0.7872</x:v>
      </x:c>
      <x:c r="H7" s="10" t="str">
        <x:v>待补实例ID、人工档位及匹配记录</x:v>
      </x:c>
    </x:row>
    <x:row r="8" ht="23" customHeight="1">
      <x:c r="A8" s="10" t="str">
        <x:v>M3</x:v>
      </x:c>
      <x:c r="B8" s="18" t="n">
        <x:v>1481</x:v>
      </x:c>
      <x:c r="C8" s="18" t="n">
        <x:v>1185</x:v>
      </x:c>
      <x:c r="D8" s="18" t="n">
        <x:v>296</x:v>
      </x:c>
      <x:c r="E8" s="18" t="n">
        <x:f>C8+D8-B8</x:f>
        <x:v>0</x:v>
      </x:c>
      <x:c r="F8" s="33" t="n">
        <x:f>C8/B8</x:f>
        <x:v>0.800135043889264</x:v>
      </x:c>
      <x:c r="G8" s="33" t="n">
        <x:v>0.8001</x:v>
      </x:c>
      <x:c r="H8" s="10" t="str">
        <x:v>待补实例ID、人工档位及匹配记录</x:v>
      </x:c>
    </x:row>
    <x:row r="9" ht="23" customHeight="1">
      <x:c r="A9" s="10" t="str">
        <x:v>M4</x:v>
      </x:c>
      <x:c r="B9" s="18" t="n">
        <x:v>5451</x:v>
      </x:c>
      <x:c r="C9" s="18" t="n">
        <x:v>4710</x:v>
      </x:c>
      <x:c r="D9" s="18" t="n">
        <x:v>741</x:v>
      </x:c>
      <x:c r="E9" s="18" t="n">
        <x:f>C9+D9-B9</x:f>
        <x:v>0</x:v>
      </x:c>
      <x:c r="F9" s="33" t="n">
        <x:f>C9/B9</x:f>
        <x:v>0.8640616400660429</x:v>
      </x:c>
      <x:c r="G9" s="33" t="n">
        <x:v>0.8641</x:v>
      </x:c>
      <x:c r="H9" s="10" t="str">
        <x:v>待补实例ID、人工档位及匹配记录</x:v>
      </x:c>
    </x:row>
    <x:row r="10" ht="23" customHeight="1">
      <x:c r="A10" s="10" t="str">
        <x:v>M5</x:v>
      </x:c>
      <x:c r="B10" s="18" t="n">
        <x:v>1747</x:v>
      </x:c>
      <x:c r="C10" s="18" t="n">
        <x:v>1459</x:v>
      </x:c>
      <x:c r="D10" s="18" t="n">
        <x:v>288</x:v>
      </x:c>
      <x:c r="E10" s="18" t="n">
        <x:f>C10+D10-B10</x:f>
        <x:v>0</x:v>
      </x:c>
      <x:c r="F10" s="33" t="n">
        <x:f>C10/B10</x:f>
        <x:v>0.8351459645105895</x:v>
      </x:c>
      <x:c r="G10" s="33" t="n">
        <x:v>0.8351000000000001</x:v>
      </x:c>
      <x:c r="H10" s="10" t="str">
        <x:v>待补实例ID、人工档位及匹配记录</x:v>
      </x:c>
    </x:row>
    <x:row r="11" ht="23" customHeight="1">
      <x:c r="A11" s="10" t="str">
        <x:v>M6</x:v>
      </x:c>
      <x:c r="B11" s="18" t="n">
        <x:v>3347</x:v>
      </x:c>
      <x:c r="C11" s="18" t="n">
        <x:v>2731</x:v>
      </x:c>
      <x:c r="D11" s="18" t="n">
        <x:v>616</x:v>
      </x:c>
      <x:c r="E11" s="18" t="n">
        <x:f>C11+D11-B11</x:f>
        <x:v>0</x:v>
      </x:c>
      <x:c r="F11" s="33" t="n">
        <x:f>C11/B11</x:f>
        <x:v>0.815954586196594</x:v>
      </x:c>
      <x:c r="G11" s="33" t="n">
        <x:v>0.816</x:v>
      </x:c>
      <x:c r="H11" s="10" t="str">
        <x:v>待补实例ID、人工档位及匹配记录</x:v>
      </x:c>
    </x:row>
    <x:row r="12" ht="23" customHeight="1">
      <x:c r="A12" s="10" t="str">
        <x:v>M7</x:v>
      </x:c>
      <x:c r="B12" s="18" t="n">
        <x:v>1026</x:v>
      </x:c>
      <x:c r="C12" s="18" t="n">
        <x:v>881</x:v>
      </x:c>
      <x:c r="D12" s="18" t="n">
        <x:v>145</x:v>
      </x:c>
      <x:c r="E12" s="18" t="n">
        <x:f>C12+D12-B12</x:f>
        <x:v>0</x:v>
      </x:c>
      <x:c r="F12" s="33" t="n">
        <x:f>C12/B12</x:f>
        <x:v>0.8586744639376218</x:v>
      </x:c>
      <x:c r="G12" s="33" t="n">
        <x:v>0.8587</x:v>
      </x:c>
      <x:c r="H12" s="10" t="str">
        <x:v>待补实例ID、人工档位及匹配记录</x:v>
      </x:c>
    </x:row>
    <x:row r="13" ht="23" customHeight="1">
      <x:c r="A13" s="10" t="str">
        <x:v>M8</x:v>
      </x:c>
      <x:c r="B13" s="18" t="n">
        <x:v>6103</x:v>
      </x:c>
      <x:c r="C13" s="18" t="n">
        <x:v>4644</x:v>
      </x:c>
      <x:c r="D13" s="18" t="n">
        <x:v>1459</x:v>
      </x:c>
      <x:c r="E13" s="18" t="n">
        <x:f>C13+D13-B13</x:f>
        <x:v>0</x:v>
      </x:c>
      <x:c r="F13" s="33" t="n">
        <x:f>C13/B13</x:f>
        <x:v>0.7609372439783713</x:v>
      </x:c>
      <x:c r="G13" s="33" t="n">
        <x:v>0.7609</x:v>
      </x:c>
      <x:c r="H13" s="10" t="str">
        <x:v>待补实例ID、人工档位及匹配记录</x:v>
      </x:c>
    </x:row>
    <x:row r="14" ht="23" customHeight="1">
      <x:c r="A14" s="10" t="str">
        <x:v>M9</x:v>
      </x:c>
      <x:c r="B14" s="18" t="n">
        <x:v>3118</x:v>
      </x:c>
      <x:c r="C14" s="18" t="n">
        <x:v>2625</x:v>
      </x:c>
      <x:c r="D14" s="18" t="n">
        <x:v>493</x:v>
      </x:c>
      <x:c r="E14" s="18" t="n">
        <x:f>C14+D14-B14</x:f>
        <x:v>0</x:v>
      </x:c>
      <x:c r="F14" s="33" t="n">
        <x:f>C14/B14</x:f>
        <x:v>0.8418858242463118</x:v>
      </x:c>
      <x:c r="G14" s="33" t="n">
        <x:v>0.8419</x:v>
      </x:c>
      <x:c r="H14" s="10" t="str">
        <x:v>待补实例ID、人工档位及匹配记录</x:v>
      </x:c>
    </x:row>
    <x:row r="15" ht="23" customHeight="1">
      <x:c r="A15" s="10" t="str">
        <x:v>M10</x:v>
      </x:c>
      <x:c r="B15" s="18" t="n">
        <x:v>5198</x:v>
      </x:c>
      <x:c r="C15" s="18" t="n">
        <x:v>4631</x:v>
      </x:c>
      <x:c r="D15" s="18" t="n">
        <x:v>567</x:v>
      </x:c>
      <x:c r="E15" s="18" t="n">
        <x:f>C15+D15-B15</x:f>
        <x:v>0</x:v>
      </x:c>
      <x:c r="F15" s="33" t="n">
        <x:f>C15/B15</x:f>
        <x:v>0.8909195844555599</x:v>
      </x:c>
      <x:c r="G15" s="33" t="n">
        <x:v>0.8909</x:v>
      </x:c>
      <x:c r="H15" s="10" t="str">
        <x:v>待补实例ID、人工档位及匹配记录</x:v>
      </x:c>
    </x:row>
    <x:row r="16" ht="23" customHeight="1">
      <x:c r="A16" s="10" t="str">
        <x:v>M11</x:v>
      </x:c>
      <x:c r="B16" s="18" t="n">
        <x:v>15723</x:v>
      </x:c>
      <x:c r="C16" s="18" t="n">
        <x:v>11839</x:v>
      </x:c>
      <x:c r="D16" s="18" t="n">
        <x:v>3884</x:v>
      </x:c>
      <x:c r="E16" s="18" t="n">
        <x:f>C16+D16-B16</x:f>
        <x:v>0</x:v>
      </x:c>
      <x:c r="F16" s="33" t="n">
        <x:f>C16/B16</x:f>
        <x:v>0.7529733511416397</x:v>
      </x:c>
      <x:c r="G16" s="33" t="n">
        <x:v>0.753</x:v>
      </x:c>
      <x:c r="H16" s="10" t="str">
        <x:v>待补实例ID、人工档位及匹配记录</x:v>
      </x:c>
    </x:row>
    <x:row r="17" ht="23" customHeight="1">
      <x:c r="A17" s="10" t="str">
        <x:v>M12</x:v>
      </x:c>
      <x:c r="B17" s="18" t="n">
        <x:v>7163</x:v>
      </x:c>
      <x:c r="C17" s="18" t="n">
        <x:v>6454</x:v>
      </x:c>
      <x:c r="D17" s="18" t="n">
        <x:v>709</x:v>
      </x:c>
      <x:c r="E17" s="18" t="n">
        <x:f>C17+D17-B17</x:f>
        <x:v>0</x:v>
      </x:c>
      <x:c r="F17" s="33" t="n">
        <x:f>C17/B17</x:f>
        <x:v>0.9010191260644981</x:v>
      </x:c>
      <x:c r="G17" s="33" t="n">
        <x:v>0.9009999999999999</x:v>
      </x:c>
      <x:c r="H17" s="10" t="str">
        <x:v>待补实例ID、人工档位及匹配记录</x:v>
      </x:c>
    </x:row>
    <x:row r="18" ht="23" customHeight="1">
      <x:c r="A18" s="10" t="str">
        <x:v>M13</x:v>
      </x:c>
      <x:c r="B18" s="18" t="n">
        <x:v>15968</x:v>
      </x:c>
      <x:c r="C18" s="18" t="n">
        <x:v>14084</x:v>
      </x:c>
      <x:c r="D18" s="18" t="n">
        <x:v>1884</x:v>
      </x:c>
      <x:c r="E18" s="18" t="n">
        <x:f>C18+D18-B18</x:f>
        <x:v>0</x:v>
      </x:c>
      <x:c r="F18" s="33" t="n">
        <x:f>C18/B18</x:f>
        <x:v>0.8820140280561122</x:v>
      </x:c>
      <x:c r="G18" s="33" t="n">
        <x:v>0.882</x:v>
      </x:c>
      <x:c r="H18" s="10" t="str">
        <x:v>待补实例ID、人工档位及匹配记录</x:v>
      </x:c>
    </x:row>
    <x:row r="19" ht="23" customHeight="1">
      <x:c r="A19" s="10" t="str">
        <x:v>合计</x:v>
      </x:c>
      <x:c r="B19" s="18" t="n">
        <x:f>SUM(B6:B18)</x:f>
        <x:v>68972</x:v>
      </x:c>
      <x:c r="C19" s="18" t="n">
        <x:f>SUM(C6:C18)</x:f>
        <x:v>57368</x:v>
      </x:c>
      <x:c r="D19" s="18" t="n">
        <x:f>SUM(D6:D18)</x:f>
        <x:v>11604</x:v>
      </x:c>
      <x:c r="E19" s="18" t="n">
        <x:f>C19+D19-B19</x:f>
        <x:v>0</x:v>
      </x:c>
      <x:c r="F19" s="33" t="n">
        <x:f>C19/B19</x:f>
        <x:v>0.831757814765412</x:v>
      </x:c>
      <x:c r="G19" s="33" t="n">
        <x:v>0.8318000000000001</x:v>
      </x:c>
      <x:c r="H19" s="10" t="str">
        <x:v>待补实例ID、人工档位及匹配记录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5" hidden="0" customWidth="1"/>
    <x:col min="3" max="3" width="15" hidden="0" customWidth="1"/>
    <x:col min="4" max="4" width="15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</x:cols>
  <x:sheetData>
    <x:row r="2">
      <x:c r="A2" s="3" t="str">
        <x:v>最终64组几何及图像指标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>
      <x:c r="A3" s="4" t="str">
        <x:v>来源S13；几何按原始整景对角线归一化；图像为12个固定整景视角的均值。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37" customHeight="1">
      <x:c r="A5" s="9" t="str">
        <x:v>条件键</x:v>
      </x:c>
      <x:c r="B5" s="9" t="str">
        <x:v>模型</x:v>
      </x:c>
      <x:c r="C5" s="9" t="str">
        <x:v>目标保留率</x:v>
      </x:c>
      <x:c r="D5" s="9" t="str">
        <x:v>策略</x:v>
      </x:c>
      <x:c r="E5" s="9" t="str">
        <x:v>原始面数</x:v>
      </x:c>
      <x:c r="F5" s="9" t="str">
        <x:v>实际面数</x:v>
      </x:c>
      <x:c r="G5" s="9" t="str">
        <x:v>实际保留率</x:v>
      </x:c>
      <x:c r="H5" s="9" t="str">
        <x:v>预算偏差/%</x:v>
      </x:c>
      <x:c r="I5" s="9" t="str">
        <x:v>几何RMS/%</x:v>
      </x:c>
      <x:c r="J5" s="9" t="str">
        <x:v>几何P95/%</x:v>
      </x:c>
      <x:c r="K5" s="9" t="str">
        <x:v>图像RMSE</x:v>
      </x:c>
      <x:c r="L5" s="9" t="str">
        <x:v>PSNR/dB</x:v>
      </x:c>
      <x:c r="M5" s="9" t="str">
        <x:v>SSIM</x:v>
      </x:c>
    </x:row>
    <x:row r="6" ht="23" customHeight="1">
      <x:c r="A6" s="10" t="str">
        <x:v>M1|0.125|A</x:v>
      </x:c>
      <x:c r="B6" s="10" t="str">
        <x:v>M1</x:v>
      </x:c>
      <x:c r="C6" s="39" t="n">
        <x:v>0.125</x:v>
      </x:c>
      <x:c r="D6" s="41" t="str">
        <x:v>A</x:v>
      </x:c>
      <x:c r="E6" s="18" t="n">
        <x:v>1723934</x:v>
      </x:c>
      <x:c r="F6" s="18" t="n">
        <x:v>215500</x:v>
      </x:c>
      <x:c r="G6" s="24" t="n">
        <x:v>0.12500478556603675</x:v>
      </x:c>
      <x:c r="H6" s="36" t="n">
        <x:v>0.0038284528294019182</x:v>
      </x:c>
      <x:c r="I6" s="36" t="n">
        <x:v>0.028096362478772497</x:v>
      </x:c>
      <x:c r="J6" s="40" t="n">
        <x:v>0.06929192546522243</x:v>
      </x:c>
      <x:c r="K6" s="30" t="n">
        <x:v>24.125466092425242</x:v>
      </x:c>
      <x:c r="L6" s="30" t="n">
        <x:v>20.984797364516282</x:v>
      </x:c>
      <x:c r="M6" s="36" t="n">
        <x:v>0.9175297357726743</x:v>
      </x:c>
    </x:row>
    <x:row r="7" ht="23" customHeight="1">
      <x:c r="A7" s="10" t="str">
        <x:v>M1|0.125|B</x:v>
      </x:c>
      <x:c r="B7" s="10" t="str">
        <x:v>M1</x:v>
      </x:c>
      <x:c r="C7" s="39" t="n">
        <x:v>0.125</x:v>
      </x:c>
      <x:c r="D7" s="41" t="str">
        <x:v>B</x:v>
      </x:c>
      <x:c r="E7" s="18" t="n">
        <x:v>1723934</x:v>
      </x:c>
      <x:c r="F7" s="18" t="n">
        <x:v>215492</x:v>
      </x:c>
      <x:c r="G7" s="24" t="n">
        <x:v>0.12500014501715262</x:v>
      </x:c>
      <x:c r="H7" s="36" t="n">
        <x:v>0.00011601372209568694</x:v>
      </x:c>
      <x:c r="I7" s="36" t="n">
        <x:v>0.02243154608531905</x:v>
      </x:c>
      <x:c r="J7" s="40" t="n">
        <x:v>0.05155249004019424</x:v>
      </x:c>
      <x:c r="K7" s="30" t="n">
        <x:v>24.151864348711225</x:v>
      </x:c>
      <x:c r="L7" s="30" t="n">
        <x:v>20.975349760495295</x:v>
      </x:c>
      <x:c r="M7" s="36" t="n">
        <x:v>0.9177146943123272</x:v>
      </x:c>
    </x:row>
    <x:row r="8" ht="23" customHeight="1">
      <x:c r="A8" s="10" t="str">
        <x:v>M1|0.125|C</x:v>
      </x:c>
      <x:c r="B8" s="10" t="str">
        <x:v>M1</x:v>
      </x:c>
      <x:c r="C8" s="39" t="n">
        <x:v>0.125</x:v>
      </x:c>
      <x:c r="D8" s="41" t="str">
        <x:v>C</x:v>
      </x:c>
      <x:c r="E8" s="18" t="n">
        <x:v>1723934</x:v>
      </x:c>
      <x:c r="F8" s="18" t="n">
        <x:v>215478</x:v>
      </x:c>
      <x:c r="G8" s="24" t="n">
        <x:v>0.12499202405660542</x:v>
      </x:c>
      <x:c r="H8" s="36" t="n">
        <x:v>-0.006380754715662462</x:v>
      </x:c>
      <x:c r="I8" s="36" t="n">
        <x:v>0.026973768396908505</x:v>
      </x:c>
      <x:c r="J8" s="40" t="n">
        <x:v>0.06671364069916308</x:v>
      </x:c>
      <x:c r="K8" s="30" t="n">
        <x:v>24.21339981751285</x:v>
      </x:c>
      <x:c r="L8" s="30" t="n">
        <x:v>20.960152566326208</x:v>
      </x:c>
      <x:c r="M8" s="36" t="n">
        <x:v>0.9174801420554485</x:v>
      </x:c>
    </x:row>
    <x:row r="9" ht="23" customHeight="1">
      <x:c r="A9" s="10" t="str">
        <x:v>M1|0.125|D</x:v>
      </x:c>
      <x:c r="B9" s="10" t="str">
        <x:v>M1</x:v>
      </x:c>
      <x:c r="C9" s="39" t="n">
        <x:v>0.125</x:v>
      </x:c>
      <x:c r="D9" s="41" t="str">
        <x:v>D</x:v>
      </x:c>
      <x:c r="E9" s="18" t="n">
        <x:v>1723934</x:v>
      </x:c>
      <x:c r="F9" s="18" t="n">
        <x:v>215492</x:v>
      </x:c>
      <x:c r="G9" s="24" t="n">
        <x:v>0.12500014501715262</x:v>
      </x:c>
      <x:c r="H9" s="36" t="n">
        <x:v>0.00011601372209568694</x:v>
      </x:c>
      <x:c r="I9" s="36" t="n">
        <x:v>0.02246292586915785</x:v>
      </x:c>
      <x:c r="J9" s="40" t="n">
        <x:v>0.050976890779566</x:v>
      </x:c>
      <x:c r="K9" s="30" t="n">
        <x:v>23.988394262427416</x:v>
      </x:c>
      <x:c r="L9" s="30" t="n">
        <x:v>21.031190672641845</x:v>
      </x:c>
      <x:c r="M9" s="36" t="n">
        <x:v>0.919538340897347</x:v>
      </x:c>
    </x:row>
    <x:row r="10" ht="23" customHeight="1">
      <x:c r="A10" s="10" t="str">
        <x:v>M1|0.25|A</x:v>
      </x:c>
      <x:c r="B10" s="10" t="str">
        <x:v>M1</x:v>
      </x:c>
      <x:c r="C10" s="39" t="n">
        <x:v>0.25</x:v>
      </x:c>
      <x:c r="D10" s="41" t="str">
        <x:v>A</x:v>
      </x:c>
      <x:c r="E10" s="18" t="n">
        <x:v>1723934</x:v>
      </x:c>
      <x:c r="F10" s="18" t="n">
        <x:v>430984</x:v>
      </x:c>
      <x:c r="G10" s="24" t="n">
        <x:v>0.25000029003430524</x:v>
      </x:c>
      <x:c r="H10" s="36" t="n">
        <x:v>0.00011601372209568694</x:v>
      </x:c>
      <x:c r="I10" s="36" t="n">
        <x:v>0.009977987347128365</x:v>
      </x:c>
      <x:c r="J10" s="40" t="n">
        <x:v>0.021145268692635</x:v>
      </x:c>
      <x:c r="K10" s="30" t="n">
        <x:v>22.767029313081384</x:v>
      </x:c>
      <x:c r="L10" s="30" t="n">
        <x:v>21.521137460516954</x:v>
      </x:c>
      <x:c r="M10" s="36" t="n">
        <x:v>0.9248763962616174</x:v>
      </x:c>
    </x:row>
    <x:row r="11" ht="23" customHeight="1">
      <x:c r="A11" s="10" t="str">
        <x:v>M1|0.25|B</x:v>
      </x:c>
      <x:c r="B11" s="10" t="str">
        <x:v>M1</x:v>
      </x:c>
      <x:c r="C11" s="39" t="n">
        <x:v>0.25</x:v>
      </x:c>
      <x:c r="D11" s="41" t="str">
        <x:v>B</x:v>
      </x:c>
      <x:c r="E11" s="18" t="n">
        <x:v>1723934</x:v>
      </x:c>
      <x:c r="F11" s="18" t="n">
        <x:v>430984</x:v>
      </x:c>
      <x:c r="G11" s="24" t="n">
        <x:v>0.25000029003430524</x:v>
      </x:c>
      <x:c r="H11" s="36" t="n">
        <x:v>0.00011601372209568694</x:v>
      </x:c>
      <x:c r="I11" s="36" t="n">
        <x:v>0.009886430454605492</x:v>
      </x:c>
      <x:c r="J11" s="40" t="n">
        <x:v>0.020898633301840157</x:v>
      </x:c>
      <x:c r="K11" s="30" t="n">
        <x:v>22.63155276181844</x:v>
      </x:c>
      <x:c r="L11" s="30" t="n">
        <x:v>21.581878987625583</x:v>
      </x:c>
      <x:c r="M11" s="36" t="n">
        <x:v>0.9253875322523754</x:v>
      </x:c>
    </x:row>
    <x:row r="12" ht="23" customHeight="1">
      <x:c r="A12" s="10" t="str">
        <x:v>M1|0.25|C</x:v>
      </x:c>
      <x:c r="B12" s="10" t="str">
        <x:v>M1</x:v>
      </x:c>
      <x:c r="C12" s="39" t="n">
        <x:v>0.25</x:v>
      </x:c>
      <x:c r="D12" s="41" t="str">
        <x:v>C</x:v>
      </x:c>
      <x:c r="E12" s="18" t="n">
        <x:v>1723934</x:v>
      </x:c>
      <x:c r="F12" s="18" t="n">
        <x:v>430984</x:v>
      </x:c>
      <x:c r="G12" s="24" t="n">
        <x:v>0.25000029003430524</x:v>
      </x:c>
      <x:c r="H12" s="36" t="n">
        <x:v>0.00011601372209568694</x:v>
      </x:c>
      <x:c r="I12" s="36" t="n">
        <x:v>0.009639378834652513</x:v>
      </x:c>
      <x:c r="J12" s="40" t="n">
        <x:v>0.020569260159390965</x:v>
      </x:c>
      <x:c r="K12" s="30" t="n">
        <x:v>22.91388841311048</x:v>
      </x:c>
      <x:c r="L12" s="30" t="n">
        <x:v>21.456605178965315</x:v>
      </x:c>
      <x:c r="M12" s="36" t="n">
        <x:v>0.9244293518223436</x:v>
      </x:c>
    </x:row>
    <x:row r="13" ht="23" customHeight="1">
      <x:c r="A13" s="10" t="str">
        <x:v>M1|0.25|D</x:v>
      </x:c>
      <x:c r="B13" s="10" t="str">
        <x:v>M1</x:v>
      </x:c>
      <x:c r="C13" s="39" t="n">
        <x:v>0.25</x:v>
      </x:c>
      <x:c r="D13" s="41" t="str">
        <x:v>D</x:v>
      </x:c>
      <x:c r="E13" s="18" t="n">
        <x:v>1723934</x:v>
      </x:c>
      <x:c r="F13" s="18" t="n">
        <x:v>430964</x:v>
      </x:c>
      <x:c r="G13" s="24" t="n">
        <x:v>0.24998868866209495</x:v>
      </x:c>
      <x:c r="H13" s="36" t="n">
        <x:v>-0.004524535162020449</x:v>
      </x:c>
      <x:c r="I13" s="36" t="n">
        <x:v>0.009433581979184792</x:v>
      </x:c>
      <x:c r="J13" s="40" t="n">
        <x:v>0.020491241448326036</x:v>
      </x:c>
      <x:c r="K13" s="30" t="n">
        <x:v>22.71897885795089</x:v>
      </x:c>
      <x:c r="L13" s="30" t="n">
        <x:v>21.54198648585259</x:v>
      </x:c>
      <x:c r="M13" s="36" t="n">
        <x:v>0.9251402508625158</x:v>
      </x:c>
    </x:row>
    <x:row r="14" ht="23" customHeight="1">
      <x:c r="A14" s="10" t="str">
        <x:v>M1|0.5|A</x:v>
      </x:c>
      <x:c r="B14" s="10" t="str">
        <x:v>M1</x:v>
      </x:c>
      <x:c r="C14" s="39" t="n">
        <x:v>0.5</x:v>
      </x:c>
      <x:c r="D14" s="41" t="str">
        <x:v>A</x:v>
      </x:c>
      <x:c r="E14" s="18" t="n">
        <x:v>1723934</x:v>
      </x:c>
      <x:c r="F14" s="18" t="n">
        <x:v>861967</x:v>
      </x:c>
      <x:c r="G14" s="24" t="n">
        <x:v>0.5</x:v>
      </x:c>
      <x:c r="H14" s="36" t="n">
        <x:v>0</x:v>
      </x:c>
      <x:c r="I14" s="36" t="n">
        <x:v>0.0020599590845970773</x:v>
      </x:c>
      <x:c r="J14" s="40" t="n">
        <x:v>0.0038262398265942453</x:v>
      </x:c>
      <x:c r="K14" s="30" t="n">
        <x:v>20.12732079412393</x:v>
      </x:c>
      <x:c r="L14" s="30" t="n">
        <x:v>22.800385678637316</x:v>
      </x:c>
      <x:c r="M14" s="36" t="n">
        <x:v>0.940331771801131</x:v>
      </x:c>
    </x:row>
    <x:row r="15" ht="23" customHeight="1">
      <x:c r="A15" s="10" t="str">
        <x:v>M1|0.5|B</x:v>
      </x:c>
      <x:c r="B15" s="10" t="str">
        <x:v>M1</x:v>
      </x:c>
      <x:c r="C15" s="39" t="n">
        <x:v>0.5</x:v>
      </x:c>
      <x:c r="D15" s="41" t="str">
        <x:v>B</x:v>
      </x:c>
      <x:c r="E15" s="18" t="n">
        <x:v>1723934</x:v>
      </x:c>
      <x:c r="F15" s="18" t="n">
        <x:v>861969</x:v>
      </x:c>
      <x:c r="G15" s="24" t="n">
        <x:v>0.5000011601372211</x:v>
      </x:c>
      <x:c r="H15" s="36" t="n">
        <x:v>0.00023202744421357835</x:v>
      </x:c>
      <x:c r="I15" s="36" t="n">
        <x:v>0.0020658091089089756</x:v>
      </x:c>
      <x:c r="J15" s="40" t="n">
        <x:v>0.0037176789192017163</x:v>
      </x:c>
      <x:c r="K15" s="30" t="n">
        <x:v>20.10265417595295</x:v>
      </x:c>
      <x:c r="L15" s="30" t="n">
        <x:v>22.81231237657862</x:v>
      </x:c>
      <x:c r="M15" s="36" t="n">
        <x:v>0.9404269029125939</x:v>
      </x:c>
    </x:row>
    <x:row r="16" ht="23" customHeight="1">
      <x:c r="A16" s="10" t="str">
        <x:v>M1|0.5|C</x:v>
      </x:c>
      <x:c r="B16" s="10" t="str">
        <x:v>M1</x:v>
      </x:c>
      <x:c r="C16" s="39" t="n">
        <x:v>0.5</x:v>
      </x:c>
      <x:c r="D16" s="41" t="str">
        <x:v>C</x:v>
      </x:c>
      <x:c r="E16" s="18" t="n">
        <x:v>1723934</x:v>
      </x:c>
      <x:c r="F16" s="18" t="n">
        <x:v>861969</x:v>
      </x:c>
      <x:c r="G16" s="24" t="n">
        <x:v>0.5000011601372211</x:v>
      </x:c>
      <x:c r="H16" s="36" t="n">
        <x:v>0.00023202744421357835</x:v>
      </x:c>
      <x:c r="I16" s="36" t="n">
        <x:v>0.0019617771980554666</x:v>
      </x:c>
      <x:c r="J16" s="40" t="n">
        <x:v>0.0034904877975350246</x:v>
      </x:c>
      <x:c r="K16" s="30" t="n">
        <x:v>20.12854128584723</x:v>
      </x:c>
      <x:c r="L16" s="30" t="n">
        <x:v>22.80012796439951</x:v>
      </x:c>
      <x:c r="M16" s="36" t="n">
        <x:v>0.9403331810167916</x:v>
      </x:c>
    </x:row>
    <x:row r="17" ht="23" customHeight="1">
      <x:c r="A17" s="10" t="str">
        <x:v>M1|0.5|D</x:v>
      </x:c>
      <x:c r="B17" s="10" t="str">
        <x:v>M1</x:v>
      </x:c>
      <x:c r="C17" s="39" t="n">
        <x:v>0.5</x:v>
      </x:c>
      <x:c r="D17" s="41" t="str">
        <x:v>D</x:v>
      </x:c>
      <x:c r="E17" s="18" t="n">
        <x:v>1723934</x:v>
      </x:c>
      <x:c r="F17" s="18" t="n">
        <x:v>861965</x:v>
      </x:c>
      <x:c r="G17" s="24" t="n">
        <x:v>0.499998839862779</x:v>
      </x:c>
      <x:c r="H17" s="36" t="n">
        <x:v>-0.00023202744420247612</x:v>
      </x:c>
      <x:c r="I17" s="36" t="n">
        <x:v>0.0019598789413442152</x:v>
      </x:c>
      <x:c r="J17" s="40" t="n">
        <x:v>0.003435122653172582</x:v>
      </x:c>
      <x:c r="K17" s="30" t="n">
        <x:v>20.11465897055885</x:v>
      </x:c>
      <x:c r="L17" s="30" t="n">
        <x:v>22.806885646190324</x:v>
      </x:c>
      <x:c r="M17" s="36" t="n">
        <x:v>0.940340022680513</x:v>
      </x:c>
    </x:row>
    <x:row r="18" ht="23" customHeight="1">
      <x:c r="A18" s="10" t="str">
        <x:v>M1|0.75|A</x:v>
      </x:c>
      <x:c r="B18" s="10" t="str">
        <x:v>M1</x:v>
      </x:c>
      <x:c r="C18" s="39" t="n">
        <x:v>0.75</x:v>
      </x:c>
      <x:c r="D18" s="41" t="str">
        <x:v>A</x:v>
      </x:c>
      <x:c r="E18" s="18" t="n">
        <x:v>1723934</x:v>
      </x:c>
      <x:c r="F18" s="18" t="n">
        <x:v>1292951</x:v>
      </x:c>
      <x:c r="G18" s="24" t="n">
        <x:v>0.7500002900343052</x:v>
      </x:c>
      <x:c r="H18" s="36" t="n">
        <x:v>0.000038671240698562315</x:v>
      </x:c>
      <x:c r="I18" s="36" t="n">
        <x:v>0.0014339691511446291</x:v>
      </x:c>
      <x:c r="J18" s="40" t="n">
        <x:v>0.0018507431559555694</x:v>
      </x:c>
      <x:c r="K18" s="30" t="n">
        <x:v>18.721573577749812</x:v>
      </x:c>
      <x:c r="L18" s="30" t="n">
        <x:v>23.503301171206587</x:v>
      </x:c>
      <x:c r="M18" s="36" t="n">
        <x:v>0.9506173327371638</x:v>
      </x:c>
    </x:row>
    <x:row r="19" ht="23" customHeight="1">
      <x:c r="A19" s="10" t="str">
        <x:v>M1|0.75|B</x:v>
      </x:c>
      <x:c r="B19" s="10" t="str">
        <x:v>M1</x:v>
      </x:c>
      <x:c r="C19" s="39" t="n">
        <x:v>0.75</x:v>
      </x:c>
      <x:c r="D19" s="41" t="str">
        <x:v>B</x:v>
      </x:c>
      <x:c r="E19" s="18" t="n">
        <x:v>1723934</x:v>
      </x:c>
      <x:c r="F19" s="18" t="n">
        <x:v>1292953</x:v>
      </x:c>
      <x:c r="G19" s="24" t="n">
        <x:v>0.7500014501715263</x:v>
      </x:c>
      <x:c r="H19" s="36" t="n">
        <x:v>0.00019335620351501603</x:v>
      </x:c>
      <x:c r="I19" s="36" t="n">
        <x:v>0.00024723740684651734</x:v>
      </x:c>
      <x:c r="J19" s="40" t="n">
        <x:v>2.7527555790385336e-8</x:v>
      </x:c>
      <x:c r="K19" s="30" t="n">
        <x:v>3.6432071821156886</x:v>
      </x:c>
      <x:c r="L19" s="30" t="n">
        <x:v>37.75712640462108</x:v>
      </x:c>
      <x:c r="M19" s="36" t="n">
        <x:v>0.9927031604253608</x:v>
      </x:c>
    </x:row>
    <x:row r="20" ht="23" customHeight="1">
      <x:c r="A20" s="10" t="str">
        <x:v>M1|0.75|C</x:v>
      </x:c>
      <x:c r="B20" s="10" t="str">
        <x:v>M1</x:v>
      </x:c>
      <x:c r="C20" s="39" t="n">
        <x:v>0.75</x:v>
      </x:c>
      <x:c r="D20" s="41" t="str">
        <x:v>C</x:v>
      </x:c>
      <x:c r="E20" s="18" t="n">
        <x:v>1723934</x:v>
      </x:c>
      <x:c r="F20" s="18" t="n">
        <x:v>1292947</x:v>
      </x:c>
      <x:c r="G20" s="24" t="n">
        <x:v>0.7499979697598632</x:v>
      </x:c>
      <x:c r="H20" s="36" t="n">
        <x:v>-0.00027069868491214066</x:v>
      </x:c>
      <x:c r="I20" s="36" t="n">
        <x:v>0.0014006730690110873</x:v>
      </x:c>
      <x:c r="J20" s="40" t="n">
        <x:v>0.0017110487806348824</x:v>
      </x:c>
      <x:c r="K20" s="30" t="n">
        <x:v>18.575058573337795</x:v>
      </x:c>
      <x:c r="L20" s="30" t="n">
        <x:v>23.605000058337584</x:v>
      </x:c>
      <x:c r="M20" s="36" t="n">
        <x:v>0.951415201975895</x:v>
      </x:c>
    </x:row>
    <x:row r="21" ht="23" customHeight="1">
      <x:c r="A21" s="10" t="str">
        <x:v>M1|0.75|D</x:v>
      </x:c>
      <x:c r="B21" s="10" t="str">
        <x:v>M1</x:v>
      </x:c>
      <x:c r="C21" s="39" t="n">
        <x:v>0.75</x:v>
      </x:c>
      <x:c r="D21" s="41" t="str">
        <x:v>D</x:v>
      </x:c>
      <x:c r="E21" s="18" t="n">
        <x:v>1723934</x:v>
      </x:c>
      <x:c r="F21" s="18" t="n">
        <x:v>1292949</x:v>
      </x:c>
      <x:c r="G21" s="24" t="n">
        <x:v>0.7499991298970843</x:v>
      </x:c>
      <x:c r="H21" s="36" t="n">
        <x:v>-0.00011601372210678917</x:v>
      </x:c>
      <x:c r="I21" s="36" t="n">
        <x:v>0.00019213109513551156</x:v>
      </x:c>
      <x:c r="J21" s="40" t="n">
        <x:v>1.5725667296129185e-8</x:v>
      </x:c>
      <x:c r="K21" s="30" t="n">
        <x:v>3.579910674101157</x:v>
      </x:c>
      <x:c r="L21" s="30" t="n">
        <x:v>37.97896852601241</x:v>
      </x:c>
      <x:c r="M21" s="36" t="n">
        <x:v>0.992809077409226</x:v>
      </x:c>
    </x:row>
    <x:row r="22" ht="23" customHeight="1">
      <x:c r="A22" s="10" t="str">
        <x:v>M2|0.125|A</x:v>
      </x:c>
      <x:c r="B22" s="10" t="str">
        <x:v>M2</x:v>
      </x:c>
      <x:c r="C22" s="39" t="n">
        <x:v>0.125</x:v>
      </x:c>
      <x:c r="D22" s="41" t="str">
        <x:v>A</x:v>
      </x:c>
      <x:c r="E22" s="18" t="n">
        <x:v>2911273</x:v>
      </x:c>
      <x:c r="F22" s="18" t="n">
        <x:v>363911</x:v>
      </x:c>
      <x:c r="G22" s="24" t="n">
        <x:v>0.1250006440481535</x:v>
      </x:c>
      <x:c r="H22" s="36" t="n">
        <x:v>0.0005152385228024414</x:v>
      </x:c>
      <x:c r="I22" s="36" t="n">
        <x:v>0.0369646599866797</x:v>
      </x:c>
      <x:c r="J22" s="40" t="n">
        <x:v>0.06359440303640425</x:v>
      </x:c>
      <x:c r="K22" s="30" t="n">
        <x:v>19.669132050163125</x:v>
      </x:c>
      <x:c r="L22" s="30" t="n">
        <x:v>22.842016380134023</x:v>
      </x:c>
      <x:c r="M22" s="36" t="n">
        <x:v>0.9335652192399732</x:v>
      </x:c>
    </x:row>
    <x:row r="23" ht="23" customHeight="1">
      <x:c r="A23" s="10" t="str">
        <x:v>M2|0.125|B</x:v>
      </x:c>
      <x:c r="B23" s="10" t="str">
        <x:v>M2</x:v>
      </x:c>
      <x:c r="C23" s="39" t="n">
        <x:v>0.125</x:v>
      </x:c>
      <x:c r="D23" s="41" t="str">
        <x:v>B</x:v>
      </x:c>
      <x:c r="E23" s="18" t="n">
        <x:v>2911273</x:v>
      </x:c>
      <x:c r="F23" s="18" t="n">
        <x:v>363919</x:v>
      </x:c>
      <x:c r="G23" s="24" t="n">
        <x:v>0.1250033919869418</x:v>
      </x:c>
      <x:c r="H23" s="36" t="n">
        <x:v>0.002713589553438034</x:v>
      </x:c>
      <x:c r="I23" s="36" t="n">
        <x:v>0.03548057887084939</x:v>
      </x:c>
      <x:c r="J23" s="40" t="n">
        <x:v>0.057978374243248254</x:v>
      </x:c>
      <x:c r="K23" s="30" t="n">
        <x:v>19.452663999647893</x:v>
      </x:c>
      <x:c r="L23" s="30" t="n">
        <x:v>22.956136820488066</x:v>
      </x:c>
      <x:c r="M23" s="36" t="n">
        <x:v>0.9339136341600948</x:v>
      </x:c>
    </x:row>
    <x:row r="24" ht="23" customHeight="1">
      <x:c r="A24" s="10" t="str">
        <x:v>M2|0.125|C</x:v>
      </x:c>
      <x:c r="B24" s="10" t="str">
        <x:v>M2</x:v>
      </x:c>
      <x:c r="C24" s="39" t="n">
        <x:v>0.125</x:v>
      </x:c>
      <x:c r="D24" s="41" t="str">
        <x:v>C</x:v>
      </x:c>
      <x:c r="E24" s="18" t="n">
        <x:v>2911273</x:v>
      </x:c>
      <x:c r="F24" s="18" t="n">
        <x:v>363909</x:v>
      </x:c>
      <x:c r="G24" s="24" t="n">
        <x:v>0.12499995706345643</x:v>
      </x:c>
      <x:c r="H24" s="36" t="n">
        <x:v>-0.00003434923485645669</x:v>
      </x:c>
      <x:c r="I24" s="36" t="n">
        <x:v>0.03532565592837196</x:v>
      </x:c>
      <x:c r="J24" s="40" t="n">
        <x:v>0.06338255741866305</x:v>
      </x:c>
      <x:c r="K24" s="30" t="n">
        <x:v>19.590618726718358</x:v>
      </x:c>
      <x:c r="L24" s="30" t="n">
        <x:v>22.864061038935038</x:v>
      </x:c>
      <x:c r="M24" s="36" t="n">
        <x:v>0.9337024378118337</x:v>
      </x:c>
    </x:row>
    <x:row r="25" ht="23" customHeight="1">
      <x:c r="A25" s="10" t="str">
        <x:v>M2|0.125|D</x:v>
      </x:c>
      <x:c r="B25" s="10" t="str">
        <x:v>M2</x:v>
      </x:c>
      <x:c r="C25" s="39" t="n">
        <x:v>0.125</x:v>
      </x:c>
      <x:c r="D25" s="41" t="str">
        <x:v>D</x:v>
      </x:c>
      <x:c r="E25" s="18" t="n">
        <x:v>2911273</x:v>
      </x:c>
      <x:c r="F25" s="18" t="n">
        <x:v>363915</x:v>
      </x:c>
      <x:c r="G25" s="24" t="n">
        <x:v>0.12500201801754765</x:v>
      </x:c>
      <x:c r="H25" s="36" t="n">
        <x:v>0.0016144140381202376</x:v>
      </x:c>
      <x:c r="I25" s="36" t="n">
        <x:v>0.03163108236283203</x:v>
      </x:c>
      <x:c r="J25" s="40" t="n">
        <x:v>0.04901645326754073</x:v>
      </x:c>
      <x:c r="K25" s="30" t="n">
        <x:v>19.069987524100295</x:v>
      </x:c>
      <x:c r="L25" s="30" t="n">
        <x:v>23.107722311817966</x:v>
      </x:c>
      <x:c r="M25" s="36" t="n">
        <x:v>0.9375082280165081</x:v>
      </x:c>
    </x:row>
    <x:row r="26" ht="23" customHeight="1">
      <x:c r="A26" s="10" t="str">
        <x:v>M2|0.25|A</x:v>
      </x:c>
      <x:c r="B26" s="10" t="str">
        <x:v>M2</x:v>
      </x:c>
      <x:c r="C26" s="39" t="n">
        <x:v>0.25</x:v>
      </x:c>
      <x:c r="D26" s="41" t="str">
        <x:v>A</x:v>
      </x:c>
      <x:c r="E26" s="18" t="n">
        <x:v>2911273</x:v>
      </x:c>
      <x:c r="F26" s="18" t="n">
        <x:v>727819</x:v>
      </x:c>
      <x:c r="G26" s="24" t="n">
        <x:v>0.2500002576192614</x:v>
      </x:c>
      <x:c r="H26" s="36" t="n">
        <x:v>0.00010304770456937007</x:v>
      </x:c>
      <x:c r="I26" s="36" t="n">
        <x:v>0.019048669647047038</x:v>
      </x:c>
      <x:c r="J26" s="40" t="n">
        <x:v>0.03220793354557827</x:v>
      </x:c>
      <x:c r="K26" s="30" t="n">
        <x:v>18.343173860150436</x:v>
      </x:c>
      <x:c r="L26" s="30" t="n">
        <x:v>23.41714043512373</x:v>
      </x:c>
      <x:c r="M26" s="36" t="n">
        <x:v>0.9404781054050053</x:v>
      </x:c>
    </x:row>
    <x:row r="27" ht="23" customHeight="1">
      <x:c r="A27" s="10" t="str">
        <x:v>M2|0.25|B</x:v>
      </x:c>
      <x:c r="B27" s="10" t="str">
        <x:v>M2</x:v>
      </x:c>
      <x:c r="C27" s="39" t="n">
        <x:v>0.25</x:v>
      </x:c>
      <x:c r="D27" s="41" t="str">
        <x:v>B</x:v>
      </x:c>
      <x:c r="E27" s="18" t="n">
        <x:v>2911273</x:v>
      </x:c>
      <x:c r="F27" s="18" t="n">
        <x:v>727819</x:v>
      </x:c>
      <x:c r="G27" s="24" t="n">
        <x:v>0.2500002576192614</x:v>
      </x:c>
      <x:c r="H27" s="36" t="n">
        <x:v>0.00010304770456937007</x:v>
      </x:c>
      <x:c r="I27" s="36" t="n">
        <x:v>0.017072256673952253</x:v>
      </x:c>
      <x:c r="J27" s="40" t="n">
        <x:v>0.031497791496803984</x:v>
      </x:c>
      <x:c r="K27" s="30" t="n">
        <x:v>17.99147925083645</x:v>
      </x:c>
      <x:c r="L27" s="30" t="n">
        <x:v>23.595438438292472</x:v>
      </x:c>
      <x:c r="M27" s="36" t="n">
        <x:v>0.9415155423544439</x:v>
      </x:c>
    </x:row>
    <x:row r="28" ht="23" customHeight="1">
      <x:c r="A28" s="10" t="str">
        <x:v>M2|0.25|C</x:v>
      </x:c>
      <x:c r="B28" s="10" t="str">
        <x:v>M2</x:v>
      </x:c>
      <x:c r="C28" s="39" t="n">
        <x:v>0.25</x:v>
      </x:c>
      <x:c r="D28" s="41" t="str">
        <x:v>C</x:v>
      </x:c>
      <x:c r="E28" s="18" t="n">
        <x:v>2911273</x:v>
      </x:c>
      <x:c r="F28" s="18" t="n">
        <x:v>727818</x:v>
      </x:c>
      <x:c r="G28" s="24" t="n">
        <x:v>0.24999991412691286</x:v>
      </x:c>
      <x:c r="H28" s="36" t="n">
        <x:v>-0.00003434923485645669</x:v>
      </x:c>
      <x:c r="I28" s="36" t="n">
        <x:v>0.016583571565096034</x:v>
      </x:c>
      <x:c r="J28" s="40" t="n">
        <x:v>0.03152804740238932</x:v>
      </x:c>
      <x:c r="K28" s="30" t="n">
        <x:v>18.43191036437681</x:v>
      </x:c>
      <x:c r="L28" s="30" t="n">
        <x:v>23.377817676398298</x:v>
      </x:c>
      <x:c r="M28" s="36" t="n">
        <x:v>0.940814165816429</x:v>
      </x:c>
    </x:row>
    <x:row r="29" ht="23" customHeight="1">
      <x:c r="A29" s="10" t="str">
        <x:v>M2|0.25|D</x:v>
      </x:c>
      <x:c r="B29" s="10" t="str">
        <x:v>M2</x:v>
      </x:c>
      <x:c r="C29" s="39" t="n">
        <x:v>0.25</x:v>
      </x:c>
      <x:c r="D29" s="41" t="str">
        <x:v>D</x:v>
      </x:c>
      <x:c r="E29" s="18" t="n">
        <x:v>2911273</x:v>
      </x:c>
      <x:c r="F29" s="18" t="n">
        <x:v>727818</x:v>
      </x:c>
      <x:c r="G29" s="24" t="n">
        <x:v>0.24999991412691286</x:v>
      </x:c>
      <x:c r="H29" s="36" t="n">
        <x:v>-0.00003434923485645669</x:v>
      </x:c>
      <x:c r="I29" s="36" t="n">
        <x:v>0.01661907934610887</x:v>
      </x:c>
      <x:c r="J29" s="40" t="n">
        <x:v>0.03119860179140227</x:v>
      </x:c>
      <x:c r="K29" s="30" t="n">
        <x:v>17.968665925358618</x:v>
      </x:c>
      <x:c r="L29" s="30" t="n">
        <x:v>23.596187473046538</x:v>
      </x:c>
      <x:c r="M29" s="36" t="n">
        <x:v>0.941812326931517</x:v>
      </x:c>
    </x:row>
    <x:row r="30" ht="23" customHeight="1">
      <x:c r="A30" s="10" t="str">
        <x:v>M2|0.5|A</x:v>
      </x:c>
      <x:c r="B30" s="10" t="str">
        <x:v>M2</x:v>
      </x:c>
      <x:c r="C30" s="39" t="n">
        <x:v>0.5</x:v>
      </x:c>
      <x:c r="D30" s="41" t="str">
        <x:v>A</x:v>
      </x:c>
      <x:c r="E30" s="18" t="n">
        <x:v>2911273</x:v>
      </x:c>
      <x:c r="F30" s="18" t="n">
        <x:v>1455636</x:v>
      </x:c>
      <x:c r="G30" s="24" t="n">
        <x:v>0.4999998282538257</x:v>
      </x:c>
      <x:c r="H30" s="36" t="n">
        <x:v>-0.00003434923485645669</x:v>
      </x:c>
      <x:c r="I30" s="36" t="n">
        <x:v>0.0073254018021366865</x:v>
      </x:c>
      <x:c r="J30" s="40" t="n">
        <x:v>0.002843488464350228</x:v>
      </x:c>
      <x:c r="K30" s="30" t="n">
        <x:v>15.927336484936603</x:v>
      </x:c>
      <x:c r="L30" s="30" t="n">
        <x:v>24.70195394863607</x:v>
      </x:c>
      <x:c r="M30" s="36" t="n">
        <x:v>0.9546258579614227</x:v>
      </x:c>
    </x:row>
    <x:row r="31" ht="23" customHeight="1">
      <x:c r="A31" s="10" t="str">
        <x:v>M2|0.5|B</x:v>
      </x:c>
      <x:c r="B31" s="10" t="str">
        <x:v>M2</x:v>
      </x:c>
      <x:c r="C31" s="39" t="n">
        <x:v>0.5</x:v>
      </x:c>
      <x:c r="D31" s="41" t="str">
        <x:v>B</x:v>
      </x:c>
      <x:c r="E31" s="18" t="n">
        <x:v>2911273</x:v>
      </x:c>
      <x:c r="F31" s="18" t="n">
        <x:v>1455637</x:v>
      </x:c>
      <x:c r="G31" s="24" t="n">
        <x:v>0.5000001717461743</x:v>
      </x:c>
      <x:c r="H31" s="36" t="n">
        <x:v>0.00003434923485645669</x:v>
      </x:c>
      <x:c r="I31" s="36" t="n">
        <x:v>0.007309290043165943</x:v>
      </x:c>
      <x:c r="J31" s="40" t="n">
        <x:v>0.0028327888685453196</x:v>
      </x:c>
      <x:c r="K31" s="30" t="n">
        <x:v>15.187676172484423</x:v>
      </x:c>
      <x:c r="L31" s="30" t="n">
        <x:v>25.139016957505387</x:v>
      </x:c>
      <x:c r="M31" s="36" t="n">
        <x:v>0.9579053263968099</x:v>
      </x:c>
    </x:row>
    <x:row r="32" ht="23" customHeight="1">
      <x:c r="A32" s="10" t="str">
        <x:v>M2|0.5|C</x:v>
      </x:c>
      <x:c r="B32" s="10" t="str">
        <x:v>M2</x:v>
      </x:c>
      <x:c r="C32" s="39" t="n">
        <x:v>0.5</x:v>
      </x:c>
      <x:c r="D32" s="41" t="str">
        <x:v>C</x:v>
      </x:c>
      <x:c r="E32" s="18" t="n">
        <x:v>2911273</x:v>
      </x:c>
      <x:c r="F32" s="18" t="n">
        <x:v>1455639</x:v>
      </x:c>
      <x:c r="G32" s="24" t="n">
        <x:v>0.5000008587308713</x:v>
      </x:c>
      <x:c r="H32" s="36" t="n">
        <x:v>0.000171746174260079</x:v>
      </x:c>
      <x:c r="I32" s="36" t="n">
        <x:v>0.00733693370818501</x:v>
      </x:c>
      <x:c r="J32" s="40" t="n">
        <x:v>0.002728963409026619</x:v>
      </x:c>
      <x:c r="K32" s="30" t="n">
        <x:v>15.921183208456297</x:v>
      </x:c>
      <x:c r="L32" s="30" t="n">
        <x:v>24.704473023951895</x:v>
      </x:c>
      <x:c r="M32" s="36" t="n">
        <x:v>0.9546349491484222</x:v>
      </x:c>
    </x:row>
    <x:row r="33" ht="23" customHeight="1">
      <x:c r="A33" s="10" t="str">
        <x:v>M2|0.5|D</x:v>
      </x:c>
      <x:c r="B33" s="10" t="str">
        <x:v>M2</x:v>
      </x:c>
      <x:c r="C33" s="39" t="n">
        <x:v>0.5</x:v>
      </x:c>
      <x:c r="D33" s="41" t="str">
        <x:v>D</x:v>
      </x:c>
      <x:c r="E33" s="18" t="n">
        <x:v>2911273</x:v>
      </x:c>
      <x:c r="F33" s="18" t="n">
        <x:v>1455633</x:v>
      </x:c>
      <x:c r="G33" s="24" t="n">
        <x:v>0.49999879777678014</x:v>
      </x:c>
      <x:c r="H33" s="36" t="n">
        <x:v>-0.00024044464397299237</x:v>
      </x:c>
      <x:c r="I33" s="36" t="n">
        <x:v>0.007329116705754284</x:v>
      </x:c>
      <x:c r="J33" s="40" t="n">
        <x:v>0.0027136811968375696</x:v>
      </x:c>
      <x:c r="K33" s="30" t="n">
        <x:v>15.19046098377192</x:v>
      </x:c>
      <x:c r="L33" s="30" t="n">
        <x:v>25.13539802702688</x:v>
      </x:c>
      <x:c r="M33" s="36" t="n">
        <x:v>0.9578384444859019</x:v>
      </x:c>
    </x:row>
    <x:row r="34" ht="23" customHeight="1">
      <x:c r="A34" s="10" t="str">
        <x:v>M2|0.75|A</x:v>
      </x:c>
      <x:c r="B34" s="10" t="str">
        <x:v>M2</x:v>
      </x:c>
      <x:c r="C34" s="39" t="n">
        <x:v>0.75</x:v>
      </x:c>
      <x:c r="D34" s="41" t="str">
        <x:v>A</x:v>
      </x:c>
      <x:c r="E34" s="18" t="n">
        <x:v>2911273</x:v>
      </x:c>
      <x:c r="F34" s="18" t="n">
        <x:v>2183455</x:v>
      </x:c>
      <x:c r="G34" s="24" t="n">
        <x:v>0.7500000858730871</x:v>
      </x:c>
      <x:c r="H34" s="36" t="n">
        <x:v>0.00001144974495215223</x:v>
      </x:c>
      <x:c r="I34" s="36" t="n">
        <x:v>0.007082425596556022</x:v>
      </x:c>
      <x:c r="J34" s="40" t="n">
        <x:v>4.1962262553596464e-7</x:v>
      </x:c>
      <x:c r="K34" s="30" t="n">
        <x:v>10.838096424124425</x:v>
      </x:c>
      <x:c r="L34" s="30" t="n">
        <x:v>28.083115510875846</x:v>
      </x:c>
      <x:c r="M34" s="36" t="n">
        <x:v>0.9756040528318216</x:v>
      </x:c>
    </x:row>
    <x:row r="35" ht="23" customHeight="1">
      <x:c r="A35" s="10" t="str">
        <x:v>M2|0.75|B</x:v>
      </x:c>
      <x:c r="B35" s="10" t="str">
        <x:v>M2</x:v>
      </x:c>
      <x:c r="C35" s="39" t="n">
        <x:v>0.75</x:v>
      </x:c>
      <x:c r="D35" s="41" t="str">
        <x:v>B</x:v>
      </x:c>
      <x:c r="E35" s="18" t="n">
        <x:v>2911273</x:v>
      </x:c>
      <x:c r="F35" s="18" t="n">
        <x:v>2183455</x:v>
      </x:c>
      <x:c r="G35" s="24" t="n">
        <x:v>0.7500000858730871</x:v>
      </x:c>
      <x:c r="H35" s="36" t="n">
        <x:v>0.00001144974495215223</x:v>
      </x:c>
      <x:c r="I35" s="36" t="n">
        <x:v>0.001638881882812619</x:v>
      </x:c>
      <x:c r="J35" s="40" t="n">
        <x:v>0</x:v>
      </x:c>
      <x:c r="K35" s="30" t="n">
        <x:v>7.029958705372924</x:v>
      </x:c>
      <x:c r="L35" s="30" t="n">
        <x:v>32.06220284716847</x:v>
      </x:c>
      <x:c r="M35" s="36" t="n">
        <x:v>0.9869462786057426</x:v>
      </x:c>
    </x:row>
    <x:row r="36" ht="23" customHeight="1">
      <x:c r="A36" s="10" t="str">
        <x:v>M2|0.75|C</x:v>
      </x:c>
      <x:c r="B36" s="10" t="str">
        <x:v>M2</x:v>
      </x:c>
      <x:c r="C36" s="39" t="n">
        <x:v>0.75</x:v>
      </x:c>
      <x:c r="D36" s="41" t="str">
        <x:v>C</x:v>
      </x:c>
      <x:c r="E36" s="18" t="n">
        <x:v>2911273</x:v>
      </x:c>
      <x:c r="F36" s="18" t="n">
        <x:v>2183459</x:v>
      </x:c>
      <x:c r="G36" s="24" t="n">
        <x:v>0.7500014598424812</x:v>
      </x:c>
      <x:c r="H36" s="36" t="n">
        <x:v>0.00019464566416438345</x:v>
      </x:c>
      <x:c r="I36" s="36" t="n">
        <x:v>0.006955160758785203</x:v>
      </x:c>
      <x:c r="J36" s="40" t="n">
        <x:v>4.091447025622569e-7</x:v>
      </x:c>
      <x:c r="K36" s="30" t="n">
        <x:v>10.830241847868061</x:v>
      </x:c>
      <x:c r="L36" s="30" t="n">
        <x:v>28.080626241757486</x:v>
      </x:c>
      <x:c r="M36" s="36" t="n">
        <x:v>0.9755195361712236</x:v>
      </x:c>
    </x:row>
    <x:row r="37" ht="23" customHeight="1">
      <x:c r="A37" s="10" t="str">
        <x:v>M2|0.75|D</x:v>
      </x:c>
      <x:c r="B37" s="10" t="str">
        <x:v>M2</x:v>
      </x:c>
      <x:c r="C37" s="39" t="n">
        <x:v>0.75</x:v>
      </x:c>
      <x:c r="D37" s="41" t="str">
        <x:v>D</x:v>
      </x:c>
      <x:c r="E37" s="18" t="n">
        <x:v>2911273</x:v>
      </x:c>
      <x:c r="F37" s="18" t="n">
        <x:v>2183464</x:v>
      </x:c>
      <x:c r="G37" s="24" t="n">
        <x:v>0.750003177304224</x:v>
      </x:c>
      <x:c r="H37" s="36" t="n">
        <x:v>0.0004236405631852236</x:v>
      </x:c>
      <x:c r="I37" s="36" t="n">
        <x:v>0.0014826621422639461</x:v>
      </x:c>
      <x:c r="J37" s="40" t="n">
        <x:v>0</x:v>
      </x:c>
      <x:c r="K37" s="30" t="n">
        <x:v>7.048106955411932</x:v>
      </x:c>
      <x:c r="L37" s="30" t="n">
        <x:v>32.03737242193242</x:v>
      </x:c>
      <x:c r="M37" s="36" t="n">
        <x:v>0.9868384235577469</x:v>
      </x:c>
    </x:row>
    <x:row r="38" ht="23" customHeight="1">
      <x:c r="A38" s="10" t="str">
        <x:v>M3|0.125|A</x:v>
      </x:c>
      <x:c r="B38" s="10" t="str">
        <x:v>M3</x:v>
      </x:c>
      <x:c r="C38" s="39" t="n">
        <x:v>0.125</x:v>
      </x:c>
      <x:c r="D38" s="41" t="str">
        <x:v>A</x:v>
      </x:c>
      <x:c r="E38" s="18" t="n">
        <x:v>3433060</x:v>
      </x:c>
      <x:c r="F38" s="18" t="n">
        <x:v>429132</x:v>
      </x:c>
      <x:c r="G38" s="24" t="n">
        <x:v>0.12499985435733718</x:v>
      </x:c>
      <x:c r="H38" s="36" t="n">
        <x:v>-0.00011651413025504098</x:v>
      </x:c>
      <x:c r="I38" s="36" t="n">
        <x:v>0.06037251429260531</x:v>
      </x:c>
      <x:c r="J38" s="40" t="n">
        <x:v>0.12301132606808093</x:v>
      </x:c>
      <x:c r="K38" s="30" t="n">
        <x:v>15.120044436877583</x:v>
      </x:c>
      <x:c r="L38" s="30" t="n">
        <x:v>24.705026866688073</x:v>
      </x:c>
      <x:c r="M38" s="36" t="n">
        <x:v>0.9444802659844894</x:v>
      </x:c>
    </x:row>
    <x:row r="39" ht="23" customHeight="1">
      <x:c r="A39" s="10" t="str">
        <x:v>M3|0.125|B</x:v>
      </x:c>
      <x:c r="B39" s="10" t="str">
        <x:v>M3</x:v>
      </x:c>
      <x:c r="C39" s="39" t="n">
        <x:v>0.125</x:v>
      </x:c>
      <x:c r="D39" s="41" t="str">
        <x:v>B</x:v>
      </x:c>
      <x:c r="E39" s="18" t="n">
        <x:v>3433060</x:v>
      </x:c>
      <x:c r="F39" s="18" t="n">
        <x:v>429137</x:v>
      </x:c>
      <x:c r="G39" s="24" t="n">
        <x:v>0.1250013107839653</x:v>
      </x:c>
      <x:c r="H39" s="36" t="n">
        <x:v>0.00104862717225096</x:v>
      </x:c>
      <x:c r="I39" s="36" t="n">
        <x:v>0.08942622831783456</x:v>
      </x:c>
      <x:c r="J39" s="40" t="n">
        <x:v>0.07615413109306243</x:v>
      </x:c>
      <x:c r="K39" s="30" t="n">
        <x:v>15.047044377126902</x:v>
      </x:c>
      <x:c r="L39" s="30" t="n">
        <x:v>24.748089782581136</x:v>
      </x:c>
      <x:c r="M39" s="36" t="n">
        <x:v>0.944880538577853</x:v>
      </x:c>
    </x:row>
    <x:row r="40" ht="23" customHeight="1">
      <x:c r="A40" s="10" t="str">
        <x:v>M3|0.125|C</x:v>
      </x:c>
      <x:c r="B40" s="10" t="str">
        <x:v>M3</x:v>
      </x:c>
      <x:c r="C40" s="39" t="n">
        <x:v>0.125</x:v>
      </x:c>
      <x:c r="D40" s="41" t="str">
        <x:v>C</x:v>
      </x:c>
      <x:c r="E40" s="18" t="n">
        <x:v>3433060</x:v>
      </x:c>
      <x:c r="F40" s="18" t="n">
        <x:v>429133</x:v>
      </x:c>
      <x:c r="G40" s="24" t="n">
        <x:v>0.12500014564266282</x:v>
      </x:c>
      <x:c r="H40" s="36" t="n">
        <x:v>0.00011651413025504098</x:v>
      </x:c>
      <x:c r="I40" s="36" t="n">
        <x:v>0.05631480201001354</x:v>
      </x:c>
      <x:c r="J40" s="40" t="n">
        <x:v>0.11604218976572155</x:v>
      </x:c>
      <x:c r="K40" s="30" t="n">
        <x:v>15.21168669518601</x:v>
      </x:c>
      <x:c r="L40" s="30" t="n">
        <x:v>24.64642783854042</x:v>
      </x:c>
      <x:c r="M40" s="36" t="n">
        <x:v>0.9438894808792385</x:v>
      </x:c>
    </x:row>
    <x:row r="41" ht="23" customHeight="1">
      <x:c r="A41" s="10" t="str">
        <x:v>M3|0.125|D</x:v>
      </x:c>
      <x:c r="B41" s="10" t="str">
        <x:v>M3</x:v>
      </x:c>
      <x:c r="C41" s="39" t="n">
        <x:v>0.125</x:v>
      </x:c>
      <x:c r="D41" s="41" t="str">
        <x:v>D</x:v>
      </x:c>
      <x:c r="E41" s="18" t="n">
        <x:v>3433060</x:v>
      </x:c>
      <x:c r="F41" s="18" t="n">
        <x:v>429128</x:v>
      </x:c>
      <x:c r="G41" s="24" t="n">
        <x:v>0.12499868921603467</x:v>
      </x:c>
      <x:c r="H41" s="36" t="n">
        <x:v>-0.0010486271722620621</x:v>
      </x:c>
      <x:c r="I41" s="36" t="n">
        <x:v>0.045657172335628174</x:v>
      </x:c>
      <x:c r="J41" s="40" t="n">
        <x:v>0.06786527141230181</x:v>
      </x:c>
      <x:c r="K41" s="30" t="n">
        <x:v>15.09624809306245</x:v>
      </x:c>
      <x:c r="L41" s="30" t="n">
        <x:v>24.721932105795364</x:v>
      </x:c>
      <x:c r="M41" s="36" t="n">
        <x:v>0.945136290774763</x:v>
      </x:c>
    </x:row>
    <x:row r="42" ht="23" customHeight="1">
      <x:c r="A42" s="10" t="str">
        <x:v>M3|0.25|A</x:v>
      </x:c>
      <x:c r="B42" s="10" t="str">
        <x:v>M3</x:v>
      </x:c>
      <x:c r="C42" s="39" t="n">
        <x:v>0.25</x:v>
      </x:c>
      <x:c r="D42" s="41" t="str">
        <x:v>A</x:v>
      </x:c>
      <x:c r="E42" s="18" t="n">
        <x:v>3433060</x:v>
      </x:c>
      <x:c r="F42" s="18" t="n">
        <x:v>858267</x:v>
      </x:c>
      <x:c r="G42" s="24" t="n">
        <x:v>0.2500005825706513</x:v>
      </x:c>
      <x:c r="H42" s="36" t="n">
        <x:v>0.00023302826051008196</x:v>
      </x:c>
      <x:c r="I42" s="36" t="n">
        <x:v>0.03183550955706541</x:v>
      </x:c>
      <x:c r="J42" s="40" t="n">
        <x:v>0.04956204764312129</x:v>
      </x:c>
      <x:c r="K42" s="30" t="n">
        <x:v>14.533417497142631</x:v>
      </x:c>
      <x:c r="L42" s="30" t="n">
        <x:v>25.088617022553382</x:v>
      </x:c>
      <x:c r="M42" s="36" t="n">
        <x:v>0.9477203262483592</x:v>
      </x:c>
    </x:row>
    <x:row r="43" ht="23" customHeight="1">
      <x:c r="A43" s="10" t="str">
        <x:v>M3|0.25|B</x:v>
      </x:c>
      <x:c r="B43" s="10" t="str">
        <x:v>M3</x:v>
      </x:c>
      <x:c r="C43" s="39" t="n">
        <x:v>0.25</x:v>
      </x:c>
      <x:c r="D43" s="41" t="str">
        <x:v>B</x:v>
      </x:c>
      <x:c r="E43" s="18" t="n">
        <x:v>3433060</x:v>
      </x:c>
      <x:c r="F43" s="18" t="n">
        <x:v>858260</x:v>
      </x:c>
      <x:c r="G43" s="24" t="n">
        <x:v>0.24999854357337187</x:v>
      </x:c>
      <x:c r="H43" s="36" t="n">
        <x:v>-0.0005825706512530004</x:v>
      </x:c>
      <x:c r="I43" s="36" t="n">
        <x:v>0.027571873857045733</x:v>
      </x:c>
      <x:c r="J43" s="40" t="n">
        <x:v>0.027868112083524462</x:v>
      </x:c>
      <x:c r="K43" s="30" t="n">
        <x:v>14.47598876747683</x:v>
      </x:c>
      <x:c r="L43" s="30" t="n">
        <x:v>25.12166342396563</x:v>
      </x:c>
      <x:c r="M43" s="36" t="n">
        <x:v>0.9485364031930471</x:v>
      </x:c>
    </x:row>
    <x:row r="44" ht="23" customHeight="1">
      <x:c r="A44" s="10" t="str">
        <x:v>M3|0.25|C</x:v>
      </x:c>
      <x:c r="B44" s="10" t="str">
        <x:v>M3</x:v>
      </x:c>
      <x:c r="C44" s="39" t="n">
        <x:v>0.25</x:v>
      </x:c>
      <x:c r="D44" s="41" t="str">
        <x:v>C</x:v>
      </x:c>
      <x:c r="E44" s="18" t="n">
        <x:v>3433060</x:v>
      </x:c>
      <x:c r="F44" s="18" t="n">
        <x:v>858275</x:v>
      </x:c>
      <x:c r="G44" s="24" t="n">
        <x:v>0.25000291285325627</x:v>
      </x:c>
      <x:c r="H44" s="36" t="n">
        <x:v>0.001165141302506001</x:v>
      </x:c>
      <x:c r="I44" s="36" t="n">
        <x:v>0.025993412427335386</x:v>
      </x:c>
      <x:c r="J44" s="40" t="n">
        <x:v>0.04395148498588238</x:v>
      </x:c>
      <x:c r="K44" s="30" t="n">
        <x:v>14.53196236008951</x:v>
      </x:c>
      <x:c r="L44" s="30" t="n">
        <x:v>25.089045083204343</x:v>
      </x:c>
      <x:c r="M44" s="36" t="n">
        <x:v>0.9474722571113025</x:v>
      </x:c>
    </x:row>
    <x:row r="45" ht="23" customHeight="1">
      <x:c r="A45" s="10" t="str">
        <x:v>M3|0.25|D</x:v>
      </x:c>
      <x:c r="B45" s="10" t="str">
        <x:v>M3</x:v>
      </x:c>
      <x:c r="C45" s="39" t="n">
        <x:v>0.25</x:v>
      </x:c>
      <x:c r="D45" s="41" t="str">
        <x:v>D</x:v>
      </x:c>
      <x:c r="E45" s="18" t="n">
        <x:v>3433060</x:v>
      </x:c>
      <x:c r="F45" s="18" t="n">
        <x:v>858265</x:v>
      </x:c>
      <x:c r="G45" s="24" t="n">
        <x:v>0.25</x:v>
      </x:c>
      <x:c r="H45" s="36" t="n">
        <x:v>0</x:v>
      </x:c>
      <x:c r="I45" s="36" t="n">
        <x:v>0.02204927666399261</x:v>
      </x:c>
      <x:c r="J45" s="40" t="n">
        <x:v>0.023459658768842897</x:v>
      </x:c>
      <x:c r="K45" s="30" t="n">
        <x:v>14.492287455081337</x:v>
      </x:c>
      <x:c r="L45" s="30" t="n">
        <x:v>25.11147185605996</x:v>
      </x:c>
      <x:c r="M45" s="36" t="n">
        <x:v>0.9482276649456504</x:v>
      </x:c>
    </x:row>
    <x:row r="46" ht="23" customHeight="1">
      <x:c r="A46" s="10" t="str">
        <x:v>M3|0.5|A</x:v>
      </x:c>
      <x:c r="B46" s="10" t="str">
        <x:v>M3</x:v>
      </x:c>
      <x:c r="C46" s="39" t="n">
        <x:v>0.5</x:v>
      </x:c>
      <x:c r="D46" s="41" t="str">
        <x:v>A</x:v>
      </x:c>
      <x:c r="E46" s="18" t="n">
        <x:v>3433060</x:v>
      </x:c>
      <x:c r="F46" s="18" t="n">
        <x:v>1716531</x:v>
      </x:c>
      <x:c r="G46" s="24" t="n">
        <x:v>0.5000002912853256</x:v>
      </x:c>
      <x:c r="H46" s="36" t="n">
        <x:v>0.00005825706512752049</x:v>
      </x:c>
      <x:c r="I46" s="36" t="n">
        <x:v>0.004299756064421044</x:v>
      </x:c>
      <x:c r="J46" s="40" t="n">
        <x:v>0.006555342042702247</x:v>
      </x:c>
      <x:c r="K46" s="30" t="n">
        <x:v>9.69142847662549</x:v>
      </x:c>
      <x:c r="L46" s="30" t="n">
        <x:v>28.624877762186937</x:v>
      </x:c>
      <x:c r="M46" s="36" t="n">
        <x:v>0.9678615953579971</x:v>
      </x:c>
    </x:row>
    <x:row r="47" ht="23" customHeight="1">
      <x:c r="A47" s="10" t="str">
        <x:v>M3|0.5|B</x:v>
      </x:c>
      <x:c r="B47" s="10" t="str">
        <x:v>M3</x:v>
      </x:c>
      <x:c r="C47" s="39" t="n">
        <x:v>0.5</x:v>
      </x:c>
      <x:c r="D47" s="41" t="str">
        <x:v>B</x:v>
      </x:c>
      <x:c r="E47" s="18" t="n">
        <x:v>3433060</x:v>
      </x:c>
      <x:c r="F47" s="18" t="n">
        <x:v>1716528</x:v>
      </x:c>
      <x:c r="G47" s="24" t="n">
        <x:v>0.4999994174293487</x:v>
      </x:c>
      <x:c r="H47" s="36" t="n">
        <x:v>-0.00011651413025504098</x:v>
      </x:c>
      <x:c r="I47" s="36" t="n">
        <x:v>0.0033111637934786623</x:v>
      </x:c>
      <x:c r="J47" s="40" t="n">
        <x:v>0.0024806482542771824</x:v>
      </x:c>
      <x:c r="K47" s="30" t="n">
        <x:v>8.95204162875737</x:v>
      </x:c>
      <x:c r="L47" s="30" t="n">
        <x:v>29.300722645796082</x:v>
      </x:c>
      <x:c r="M47" s="36" t="n">
        <x:v>0.971237973087384</x:v>
      </x:c>
    </x:row>
    <x:row r="48" ht="23" customHeight="1">
      <x:c r="A48" s="10" t="str">
        <x:v>M3|0.5|C</x:v>
      </x:c>
      <x:c r="B48" s="10" t="str">
        <x:v>M3</x:v>
      </x:c>
      <x:c r="C48" s="39" t="n">
        <x:v>0.5</x:v>
      </x:c>
      <x:c r="D48" s="41" t="str">
        <x:v>C</x:v>
      </x:c>
      <x:c r="E48" s="18" t="n">
        <x:v>3433060</x:v>
      </x:c>
      <x:c r="F48" s="18" t="n">
        <x:v>1716531</x:v>
      </x:c>
      <x:c r="G48" s="24" t="n">
        <x:v>0.5000002912853256</x:v>
      </x:c>
      <x:c r="H48" s="36" t="n">
        <x:v>0.00005825706512752049</x:v>
      </x:c>
      <x:c r="I48" s="36" t="n">
        <x:v>0.004210655326689411</x:v>
      </x:c>
      <x:c r="J48" s="40" t="n">
        <x:v>0.006058264243620207</x:v>
      </x:c>
      <x:c r="K48" s="30" t="n">
        <x:v>9.684983740041128</x:v>
      </x:c>
      <x:c r="L48" s="30" t="n">
        <x:v>28.630846746683293</x:v>
      </x:c>
      <x:c r="M48" s="36" t="n">
        <x:v>0.9679743309911446</x:v>
      </x:c>
    </x:row>
    <x:row r="49" ht="23" customHeight="1">
      <x:c r="A49" s="10" t="str">
        <x:v>M3|0.5|D</x:v>
      </x:c>
      <x:c r="B49" s="10" t="str">
        <x:v>M3</x:v>
      </x:c>
      <x:c r="C49" s="39" t="n">
        <x:v>0.5</x:v>
      </x:c>
      <x:c r="D49" s="41" t="str">
        <x:v>D</x:v>
      </x:c>
      <x:c r="E49" s="18" t="n">
        <x:v>3433060</x:v>
      </x:c>
      <x:c r="F49" s="18" t="n">
        <x:v>1716531</x:v>
      </x:c>
      <x:c r="G49" s="24" t="n">
        <x:v>0.5000002912853256</x:v>
      </x:c>
      <x:c r="H49" s="36" t="n">
        <x:v>0.00005825706512752049</x:v>
      </x:c>
      <x:c r="I49" s="36" t="n">
        <x:v>0.003123489987102094</x:v>
      </x:c>
      <x:c r="J49" s="40" t="n">
        <x:v>0.0022600884312851117</x:v>
      </x:c>
      <x:c r="K49" s="30" t="n">
        <x:v>8.960310125572123</x:v>
      </x:c>
      <x:c r="L49" s="30" t="n">
        <x:v>29.292456400928383</x:v>
      </x:c>
      <x:c r="M49" s="36" t="n">
        <x:v>0.9708094445589608</x:v>
      </x:c>
    </x:row>
    <x:row r="50" ht="23" customHeight="1">
      <x:c r="A50" s="10" t="str">
        <x:v>M3|0.75|A</x:v>
      </x:c>
      <x:c r="B50" s="10" t="str">
        <x:v>M3</x:v>
      </x:c>
      <x:c r="C50" s="39" t="n">
        <x:v>0.75</x:v>
      </x:c>
      <x:c r="D50" s="41" t="str">
        <x:v>A</x:v>
      </x:c>
      <x:c r="E50" s="18" t="n">
        <x:v>3433060</x:v>
      </x:c>
      <x:c r="F50" s="18" t="n">
        <x:v>2574797</x:v>
      </x:c>
      <x:c r="G50" s="24" t="n">
        <x:v>0.7500005825706513</x:v>
      </x:c>
      <x:c r="H50" s="36" t="n">
        <x:v>0.0000776760868292925</x:v>
      </x:c>
      <x:c r="I50" s="36" t="n">
        <x:v>0.0026131333524427964</x:v>
      </x:c>
      <x:c r="J50" s="40" t="n">
        <x:v>0.0005765585365224956</x:v>
      </x:c>
      <x:c r="K50" s="30" t="n">
        <x:v>7.419252666460424</x:v>
      </x:c>
      <x:c r="L50" s="30" t="n">
        <x:v>31.069059882393535</x:v>
      </x:c>
      <x:c r="M50" s="36" t="n">
        <x:v>0.9771209382084639</x:v>
      </x:c>
    </x:row>
    <x:row r="51" ht="23" customHeight="1">
      <x:c r="A51" s="10" t="str">
        <x:v>M3|0.75|B</x:v>
      </x:c>
      <x:c r="B51" s="10" t="str">
        <x:v>M3</x:v>
      </x:c>
      <x:c r="C51" s="39" t="n">
        <x:v>0.75</x:v>
      </x:c>
      <x:c r="D51" s="41" t="str">
        <x:v>B</x:v>
      </x:c>
      <x:c r="E51" s="18" t="n">
        <x:v>3433060</x:v>
      </x:c>
      <x:c r="F51" s="18" t="n">
        <x:v>2574794</x:v>
      </x:c>
      <x:c r="G51" s="24" t="n">
        <x:v>0.7499997087146744</x:v>
      </x:c>
      <x:c r="H51" s="36" t="n">
        <x:v>-0.00003883804341464625</x:v>
      </x:c>
      <x:c r="I51" s="36" t="n">
        <x:v>0.0005196741369074408</x:v>
      </x:c>
      <x:c r="J51" s="40" t="n">
        <x:v>0</x:v>
      </x:c>
      <x:c r="K51" s="30" t="n">
        <x:v>4.344957577776282</x:v>
      </x:c>
      <x:c r="L51" s="30" t="n">
        <x:v>35.83560367498667</x:v>
      </x:c>
      <x:c r="M51" s="36" t="n">
        <x:v>0.9924674995614443</x:v>
      </x:c>
    </x:row>
    <x:row r="52" ht="23" customHeight="1">
      <x:c r="A52" s="10" t="str">
        <x:v>M3|0.75|C</x:v>
      </x:c>
      <x:c r="B52" s="10" t="str">
        <x:v>M3</x:v>
      </x:c>
      <x:c r="C52" s="39" t="n">
        <x:v>0.75</x:v>
      </x:c>
      <x:c r="D52" s="41" t="str">
        <x:v>C</x:v>
      </x:c>
      <x:c r="E52" s="18" t="n">
        <x:v>3433060</x:v>
      </x:c>
      <x:c r="F52" s="18" t="n">
        <x:v>2574782</x:v>
      </x:c>
      <x:c r="G52" s="24" t="n">
        <x:v>0.7499962132907668</x:v>
      </x:c>
      <x:c r="H52" s="36" t="n">
        <x:v>-0.000504894564423708</x:v>
      </x:c>
      <x:c r="I52" s="36" t="n">
        <x:v>0.002539313900448889</x:v>
      </x:c>
      <x:c r="J52" s="40" t="n">
        <x:v>0.0005500921793100132</x:v>
      </x:c>
      <x:c r="K52" s="30" t="n">
        <x:v>7.42092644721411</x:v>
      </x:c>
      <x:c r="L52" s="30" t="n">
        <x:v>31.078617985563415</x:v>
      </x:c>
      <x:c r="M52" s="36" t="n">
        <x:v>0.9769749956075037</x:v>
      </x:c>
    </x:row>
    <x:row r="53" ht="23" customHeight="1">
      <x:c r="A53" s="10" t="str">
        <x:v>M3|0.75|D</x:v>
      </x:c>
      <x:c r="B53" s="10" t="str">
        <x:v>M3</x:v>
      </x:c>
      <x:c r="C53" s="39" t="n">
        <x:v>0.75</x:v>
      </x:c>
      <x:c r="D53" s="41" t="str">
        <x:v>D</x:v>
      </x:c>
      <x:c r="E53" s="18" t="n">
        <x:v>3433060</x:v>
      </x:c>
      <x:c r="F53" s="18" t="n">
        <x:v>2574796</x:v>
      </x:c>
      <x:c r="G53" s="24" t="n">
        <x:v>0.7500002912853256</x:v>
      </x:c>
      <x:c r="H53" s="36" t="n">
        <x:v>0.00003883804342574848</x:v>
      </x:c>
      <x:c r="I53" s="36" t="n">
        <x:v>0.0005141265123654031</x:v>
      </x:c>
      <x:c r="J53" s="40" t="n">
        <x:v>6.644125458143935e-9</x:v>
      </x:c>
      <x:c r="K53" s="30" t="n">
        <x:v>4.341239885513312</x:v>
      </x:c>
      <x:c r="L53" s="30" t="n">
        <x:v>35.844531698053395</x:v>
      </x:c>
      <x:c r="M53" s="36" t="n">
        <x:v>0.9924889455897247</x:v>
      </x:c>
    </x:row>
    <x:row r="54" ht="23" customHeight="1">
      <x:c r="A54" s="10" t="str">
        <x:v>M4|0.125|A</x:v>
      </x:c>
      <x:c r="B54" s="10" t="str">
        <x:v>M4</x:v>
      </x:c>
      <x:c r="C54" s="39" t="n">
        <x:v>0.125</x:v>
      </x:c>
      <x:c r="D54" s="41" t="str">
        <x:v>A</x:v>
      </x:c>
      <x:c r="E54" s="18" t="n">
        <x:v>10553614</x:v>
      </x:c>
      <x:c r="F54" s="18" t="n">
        <x:v>1319204</x:v>
      </x:c>
      <x:c r="G54" s="24" t="n">
        <x:v>0.12500021319710955</x:v>
      </x:c>
      <x:c r="H54" s="36" t="n">
        <x:v>0.00017055768763984958</x:v>
      </x:c>
      <x:c r="I54" s="36" t="n">
        <x:v>0.04081284086622354</x:v>
      </x:c>
      <x:c r="J54" s="40" t="n">
        <x:v>0.05320926778949784</x:v>
      </x:c>
      <x:c r="K54" s="30" t="n">
        <x:v>12.605702830234826</x:v>
      </x:c>
      <x:c r="L54" s="30" t="n">
        <x:v>26.441896851137482</x:v>
      </x:c>
      <x:c r="M54" s="36" t="n">
        <x:v>0.9629367112277314</x:v>
      </x:c>
    </x:row>
    <x:row r="55" ht="23" customHeight="1">
      <x:c r="A55" s="10" t="str">
        <x:v>M4|0.125|B</x:v>
      </x:c>
      <x:c r="B55" s="10" t="str">
        <x:v>M4</x:v>
      </x:c>
      <x:c r="C55" s="39" t="n">
        <x:v>0.125</x:v>
      </x:c>
      <x:c r="D55" s="41" t="str">
        <x:v>B</x:v>
      </x:c>
      <x:c r="E55" s="18" t="n">
        <x:v>10553614</x:v>
      </x:c>
      <x:c r="F55" s="18" t="n">
        <x:v>1319202</x:v>
      </x:c>
      <x:c r="G55" s="24" t="n">
        <x:v>0.12500002368856772</x:v>
      </x:c>
      <x:c r="H55" s="36" t="n">
        <x:v>0.00001895085417480402</x:v>
      </x:c>
      <x:c r="I55" s="36" t="n">
        <x:v>0.040801376420063755</x:v>
      </x:c>
      <x:c r="J55" s="40" t="n">
        <x:v>0.05511153780389575</x:v>
      </x:c>
      <x:c r="K55" s="30" t="n">
        <x:v>12.431484863631239</x:v>
      </x:c>
      <x:c r="L55" s="30" t="n">
        <x:v>26.561451992215765</x:v>
      </x:c>
      <x:c r="M55" s="36" t="n">
        <x:v>0.9630320448957045</x:v>
      </x:c>
    </x:row>
    <x:row r="56" ht="23" customHeight="1">
      <x:c r="A56" s="10" t="str">
        <x:v>M4|0.125|C</x:v>
      </x:c>
      <x:c r="B56" s="10" t="str">
        <x:v>M4</x:v>
      </x:c>
      <x:c r="C56" s="39" t="n">
        <x:v>0.125</x:v>
      </x:c>
      <x:c r="D56" s="41" t="str">
        <x:v>C</x:v>
      </x:c>
      <x:c r="E56" s="18" t="n">
        <x:v>10553614</x:v>
      </x:c>
      <x:c r="F56" s="18" t="n">
        <x:v>1319198</x:v>
      </x:c>
      <x:c r="G56" s="24" t="n">
        <x:v>0.1249996446714841</x:v>
      </x:c>
      <x:c r="H56" s="36" t="n">
        <x:v>-0.0002842628127219804</x:v>
      </x:c>
      <x:c r="I56" s="36" t="n">
        <x:v>0.04031535857362008</x:v>
      </x:c>
      <x:c r="J56" s="40" t="n">
        <x:v>0.05188270210055627</x:v>
      </x:c>
      <x:c r="K56" s="30" t="n">
        <x:v>12.609879440314506</x:v>
      </x:c>
      <x:c r="L56" s="30" t="n">
        <x:v>26.439480665819616</x:v>
      </x:c>
      <x:c r="M56" s="36" t="n">
        <x:v>0.9626429990989229</x:v>
      </x:c>
    </x:row>
    <x:row r="57" ht="23" customHeight="1">
      <x:c r="A57" s="10" t="str">
        <x:v>M4|0.125|D</x:v>
      </x:c>
      <x:c r="B57" s="10" t="str">
        <x:v>M4</x:v>
      </x:c>
      <x:c r="C57" s="39" t="n">
        <x:v>0.125</x:v>
      </x:c>
      <x:c r="D57" s="41" t="str">
        <x:v>D</x:v>
      </x:c>
      <x:c r="E57" s="18" t="n">
        <x:v>10553614</x:v>
      </x:c>
      <x:c r="F57" s="18" t="n">
        <x:v>1319202</x:v>
      </x:c>
      <x:c r="G57" s="24" t="n">
        <x:v>0.12500002368856772</x:v>
      </x:c>
      <x:c r="H57" s="36" t="n">
        <x:v>0.00001895085417480402</x:v>
      </x:c>
      <x:c r="I57" s="36" t="n">
        <x:v>0.03976127750791993</x:v>
      </x:c>
      <x:c r="J57" s="40" t="n">
        <x:v>0.051950718334410284</x:v>
      </x:c>
      <x:c r="K57" s="30" t="n">
        <x:v>12.404489328808879</x:v>
      </x:c>
      <x:c r="L57" s="30" t="n">
        <x:v>26.578113198239055</x:v>
      </x:c>
      <x:c r="M57" s="36" t="n">
        <x:v>0.9626435664556555</x:v>
      </x:c>
    </x:row>
    <x:row r="58" ht="23" customHeight="1">
      <x:c r="A58" s="10" t="str">
        <x:v>M4|0.25|A</x:v>
      </x:c>
      <x:c r="B58" s="10" t="str">
        <x:v>M4</x:v>
      </x:c>
      <x:c r="C58" s="39" t="n">
        <x:v>0.25</x:v>
      </x:c>
      <x:c r="D58" s="41" t="str">
        <x:v>A</x:v>
      </x:c>
      <x:c r="E58" s="18" t="n">
        <x:v>10553614</x:v>
      </x:c>
      <x:c r="F58" s="18" t="n">
        <x:v>2638403</x:v>
      </x:c>
      <x:c r="G58" s="24" t="n">
        <x:v>0.24999995262286454</x:v>
      </x:c>
      <x:c r="H58" s="36" t="n">
        <x:v>-0.000018950854185906252</x:v>
      </x:c>
      <x:c r="I58" s="36" t="n">
        <x:v>0.007262792854787594</x:v>
      </x:c>
      <x:c r="J58" s="40" t="n">
        <x:v>0.0038482811032736195</x:v>
      </x:c>
      <x:c r="K58" s="30" t="n">
        <x:v>11.41247480012922</x:v>
      </x:c>
      <x:c r="L58" s="30" t="n">
        <x:v>27.304662186001533</x:v>
      </x:c>
      <x:c r="M58" s="36" t="n">
        <x:v>0.9676341608167704</x:v>
      </x:c>
    </x:row>
    <x:row r="59" ht="23" customHeight="1">
      <x:c r="A59" s="10" t="str">
        <x:v>M4|0.25|B</x:v>
      </x:c>
      <x:c r="B59" s="10" t="str">
        <x:v>M4</x:v>
      </x:c>
      <x:c r="C59" s="39" t="n">
        <x:v>0.25</x:v>
      </x:c>
      <x:c r="D59" s="41" t="str">
        <x:v>B</x:v>
      </x:c>
      <x:c r="E59" s="18" t="n">
        <x:v>10553614</x:v>
      </x:c>
      <x:c r="F59" s="18" t="n">
        <x:v>2638404</x:v>
      </x:c>
      <x:c r="G59" s="24" t="n">
        <x:v>0.25000004737713544</x:v>
      </x:c>
      <x:c r="H59" s="36" t="n">
        <x:v>0.00001895085417480402</x:v>
      </x:c>
      <x:c r="I59" s="36" t="n">
        <x:v>0.007320723643341208</x:v>
      </x:c>
      <x:c r="J59" s="40" t="n">
        <x:v>0.00363708739314461</x:v>
      </x:c>
      <x:c r="K59" s="30" t="n">
        <x:v>11.215608956561939</x:v>
      </x:c>
      <x:c r="L59" s="30" t="n">
        <x:v>27.44794386560821</x:v>
      </x:c>
      <x:c r="M59" s="36" t="n">
        <x:v>0.9679584188751194</x:v>
      </x:c>
    </x:row>
    <x:row r="60" ht="23" customHeight="1">
      <x:c r="A60" s="10" t="str">
        <x:v>M4|0.25|C</x:v>
      </x:c>
      <x:c r="B60" s="10" t="str">
        <x:v>M4</x:v>
      </x:c>
      <x:c r="C60" s="39" t="n">
        <x:v>0.25</x:v>
      </x:c>
      <x:c r="D60" s="41" t="str">
        <x:v>C</x:v>
      </x:c>
      <x:c r="E60" s="18" t="n">
        <x:v>10553614</x:v>
      </x:c>
      <x:c r="F60" s="18" t="n">
        <x:v>2638394</x:v>
      </x:c>
      <x:c r="G60" s="24" t="n">
        <x:v>0.2499990998344264</x:v>
      </x:c>
      <x:c r="H60" s="36" t="n">
        <x:v>-0.00036006622944340094</x:v>
      </x:c>
      <x:c r="I60" s="36" t="n">
        <x:v>0.007131064959012143</x:v>
      </x:c>
      <x:c r="J60" s="40" t="n">
        <x:v>0.0037628404788847525</x:v>
      </x:c>
      <x:c r="K60" s="30" t="n">
        <x:v>11.362056181289887</x:v>
      </x:c>
      <x:c r="L60" s="30" t="n">
        <x:v>27.342117727069834</x:v>
      </x:c>
      <x:c r="M60" s="36" t="n">
        <x:v>0.9677131935902361</x:v>
      </x:c>
    </x:row>
    <x:row r="61" ht="23" customHeight="1">
      <x:c r="A61" s="10" t="str">
        <x:v>M4|0.25|D</x:v>
      </x:c>
      <x:c r="B61" s="10" t="str">
        <x:v>M4</x:v>
      </x:c>
      <x:c r="C61" s="39" t="n">
        <x:v>0.25</x:v>
      </x:c>
      <x:c r="D61" s="41" t="str">
        <x:v>D</x:v>
      </x:c>
      <x:c r="E61" s="18" t="n">
        <x:v>10553614</x:v>
      </x:c>
      <x:c r="F61" s="18" t="n">
        <x:v>2638403</x:v>
      </x:c>
      <x:c r="G61" s="24" t="n">
        <x:v>0.24999995262286454</x:v>
      </x:c>
      <x:c r="H61" s="36" t="n">
        <x:v>-0.000018950854185906252</x:v>
      </x:c>
      <x:c r="I61" s="36" t="n">
        <x:v>0.007073443024439795</x:v>
      </x:c>
      <x:c r="J61" s="40" t="n">
        <x:v>0.0035586021658673417</x:v>
      </x:c>
      <x:c r="K61" s="30" t="n">
        <x:v>11.175349549640153</x:v>
      </x:c>
      <x:c r="L61" s="30" t="n">
        <x:v>27.479164126919915</x:v>
      </x:c>
      <x:c r="M61" s="36" t="n">
        <x:v>0.9679227920150041</x:v>
      </x:c>
    </x:row>
    <x:row r="62" ht="23" customHeight="1">
      <x:c r="A62" s="10" t="str">
        <x:v>M4|0.5|A</x:v>
      </x:c>
      <x:c r="B62" s="10" t="str">
        <x:v>M4</x:v>
      </x:c>
      <x:c r="C62" s="39" t="n">
        <x:v>0.5</x:v>
      </x:c>
      <x:c r="D62" s="41" t="str">
        <x:v>A</x:v>
      </x:c>
      <x:c r="E62" s="18" t="n">
        <x:v>10553614</x:v>
      </x:c>
      <x:c r="F62" s="18" t="n">
        <x:v>5276808</x:v>
      </x:c>
      <x:c r="G62" s="24" t="n">
        <x:v>0.5000000947542709</x:v>
      </x:c>
      <x:c r="H62" s="36" t="n">
        <x:v>0.00001895085417480402</x:v>
      </x:c>
      <x:c r="I62" s="36" t="n">
        <x:v>0.001049919616877046</x:v>
      </x:c>
      <x:c r="J62" s="40" t="n">
        <x:v>0.0001549742319184588</x:v>
      </x:c>
      <x:c r="K62" s="30" t="n">
        <x:v>8.291818675105574</x:v>
      </x:c>
      <x:c r="L62" s="30" t="n">
        <x:v>30.102315503497994</x:v>
      </x:c>
      <x:c r="M62" s="36" t="n">
        <x:v>0.9773663903474145</x:v>
      </x:c>
    </x:row>
    <x:row r="63" ht="23" customHeight="1">
      <x:c r="A63" s="10" t="str">
        <x:v>M4|0.5|B</x:v>
      </x:c>
      <x:c r="B63" s="10" t="str">
        <x:v>M4</x:v>
      </x:c>
      <x:c r="C63" s="39" t="n">
        <x:v>0.5</x:v>
      </x:c>
      <x:c r="D63" s="41" t="str">
        <x:v>B</x:v>
      </x:c>
      <x:c r="E63" s="18" t="n">
        <x:v>10553614</x:v>
      </x:c>
      <x:c r="F63" s="18" t="n">
        <x:v>5276806</x:v>
      </x:c>
      <x:c r="G63" s="24" t="n">
        <x:v>0.49999990524572907</x:v>
      </x:c>
      <x:c r="H63" s="36" t="n">
        <x:v>-0.000018950854185906252</x:v>
      </x:c>
      <x:c r="I63" s="36" t="n">
        <x:v>0.0010406834897093346</x:v>
      </x:c>
      <x:c r="J63" s="40" t="n">
        <x:v>0.00012454730438093972</x:v>
      </x:c>
      <x:c r="K63" s="30" t="n">
        <x:v>7.5250135837650625</x:v>
      </x:c>
      <x:c r="L63" s="30" t="n">
        <x:v>30.896595999102832</x:v>
      </x:c>
      <x:c r="M63" s="36" t="n">
        <x:v>0.9798346383433136</x:v>
      </x:c>
    </x:row>
    <x:row r="64" ht="23" customHeight="1">
      <x:c r="A64" s="10" t="str">
        <x:v>M4|0.5|C</x:v>
      </x:c>
      <x:c r="B64" s="10" t="str">
        <x:v>M4</x:v>
      </x:c>
      <x:c r="C64" s="39" t="n">
        <x:v>0.5</x:v>
      </x:c>
      <x:c r="D64" s="41" t="str">
        <x:v>C</x:v>
      </x:c>
      <x:c r="E64" s="18" t="n">
        <x:v>10553614</x:v>
      </x:c>
      <x:c r="F64" s="18" t="n">
        <x:v>5276807</x:v>
      </x:c>
      <x:c r="G64" s="24" t="n">
        <x:v>0.5</x:v>
      </x:c>
      <x:c r="H64" s="36" t="n">
        <x:v>0</x:v>
      </x:c>
      <x:c r="I64" s="36" t="n">
        <x:v>0.001034537825731094</x:v>
      </x:c>
      <x:c r="J64" s="40" t="n">
        <x:v>0.00015756040511405412</x:v>
      </x:c>
      <x:c r="K64" s="30" t="n">
        <x:v>8.29842271390098</x:v>
      </x:c>
      <x:c r="L64" s="30" t="n">
        <x:v>30.096394927574963</x:v>
      </x:c>
      <x:c r="M64" s="36" t="n">
        <x:v>0.9773453900136136</x:v>
      </x:c>
    </x:row>
    <x:row r="65" ht="23" customHeight="1">
      <x:c r="A65" s="10" t="str">
        <x:v>M4|0.5|D</x:v>
      </x:c>
      <x:c r="B65" s="10" t="str">
        <x:v>M4</x:v>
      </x:c>
      <x:c r="C65" s="39" t="n">
        <x:v>0.5</x:v>
      </x:c>
      <x:c r="D65" s="41" t="str">
        <x:v>D</x:v>
      </x:c>
      <x:c r="E65" s="18" t="n">
        <x:v>10553614</x:v>
      </x:c>
      <x:c r="F65" s="18" t="n">
        <x:v>5276805</x:v>
      </x:c>
      <x:c r="G65" s="24" t="n">
        <x:v>0.4999998104914582</x:v>
      </x:c>
      <x:c r="H65" s="36" t="n">
        <x:v>-0.00003790170836071027</x:v>
      </x:c>
      <x:c r="I65" s="36" t="n">
        <x:v>0.0010310907764773058</x:v>
      </x:c>
      <x:c r="J65" s="40" t="n">
        <x:v>0.00010427246252220354</x:v>
      </x:c>
      <x:c r="K65" s="30" t="n">
        <x:v>7.534763337228309</x:v>
      </x:c>
      <x:c r="L65" s="30" t="n">
        <x:v>30.88606016431881</x:v>
      </x:c>
      <x:c r="M65" s="36" t="n">
        <x:v>0.9797830887817339</x:v>
      </x:c>
    </x:row>
    <x:row r="66" ht="23" customHeight="1">
      <x:c r="A66" s="10" t="str">
        <x:v>M4|0.75|A</x:v>
      </x:c>
      <x:c r="B66" s="10" t="str">
        <x:v>M4</x:v>
      </x:c>
      <x:c r="C66" s="39" t="n">
        <x:v>0.75</x:v>
      </x:c>
      <x:c r="D66" s="41" t="str">
        <x:v>A</x:v>
      </x:c>
      <x:c r="E66" s="18" t="n">
        <x:v>10553614</x:v>
      </x:c>
      <x:c r="F66" s="18" t="n">
        <x:v>7915211</x:v>
      </x:c>
      <x:c r="G66" s="24" t="n">
        <x:v>0.7500000473771354</x:v>
      </x:c>
      <x:c r="H66" s="36" t="n">
        <x:v>0.000006316951384199854</x:v>
      </x:c>
      <x:c r="I66" s="36" t="n">
        <x:v>0.0007178952920894447</x:v>
      </x:c>
      <x:c r="J66" s="40" t="n">
        <x:v>3.943980320109119e-7</x:v>
      </x:c>
      <x:c r="K66" s="30" t="n">
        <x:v>6.023867481821006</x:v>
      </x:c>
      <x:c r="L66" s="30" t="n">
        <x:v>33.05228290529825</x:v>
      </x:c>
      <x:c r="M66" s="36" t="n">
        <x:v>0.9866988478957106</x:v>
      </x:c>
    </x:row>
    <x:row r="67" ht="23" customHeight="1">
      <x:c r="A67" s="10" t="str">
        <x:v>M4|0.75|B</x:v>
      </x:c>
      <x:c r="B67" s="10" t="str">
        <x:v>M4</x:v>
      </x:c>
      <x:c r="C67" s="39" t="n">
        <x:v>0.75</x:v>
      </x:c>
      <x:c r="D67" s="41" t="str">
        <x:v>B</x:v>
      </x:c>
      <x:c r="E67" s="18" t="n">
        <x:v>10553614</x:v>
      </x:c>
      <x:c r="F67" s="18" t="n">
        <x:v>7915212</x:v>
      </x:c>
      <x:c r="G67" s="24" t="n">
        <x:v>0.7500001421314063</x:v>
      </x:c>
      <x:c r="H67" s="36" t="n">
        <x:v>0.00001895085417480402</x:v>
      </x:c>
      <x:c r="I67" s="36" t="n">
        <x:v>0.00010642366574336685</x:v>
      </x:c>
      <x:c r="J67" s="40" t="n">
        <x:v>1.1062978921838584e-7</x:v>
      </x:c>
      <x:c r="K67" s="30" t="n">
        <x:v>4.128451610614136</x:v>
      </x:c>
      <x:c r="L67" s="30" t="n">
        <x:v>36.008930929552086</x:v>
      </x:c>
      <x:c r="M67" s="36" t="n">
        <x:v>0.9925030847033337</x:v>
      </x:c>
    </x:row>
    <x:row r="68" ht="23" customHeight="1">
      <x:c r="A68" s="10" t="str">
        <x:v>M4|0.75|C</x:v>
      </x:c>
      <x:c r="B68" s="10" t="str">
        <x:v>M4</x:v>
      </x:c>
      <x:c r="C68" s="39" t="n">
        <x:v>0.75</x:v>
      </x:c>
      <x:c r="D68" s="41" t="str">
        <x:v>C</x:v>
      </x:c>
      <x:c r="E68" s="18" t="n">
        <x:v>10553614</x:v>
      </x:c>
      <x:c r="F68" s="18" t="n">
        <x:v>7915209</x:v>
      </x:c>
      <x:c r="G68" s="24" t="n">
        <x:v>0.7499998578685937</x:v>
      </x:c>
      <x:c r="H68" s="36" t="n">
        <x:v>-0.000018950854185906252</x:v>
      </x:c>
      <x:c r="I68" s="36" t="n">
        <x:v>0.0007232755544968636</x:v>
      </x:c>
      <x:c r="J68" s="40" t="n">
        <x:v>3.7166245081543526e-7</x:v>
      </x:c>
      <x:c r="K68" s="30" t="n">
        <x:v>5.948968196010925</x:v>
      </x:c>
      <x:c r="L68" s="30" t="n">
        <x:v>33.150091219024</x:v>
      </x:c>
      <x:c r="M68" s="36" t="n">
        <x:v>0.987019240791609</x:v>
      </x:c>
    </x:row>
    <x:row r="69" ht="23" customHeight="1">
      <x:c r="A69" s="10" t="str">
        <x:v>M4|0.75|D</x:v>
      </x:c>
      <x:c r="B69" s="10" t="str">
        <x:v>M4</x:v>
      </x:c>
      <x:c r="C69" s="39" t="n">
        <x:v>0.75</x:v>
      </x:c>
      <x:c r="D69" s="41" t="str">
        <x:v>D</x:v>
      </x:c>
      <x:c r="E69" s="18" t="n">
        <x:v>10553614</x:v>
      </x:c>
      <x:c r="F69" s="18" t="n">
        <x:v>7915214</x:v>
      </x:c>
      <x:c r="G69" s="24" t="n">
        <x:v>0.7500003316399482</x:v>
      </x:c>
      <x:c r="H69" s="36" t="n">
        <x:v>0.00004421865975601236</x:v>
      </x:c>
      <x:c r="I69" s="36" t="n">
        <x:v>0.00010300205672385986</x:v>
      </x:c>
      <x:c r="J69" s="40" t="n">
        <x:v>9.039112625064405e-8</x:v>
      </x:c>
      <x:c r="K69" s="30" t="n">
        <x:v>4.126938923977191</x:v>
      </x:c>
      <x:c r="L69" s="30" t="n">
        <x:v>36.013548408968184</x:v>
      </x:c>
      <x:c r="M69" s="36" t="n">
        <x:v>0.9925222735234575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2">
      <x:c r="A2" s="3" t="str">
        <x:v>表5-7四场景等权均值</x:v>
      </x:c>
      <x:c r="B2" s="3"/>
      <x:c r="C2" s="3"/>
      <x:c r="D2" s="3"/>
      <x:c r="E2" s="3"/>
      <x:c r="F2" s="3"/>
      <x:c r="G2" s="3"/>
    </x:row>
    <x:row r="3">
      <x:c r="A3" s="4" t="str">
        <x:v>几何误差为对角线百分数值，不能再乘100；原值均值而非改善率。</x:v>
      </x:c>
      <x:c r="B3" s="4"/>
      <x:c r="C3" s="4"/>
      <x:c r="D3" s="4"/>
      <x:c r="E3" s="4"/>
      <x:c r="F3" s="4"/>
      <x:c r="G3" s="4"/>
    </x:row>
    <x:row r="4">
      <x:c r="A4" s="1"/>
      <x:c r="B4" s="1"/>
      <x:c r="C4" s="1"/>
      <x:c r="D4" s="1"/>
      <x:c r="E4" s="1"/>
      <x:c r="F4" s="1"/>
      <x:c r="G4" s="1"/>
    </x:row>
    <x:row r="5" ht="37" customHeight="1">
      <x:c r="A5" s="9" t="str">
        <x:v>保留率</x:v>
      </x:c>
      <x:c r="B5" s="9" t="str">
        <x:v>策略</x:v>
      </x:c>
      <x:c r="C5" s="9" t="str">
        <x:v>RMS/%</x:v>
      </x:c>
      <x:c r="D5" s="9" t="str">
        <x:v>P95/%</x:v>
      </x:c>
      <x:c r="E5" s="9" t="str">
        <x:v>RMSE</x:v>
      </x:c>
      <x:c r="F5" s="9" t="str">
        <x:v>PSNR/dB</x:v>
      </x:c>
      <x:c r="G5" s="9" t="str">
        <x:v>SSIM</x:v>
      </x:c>
    </x:row>
    <x:row r="6" ht="23" customHeight="1">
      <x:c r="A6" s="39" t="n">
        <x:v>0.125</x:v>
      </x:c>
      <x:c r="B6" s="41" t="str">
        <x:v>A</x:v>
      </x:c>
      <x:c r="C6" s="36" t="n">
        <x:f>AVERAGEIFS('简化64组原始'!$I$6:$I$69,'简化64组原始'!$C$6:$C$69,$A6,'简化64组原始'!$D$6:$D$69,$B6)</x:f>
        <x:v>0.04156159440607027</x:v>
      </x:c>
      <x:c r="D6" s="36" t="n">
        <x:f>AVERAGEIFS('简化64组原始'!$J$6:$J$69,'简化64组原始'!$C$6:$C$69,$A6,'简化64组原始'!$D$6:$D$69,$B6)</x:f>
        <x:v>0.07727673058980136</x:v>
      </x:c>
      <x:c r="E6" s="30" t="n">
        <x:f>AVERAGEIFS('简化64组原始'!$K$6:$K$69,'简化64组原始'!$C$6:$C$69,$A6,'简化64组原始'!$D$6:$D$69,$B6)</x:f>
        <x:v>17.880086352425195</x:v>
      </x:c>
      <x:c r="F6" s="30" t="n">
        <x:f>AVERAGEIFS('简化64组原始'!$L$6:$L$69,'简化64组原始'!$C$6:$C$69,$A6,'简化64组原始'!$D$6:$D$69,$B6)</x:f>
        <x:v>23.743434365618967</x:v>
      </x:c>
      <x:c r="G6" s="36" t="n">
        <x:f>AVERAGEIFS('简化64组原始'!$M$6:$M$69,'简化64组原始'!$C$6:$C$69,$A6,'简化64组原始'!$D$6:$D$69,$B6)</x:f>
        <x:v>0.9396279830562171</x:v>
      </x:c>
    </x:row>
    <x:row r="7" ht="23" customHeight="1">
      <x:c r="A7" s="39" t="n">
        <x:v>0.125</x:v>
      </x:c>
      <x:c r="B7" s="41" t="str">
        <x:v>B</x:v>
      </x:c>
      <x:c r="C7" s="36" t="n">
        <x:f>AVERAGEIFS('简化64组原始'!$I$6:$I$69,'简化64组原始'!$C$6:$C$69,$A7,'简化64组原始'!$D$6:$D$69,$B7)</x:f>
        <x:v>0.047034932423516695</x:v>
      </x:c>
      <x:c r="D7" s="36" t="n">
        <x:f>AVERAGEIFS('简化64组原始'!$J$6:$J$69,'简化64组原始'!$C$6:$C$69,$A7,'简化64组原始'!$D$6:$D$69,$B7)</x:f>
        <x:v>0.06019913329510017</x:v>
      </x:c>
      <x:c r="E7" s="30" t="n">
        <x:f>AVERAGEIFS('简化64组原始'!$K$6:$K$69,'简化64组原始'!$C$6:$C$69,$A7,'简化64组原始'!$D$6:$D$69,$B7)</x:f>
        <x:v>17.770764397279315</x:v>
      </x:c>
      <x:c r="F7" s="30" t="n">
        <x:f>AVERAGEIFS('简化64组原始'!$L$6:$L$69,'简化64组原始'!$C$6:$C$69,$A7,'简化64组原始'!$D$6:$D$69,$B7)</x:f>
        <x:v>23.810257088945065</x:v>
      </x:c>
      <x:c r="G7" s="36" t="n">
        <x:f>AVERAGEIFS('简化64组原始'!$M$6:$M$69,'简化64组原始'!$C$6:$C$69,$A7,'简化64组原始'!$D$6:$D$69,$B7)</x:f>
        <x:v>0.9398852279864949</x:v>
      </x:c>
    </x:row>
    <x:row r="8" ht="23" customHeight="1">
      <x:c r="A8" s="39" t="n">
        <x:v>0.125</x:v>
      </x:c>
      <x:c r="B8" s="41" t="str">
        <x:v>C</x:v>
      </x:c>
      <x:c r="C8" s="36" t="n">
        <x:f>AVERAGEIFS('简化64组原始'!$I$6:$I$69,'简化64组原始'!$C$6:$C$69,$A8,'简化64组原始'!$D$6:$D$69,$B8)</x:f>
        <x:v>0.03973239622722852</x:v>
      </x:c>
      <x:c r="D8" s="36" t="n">
        <x:f>AVERAGEIFS('简化64组原始'!$J$6:$J$69,'简化64组原始'!$C$6:$C$69,$A8,'简化64组原始'!$D$6:$D$69,$B8)</x:f>
        <x:v>0.074505272496026</x:v>
      </x:c>
      <x:c r="E8" s="30" t="n">
        <x:f>AVERAGEIFS('简化64组原始'!$K$6:$K$69,'简化64组原始'!$C$6:$C$69,$A8,'简化64组原始'!$D$6:$D$69,$B8)</x:f>
        <x:v>17.906396169932933</x:v>
      </x:c>
      <x:c r="F8" s="30" t="n">
        <x:f>AVERAGEIFS('简化64组原始'!$L$6:$L$69,'简化64组原始'!$C$6:$C$69,$A8,'简化64组原始'!$D$6:$D$69,$B8)</x:f>
        <x:v>23.72753052740532</x:v>
      </x:c>
      <x:c r="G8" s="36" t="n">
        <x:f>AVERAGEIFS('简化64组原始'!$M$6:$M$69,'简化64组原始'!$C$6:$C$69,$A8,'简化64组原始'!$D$6:$D$69,$B8)</x:f>
        <x:v>0.939428764961361</x:v>
      </x:c>
    </x:row>
    <x:row r="9" ht="23" customHeight="1">
      <x:c r="A9" s="39" t="n">
        <x:v>0.125</x:v>
      </x:c>
      <x:c r="B9" s="41" t="str">
        <x:v>D</x:v>
      </x:c>
      <x:c r="C9" s="36" t="n">
        <x:f>AVERAGEIFS('简化64组原始'!$I$6:$I$69,'简化64组原始'!$C$6:$C$69,$A9,'简化64组原始'!$D$6:$D$69,$B9)</x:f>
        <x:v>0.0348781145188845</x:v>
      </x:c>
      <x:c r="D9" s="36" t="n">
        <x:f>AVERAGEIFS('简化64组原始'!$J$6:$J$69,'简化64组原始'!$C$6:$C$69,$A9,'简化64组原始'!$D$6:$D$69,$B9)</x:f>
        <x:v>0.0549523334484547</x:v>
      </x:c>
      <x:c r="E9" s="30" t="n">
        <x:f>AVERAGEIFS('简化64组原始'!$K$6:$K$69,'简化64组原始'!$C$6:$C$69,$A9,'简化64组原始'!$D$6:$D$69,$B9)</x:f>
        <x:v>17.63977980209976</x:v>
      </x:c>
      <x:c r="F9" s="30" t="n">
        <x:f>AVERAGEIFS('简化64组原始'!$L$6:$L$69,'简化64组原始'!$C$6:$C$69,$A9,'简化64组原始'!$D$6:$D$69,$B9)</x:f>
        <x:v>23.859739572123555</x:v>
      </x:c>
      <x:c r="G9" s="36" t="n">
        <x:f>AVERAGEIFS('简化64组原始'!$M$6:$M$69,'简化64组原始'!$C$6:$C$69,$A9,'简化64组原始'!$D$6:$D$69,$B9)</x:f>
        <x:v>0.9412066065360685</x:v>
      </x:c>
    </x:row>
    <x:row r="10" ht="23" customHeight="1">
      <x:c r="A10" s="39" t="n">
        <x:v>0.25</x:v>
      </x:c>
      <x:c r="B10" s="41" t="str">
        <x:v>A</x:v>
      </x:c>
      <x:c r="C10" s="36" t="n">
        <x:f>AVERAGEIFS('简化64组原始'!$I$6:$I$69,'简化64组原始'!$C$6:$C$69,$A10,'简化64组原始'!$D$6:$D$69,$B10)</x:f>
        <x:v>0.0170312398515071</x:v>
      </x:c>
      <x:c r="D10" s="36" t="n">
        <x:f>AVERAGEIFS('简化64组原始'!$J$6:$J$69,'简化64组原始'!$C$6:$C$69,$A10,'简化64组原始'!$D$6:$D$69,$B10)</x:f>
        <x:v>0.026690882746152046</x:v>
      </x:c>
      <x:c r="E10" s="30" t="n">
        <x:f>AVERAGEIFS('简化64组原始'!$K$6:$K$69,'简化64组原始'!$C$6:$C$69,$A10,'简化64组原始'!$D$6:$D$69,$B10)</x:f>
        <x:v>16.76402386762592</x:v>
      </x:c>
      <x:c r="F10" s="30" t="n">
        <x:f>AVERAGEIFS('简化64组原始'!$L$6:$L$69,'简化64组原始'!$C$6:$C$69,$A10,'简化64组原始'!$D$6:$D$69,$B10)</x:f>
        <x:v>24.3328892760489</x:v>
      </x:c>
      <x:c r="G10" s="36" t="n">
        <x:f>AVERAGEIFS('简化64组原始'!$M$6:$M$69,'简化64组原始'!$C$6:$C$69,$A10,'简化64组原始'!$D$6:$D$69,$B10)</x:f>
        <x:v>0.9451772471829382</x:v>
      </x:c>
    </x:row>
    <x:row r="11" ht="23" customHeight="1">
      <x:c r="A11" s="39" t="n">
        <x:v>0.25</x:v>
      </x:c>
      <x:c r="B11" s="41" t="str">
        <x:v>B</x:v>
      </x:c>
      <x:c r="C11" s="36" t="n">
        <x:f>AVERAGEIFS('简化64组原始'!$I$6:$I$69,'简化64组原始'!$C$6:$C$69,$A11,'简化64组原始'!$D$6:$D$69,$B11)</x:f>
        <x:v>0.015462821157236172</x:v>
      </x:c>
      <x:c r="D11" s="36" t="n">
        <x:f>AVERAGEIFS('简化64组原始'!$J$6:$J$69,'简化64组原始'!$C$6:$C$69,$A11,'简化64组原始'!$D$6:$D$69,$B11)</x:f>
        <x:v>0.020975406068828303</x:v>
      </x:c>
      <x:c r="E11" s="30" t="n">
        <x:f>AVERAGEIFS('简化64组原始'!$K$6:$K$69,'简化64组原始'!$C$6:$C$69,$A11,'简化64组原始'!$D$6:$D$69,$B11)</x:f>
        <x:v>16.578657434173415</x:v>
      </x:c>
      <x:c r="F11" s="30" t="n">
        <x:f>AVERAGEIFS('简化64组原始'!$L$6:$L$69,'简化64组原始'!$C$6:$C$69,$A11,'简化64组原始'!$D$6:$D$69,$B11)</x:f>
        <x:v>24.436731178872975</x:v>
      </x:c>
      <x:c r="G11" s="36" t="n">
        <x:f>AVERAGEIFS('简化64组原始'!$M$6:$M$69,'简化64组原始'!$C$6:$C$69,$A11,'简化64组原始'!$D$6:$D$69,$B11)</x:f>
        <x:v>0.9458494741687464</x:v>
      </x:c>
    </x:row>
    <x:row r="12" ht="23" customHeight="1">
      <x:c r="A12" s="39" t="n">
        <x:v>0.25</x:v>
      </x:c>
      <x:c r="B12" s="41" t="str">
        <x:v>C</x:v>
      </x:c>
      <x:c r="C12" s="36" t="n">
        <x:f>AVERAGEIFS('简化64组原始'!$I$6:$I$69,'简化64组原始'!$C$6:$C$69,$A12,'简化64组原始'!$D$6:$D$69,$B12)</x:f>
        <x:v>0.014836856946524018</x:v>
      </x:c>
      <x:c r="D12" s="36" t="n">
        <x:f>AVERAGEIFS('简化64组原始'!$J$6:$J$69,'简化64组原始'!$C$6:$C$69,$A12,'简化64组原始'!$D$6:$D$69,$B12)</x:f>
        <x:v>0.024952908256636853</x:v>
      </x:c>
      <x:c r="E12" s="30" t="n">
        <x:f>AVERAGEIFS('简化64组原始'!$K$6:$K$69,'简化64组原始'!$C$6:$C$69,$A12,'简化64组原始'!$D$6:$D$69,$B12)</x:f>
        <x:v>16.80995432971667</x:v>
      </x:c>
      <x:c r="F12" s="30" t="n">
        <x:f>AVERAGEIFS('简化64组原始'!$L$6:$L$69,'简化64组原始'!$C$6:$C$69,$A12,'简化64组原始'!$D$6:$D$69,$B12)</x:f>
        <x:v>24.316396416409447</x:v>
      </x:c>
      <x:c r="G12" s="36" t="n">
        <x:f>AVERAGEIFS('简化64组原始'!$M$6:$M$69,'简化64组原始'!$C$6:$C$69,$A12,'简化64组原始'!$D$6:$D$69,$B12)</x:f>
        <x:v>0.9451072420850778</x:v>
      </x:c>
    </x:row>
    <x:row r="13" ht="23" customHeight="1">
      <x:c r="A13" s="39" t="n">
        <x:v>0.25</x:v>
      </x:c>
      <x:c r="B13" s="41" t="str">
        <x:v>D</x:v>
      </x:c>
      <x:c r="C13" s="36" t="n">
        <x:f>AVERAGEIFS('简化64组原始'!$I$6:$I$69,'简化64组原始'!$C$6:$C$69,$A13,'简化64组原始'!$D$6:$D$69,$B13)</x:f>
        <x:v>0.013793845253431518</x:v>
      </x:c>
      <x:c r="D13" s="36" t="n">
        <x:f>AVERAGEIFS('简化64组原始'!$J$6:$J$69,'简化64组原始'!$C$6:$C$69,$A13,'简化64组原始'!$D$6:$D$69,$B13)</x:f>
        <x:v>0.019677026043609637</x:v>
      </x:c>
      <x:c r="E13" s="30" t="n">
        <x:f>AVERAGEIFS('简化64组原始'!$K$6:$K$69,'简化64组原始'!$C$6:$C$69,$A13,'简化64组原始'!$D$6:$D$69,$B13)</x:f>
        <x:v>16.58882044700775</x:v>
      </x:c>
      <x:c r="F13" s="30" t="n">
        <x:f>AVERAGEIFS('简化64组原始'!$L$6:$L$69,'简化64组原始'!$C$6:$C$69,$A13,'简化64组原始'!$D$6:$D$69,$B13)</x:f>
        <x:v>24.43220248546975</x:v>
      </x:c>
      <x:c r="G13" s="36" t="n">
        <x:f>AVERAGEIFS('简化64组原始'!$M$6:$M$69,'简化64组原始'!$C$6:$C$69,$A13,'简化64组原始'!$D$6:$D$69,$B13)</x:f>
        <x:v>0.9457757586886718</x:v>
      </x:c>
    </x:row>
    <x:row r="14" ht="23" customHeight="1">
      <x:c r="A14" s="39" t="n">
        <x:v>0.5</x:v>
      </x:c>
      <x:c r="B14" s="41" t="str">
        <x:v>A</x:v>
      </x:c>
      <x:c r="C14" s="36" t="n">
        <x:f>AVERAGEIFS('简化64组原始'!$I$6:$I$69,'简化64组原始'!$C$6:$C$69,$A14,'简化64组原始'!$D$6:$D$69,$B14)</x:f>
        <x:v>0.0036837591420079635</x:v>
      </x:c>
      <x:c r="D14" s="36" t="n">
        <x:f>AVERAGEIFS('简化64组原始'!$J$6:$J$69,'简化64组原始'!$C$6:$C$69,$A14,'简化64组原始'!$D$6:$D$69,$B14)</x:f>
        <x:v>0.0033450111413912947</x:v>
      </x:c>
      <x:c r="E14" s="30" t="n">
        <x:f>AVERAGEIFS('简化64组原始'!$K$6:$K$69,'简化64组原始'!$C$6:$C$69,$A14,'简化64组原始'!$D$6:$D$69,$B14)</x:f>
        <x:v>13.5094761076979</x:v>
      </x:c>
      <x:c r="F14" s="30" t="n">
        <x:f>AVERAGEIFS('简化64组原始'!$L$6:$L$69,'简化64组原始'!$C$6:$C$69,$A14,'简化64组原始'!$D$6:$D$69,$B14)</x:f>
        <x:v>26.55738322323958</x:v>
      </x:c>
      <x:c r="G14" s="36" t="n">
        <x:f>AVERAGEIFS('简化64组原始'!$M$6:$M$69,'简化64组原始'!$C$6:$C$69,$A14,'简化64组原始'!$D$6:$D$69,$B14)</x:f>
        <x:v>0.9600464038669914</x:v>
      </x:c>
    </x:row>
    <x:row r="15" ht="23" customHeight="1">
      <x:c r="A15" s="39" t="n">
        <x:v>0.5</x:v>
      </x:c>
      <x:c r="B15" s="41" t="str">
        <x:v>B</x:v>
      </x:c>
      <x:c r="C15" s="36" t="n">
        <x:f>AVERAGEIFS('简化64组原始'!$I$6:$I$69,'简化64组原始'!$C$6:$C$69,$A15,'简化64组原始'!$D$6:$D$69,$B15)</x:f>
        <x:v>0.0034317366088157286</x:v>
      </x:c>
      <x:c r="D15" s="36" t="n">
        <x:f>AVERAGEIFS('简化64组原始'!$J$6:$J$69,'简化64组原始'!$C$6:$C$69,$A15,'简化64组原始'!$D$6:$D$69,$B15)</x:f>
        <x:v>0.0022889158366012894</x:v>
      </x:c>
      <x:c r="E15" s="30" t="n">
        <x:f>AVERAGEIFS('简化64组原始'!$K$6:$K$69,'简化64组原始'!$C$6:$C$69,$A15,'简化64组原始'!$D$6:$D$69,$B15)</x:f>
        <x:v>12.941846390239952</x:v>
      </x:c>
      <x:c r="F15" s="30" t="n">
        <x:f>AVERAGEIFS('简化64组原始'!$L$6:$L$69,'简化64组原始'!$C$6:$C$69,$A15,'简化64组原始'!$D$6:$D$69,$B15)</x:f>
        <x:v>27.03716199474573</x:v>
      </x:c>
      <x:c r="G15" s="36" t="n">
        <x:f>AVERAGEIFS('简化64组原始'!$M$6:$M$69,'简化64组原始'!$C$6:$C$69,$A15,'简化64组原始'!$D$6:$D$69,$B15)</x:f>
        <x:v>0.9623512101850253</x:v>
      </x:c>
    </x:row>
    <x:row r="16" ht="23" customHeight="1">
      <x:c r="A16" s="39" t="n">
        <x:v>0.5</x:v>
      </x:c>
      <x:c r="B16" s="41" t="str">
        <x:v>C</x:v>
      </x:c>
      <x:c r="C16" s="36" t="n">
        <x:f>AVERAGEIFS('简化64组原始'!$I$6:$I$69,'简化64组原始'!$C$6:$C$69,$A16,'简化64组原始'!$D$6:$D$69,$B16)</x:f>
        <x:v>0.0036359760146652455</x:v>
      </x:c>
      <x:c r="D16" s="36" t="n">
        <x:f>AVERAGEIFS('简化64组原始'!$J$6:$J$69,'简化64组原始'!$C$6:$C$69,$A16,'简化64组原始'!$D$6:$D$69,$B16)</x:f>
        <x:v>0.0031088189638239765</x:v>
      </x:c>
      <x:c r="E16" s="30" t="n">
        <x:f>AVERAGEIFS('简化64组原始'!$K$6:$K$69,'简化64组原始'!$C$6:$C$69,$A16,'简化64组原始'!$D$6:$D$69,$B16)</x:f>
        <x:v>13.508282737061407</x:v>
      </x:c>
      <x:c r="F16" s="30" t="n">
        <x:f>AVERAGEIFS('简化64组原始'!$L$6:$L$69,'简化64组原始'!$C$6:$C$69,$A16,'简化64组原始'!$D$6:$D$69,$B16)</x:f>
        <x:v>26.557960665652416</x:v>
      </x:c>
      <x:c r="G16" s="36" t="n">
        <x:f>AVERAGEIFS('简化64组原始'!$M$6:$M$69,'简化64组原始'!$C$6:$C$69,$A16,'简化64组原始'!$D$6:$D$69,$B16)</x:f>
        <x:v>0.960071962792493</x:v>
      </x:c>
    </x:row>
    <x:row r="17" ht="23" customHeight="1">
      <x:c r="A17" s="39" t="n">
        <x:v>0.5</x:v>
      </x:c>
      <x:c r="B17" s="41" t="str">
        <x:v>D</x:v>
      </x:c>
      <x:c r="C17" s="36" t="n">
        <x:f>AVERAGEIFS('简化64组原始'!$I$6:$I$69,'简化64组原始'!$C$6:$C$69,$A17,'简化64组原始'!$D$6:$D$69,$B17)</x:f>
        <x:v>0.003360894102669475</x:v>
      </x:c>
      <x:c r="D17" s="36" t="n">
        <x:f>AVERAGEIFS('简化64组原始'!$J$6:$J$69,'简化64组原始'!$C$6:$C$69,$A17,'简化64组原始'!$D$6:$D$69,$B17)</x:f>
        <x:v>0.002128291185954367</x:v>
      </x:c>
      <x:c r="E17" s="30" t="n">
        <x:f>AVERAGEIFS('简化64组原始'!$K$6:$K$69,'简化64组原始'!$C$6:$C$69,$A17,'简化64组原始'!$D$6:$D$69,$B17)</x:f>
        <x:v>12.9500483542828</x:v>
      </x:c>
      <x:c r="F17" s="30" t="n">
        <x:f>AVERAGEIFS('简化64组原始'!$L$6:$L$69,'简化64组原始'!$C$6:$C$69,$A17,'简化64组原始'!$D$6:$D$69,$B17)</x:f>
        <x:v>27.0302000596161</x:v>
      </x:c>
      <x:c r="G17" s="36" t="n">
        <x:f>AVERAGEIFS('简化64组原始'!$M$6:$M$69,'简化64组原始'!$C$6:$C$69,$A17,'简化64组原始'!$D$6:$D$69,$B17)</x:f>
        <x:v>0.9621927501267774</x:v>
      </x:c>
    </x:row>
    <x:row r="18" ht="23" customHeight="1">
      <x:c r="A18" s="39" t="n">
        <x:v>0.75</x:v>
      </x:c>
      <x:c r="B18" s="41" t="str">
        <x:v>A</x:v>
      </x:c>
      <x:c r="C18" s="36" t="n">
        <x:f>AVERAGEIFS('简化64组原始'!$I$6:$I$69,'简化64组原始'!$C$6:$C$69,$A18,'简化64组原始'!$D$6:$D$69,$B18)</x:f>
        <x:v>0.0029618558480582233</x:v>
      </x:c>
      <x:c r="D18" s="40" t="n">
        <x:f>AVERAGEIFS('简化64组原始'!$J$6:$J$69,'简化64组原始'!$C$6:$C$69,$A18,'简化64组原始'!$D$6:$D$69,$B18)</x:f>
        <x:v>0.000607028928283903</x:v>
      </x:c>
      <x:c r="E18" s="30" t="n">
        <x:f>AVERAGEIFS('简化64组原始'!$K$6:$K$69,'简化64组原始'!$C$6:$C$69,$A18,'简化64组原始'!$D$6:$D$69,$B18)</x:f>
        <x:v>10.750697537538917</x:v>
      </x:c>
      <x:c r="F18" s="30" t="n">
        <x:f>AVERAGEIFS('简化64组原始'!$L$6:$L$69,'简化64组原始'!$C$6:$C$69,$A18,'简化64组原始'!$D$6:$D$69,$B18)</x:f>
        <x:v>28.92693986744355</x:v>
      </x:c>
      <x:c r="G18" s="36" t="n">
        <x:f>AVERAGEIFS('简化64组原始'!$M$6:$M$69,'简化64组原始'!$C$6:$C$69,$A18,'简化64组原始'!$D$6:$D$69,$B18)</x:f>
        <x:v>0.9725102929182899</x:v>
      </x:c>
    </x:row>
    <x:row r="19" ht="23" customHeight="1">
      <x:c r="A19" s="39" t="n">
        <x:v>0.75</x:v>
      </x:c>
      <x:c r="B19" s="41" t="str">
        <x:v>B</x:v>
      </x:c>
      <x:c r="C19" s="36" t="n">
        <x:f>AVERAGEIFS('简化64组原始'!$I$6:$I$69,'简化64组原始'!$C$6:$C$69,$A19,'简化64组原始'!$D$6:$D$69,$B19)</x:f>
        <x:v>0.0006280542730774859</x:v>
      </x:c>
      <x:c r="D19" s="40" t="n">
        <x:f>AVERAGEIFS('简化64组原始'!$J$6:$J$69,'简化64组原始'!$C$6:$C$69,$A19,'简化64组原始'!$D$6:$D$69,$B19)</x:f>
        <x:v>3.4539336252192794e-8</x:v>
      </x:c>
      <x:c r="E19" s="30" t="n">
        <x:f>AVERAGEIFS('简化64组原始'!$K$6:$K$69,'简化64组原始'!$C$6:$C$69,$A19,'简化64组原始'!$D$6:$D$69,$B19)</x:f>
        <x:v>4.786643768969758</x:v>
      </x:c>
      <x:c r="F19" s="30" t="n">
        <x:f>AVERAGEIFS('简化64组原始'!$L$6:$L$69,'简化64组原始'!$C$6:$C$69,$A19,'简化64组原始'!$D$6:$D$69,$B19)</x:f>
        <x:v>35.415965964082076</x:v>
      </x:c>
      <x:c r="G19" s="36" t="n">
        <x:f>AVERAGEIFS('简化64组原始'!$M$6:$M$69,'简化64组原始'!$C$6:$C$69,$A19,'简化64组原始'!$D$6:$D$69,$B19)</x:f>
        <x:v>0.9911550058239703</x:v>
      </x:c>
    </x:row>
    <x:row r="20" ht="23" customHeight="1">
      <x:c r="A20" s="39" t="n">
        <x:v>0.75</x:v>
      </x:c>
      <x:c r="B20" s="41" t="str">
        <x:v>C</x:v>
      </x:c>
      <x:c r="C20" s="36" t="n">
        <x:f>AVERAGEIFS('简化64组原始'!$I$6:$I$69,'简化64组原始'!$C$6:$C$69,$A20,'简化64组原始'!$D$6:$D$69,$B20)</x:f>
        <x:v>0.0029046058206855106</x:v>
      </x:c>
      <x:c r="D20" s="40" t="n">
        <x:f>AVERAGEIFS('简化64组原始'!$J$6:$J$69,'简化64组原始'!$C$6:$C$69,$A20,'简化64组原始'!$D$6:$D$69,$B20)</x:f>
        <x:v>0.0005654804417745684</x:v>
      </x:c>
      <x:c r="E20" s="30" t="n">
        <x:f>AVERAGEIFS('简化64组原始'!$K$6:$K$69,'简化64组原始'!$C$6:$C$69,$A20,'简化64组原始'!$D$6:$D$69,$B20)</x:f>
        <x:v>10.693798766107722</x:v>
      </x:c>
      <x:c r="F20" s="30" t="n">
        <x:f>AVERAGEIFS('简化64组原始'!$L$6:$L$69,'简化64组原始'!$C$6:$C$69,$A20,'简化64组原始'!$D$6:$D$69,$B20)</x:f>
        <x:v>28.978583876170617</x:v>
      </x:c>
      <x:c r="G20" s="36" t="n">
        <x:f>AVERAGEIFS('简化64组原始'!$M$6:$M$69,'简化64组原始'!$C$6:$C$69,$A20,'简化64组原始'!$D$6:$D$69,$B20)</x:f>
        <x:v>0.9727322436365579</x:v>
      </x:c>
    </x:row>
    <x:row r="21" ht="23" customHeight="1">
      <x:c r="A21" s="39" t="n">
        <x:v>0.75</x:v>
      </x:c>
      <x:c r="B21" s="41" t="str">
        <x:v>D</x:v>
      </x:c>
      <x:c r="C21" s="36" t="n">
        <x:f>AVERAGEIFS('简化64组原始'!$I$6:$I$69,'简化64组原始'!$C$6:$C$69,$A21,'简化64组原始'!$D$6:$D$69,$B21)</x:f>
        <x:v>0.0005729804516221801</x:v>
      </x:c>
      <x:c r="D21" s="40" t="n">
        <x:f>AVERAGEIFS('简化64组原始'!$J$6:$J$69,'简化64组原始'!$C$6:$C$69,$A21,'简化64组原始'!$D$6:$D$69,$B21)</x:f>
        <x:v>2.8190229751229292e-8</x:v>
      </x:c>
      <x:c r="E21" s="30" t="n">
        <x:f>AVERAGEIFS('简化64组原始'!$K$6:$K$69,'简化64组原始'!$C$6:$C$69,$A21,'简化64组原始'!$D$6:$D$69,$B21)</x:f>
        <x:v>4.774049109750898</x:v>
      </x:c>
      <x:c r="F21" s="30" t="n">
        <x:f>AVERAGEIFS('简化64组原始'!$L$6:$L$69,'简化64组原始'!$C$6:$C$69,$A21,'简化64组原始'!$D$6:$D$69,$B21)</x:f>
        <x:v>35.4686052637416</x:v>
      </x:c>
      <x:c r="G21" s="36" t="n">
        <x:f>AVERAGEIFS('简化64组原始'!$M$6:$M$69,'简化64组原始'!$C$6:$C$69,$A21,'简化64组原始'!$D$6:$D$69,$B21)</x:f>
        <x:v>0.9911646800200387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22" hidden="0" customWidth="1"/>
    <x:col min="5" max="5" width="22" hidden="0" customWidth="1"/>
    <x:col min="6" max="6" width="22" hidden="0" customWidth="1"/>
    <x:col min="7" max="7" width="32" hidden="0" customWidth="1"/>
    <x:col min="8" max="8" width="32" hidden="0" customWidth="1"/>
  </x:cols>
  <x:sheetData>
    <x:row r="2">
      <x:c r="A2" s="3" t="str">
        <x:v>逐模型相对A的改善率</x:v>
      </x:c>
      <x:c r="B2" s="3"/>
      <x:c r="C2" s="3"/>
      <x:c r="D2" s="3"/>
      <x:c r="E2" s="3"/>
      <x:c r="F2" s="3"/>
      <x:c r="G2" s="3"/>
      <x:c r="H2" s="3"/>
    </x:row>
    <x:row r="3">
      <x:c r="A3" s="4" t="str">
        <x:v>P95的A基准低于10^-6%时标记n.a.；PSNR按对应MSE换算，SSIM用1−SSIM失真量。</x:v>
      </x:c>
      <x:c r="B3" s="4"/>
      <x:c r="C3" s="4"/>
      <x:c r="D3" s="4"/>
      <x:c r="E3" s="4"/>
      <x:c r="F3" s="4"/>
      <x:c r="G3" s="4"/>
      <x:c r="H3" s="4"/>
    </x:row>
    <x:row r="4">
      <x:c r="A4" s="1"/>
      <x:c r="B4" s="1"/>
      <x:c r="C4" s="1"/>
      <x:c r="D4" s="1"/>
      <x:c r="E4" s="1"/>
      <x:c r="F4" s="1"/>
      <x:c r="G4" s="1"/>
      <x:c r="H4" s="1"/>
    </x:row>
    <x:row r="5" ht="37" customHeight="1">
      <x:c r="A5" s="9" t="str">
        <x:v>模型</x:v>
      </x:c>
      <x:c r="B5" s="9" t="str">
        <x:v>保留率</x:v>
      </x:c>
      <x:c r="C5" s="9" t="str">
        <x:v>策略</x:v>
      </x:c>
      <x:c r="D5" s="9" t="str">
        <x:v>RMS降低率</x:v>
      </x:c>
      <x:c r="E5" s="9" t="str">
        <x:v>P95降低率</x:v>
      </x:c>
      <x:c r="F5" s="9" t="str">
        <x:v>RMSE降低率</x:v>
      </x:c>
      <x:c r="G5" s="9" t="str">
        <x:v>PSNR对应MSE降低率</x:v>
      </x:c>
      <x:c r="H5" s="9" t="str">
        <x:v>SSIM失真降低率</x:v>
      </x:c>
    </x:row>
    <x:row r="6" ht="23" customHeight="1">
      <x:c r="A6" s="10" t="str">
        <x:v>M1</x:v>
      </x:c>
      <x:c r="B6" s="39" t="n">
        <x:v>0.125</x:v>
      </x:c>
      <x:c r="C6" s="41" t="str">
        <x:v>A</x:v>
      </x:c>
      <x:c r="D6" s="33" t="n">
        <x:f>1-'简化64组原始'!I6/'简化64组原始'!I6</x:f>
        <x:v>0</x:v>
      </x:c>
      <x:c r="E6" s="33" t="n">
        <x:f>IF('简化64组原始'!J6&lt;0.000001,"n.a.",1-'简化64组原始'!J6/'简化64组原始'!J6)</x:f>
        <x:v>0</x:v>
      </x:c>
      <x:c r="F6" s="33" t="n">
        <x:f>1-'简化64组原始'!K6/'简化64组原始'!K6</x:f>
        <x:v>0</x:v>
      </x:c>
      <x:c r="G6" s="33" t="n">
        <x:f>1-10^(-('简化64组原始'!L6-'简化64组原始'!L6)/10)</x:f>
        <x:v>0</x:v>
      </x:c>
      <x:c r="H6" s="33" t="n">
        <x:f>1-(1-'简化64组原始'!M6)/(1-'简化64组原始'!M6)</x:f>
        <x:v>0</x:v>
      </x:c>
    </x:row>
    <x:row r="7" ht="23" customHeight="1">
      <x:c r="A7" s="10" t="str">
        <x:v>M1</x:v>
      </x:c>
      <x:c r="B7" s="39" t="n">
        <x:v>0.125</x:v>
      </x:c>
      <x:c r="C7" s="41" t="str">
        <x:v>B</x:v>
      </x:c>
      <x:c r="D7" s="33" t="n">
        <x:f>1-'简化64组原始'!I7/'简化64组原始'!I6</x:f>
        <x:v>0.2016209891132119</x:v>
      </x:c>
      <x:c r="E7" s="33" t="n">
        <x:f>IF('简化64组原始'!J6&lt;0.000001,"n.a.",1-'简化64组原始'!J7/'简化64组原始'!J6)</x:f>
        <x:v>0.2560101383520018</x:v>
      </x:c>
      <x:c r="F7" s="33" t="n">
        <x:f>1-'简化64组原始'!K7/'简化64组原始'!K6</x:f>
        <x:v>-0.0010942070998691822</x:v>
      </x:c>
      <x:c r="G7" s="33" t="n">
        <x:f>1-10^(-('简化64组原始'!L7-'简化64组原始'!L6)/10)</x:f>
        <x:v>-0.00217775909851059</x:v>
      </x:c>
      <x:c r="H7" s="33" t="n">
        <x:f>1-(1-'简化64组原始'!M7)/(1-'简化64组原始'!M6)</x:f>
        <x:v>0.0022427300480463153</x:v>
      </x:c>
    </x:row>
    <x:row r="8" ht="23" customHeight="1">
      <x:c r="A8" s="10" t="str">
        <x:v>M1</x:v>
      </x:c>
      <x:c r="B8" s="39" t="n">
        <x:v>0.125</x:v>
      </x:c>
      <x:c r="C8" s="41" t="str">
        <x:v>C</x:v>
      </x:c>
      <x:c r="D8" s="33" t="n">
        <x:f>1-'简化64组原始'!I8/'简化64组原始'!I6</x:f>
        <x:v>0.03995513948512519</x:v>
      </x:c>
      <x:c r="E8" s="33" t="n">
        <x:f>IF('简化64组原始'!J6&lt;0.000001,"n.a.",1-'简化64组原始'!J8/'简化64组原始'!J6)</x:f>
        <x:v>0.03720902181241004</x:v>
      </x:c>
      <x:c r="F8" s="33" t="n">
        <x:f>1-'简化64组原始'!K8/'简化64组原始'!K6</x:f>
        <x:v>-0.0036448508290256587</x:v>
      </x:c>
      <x:c r="G8" s="33" t="n">
        <x:f>1-10^(-('简化64组原始'!L8-'简化64组原始'!L6)/10)</x:f>
        <x:v>-0.005690805957701661</x:v>
      </x:c>
      <x:c r="H8" s="33" t="n">
        <x:f>1-(1-'简化64组原始'!M8)/(1-'简化64组原始'!M6)</x:f>
        <x:v>-0.0006013527141017772</x:v>
      </x:c>
    </x:row>
    <x:row r="9" ht="23" customHeight="1">
      <x:c r="A9" s="10" t="str">
        <x:v>M1</x:v>
      </x:c>
      <x:c r="B9" s="39" t="n">
        <x:v>0.125</x:v>
      </x:c>
      <x:c r="C9" s="41" t="str">
        <x:v>D</x:v>
      </x:c>
      <x:c r="D9" s="33" t="n">
        <x:f>1-'简化64组原始'!I9/'简化64组原始'!I6</x:f>
        <x:v>0.20050412625018088</x:v>
      </x:c>
      <x:c r="E9" s="33" t="n">
        <x:f>IF('简化64组原始'!J6&lt;0.000001,"n.a.",1-'简化64组原始'!J9/'简化64组原始'!J6)</x:f>
        <x:v>0.26431701186956824</x:v>
      </x:c>
      <x:c r="F9" s="33" t="n">
        <x:f>1-'简化64组原始'!K9/'简化64组原始'!K6</x:f>
        <x:v>0.005681624117548689</x:v>
      </x:c>
      <x:c r="G9" s="33" t="n">
        <x:f>1-10^(-('简化64组原始'!L9-'简化64组原始'!L6)/10)</x:f>
        <x:v>0.010625599188667345</x:v>
      </x:c>
      <x:c r="H9" s="33" t="n">
        <x:f>1-(1-'简化64组原始'!M9)/(1-'简化64组原始'!M6)</x:f>
        <x:v>0.02435550732729652</x:v>
      </x:c>
    </x:row>
    <x:row r="10" ht="23" customHeight="1">
      <x:c r="A10" s="10" t="str">
        <x:v>M1</x:v>
      </x:c>
      <x:c r="B10" s="39" t="n">
        <x:v>0.25</x:v>
      </x:c>
      <x:c r="C10" s="41" t="str">
        <x:v>A</x:v>
      </x:c>
      <x:c r="D10" s="33" t="n">
        <x:f>1-'简化64组原始'!I10/'简化64组原始'!I10</x:f>
        <x:v>0</x:v>
      </x:c>
      <x:c r="E10" s="33" t="n">
        <x:f>IF('简化64组原始'!J10&lt;0.000001,"n.a.",1-'简化64组原始'!J10/'简化64组原始'!J10)</x:f>
        <x:v>0</x:v>
      </x:c>
      <x:c r="F10" s="33" t="n">
        <x:f>1-'简化64组原始'!K10/'简化64组原始'!K10</x:f>
        <x:v>0</x:v>
      </x:c>
      <x:c r="G10" s="33" t="n">
        <x:f>1-10^(-('简化64组原始'!L10-'简化64组原始'!L10)/10)</x:f>
        <x:v>0</x:v>
      </x:c>
      <x:c r="H10" s="33" t="n">
        <x:f>1-(1-'简化64组原始'!M10)/(1-'简化64组原始'!M10)</x:f>
        <x:v>0</x:v>
      </x:c>
    </x:row>
    <x:row r="11" ht="23" customHeight="1">
      <x:c r="A11" s="10" t="str">
        <x:v>M1</x:v>
      </x:c>
      <x:c r="B11" s="39" t="n">
        <x:v>0.25</x:v>
      </x:c>
      <x:c r="C11" s="41" t="str">
        <x:v>B</x:v>
      </x:c>
      <x:c r="D11" s="33" t="n">
        <x:f>1-'简化64组原始'!I11/'简化64组原始'!I10</x:f>
        <x:v>0.009175887815614736</x:v>
      </x:c>
      <x:c r="E11" s="33" t="n">
        <x:f>IF('简化64组原始'!J10&lt;0.000001,"n.a.",1-'简化64组原始'!J11/'简化64组原始'!J10)</x:f>
        <x:v>0.011663857025413282</x:v>
      </x:c>
      <x:c r="F11" s="33" t="n">
        <x:f>1-'简化64组原始'!K11/'简化64组原始'!K10</x:f>
        <x:v>0.005950559003545575</x:v>
      </x:c>
      <x:c r="G11" s="33" t="n">
        <x:f>1-10^(-('简化64组原始'!L11-'简化64组原始'!L10)/10)</x:f>
        <x:v>0.013888900238891999</x:v>
      </x:c>
      <x:c r="H11" s="33" t="n">
        <x:f>1-(1-'简化64组原始'!M11)/(1-'简化64组原始'!M10)</x:f>
        <x:v>0.00680393332218121</x:v>
      </x:c>
    </x:row>
    <x:row r="12" ht="23" customHeight="1">
      <x:c r="A12" s="10" t="str">
        <x:v>M1</x:v>
      </x:c>
      <x:c r="B12" s="39" t="n">
        <x:v>0.25</x:v>
      </x:c>
      <x:c r="C12" s="41" t="str">
        <x:v>C</x:v>
      </x:c>
      <x:c r="D12" s="33" t="n">
        <x:f>1-'简化64组原始'!I12/'简化64组原始'!I10</x:f>
        <x:v>0.03393555240108648</x:v>
      </x:c>
      <x:c r="E12" s="33" t="n">
        <x:f>IF('简化64组原始'!J10&lt;0.000001,"n.a.",1-'简化64组原始'!J12/'简化64组原始'!J10)</x:f>
        <x:v>0.027240539792462548</x:v>
      </x:c>
      <x:c r="F12" s="33" t="n">
        <x:f>1-'简化64组原始'!K12/'简化64组原始'!K10</x:f>
        <x:v>-0.006450516578582199</x:v>
      </x:c>
      <x:c r="G12" s="33" t="n">
        <x:f>1-10^(-('简化64组原始'!L12-'简化64组原始'!L10)/10)</x:f>
        <x:v>-0.014970052316702898</x:v>
      </x:c>
      <x:c r="H12" s="33" t="n">
        <x:f>1-(1-'简化64组原始'!M12)/(1-'简化64组原始'!M10)</x:f>
        <x:v>-0.005950785332804687</x:v>
      </x:c>
    </x:row>
    <x:row r="13" ht="23" customHeight="1">
      <x:c r="A13" s="10" t="str">
        <x:v>M1</x:v>
      </x:c>
      <x:c r="B13" s="39" t="n">
        <x:v>0.25</x:v>
      </x:c>
      <x:c r="C13" s="41" t="str">
        <x:v>D</x:v>
      </x:c>
      <x:c r="D13" s="33" t="n">
        <x:f>1-'简化64组原始'!I13/'简化64组原始'!I10</x:f>
        <x:v>0.05456063923555199</x:v>
      </x:c>
      <x:c r="E13" s="33" t="n">
        <x:f>IF('简化64组原始'!J10&lt;0.000001,"n.a.",1-'简化64组原始'!J13/'简化64组原始'!J10)</x:f>
        <x:v>0.03093019312338008</x:v>
      </x:c>
      <x:c r="F13" s="33" t="n">
        <x:f>1-'简化64组原始'!K13/'简化64组原始'!K10</x:f>
        <x:v>0.002110528100514375</x:v>
      </x:c>
      <x:c r="G13" s="33" t="n">
        <x:f>1-10^(-('简化64组原始'!L13-'简化64组原始'!L10)/10)</x:f>
        <x:v>0.004789160717093899</x:v>
      </x:c>
      <x:c r="H13" s="33" t="n">
        <x:f>1-(1-'简化64组原始'!M13)/(1-'简化64组原始'!M10)</x:f>
        <x:v>0.003512272944429906</x:v>
      </x:c>
    </x:row>
    <x:row r="14" ht="23" customHeight="1">
      <x:c r="A14" s="10" t="str">
        <x:v>M1</x:v>
      </x:c>
      <x:c r="B14" s="39" t="n">
        <x:v>0.5</x:v>
      </x:c>
      <x:c r="C14" s="41" t="str">
        <x:v>A</x:v>
      </x:c>
      <x:c r="D14" s="33" t="n">
        <x:f>1-'简化64组原始'!I14/'简化64组原始'!I14</x:f>
        <x:v>0</x:v>
      </x:c>
      <x:c r="E14" s="33" t="n">
        <x:f>IF('简化64组原始'!J14&lt;0.000001,"n.a.",1-'简化64组原始'!J14/'简化64组原始'!J14)</x:f>
        <x:v>0</x:v>
      </x:c>
      <x:c r="F14" s="33" t="n">
        <x:f>1-'简化64组原始'!K14/'简化64组原始'!K14</x:f>
        <x:v>0</x:v>
      </x:c>
      <x:c r="G14" s="33" t="n">
        <x:f>1-10^(-('简化64组原始'!L14-'简化64组原始'!L14)/10)</x:f>
        <x:v>0</x:v>
      </x:c>
      <x:c r="H14" s="33" t="n">
        <x:f>1-(1-'简化64组原始'!M14)/(1-'简化64组原始'!M14)</x:f>
        <x:v>0</x:v>
      </x:c>
    </x:row>
    <x:row r="15" ht="23" customHeight="1">
      <x:c r="A15" s="10" t="str">
        <x:v>M1</x:v>
      </x:c>
      <x:c r="B15" s="39" t="n">
        <x:v>0.5</x:v>
      </x:c>
      <x:c r="C15" s="41" t="str">
        <x:v>B</x:v>
      </x:c>
      <x:c r="D15" s="33" t="n">
        <x:f>1-'简化64组原始'!I15/'简化64组原始'!I14</x:f>
        <x:v>-0.002839874032276146</x:v>
      </x:c>
      <x:c r="E15" s="33" t="n">
        <x:f>IF('简化64组原始'!J14&lt;0.000001,"n.a.",1-'简化64组原始'!J15/'简化64组原始'!J14)</x:f>
        <x:v>0.02837273989935951</x:v>
      </x:c>
      <x:c r="F15" s="33" t="n">
        <x:f>1-'简化64组原始'!K15/'简化64组原始'!K14</x:f>
        <x:v>0.00122552914137386</x:v>
      </x:c>
      <x:c r="G15" s="33" t="n">
        <x:f>1-10^(-('简化64组原始'!L15-'简化64组原始'!L14)/10)</x:f>
        <x:v>0.0027424562660723906</x:v>
      </x:c>
      <x:c r="H15" s="33" t="n">
        <x:f>1-(1-'简化64组原始'!M15)/(1-'简化64组原始'!M14)</x:f>
        <x:v>0.00159433444455237</x:v>
      </x:c>
    </x:row>
    <x:row r="16" ht="23" customHeight="1">
      <x:c r="A16" s="10" t="str">
        <x:v>M1</x:v>
      </x:c>
      <x:c r="B16" s="39" t="n">
        <x:v>0.5</x:v>
      </x:c>
      <x:c r="C16" s="41" t="str">
        <x:v>C</x:v>
      </x:c>
      <x:c r="D16" s="33" t="n">
        <x:f>1-'简化64组原始'!I16/'简化64组原始'!I14</x:f>
        <x:v>0.0476620566280882</x:v>
      </x:c>
      <x:c r="E16" s="33" t="n">
        <x:f>IF('简化64组原始'!J14&lt;0.000001,"n.a.",1-'简化64组原始'!J16/'简化64组原始'!J14)</x:f>
        <x:v>0.08774986521377448</x:v>
      </x:c>
      <x:c r="F16" s="33" t="n">
        <x:f>1-'简化64组原始'!K16/'简化64组原始'!K14</x:f>
        <x:v>-0.00006063855869276047</x:v>
      </x:c>
      <x:c r="G16" s="33" t="n">
        <x:f>1-10^(-('简化64组原始'!L16-'简化64组原始'!L14)/10)</x:f>
        <x:v>-0.00005934265692797425</x:v>
      </x:c>
      <x:c r="H16" s="33" t="n">
        <x:f>1-(1-'简化64组原始'!M16)/(1-'简化64组原始'!M14)</x:f>
        <x:v>0.000023617521470731262</x:v>
      </x:c>
    </x:row>
    <x:row r="17" ht="23" customHeight="1">
      <x:c r="A17" s="10" t="str">
        <x:v>M1</x:v>
      </x:c>
      <x:c r="B17" s="39" t="n">
        <x:v>0.5</x:v>
      </x:c>
      <x:c r="C17" s="41" t="str">
        <x:v>D</x:v>
      </x:c>
      <x:c r="D17" s="33" t="n">
        <x:f>1-'简化64组原始'!I17/'简化64组原始'!I14</x:f>
        <x:v>0.048583558771235213</x:v>
      </x:c>
      <x:c r="E17" s="33" t="n">
        <x:f>IF('简化64组原始'!J14&lt;0.000001,"n.a.",1-'简化64组原始'!J17/'简化64组原始'!J14)</x:f>
        <x:v>0.10221972253364953</x:v>
      </x:c>
      <x:c r="F17" s="33" t="n">
        <x:f>1-'简化64组原始'!K17/'简化64组原始'!K14</x:f>
        <x:v>0.0006290863893209098</x:v>
      </x:c>
      <x:c r="G17" s="33" t="n">
        <x:f>1-10^(-('简化64组原始'!L17-'简化64组原始'!L14)/10)</x:f>
        <x:v>0.001495553383012549</x:v>
      </x:c>
      <x:c r="H17" s="33" t="n">
        <x:f>1-(1-'简化64组原始'!M17)/(1-'简化64组原始'!M14)</x:f>
        <x:v>0.00013827927577214627</x:v>
      </x:c>
    </x:row>
    <x:row r="18" ht="23" customHeight="1">
      <x:c r="A18" s="10" t="str">
        <x:v>M1</x:v>
      </x:c>
      <x:c r="B18" s="39" t="n">
        <x:v>0.75</x:v>
      </x:c>
      <x:c r="C18" s="41" t="str">
        <x:v>A</x:v>
      </x:c>
      <x:c r="D18" s="33" t="n">
        <x:f>1-'简化64组原始'!I18/'简化64组原始'!I18</x:f>
        <x:v>0</x:v>
      </x:c>
      <x:c r="E18" s="33" t="n">
        <x:f>IF('简化64组原始'!J18&lt;0.000001,"n.a.",1-'简化64组原始'!J18/'简化64组原始'!J18)</x:f>
        <x:v>0</x:v>
      </x:c>
      <x:c r="F18" s="33" t="n">
        <x:f>1-'简化64组原始'!K18/'简化64组原始'!K18</x:f>
        <x:v>0</x:v>
      </x:c>
      <x:c r="G18" s="33" t="n">
        <x:f>1-10^(-('简化64组原始'!L18-'简化64组原始'!L18)/10)</x:f>
        <x:v>0</x:v>
      </x:c>
      <x:c r="H18" s="33" t="n">
        <x:f>1-(1-'简化64组原始'!M18)/(1-'简化64组原始'!M18)</x:f>
        <x:v>0</x:v>
      </x:c>
    </x:row>
    <x:row r="19" ht="23" customHeight="1">
      <x:c r="A19" s="10" t="str">
        <x:v>M1</x:v>
      </x:c>
      <x:c r="B19" s="39" t="n">
        <x:v>0.75</x:v>
      </x:c>
      <x:c r="C19" s="41" t="str">
        <x:v>B</x:v>
      </x:c>
      <x:c r="D19" s="33" t="n">
        <x:f>1-'简化64组原始'!I19/'简化64组原始'!I18</x:f>
        <x:v>0.8275852680309291</x:v>
      </x:c>
      <x:c r="E19" s="33" t="n">
        <x:f>IF('简化64组原始'!J18&lt;0.000001,"n.a.",1-'简化64组原始'!J19/'简化64组原始'!J18)</x:f>
        <x:v>0.9999851262150008</x:v>
      </x:c>
      <x:c r="F19" s="33" t="n">
        <x:f>1-'简化64组原始'!K19/'简化64组原始'!K18</x:f>
        <x:v>0.8054005894864755</x:v>
      </x:c>
      <x:c r="G19" s="33" t="n">
        <x:f>1-10^(-('简化64组原始'!L19-'简化64组原始'!L18)/10)</x:f>
        <x:v>0.9624493484751222</x:v>
      </x:c>
      <x:c r="H19" s="33" t="n">
        <x:f>1-(1-'简化64组原始'!M19)/(1-'简化64组原始'!M18)</x:f>
        <x:v>0.852238852636245</x:v>
      </x:c>
    </x:row>
    <x:row r="20" ht="23" customHeight="1">
      <x:c r="A20" s="10" t="str">
        <x:v>M1</x:v>
      </x:c>
      <x:c r="B20" s="39" t="n">
        <x:v>0.75</x:v>
      </x:c>
      <x:c r="C20" s="41" t="str">
        <x:v>C</x:v>
      </x:c>
      <x:c r="D20" s="33" t="n">
        <x:f>1-'简化64组原始'!I20/'简化64组原始'!I18</x:f>
        <x:v>0.023219524706625805</x:v>
      </x:c>
      <x:c r="E20" s="33" t="n">
        <x:f>IF('简化64组原始'!J18&lt;0.000001,"n.a.",1-'简化64组原始'!J20/'简化64组原始'!J18)</x:f>
        <x:v>0.07548015232214134</x:v>
      </x:c>
      <x:c r="F20" s="33" t="n">
        <x:f>1-'简化64组原始'!K20/'简化64组原始'!K18</x:f>
        <x:v>0.007825998375806775</x:v>
      </x:c>
      <x:c r="G20" s="33" t="n">
        <x:f>1-10^(-('简化64组原始'!L20-'简化64组原始'!L18)/10)</x:f>
        <x:v>0.023144983084500637</x:v>
      </x:c>
      <x:c r="H20" s="33" t="n">
        <x:f>1-(1-'简化64组原始'!M20)/(1-'简化64组原始'!M18)</x:f>
        <x:v>0.016156868046123374</x:v>
      </x:c>
    </x:row>
    <x:row r="21" ht="23" customHeight="1">
      <x:c r="A21" s="10" t="str">
        <x:v>M1</x:v>
      </x:c>
      <x:c r="B21" s="39" t="n">
        <x:v>0.75</x:v>
      </x:c>
      <x:c r="C21" s="41" t="str">
        <x:v>D</x:v>
      </x:c>
      <x:c r="D21" s="33" t="n">
        <x:f>1-'简化64组原始'!I21/'简化64组原始'!I18</x:f>
        <x:v>0.8660144850521032</x:v>
      </x:c>
      <x:c r="E21" s="33" t="n">
        <x:f>IF('简化64组原始'!J18&lt;0.000001,"n.a.",1-'简化64组原始'!J21/'简化64组原始'!J18)</x:f>
        <x:v>0.9999915030525734</x:v>
      </x:c>
      <x:c r="F21" s="33" t="n">
        <x:f>1-'简化64组原始'!K21/'简化64组原始'!K18</x:f>
        <x:v>0.8087815290080208</x:v>
      </x:c>
      <x:c r="G21" s="33" t="n">
        <x:f>1-10^(-('简化64组原始'!L21-'简化64组原始'!L18)/10)</x:f>
        <x:v>0.9643193083351158</x:v>
      </x:c>
      <x:c r="H21" s="33" t="n">
        <x:f>1-(1-'简化64组原始'!M21)/(1-'简化64组原始'!M18)</x:f>
        <x:v>0.854383673678443</x:v>
      </x:c>
    </x:row>
    <x:row r="22" ht="23" customHeight="1">
      <x:c r="A22" s="10" t="str">
        <x:v>M2</x:v>
      </x:c>
      <x:c r="B22" s="39" t="n">
        <x:v>0.125</x:v>
      </x:c>
      <x:c r="C22" s="41" t="str">
        <x:v>A</x:v>
      </x:c>
      <x:c r="D22" s="33" t="n">
        <x:f>1-'简化64组原始'!I22/'简化64组原始'!I22</x:f>
        <x:v>0</x:v>
      </x:c>
      <x:c r="E22" s="33" t="n">
        <x:f>IF('简化64组原始'!J22&lt;0.000001,"n.a.",1-'简化64组原始'!J22/'简化64组原始'!J22)</x:f>
        <x:v>0</x:v>
      </x:c>
      <x:c r="F22" s="33" t="n">
        <x:f>1-'简化64组原始'!K22/'简化64组原始'!K22</x:f>
        <x:v>0</x:v>
      </x:c>
      <x:c r="G22" s="33" t="n">
        <x:f>1-10^(-('简化64组原始'!L22-'简化64组原始'!L22)/10)</x:f>
        <x:v>0</x:v>
      </x:c>
      <x:c r="H22" s="33" t="n">
        <x:f>1-(1-'简化64组原始'!M22)/(1-'简化64组原始'!M22)</x:f>
        <x:v>0</x:v>
      </x:c>
    </x:row>
    <x:row r="23" ht="23" customHeight="1">
      <x:c r="A23" s="10" t="str">
        <x:v>M2</x:v>
      </x:c>
      <x:c r="B23" s="39" t="n">
        <x:v>0.125</x:v>
      </x:c>
      <x:c r="C23" s="41" t="str">
        <x:v>B</x:v>
      </x:c>
      <x:c r="D23" s="33" t="n">
        <x:f>1-'简化64组原始'!I23/'简化64组原始'!I22</x:f>
        <x:v>0.04014864782646721</x:v>
      </x:c>
      <x:c r="E23" s="33" t="n">
        <x:f>IF('简化64组原始'!J22&lt;0.000001,"n.a.",1-'简化64组原始'!J23/'简化64组原始'!J22)</x:f>
        <x:v>0.08831011103195874</x:v>
      </x:c>
      <x:c r="F23" s="33" t="n">
        <x:f>1-'简化64组原始'!K23/'简化64组原始'!K22</x:f>
        <x:v>0.01100547039712596</x:v>
      </x:c>
      <x:c r="G23" s="33" t="n">
        <x:f>1-10^(-('简化64组原始'!L23-'简化64组原始'!L22)/10)</x:f>
        <x:v>0.02593496105995785</x:v>
      </x:c>
      <x:c r="H23" s="33" t="n">
        <x:f>1-(1-'简化64组原始'!M23)/(1-'简化64组原始'!M22)</x:f>
        <x:v>0.005244465566615508</x:v>
      </x:c>
    </x:row>
    <x:row r="24" ht="23" customHeight="1">
      <x:c r="A24" s="10" t="str">
        <x:v>M2</x:v>
      </x:c>
      <x:c r="B24" s="39" t="n">
        <x:v>0.125</x:v>
      </x:c>
      <x:c r="C24" s="41" t="str">
        <x:v>C</x:v>
      </x:c>
      <x:c r="D24" s="33" t="n">
        <x:f>1-'简化64组原始'!I24/'简化64组原始'!I22</x:f>
        <x:v>0.044339757457483975</x:v>
      </x:c>
      <x:c r="E24" s="33" t="n">
        <x:f>IF('简化64组原始'!J22&lt;0.000001,"n.a.",1-'简化64组原始'!J24/'简化64组原始'!J22)</x:f>
        <x:v>0.0033311990934158375</x:v>
      </x:c>
      <x:c r="F24" s="33" t="n">
        <x:f>1-'简化64组原始'!K24/'简化64组原始'!K22</x:f>
        <x:v>0.003991702493253424</x:v>
      </x:c>
      <x:c r="G24" s="33" t="n">
        <x:f>1-10^(-('简化64组原始'!L24-'简化64组原始'!L22)/10)</x:f>
        <x:v>0.005063109306257529</x:v>
      </x:c>
      <x:c r="H24" s="33" t="n">
        <x:f>1-(1-'简化64组原始'!M24)/(1-'简化64组原始'!M22)</x:f>
        <x:v>0.0020654628538055997</x:v>
      </x:c>
    </x:row>
    <x:row r="25" ht="23" customHeight="1">
      <x:c r="A25" s="10" t="str">
        <x:v>M2</x:v>
      </x:c>
      <x:c r="B25" s="39" t="n">
        <x:v>0.125</x:v>
      </x:c>
      <x:c r="C25" s="41" t="str">
        <x:v>D</x:v>
      </x:c>
      <x:c r="D25" s="33" t="n">
        <x:f>1-'简化64组原始'!I25/'简化64组原始'!I22</x:f>
        <x:v>0.14428856171731685</x:v>
      </x:c>
      <x:c r="E25" s="33" t="n">
        <x:f>IF('简化64组原始'!J22&lt;0.000001,"n.a.",1-'简化64组原始'!J25/'简化64组原始'!J22)</x:f>
        <x:v>0.2292332197932333</x:v>
      </x:c>
      <x:c r="F25" s="33" t="n">
        <x:f>1-'简化64组原始'!K25/'简化64组原始'!K22</x:f>
        <x:v>0.030461157337029587</x:v>
      </x:c>
      <x:c r="G25" s="33" t="n">
        <x:f>1-10^(-('简化64组原始'!L25-'简化64组原始'!L22)/10)</x:f>
        <x:v>0.059347082491009506</x:v>
      </x:c>
      <x:c r="H25" s="33" t="n">
        <x:f>1-(1-'简化64组原始'!M25)/(1-'简化64组原始'!M22)</x:f>
        <x:v>0.05935157354967058</x:v>
      </x:c>
    </x:row>
    <x:row r="26" ht="23" customHeight="1">
      <x:c r="A26" s="10" t="str">
        <x:v>M2</x:v>
      </x:c>
      <x:c r="B26" s="39" t="n">
        <x:v>0.25</x:v>
      </x:c>
      <x:c r="C26" s="41" t="str">
        <x:v>A</x:v>
      </x:c>
      <x:c r="D26" s="33" t="n">
        <x:f>1-'简化64组原始'!I26/'简化64组原始'!I26</x:f>
        <x:v>0</x:v>
      </x:c>
      <x:c r="E26" s="33" t="n">
        <x:f>IF('简化64组原始'!J26&lt;0.000001,"n.a.",1-'简化64组原始'!J26/'简化64组原始'!J26)</x:f>
        <x:v>0</x:v>
      </x:c>
      <x:c r="F26" s="33" t="n">
        <x:f>1-'简化64组原始'!K26/'简化64组原始'!K26</x:f>
        <x:v>0</x:v>
      </x:c>
      <x:c r="G26" s="33" t="n">
        <x:f>1-10^(-('简化64组原始'!L26-'简化64组原始'!L26)/10)</x:f>
        <x:v>0</x:v>
      </x:c>
      <x:c r="H26" s="33" t="n">
        <x:f>1-(1-'简化64组原始'!M26)/(1-'简化64组原始'!M26)</x:f>
        <x:v>0</x:v>
      </x:c>
    </x:row>
    <x:row r="27" ht="23" customHeight="1">
      <x:c r="A27" s="10" t="str">
        <x:v>M2</x:v>
      </x:c>
      <x:c r="B27" s="39" t="n">
        <x:v>0.25</x:v>
      </x:c>
      <x:c r="C27" s="41" t="str">
        <x:v>B</x:v>
      </x:c>
      <x:c r="D27" s="33" t="n">
        <x:f>1-'简化64组原始'!I27/'简化64组原始'!I26</x:f>
        <x:v>0.10375595827507944</x:v>
      </x:c>
      <x:c r="E27" s="33" t="n">
        <x:f>IF('简化64组原始'!J26&lt;0.000001,"n.a.",1-'简化64组原始'!J27/'简化64组原始'!J26)</x:f>
        <x:v>0.02204866846764153</x:v>
      </x:c>
      <x:c r="F27" s="33" t="n">
        <x:f>1-'简化64组原始'!K27/'简化64组原始'!K26</x:f>
        <x:v>0.019173051075856873</x:v>
      </x:c>
      <x:c r="G27" s="33" t="n">
        <x:f>1-10^(-('简化64组原始'!L27-'简化64组原始'!L26)/10)</x:f>
        <x:v>0.04022330640864802</x:v>
      </x:c>
      <x:c r="H27" s="33" t="n">
        <x:f>1-(1-'简化64组原始'!M27)/(1-'简化64组原始'!M26)</x:f>
        <x:v>0.01742950147164546</x:v>
      </x:c>
    </x:row>
    <x:row r="28" ht="23" customHeight="1">
      <x:c r="A28" s="10" t="str">
        <x:v>M2</x:v>
      </x:c>
      <x:c r="B28" s="39" t="n">
        <x:v>0.25</x:v>
      </x:c>
      <x:c r="C28" s="41" t="str">
        <x:v>C</x:v>
      </x:c>
      <x:c r="D28" s="33" t="n">
        <x:f>1-'简化64组原始'!I28/'简化64组原始'!I26</x:f>
        <x:v>0.1294105114754378</x:v>
      </x:c>
      <x:c r="E28" s="33" t="n">
        <x:f>IF('简化64组原始'!J26&lt;0.000001,"n.a.",1-'简化64组原始'!J28/'简化64组原始'!J26)</x:f>
        <x:v>0.021109275521412396</x:v>
      </x:c>
      <x:c r="F28" s="33" t="n">
        <x:f>1-'简化64组原始'!K28/'简化64组原始'!K26</x:f>
        <x:v>-0.004837576359626006</x:v>
      </x:c>
      <x:c r="G28" s="33" t="n">
        <x:f>1-10^(-('简化64组原始'!L28-'简化64组原始'!L26)/10)</x:f>
        <x:v>-0.009095514880667288</x:v>
      </x:c>
      <x:c r="H28" s="33" t="n">
        <x:f>1-(1-'简化64组原始'!M28)/(1-'简化64组原始'!M26)</x:f>
        <x:v>0.00564599654816611</x:v>
      </x:c>
    </x:row>
    <x:row r="29" ht="23" customHeight="1">
      <x:c r="A29" s="10" t="str">
        <x:v>M2</x:v>
      </x:c>
      <x:c r="B29" s="39" t="n">
        <x:v>0.25</x:v>
      </x:c>
      <x:c r="C29" s="41" t="str">
        <x:v>D</x:v>
      </x:c>
      <x:c r="D29" s="33" t="n">
        <x:f>1-'简化64组原始'!I29/'简化64组原始'!I26</x:f>
        <x:v>0.12754645578699553</x:v>
      </x:c>
      <x:c r="E29" s="33" t="n">
        <x:f>IF('简化64组原始'!J26&lt;0.000001,"n.a.",1-'简化64组原始'!J29/'简化64组原始'!J26)</x:f>
        <x:v>0.03133798549191835</x:v>
      </x:c>
      <x:c r="F29" s="33" t="n">
        <x:f>1-'简化64组原始'!K29/'简化64组原始'!K26</x:f>
        <x:v>0.020416746722627832</x:v>
      </x:c>
      <x:c r="G29" s="33" t="n">
        <x:f>1-10^(-('简化64组原始'!L29-'简化64组原始'!L26)/10)</x:f>
        <x:v>0.04038882638131813</x:v>
      </x:c>
      <x:c r="H29" s="33" t="n">
        <x:f>1-(1-'简化64组原始'!M29)/(1-'简化64组原始'!M26)</x:f>
        <x:v>0.022415642774647693</x:v>
      </x:c>
    </x:row>
    <x:row r="30" ht="23" customHeight="1">
      <x:c r="A30" s="10" t="str">
        <x:v>M2</x:v>
      </x:c>
      <x:c r="B30" s="39" t="n">
        <x:v>0.5</x:v>
      </x:c>
      <x:c r="C30" s="41" t="str">
        <x:v>A</x:v>
      </x:c>
      <x:c r="D30" s="33" t="n">
        <x:f>1-'简化64组原始'!I30/'简化64组原始'!I30</x:f>
        <x:v>0</x:v>
      </x:c>
      <x:c r="E30" s="33" t="n">
        <x:f>IF('简化64组原始'!J30&lt;0.000001,"n.a.",1-'简化64组原始'!J30/'简化64组原始'!J30)</x:f>
        <x:v>0</x:v>
      </x:c>
      <x:c r="F30" s="33" t="n">
        <x:f>1-'简化64组原始'!K30/'简化64组原始'!K30</x:f>
        <x:v>0</x:v>
      </x:c>
      <x:c r="G30" s="33" t="n">
        <x:f>1-10^(-('简化64组原始'!L30-'简化64组原始'!L30)/10)</x:f>
        <x:v>0</x:v>
      </x:c>
      <x:c r="H30" s="33" t="n">
        <x:f>1-(1-'简化64组原始'!M30)/(1-'简化64组原始'!M30)</x:f>
        <x:v>0</x:v>
      </x:c>
    </x:row>
    <x:row r="31" ht="23" customHeight="1">
      <x:c r="A31" s="10" t="str">
        <x:v>M2</x:v>
      </x:c>
      <x:c r="B31" s="39" t="n">
        <x:v>0.5</x:v>
      </x:c>
      <x:c r="C31" s="41" t="str">
        <x:v>B</x:v>
      </x:c>
      <x:c r="D31" s="33" t="n">
        <x:f>1-'简化64组原始'!I31/'简化64组原始'!I30</x:f>
        <x:v>0.002199436891781703</x:v>
      </x:c>
      <x:c r="E31" s="33" t="n">
        <x:f>IF('简化64组原始'!J30&lt;0.000001,"n.a.",1-'简化64组原始'!J31/'简化64组原始'!J30)</x:f>
        <x:v>0.003762841291270469</x:v>
      </x:c>
      <x:c r="F31" s="33" t="n">
        <x:f>1-'简化64组原始'!K31/'简化64组原始'!K30</x:f>
        <x:v>0.04643967389975845</x:v>
      </x:c>
      <x:c r="G31" s="33" t="n">
        <x:f>1-10^(-('简化64组原始'!L31-'简化64组原始'!L30)/10)</x:f>
        <x:v>0.0957392110958003</x:v>
      </x:c>
      <x:c r="H31" s="33" t="n">
        <x:f>1-(1-'简化64组原始'!M31)/(1-'简化64组原始'!M30)</x:f>
        <x:v>0.07227615306971447</x:v>
      </x:c>
    </x:row>
    <x:row r="32" ht="23" customHeight="1">
      <x:c r="A32" s="10" t="str">
        <x:v>M2</x:v>
      </x:c>
      <x:c r="B32" s="39" t="n">
        <x:v>0.5</x:v>
      </x:c>
      <x:c r="C32" s="41" t="str">
        <x:v>C</x:v>
      </x:c>
      <x:c r="D32" s="33" t="n">
        <x:f>1-'简化64组原始'!I32/'简化64组原始'!I30</x:f>
        <x:v>-0.0015742352924532632</x:v>
      </x:c>
      <x:c r="E32" s="33" t="n">
        <x:f>IF('简化64组原始'!J30&lt;0.000001,"n.a.",1-'简化64组原始'!J32/'简化64组原始'!J30)</x:f>
        <x:v>0.04027625107660815</x:v>
      </x:c>
      <x:c r="F32" s="33" t="n">
        <x:f>1-'简化64组原始'!K32/'简化64组原始'!K30</x:f>
        <x:v>0.00038633430555867765</x:v>
      </x:c>
      <x:c r="G32" s="33" t="n">
        <x:f>1-10^(-('简化64组原始'!L32-'简化64组原始'!L30)/10)</x:f>
        <x:v>0.0005798703372086322</x:v>
      </x:c>
      <x:c r="H32" s="33" t="n">
        <x:f>1-(1-'简化64组原始'!M32)/(1-'简化64组原始'!M30)</x:f>
        <x:v>0.0002003605267445474</x:v>
      </x:c>
    </x:row>
    <x:row r="33" ht="23" customHeight="1">
      <x:c r="A33" s="10" t="str">
        <x:v>M2</x:v>
      </x:c>
      <x:c r="B33" s="39" t="n">
        <x:v>0.5</x:v>
      </x:c>
      <x:c r="C33" s="41" t="str">
        <x:v>D</x:v>
      </x:c>
      <x:c r="D33" s="33" t="n">
        <x:f>1-'简化64组原始'!I33/'简化64组原始'!I30</x:f>
        <x:v>-0.0005071262598201898</x:v>
      </x:c>
      <x:c r="E33" s="33" t="n">
        <x:f>IF('简化64组原始'!J30&lt;0.000001,"n.a.",1-'简化64组原始'!J33/'简化64组原始'!J30)</x:f>
        <x:v>0.045650710083791735</x:v>
      </x:c>
      <x:c r="F33" s="33" t="n">
        <x:f>1-'简化64组原始'!K33/'简化64组原始'!K30</x:f>
        <x:v>0.046264829142122266</x:v>
      </x:c>
      <x:c r="G33" s="33" t="n">
        <x:f>1-10^(-('简化64组原始'!L33-'简化64组原始'!L30)/10)</x:f>
        <x:v>0.09498538600781115</x:v>
      </x:c>
      <x:c r="H33" s="33" t="n">
        <x:f>1-(1-'简化64组原始'!M33)/(1-'简化64组原始'!M30)</x:f>
        <x:v>0.07080214369117654</x:v>
      </x:c>
    </x:row>
    <x:row r="34" ht="23" customHeight="1">
      <x:c r="A34" s="10" t="str">
        <x:v>M2</x:v>
      </x:c>
      <x:c r="B34" s="39" t="n">
        <x:v>0.75</x:v>
      </x:c>
      <x:c r="C34" s="41" t="str">
        <x:v>A</x:v>
      </x:c>
      <x:c r="D34" s="33" t="n">
        <x:f>1-'简化64组原始'!I34/'简化64组原始'!I34</x:f>
        <x:v>0</x:v>
      </x:c>
      <x:c r="E34" s="33" t="str">
        <x:f>IF('简化64组原始'!J34&lt;0.000001,"n.a.",1-'简化64组原始'!J34/'简化64组原始'!J34)</x:f>
        <x:v>n.a.</x:v>
      </x:c>
      <x:c r="F34" s="33" t="n">
        <x:f>1-'简化64组原始'!K34/'简化64组原始'!K34</x:f>
        <x:v>0</x:v>
      </x:c>
      <x:c r="G34" s="33" t="n">
        <x:f>1-10^(-('简化64组原始'!L34-'简化64组原始'!L34)/10)</x:f>
        <x:v>0</x:v>
      </x:c>
      <x:c r="H34" s="33" t="n">
        <x:f>1-(1-'简化64组原始'!M34)/(1-'简化64组原始'!M34)</x:f>
        <x:v>0</x:v>
      </x:c>
    </x:row>
    <x:row r="35" ht="23" customHeight="1">
      <x:c r="A35" s="10" t="str">
        <x:v>M2</x:v>
      </x:c>
      <x:c r="B35" s="39" t="n">
        <x:v>0.75</x:v>
      </x:c>
      <x:c r="C35" s="41" t="str">
        <x:v>B</x:v>
      </x:c>
      <x:c r="D35" s="33" t="n">
        <x:f>1-'简化64组原始'!I35/'简化64组原始'!I34</x:f>
        <x:v>0.76859878575928</x:v>
      </x:c>
      <x:c r="E35" s="33" t="str">
        <x:f>IF('简化64组原始'!J34&lt;0.000001,"n.a.",1-'简化64组原始'!J35/'简化64组原始'!J34)</x:f>
        <x:v>n.a.</x:v>
      </x:c>
      <x:c r="F35" s="33" t="n">
        <x:f>1-'简化64组原始'!K35/'简化64组原始'!K34</x:f>
        <x:v>0.3513659197822784</x:v>
      </x:c>
      <x:c r="G35" s="33" t="n">
        <x:f>1-10^(-('简化64组原始'!L35-'简化64组原始'!L34)/10)</x:f>
        <x:v>0.5999711935838772</x:v>
      </x:c>
      <x:c r="H35" s="33" t="n">
        <x:f>1-(1-'简化64组原始'!M35)/(1-'简化64组原始'!M34)</x:f>
        <x:v>0.46492254208172534</x:v>
      </x:c>
    </x:row>
    <x:row r="36" ht="23" customHeight="1">
      <x:c r="A36" s="10" t="str">
        <x:v>M2</x:v>
      </x:c>
      <x:c r="B36" s="39" t="n">
        <x:v>0.75</x:v>
      </x:c>
      <x:c r="C36" s="41" t="str">
        <x:v>C</x:v>
      </x:c>
      <x:c r="D36" s="33" t="n">
        <x:f>1-'简化64组原始'!I36/'简化64组原始'!I34</x:f>
        <x:v>0.017969103386374363</x:v>
      </x:c>
      <x:c r="E36" s="33" t="str">
        <x:f>IF('简化64组原始'!J34&lt;0.000001,"n.a.",1-'简化64组原始'!J36/'简化64组原始'!J34)</x:f>
        <x:v>n.a.</x:v>
      </x:c>
      <x:c r="F36" s="33" t="n">
        <x:f>1-'简化64组原始'!K36/'简化64组原始'!K34</x:f>
        <x:v>0.0007247191710603174</x:v>
      </x:c>
      <x:c r="G36" s="33" t="n">
        <x:f>1-10^(-('简化64组原始'!L36-'简化64组原始'!L34)/10)</x:f>
        <x:v>-0.0005733396928448986</x:v>
      </x:c>
      <x:c r="H36" s="33" t="n">
        <x:f>1-(1-'简化64组原始'!M36)/(1-'简化64组原始'!M34)</x:f>
        <x:v>-0.00346437299668767</x:v>
      </x:c>
    </x:row>
    <x:row r="37" ht="23" customHeight="1">
      <x:c r="A37" s="10" t="str">
        <x:v>M2</x:v>
      </x:c>
      <x:c r="B37" s="39" t="n">
        <x:v>0.75</x:v>
      </x:c>
      <x:c r="C37" s="41" t="str">
        <x:v>D</x:v>
      </x:c>
      <x:c r="D37" s="33" t="n">
        <x:f>1-'简化64组原始'!I37/'简化64组原始'!I34</x:f>
        <x:v>0.790656164042878</x:v>
      </x:c>
      <x:c r="E37" s="33" t="str">
        <x:f>IF('简化64组原始'!J34&lt;0.000001,"n.a.",1-'简化64组原始'!J37/'简化64组原始'!J34)</x:f>
        <x:v>n.a.</x:v>
      </x:c>
      <x:c r="F37" s="33" t="n">
        <x:f>1-'简化64组原始'!K37/'简化64组原始'!K34</x:f>
        <x:v>0.34969143292325644</x:v>
      </x:c>
      <x:c r="G37" s="33" t="n">
        <x:f>1-10^(-('简化64组原始'!L37-'简化64组原始'!L34)/10)</x:f>
        <x:v>0.5976775114855257</x:v>
      </x:c>
      <x:c r="H37" s="33" t="n">
        <x:f>1-(1-'简化64组原始'!M37)/(1-'简化64组原始'!M34)</x:f>
        <x:v>0.4605015188989734</x:v>
      </x:c>
    </x:row>
    <x:row r="38" ht="23" customHeight="1">
      <x:c r="A38" s="10" t="str">
        <x:v>M3</x:v>
      </x:c>
      <x:c r="B38" s="39" t="n">
        <x:v>0.125</x:v>
      </x:c>
      <x:c r="C38" s="41" t="str">
        <x:v>A</x:v>
      </x:c>
      <x:c r="D38" s="33" t="n">
        <x:f>1-'简化64组原始'!I38/'简化64组原始'!I38</x:f>
        <x:v>0</x:v>
      </x:c>
      <x:c r="E38" s="33" t="n">
        <x:f>IF('简化64组原始'!J38&lt;0.000001,"n.a.",1-'简化64组原始'!J38/'简化64组原始'!J38)</x:f>
        <x:v>0</x:v>
      </x:c>
      <x:c r="F38" s="33" t="n">
        <x:f>1-'简化64组原始'!K38/'简化64组原始'!K38</x:f>
        <x:v>0</x:v>
      </x:c>
      <x:c r="G38" s="33" t="n">
        <x:f>1-10^(-('简化64组原始'!L38-'简化64组原始'!L38)/10)</x:f>
        <x:v>0</x:v>
      </x:c>
      <x:c r="H38" s="33" t="n">
        <x:f>1-(1-'简化64组原始'!M38)/(1-'简化64组原始'!M38)</x:f>
        <x:v>0</x:v>
      </x:c>
    </x:row>
    <x:row r="39" ht="23" customHeight="1">
      <x:c r="A39" s="10" t="str">
        <x:v>M3</x:v>
      </x:c>
      <x:c r="B39" s="39" t="n">
        <x:v>0.125</x:v>
      </x:c>
      <x:c r="C39" s="41" t="str">
        <x:v>B</x:v>
      </x:c>
      <x:c r="D39" s="33" t="n">
        <x:f>1-'简化64组原始'!I39/'简化64组原始'!I38</x:f>
        <x:v>-0.4812407494644939</x:v>
      </x:c>
      <x:c r="E39" s="33" t="n">
        <x:f>IF('简化64组原始'!J38&lt;0.000001,"n.a.",1-'简化64组原始'!J39/'简化64组原始'!J38)</x:f>
        <x:v>0.3809177290641129</x:v>
      </x:c>
      <x:c r="F39" s="33" t="n">
        <x:f>1-'简化64组原始'!K39/'简化64组原始'!K38</x:f>
        <x:v>0.004828032090476886</x:v>
      </x:c>
      <x:c r="G39" s="33" t="n">
        <x:f>1-10^(-('简化64组原始'!L39-'简化64组原始'!L38)/10)</x:f>
        <x:v>0.009866605310326015</x:v>
      </x:c>
      <x:c r="H39" s="33" t="n">
        <x:f>1-(1-'简化64组原始'!M39)/(1-'简化64组原始'!M38)</x:f>
        <x:v>0.0072095553132836</x:v>
      </x:c>
    </x:row>
    <x:row r="40" ht="23" customHeight="1">
      <x:c r="A40" s="10" t="str">
        <x:v>M3</x:v>
      </x:c>
      <x:c r="B40" s="39" t="n">
        <x:v>0.125</x:v>
      </x:c>
      <x:c r="C40" s="41" t="str">
        <x:v>C</x:v>
      </x:c>
      <x:c r="D40" s="33" t="n">
        <x:f>1-'简化64组原始'!I40/'简化64组原始'!I38</x:f>
        <x:v>0.06721125217554136</x:v>
      </x:c>
      <x:c r="E40" s="33" t="n">
        <x:f>IF('简化64组原始'!J38&lt;0.000001,"n.a.",1-'简化64组原始'!J40/'简化64组原始'!J38)</x:f>
        <x:v>0.056654427889853864</x:v>
      </x:c>
      <x:c r="F40" s="33" t="n">
        <x:f>1-'简化64组原始'!K40/'简化64组原始'!K38</x:f>
        <x:v>-0.006060978106976478</x:v>
      </x:c>
      <x:c r="G40" s="33" t="n">
        <x:f>1-10^(-('简化64组原始'!L40-'简化64组原始'!L38)/10)</x:f>
        <x:v>-0.013584365181328772</x:v>
      </x:c>
      <x:c r="H40" s="33" t="n">
        <x:f>1-(1-'简化64组原始'!M40)/(1-'简化64组原始'!M38)</x:f>
        <x:v>-0.010640993076189043</x:v>
      </x:c>
    </x:row>
    <x:row r="41" ht="23" customHeight="1">
      <x:c r="A41" s="10" t="str">
        <x:v>M3</x:v>
      </x:c>
      <x:c r="B41" s="39" t="n">
        <x:v>0.125</x:v>
      </x:c>
      <x:c r="C41" s="41" t="str">
        <x:v>D</x:v>
      </x:c>
      <x:c r="D41" s="33" t="n">
        <x:f>1-'简化64组原始'!I41/'简化64组原始'!I38</x:f>
        <x:v>0.24374240711024253</x:v>
      </x:c>
      <x:c r="E41" s="33" t="n">
        <x:f>IF('简化64组原始'!J38&lt;0.000001,"n.a.",1-'简化64组原始'!J41/'简化64组原始'!J38)</x:f>
        <x:v>0.4483006274174981</x:v>
      </x:c>
      <x:c r="F41" s="33" t="n">
        <x:f>1-'简化64组原始'!K41/'简化64组原始'!K38</x:f>
        <x:v>0.0015738276375097948</x:v>
      </x:c>
      <x:c r="G41" s="33" t="n">
        <x:f>1-10^(-('简化64组原始'!L41-'简化64组原始'!L38)/10)</x:f>
        <x:v>0.003885008906104437</x:v>
      </x:c>
      <x:c r="H41" s="33" t="n">
        <x:f>1-(1-'简化64组原始'!M41)/(1-'简化64组原始'!M38)</x:f>
        <x:v>0.011816065078595783</x:v>
      </x:c>
    </x:row>
    <x:row r="42" ht="23" customHeight="1">
      <x:c r="A42" s="10" t="str">
        <x:v>M3</x:v>
      </x:c>
      <x:c r="B42" s="39" t="n">
        <x:v>0.25</x:v>
      </x:c>
      <x:c r="C42" s="41" t="str">
        <x:v>A</x:v>
      </x:c>
      <x:c r="D42" s="33" t="n">
        <x:f>1-'简化64组原始'!I42/'简化64组原始'!I42</x:f>
        <x:v>0</x:v>
      </x:c>
      <x:c r="E42" s="33" t="n">
        <x:f>IF('简化64组原始'!J42&lt;0.000001,"n.a.",1-'简化64组原始'!J42/'简化64组原始'!J42)</x:f>
        <x:v>0</x:v>
      </x:c>
      <x:c r="F42" s="33" t="n">
        <x:f>1-'简化64组原始'!K42/'简化64组原始'!K42</x:f>
        <x:v>0</x:v>
      </x:c>
      <x:c r="G42" s="33" t="n">
        <x:f>1-10^(-('简化64组原始'!L42-'简化64组原始'!L42)/10)</x:f>
        <x:v>0</x:v>
      </x:c>
      <x:c r="H42" s="33" t="n">
        <x:f>1-(1-'简化64组原始'!M42)/(1-'简化64组原始'!M42)</x:f>
        <x:v>0</x:v>
      </x:c>
    </x:row>
    <x:row r="43" ht="23" customHeight="1">
      <x:c r="A43" s="10" t="str">
        <x:v>M3</x:v>
      </x:c>
      <x:c r="B43" s="39" t="n">
        <x:v>0.25</x:v>
      </x:c>
      <x:c r="C43" s="41" t="str">
        <x:v>B</x:v>
      </x:c>
      <x:c r="D43" s="33" t="n">
        <x:f>1-'简化64组原始'!I43/'简化64组原始'!I42</x:f>
        <x:v>0.1339270443395001</x:v>
      </x:c>
      <x:c r="E43" s="33" t="n">
        <x:f>IF('简化64组原始'!J42&lt;0.000001,"n.a.",1-'简化64组原始'!J43/'简化64组原始'!J42)</x:f>
        <x:v>0.4377126569872003</x:v>
      </x:c>
      <x:c r="F43" s="33" t="n">
        <x:f>1-'简化64组原始'!K43/'简化64组原始'!K42</x:f>
        <x:v>0.003951495212815015</x:v>
      </x:c>
      <x:c r="G43" s="33" t="n">
        <x:f>1-10^(-('简化64组原始'!L43-'简化64组原始'!L42)/10)</x:f>
        <x:v>0.007580338339120085</x:v>
      </x:c>
      <x:c r="H43" s="33" t="n">
        <x:f>1-(1-'简化64组原始'!M43)/(1-'简化64组原始'!M42)</x:f>
        <x:v>0.01560983239039948</x:v>
      </x:c>
    </x:row>
    <x:row r="44" ht="23" customHeight="1">
      <x:c r="A44" s="10" t="str">
        <x:v>M3</x:v>
      </x:c>
      <x:c r="B44" s="39" t="n">
        <x:v>0.25</x:v>
      </x:c>
      <x:c r="C44" s="41" t="str">
        <x:v>C</x:v>
      </x:c>
      <x:c r="D44" s="33" t="n">
        <x:f>1-'简化64组原始'!I44/'简化64组原始'!I42</x:f>
        <x:v>0.18350883057982847</x:v>
      </x:c>
      <x:c r="E44" s="33" t="n">
        <x:f>IF('简化64组原始'!J42&lt;0.000001,"n.a.",1-'简化64组原始'!J44/'简化64组原始'!J42)</x:f>
        <x:v>0.1132028018220429</x:v>
      </x:c>
      <x:c r="F44" s="33" t="n">
        <x:f>1-'简化64组原始'!K44/'简化64组原始'!K42</x:f>
        <x:v>0.00010012352933552737</x:v>
      </x:c>
      <x:c r="G44" s="33" t="n">
        <x:f>1-10^(-('简化64组原始'!L44-'简化64组原始'!L42)/10)</x:f>
        <x:v>0.00009855975004868789</x:v>
      </x:c>
      <x:c r="H44" s="33" t="n">
        <x:f>1-(1-'简化64组原始'!M44)/(1-'简化64组原始'!M42)</x:f>
        <x:v>-0.004745039883669699</x:v>
      </x:c>
    </x:row>
    <x:row r="45" ht="23" customHeight="1">
      <x:c r="A45" s="10" t="str">
        <x:v>M3</x:v>
      </x:c>
      <x:c r="B45" s="39" t="n">
        <x:v>0.25</x:v>
      </x:c>
      <x:c r="C45" s="41" t="str">
        <x:v>D</x:v>
      </x:c>
      <x:c r="D45" s="33" t="n">
        <x:f>1-'简化64组原始'!I45/'简化64组原始'!I42</x:f>
        <x:v>0.30739991378278075</x:v>
      </x:c>
      <x:c r="E45" s="33" t="n">
        <x:f>IF('简化64组原始'!J42&lt;0.000001,"n.a.",1-'简化64组原始'!J45/'简化64组原始'!J42)</x:f>
        <x:v>0.5266608244726374</x:v>
      </x:c>
      <x:c r="F45" s="33" t="n">
        <x:f>1-'简化64组原始'!K45/'简化64组原始'!K42</x:f>
        <x:v>0.0028300323767194158</x:v>
      </x:c>
      <x:c r="G45" s="33" t="n">
        <x:f>1-10^(-('简化64组原始'!L45-'简化64组原始'!L42)/10)</x:f>
        <x:v>0.005248697093911847</x:v>
      </x:c>
      <x:c r="H45" s="33" t="n">
        <x:f>1-(1-'简化64组原始'!M45)/(1-'简化64组原始'!M42)</x:f>
        <x:v>0.009704320262236</x:v>
      </x:c>
    </x:row>
    <x:row r="46" ht="23" customHeight="1">
      <x:c r="A46" s="10" t="str">
        <x:v>M3</x:v>
      </x:c>
      <x:c r="B46" s="39" t="n">
        <x:v>0.5</x:v>
      </x:c>
      <x:c r="C46" s="41" t="str">
        <x:v>A</x:v>
      </x:c>
      <x:c r="D46" s="33" t="n">
        <x:f>1-'简化64组原始'!I46/'简化64组原始'!I46</x:f>
        <x:v>0</x:v>
      </x:c>
      <x:c r="E46" s="33" t="n">
        <x:f>IF('简化64组原始'!J46&lt;0.000001,"n.a.",1-'简化64组原始'!J46/'简化64组原始'!J46)</x:f>
        <x:v>0</x:v>
      </x:c>
      <x:c r="F46" s="33" t="n">
        <x:f>1-'简化64组原始'!K46/'简化64组原始'!K46</x:f>
        <x:v>0</x:v>
      </x:c>
      <x:c r="G46" s="33" t="n">
        <x:f>1-10^(-('简化64组原始'!L46-'简化64组原始'!L46)/10)</x:f>
        <x:v>0</x:v>
      </x:c>
      <x:c r="H46" s="33" t="n">
        <x:f>1-(1-'简化64组原始'!M46)/(1-'简化64组原始'!M46)</x:f>
        <x:v>0</x:v>
      </x:c>
    </x:row>
    <x:row r="47" ht="23" customHeight="1">
      <x:c r="A47" s="10" t="str">
        <x:v>M3</x:v>
      </x:c>
      <x:c r="B47" s="39" t="n">
        <x:v>0.5</x:v>
      </x:c>
      <x:c r="C47" s="41" t="str">
        <x:v>B</x:v>
      </x:c>
      <x:c r="D47" s="33" t="n">
        <x:f>1-'简化64组原始'!I47/'简化64组原始'!I46</x:f>
        <x:v>0.22991822236675985</x:v>
      </x:c>
      <x:c r="E47" s="33" t="n">
        <x:f>IF('简化64组原始'!J46&lt;0.000001,"n.a.",1-'简化64组原始'!J47/'简化64组原始'!J46)</x:f>
        <x:v>0.6215837040816549</x:v>
      </x:c>
      <x:c r="F47" s="33" t="n">
        <x:f>1-'简化64组原始'!K47/'简化64组原始'!K46</x:f>
        <x:v>0.07629286535534252</x:v>
      </x:c>
      <x:c r="G47" s="33" t="n">
        <x:f>1-10^(-('简化64组原始'!L47-'简化64组原始'!L46)/10)</x:f>
        <x:v>0.14411480978593894</x:v>
      </x:c>
      <x:c r="H47" s="33" t="n">
        <x:f>1-(1-'简化64组原始'!M47)/(1-'简化64组原始'!M46)</x:f>
        <x:v>0.10505741548148317</x:v>
      </x:c>
    </x:row>
    <x:row r="48" ht="23" customHeight="1">
      <x:c r="A48" s="10" t="str">
        <x:v>M3</x:v>
      </x:c>
      <x:c r="B48" s="39" t="n">
        <x:v>0.5</x:v>
      </x:c>
      <x:c r="C48" s="41" t="str">
        <x:v>C</x:v>
      </x:c>
      <x:c r="D48" s="33" t="n">
        <x:f>1-'简化64组原始'!I48/'简化64组原始'!I46</x:f>
        <x:v>0.020722277356362118</x:v>
      </x:c>
      <x:c r="E48" s="33" t="n">
        <x:f>IF('简化64组原始'!J46&lt;0.000001,"n.a.",1-'简化64组原始'!J48/'简化64组原始'!J46)</x:f>
        <x:v>0.07582789667480627</x:v>
      </x:c>
      <x:c r="F48" s="33" t="n">
        <x:f>1-'简化64组原始'!K48/'简化64组原始'!K46</x:f>
        <x:v>0.000664993463028285</x:v>
      </x:c>
      <x:c r="G48" s="33" t="n">
        <x:f>1-10^(-('简化64组原始'!L48-'简化64组原始'!L46)/10)</x:f>
        <x:v>0.0013734654040251648</x:v>
      </x:c>
      <x:c r="H48" s="33" t="n">
        <x:f>1-(1-'简化64组原始'!M48)/(1-'简化64组原始'!M46)</x:f>
        <x:v>0.0035078167196940235</x:v>
      </x:c>
    </x:row>
    <x:row r="49" ht="23" customHeight="1">
      <x:c r="A49" s="10" t="str">
        <x:v>M3</x:v>
      </x:c>
      <x:c r="B49" s="39" t="n">
        <x:v>0.5</x:v>
      </x:c>
      <x:c r="C49" s="41" t="str">
        <x:v>D</x:v>
      </x:c>
      <x:c r="D49" s="33" t="n">
        <x:f>1-'简化64组原始'!I49/'简化64组原始'!I46</x:f>
        <x:v>0.2735657697077596</x:v>
      </x:c>
      <x:c r="E49" s="33" t="n">
        <x:f>IF('简化64组原始'!J46&lt;0.000001,"n.a.",1-'简化64组原始'!J49/'简化64组原始'!J46)</x:f>
        <x:v>0.6552295186791723</x:v>
      </x:c>
      <x:c r="F49" s="33" t="n">
        <x:f>1-'简化64组原始'!K49/'简化64组原始'!K46</x:f>
        <x:v>0.0754396890836817</x:v>
      </x:c>
      <x:c r="G49" s="33" t="n">
        <x:f>1-10^(-('简化64组原始'!L49-'简化64组原始'!L46)/10)</x:f>
        <x:v>0.1424841894876412</x:v>
      </x:c>
      <x:c r="H49" s="33" t="n">
        <x:f>1-(1-'简化64组原始'!M49)/(1-'简化64组原始'!M46)</x:f>
        <x:v>0.09172356978513596</x:v>
      </x:c>
    </x:row>
    <x:row r="50" ht="23" customHeight="1">
      <x:c r="A50" s="10" t="str">
        <x:v>M3</x:v>
      </x:c>
      <x:c r="B50" s="39" t="n">
        <x:v>0.75</x:v>
      </x:c>
      <x:c r="C50" s="41" t="str">
        <x:v>A</x:v>
      </x:c>
      <x:c r="D50" s="33" t="n">
        <x:f>1-'简化64组原始'!I50/'简化64组原始'!I50</x:f>
        <x:v>0</x:v>
      </x:c>
      <x:c r="E50" s="33" t="n">
        <x:f>IF('简化64组原始'!J50&lt;0.000001,"n.a.",1-'简化64组原始'!J50/'简化64组原始'!J50)</x:f>
        <x:v>0</x:v>
      </x:c>
      <x:c r="F50" s="33" t="n">
        <x:f>1-'简化64组原始'!K50/'简化64组原始'!K50</x:f>
        <x:v>0</x:v>
      </x:c>
      <x:c r="G50" s="33" t="n">
        <x:f>1-10^(-('简化64组原始'!L50-'简化64组原始'!L50)/10)</x:f>
        <x:v>0</x:v>
      </x:c>
      <x:c r="H50" s="33" t="n">
        <x:f>1-(1-'简化64组原始'!M50)/(1-'简化64组原始'!M50)</x:f>
        <x:v>0</x:v>
      </x:c>
    </x:row>
    <x:row r="51" ht="23" customHeight="1">
      <x:c r="A51" s="10" t="str">
        <x:v>M3</x:v>
      </x:c>
      <x:c r="B51" s="39" t="n">
        <x:v>0.75</x:v>
      </x:c>
      <x:c r="C51" s="41" t="str">
        <x:v>B</x:v>
      </x:c>
      <x:c r="D51" s="33" t="n">
        <x:f>1-'简化64组原始'!I51/'简化64组原始'!I50</x:f>
        <x:v>0.8011298824755186</x:v>
      </x:c>
      <x:c r="E51" s="33" t="n">
        <x:f>IF('简化64组原始'!J50&lt;0.000001,"n.a.",1-'简化64组原始'!J51/'简化64组原始'!J50)</x:f>
        <x:v>1</x:v>
      </x:c>
      <x:c r="F51" s="33" t="n">
        <x:f>1-'简化64组原始'!K51/'简化64组原始'!K50</x:f>
        <x:v>0.41436721822156597</x:v>
      </x:c>
      <x:c r="G51" s="33" t="n">
        <x:f>1-10^(-('简化64组原始'!L51-'简化64组原始'!L50)/10)</x:f>
        <x:v>0.6663081338276959</x:v>
      </x:c>
      <x:c r="H51" s="33" t="n">
        <x:f>1-(1-'简化64组原始'!M51)/(1-'简化64组原始'!M50)</x:f>
        <x:v>0.6707688231629205</x:v>
      </x:c>
    </x:row>
    <x:row r="52" ht="23" customHeight="1">
      <x:c r="A52" s="10" t="str">
        <x:v>M3</x:v>
      </x:c>
      <x:c r="B52" s="39" t="n">
        <x:v>0.75</x:v>
      </x:c>
      <x:c r="C52" s="41" t="str">
        <x:v>C</x:v>
      </x:c>
      <x:c r="D52" s="33" t="n">
        <x:f>1-'简化64组原始'!I52/'简化64组原始'!I50</x:f>
        <x:v>0.02824940102077067</x:v>
      </x:c>
      <x:c r="E52" s="33" t="n">
        <x:f>IF('简化64组原始'!J50&lt;0.000001,"n.a.",1-'简化64组原始'!J52/'简化64组原始'!J50)</x:f>
        <x:v>0.04590402454556286</x:v>
      </x:c>
      <x:c r="F52" s="33" t="n">
        <x:f>1-'简化64组原始'!K52/'简化64组原始'!K50</x:f>
        <x:v>-0.00022559964310864267</x:v>
      </x:c>
      <x:c r="G52" s="33" t="n">
        <x:f>1-10^(-('简化64组原始'!L52-'简化64组原始'!L50)/10)</x:f>
        <x:v>0.002198414526895398</x:v>
      </x:c>
      <x:c r="H52" s="33" t="n">
        <x:f>1-(1-'简化64组原始'!M52)/(1-'简化64组原始'!M50)</x:f>
        <x:v>-0.00637887175138574</x:v>
      </x:c>
    </x:row>
    <x:row r="53" ht="23" customHeight="1">
      <x:c r="A53" s="10" t="str">
        <x:v>M3</x:v>
      </x:c>
      <x:c r="B53" s="39" t="n">
        <x:v>0.75</x:v>
      </x:c>
      <x:c r="C53" s="41" t="str">
        <x:v>D</x:v>
      </x:c>
      <x:c r="D53" s="33" t="n">
        <x:f>1-'简化64组原始'!I53/'简化64组原始'!I50</x:f>
        <x:v>0.8032528604463336</x:v>
      </x:c>
      <x:c r="E53" s="33" t="n">
        <x:f>IF('简化64组原始'!J50&lt;0.000001,"n.a.",1-'简化64组原始'!J53/'简化64组原始'!J50)</x:f>
        <x:v>0.9999884762343504</x:v>
      </x:c>
      <x:c r="F53" s="33" t="n">
        <x:f>1-'简化64组原始'!K53/'简化64组原始'!K50</x:f>
        <x:v>0.4148683053835892</x:v>
      </x:c>
      <x:c r="G53" s="33" t="n">
        <x:f>1-10^(-('简化64组原始'!L53-'简化64组原始'!L50)/10)</x:f>
        <x:v>0.6669934173486033</x:v>
      </x:c>
      <x:c r="H53" s="33" t="n">
        <x:f>1-(1-'简化64组原始'!M53)/(1-'简化64组原始'!M50)</x:f>
        <x:v>0.6717061880109971</x:v>
      </x:c>
    </x:row>
    <x:row r="54" ht="23" customHeight="1">
      <x:c r="A54" s="10" t="str">
        <x:v>M4</x:v>
      </x:c>
      <x:c r="B54" s="39" t="n">
        <x:v>0.125</x:v>
      </x:c>
      <x:c r="C54" s="41" t="str">
        <x:v>A</x:v>
      </x:c>
      <x:c r="D54" s="33" t="n">
        <x:f>1-'简化64组原始'!I54/'简化64组原始'!I54</x:f>
        <x:v>0</x:v>
      </x:c>
      <x:c r="E54" s="33" t="n">
        <x:f>IF('简化64组原始'!J54&lt;0.000001,"n.a.",1-'简化64组原始'!J54/'简化64组原始'!J54)</x:f>
        <x:v>0</x:v>
      </x:c>
      <x:c r="F54" s="33" t="n">
        <x:f>1-'简化64组原始'!K54/'简化64组原始'!K54</x:f>
        <x:v>0</x:v>
      </x:c>
      <x:c r="G54" s="33" t="n">
        <x:f>1-10^(-('简化64组原始'!L54-'简化64组原始'!L54)/10)</x:f>
        <x:v>0</x:v>
      </x:c>
      <x:c r="H54" s="33" t="n">
        <x:f>1-(1-'简化64组原始'!M54)/(1-'简化64组原始'!M54)</x:f>
        <x:v>0</x:v>
      </x:c>
    </x:row>
    <x:row r="55" ht="23" customHeight="1">
      <x:c r="A55" s="10" t="str">
        <x:v>M4</x:v>
      </x:c>
      <x:c r="B55" s="39" t="n">
        <x:v>0.125</x:v>
      </x:c>
      <x:c r="C55" s="41" t="str">
        <x:v>B</x:v>
      </x:c>
      <x:c r="D55" s="33" t="n">
        <x:f>1-'简化64组原始'!I55/'简化64组原始'!I54</x:f>
        <x:v>0.00028090291968063674</x:v>
      </x:c>
      <x:c r="E55" s="33" t="n">
        <x:f>IF('简化64组原始'!J54&lt;0.000001,"n.a.",1-'简化64组原始'!J55/'简化64组原始'!J54)</x:f>
        <x:v>-0.03575072714632199</x:v>
      </x:c>
      <x:c r="F55" s="33" t="n">
        <x:f>1-'简化64组原始'!K55/'简化64组原始'!K54</x:f>
        <x:v>0.013820567480436252</x:v>
      </x:c>
      <x:c r="G55" s="33" t="n">
        <x:f>1-10^(-('简化64组原始'!L55-'简化64组原始'!L54)/10)</x:f>
        <x:v>0.027153130138879655</x:v>
      </x:c>
      <x:c r="H55" s="33" t="n">
        <x:f>1-(1-'简化64组原始'!M55)/(1-'简化64组原始'!M54)</x:f>
        <x:v>0.002572185878022437</x:v>
      </x:c>
    </x:row>
    <x:row r="56" ht="23" customHeight="1">
      <x:c r="A56" s="10" t="str">
        <x:v>M4</x:v>
      </x:c>
      <x:c r="B56" s="39" t="n">
        <x:v>0.125</x:v>
      </x:c>
      <x:c r="C56" s="41" t="str">
        <x:v>C</x:v>
      </x:c>
      <x:c r="D56" s="33" t="n">
        <x:f>1-'简化64组原始'!I56/'简化64组原始'!I54</x:f>
        <x:v>0.012189357124982148</x:v>
      </x:c>
      <x:c r="E56" s="33" t="n">
        <x:f>IF('简化64组原始'!J54&lt;0.000001,"n.a.",1-'简化64组原始'!J56/'简化64组原始'!J54)</x:f>
        <x:v>0.02493110211908245</x:v>
      </x:c>
      <x:c r="F56" s="33" t="n">
        <x:f>1-'简化64组原始'!K56/'简化64组原始'!K54</x:f>
        <x:v>-0.00033132702999005836</x:v>
      </x:c>
      <x:c r="G56" s="33" t="n">
        <x:f>1-10^(-('简化64组原始'!L56-'简化64组原始'!L54)/10)</x:f>
        <x:v>-0.0005565020193072368</x:v>
      </x:c>
      <x:c r="H56" s="33" t="n">
        <x:f>1-(1-'简化64组原始'!M56)/(1-'简化64组原始'!M54)</x:f>
        <x:v>-0.007924610538831312</x:v>
      </x:c>
    </x:row>
    <x:row r="57" ht="23" customHeight="1">
      <x:c r="A57" s="10" t="str">
        <x:v>M4</x:v>
      </x:c>
      <x:c r="B57" s="39" t="n">
        <x:v>0.125</x:v>
      </x:c>
      <x:c r="C57" s="41" t="str">
        <x:v>D</x:v>
      </x:c>
      <x:c r="D57" s="33" t="n">
        <x:f>1-'简化64组原始'!I57/'简化64组原始'!I54</x:f>
        <x:v>0.025765502620864522</x:v>
      </x:c>
      <x:c r="E57" s="33" t="n">
        <x:f>IF('简化64组原始'!J54&lt;0.000001,"n.a.",1-'简化64组原始'!J57/'简化64组原始'!J54)</x:f>
        <x:v>0.023652824167145536</x:v>
      </x:c>
      <x:c r="F57" s="33" t="n">
        <x:f>1-'简化64组原始'!K57/'简化64组原始'!K54</x:f>
        <x:v>0.015962100974119098</x:v>
      </x:c>
      <x:c r="G57" s="33" t="n">
        <x:f>1-10^(-('简化64组原始'!L57-'简化64组原始'!L54)/10)</x:f>
        <x:v>0.030878194795544545</x:v>
      </x:c>
      <x:c r="H57" s="33" t="n">
        <x:f>1-(1-'简化64组原始'!M57)/(1-'简化64组原始'!M54)</x:f>
        <x:v>-0.00790930275715862</x:v>
      </x:c>
    </x:row>
    <x:row r="58" ht="23" customHeight="1">
      <x:c r="A58" s="10" t="str">
        <x:v>M4</x:v>
      </x:c>
      <x:c r="B58" s="39" t="n">
        <x:v>0.25</x:v>
      </x:c>
      <x:c r="C58" s="41" t="str">
        <x:v>A</x:v>
      </x:c>
      <x:c r="D58" s="33" t="n">
        <x:f>1-'简化64组原始'!I58/'简化64组原始'!I58</x:f>
        <x:v>0</x:v>
      </x:c>
      <x:c r="E58" s="33" t="n">
        <x:f>IF('简化64组原始'!J58&lt;0.000001,"n.a.",1-'简化64组原始'!J58/'简化64组原始'!J58)</x:f>
        <x:v>0</x:v>
      </x:c>
      <x:c r="F58" s="33" t="n">
        <x:f>1-'简化64组原始'!K58/'简化64组原始'!K58</x:f>
        <x:v>0</x:v>
      </x:c>
      <x:c r="G58" s="33" t="n">
        <x:f>1-10^(-('简化64组原始'!L58-'简化64组原始'!L58)/10)</x:f>
        <x:v>0</x:v>
      </x:c>
      <x:c r="H58" s="33" t="n">
        <x:f>1-(1-'简化64组原始'!M58)/(1-'简化64组原始'!M58)</x:f>
        <x:v>0</x:v>
      </x:c>
    </x:row>
    <x:row r="59" ht="23" customHeight="1">
      <x:c r="A59" s="10" t="str">
        <x:v>M4</x:v>
      </x:c>
      <x:c r="B59" s="39" t="n">
        <x:v>0.25</x:v>
      </x:c>
      <x:c r="C59" s="41" t="str">
        <x:v>B</x:v>
      </x:c>
      <x:c r="D59" s="33" t="n">
        <x:f>1-'简化64组原始'!I59/'简化64组原始'!I58</x:f>
        <x:v>-0.007976379020011137</x:v>
      </x:c>
      <x:c r="E59" s="33" t="n">
        <x:f>IF('简化64组原始'!J58&lt;0.000001,"n.a.",1-'简化64组原始'!J59/'简化64组原始'!J58)</x:f>
        <x:v>0.05488001122094566</x:v>
      </x:c>
      <x:c r="F59" s="33" t="n">
        <x:f>1-'简化64组原始'!K59/'简化64组原始'!K58</x:f>
        <x:v>0.017250057241313788</x:v>
      </x:c>
      <x:c r="G59" s="33" t="n">
        <x:f>1-10^(-('简化64组原始'!L59-'简化64组原始'!L58)/10)</x:f>
        <x:v>0.03245353167603049</x:v>
      </x:c>
      <x:c r="H59" s="33" t="n">
        <x:f>1-(1-'简化64组原始'!M59)/(1-'简化64组原始'!M58)</x:f>
        <x:v>0.010018527760495055</x:v>
      </x:c>
    </x:row>
    <x:row r="60" ht="23" customHeight="1">
      <x:c r="A60" s="10" t="str">
        <x:v>M4</x:v>
      </x:c>
      <x:c r="B60" s="39" t="n">
        <x:v>0.25</x:v>
      </x:c>
      <x:c r="C60" s="41" t="str">
        <x:v>C</x:v>
      </x:c>
      <x:c r="D60" s="33" t="n">
        <x:f>1-'简化64组原始'!I60/'简化64组原始'!I58</x:f>
        <x:v>0.018137360986223983</x:v>
      </x:c>
      <x:c r="E60" s="33" t="n">
        <x:f>IF('简化64组原始'!J58&lt;0.000001,"n.a.",1-'简化64组原始'!J60/'简化64组原始'!J58)</x:f>
        <x:v>0.022202282550561336</x:v>
      </x:c>
      <x:c r="F60" s="33" t="n">
        <x:f>1-'简化64组原始'!K60/'简化64组原始'!K58</x:f>
        <x:v>0.00441785149341678</x:v>
      </x:c>
      <x:c r="G60" s="33" t="n">
        <x:f>1-10^(-('简化64组原始'!L60-'简化64组原始'!L58)/10)</x:f>
        <x:v>0.008587373107876717</x:v>
      </x:c>
      <x:c r="H60" s="33" t="n">
        <x:f>1-(1-'简化64组原始'!M60)/(1-'简化64组原始'!M58)</x:f>
        <x:v>0.002441857695029581</x:v>
      </x:c>
    </x:row>
    <x:row r="61" ht="23" customHeight="1">
      <x:c r="A61" s="10" t="str">
        <x:v>M4</x:v>
      </x:c>
      <x:c r="B61" s="39" t="n">
        <x:v>0.25</x:v>
      </x:c>
      <x:c r="C61" s="41" t="str">
        <x:v>D</x:v>
      </x:c>
      <x:c r="D61" s="33" t="n">
        <x:f>1-'简化64组原始'!I61/'简化64组原始'!I58</x:f>
        <x:v>0.02607121449470784</x:v>
      </x:c>
      <x:c r="E61" s="33" t="n">
        <x:f>IF('简化64组原始'!J58&lt;0.000001,"n.a.",1-'简化64组原始'!J61/'简化64组原始'!J58)</x:f>
        <x:v>0.07527489017365607</x:v>
      </x:c>
      <x:c r="F61" s="33" t="n">
        <x:f>1-'简化64组原始'!K61/'简化64组原始'!K58</x:f>
        <x:v>0.02077772390668342</x:v>
      </x:c>
      <x:c r="G61" s="33" t="n">
        <x:f>1-10^(-('简化64组原始'!L61-'简化64组原始'!L58)/10)</x:f>
        <x:v>0.03938402224027637</x:v>
      </x:c>
      <x:c r="H61" s="33" t="n">
        <x:f>1-(1-'简化64组原始'!M61)/(1-'简化64组原始'!M58)</x:f>
        <x:v>0.008917772735619</x:v>
      </x:c>
    </x:row>
    <x:row r="62" ht="23" customHeight="1">
      <x:c r="A62" s="10" t="str">
        <x:v>M4</x:v>
      </x:c>
      <x:c r="B62" s="39" t="n">
        <x:v>0.5</x:v>
      </x:c>
      <x:c r="C62" s="41" t="str">
        <x:v>A</x:v>
      </x:c>
      <x:c r="D62" s="33" t="n">
        <x:f>1-'简化64组原始'!I62/'简化64组原始'!I62</x:f>
        <x:v>0</x:v>
      </x:c>
      <x:c r="E62" s="33" t="n">
        <x:f>IF('简化64组原始'!J62&lt;0.000001,"n.a.",1-'简化64组原始'!J62/'简化64组原始'!J62)</x:f>
        <x:v>0</x:v>
      </x:c>
      <x:c r="F62" s="33" t="n">
        <x:f>1-'简化64组原始'!K62/'简化64组原始'!K62</x:f>
        <x:v>0</x:v>
      </x:c>
      <x:c r="G62" s="33" t="n">
        <x:f>1-10^(-('简化64组原始'!L62-'简化64组原始'!L62)/10)</x:f>
        <x:v>0</x:v>
      </x:c>
      <x:c r="H62" s="33" t="n">
        <x:f>1-(1-'简化64组原始'!M62)/(1-'简化64组原始'!M62)</x:f>
        <x:v>0</x:v>
      </x:c>
    </x:row>
    <x:row r="63" ht="23" customHeight="1">
      <x:c r="A63" s="10" t="str">
        <x:v>M4</x:v>
      </x:c>
      <x:c r="B63" s="39" t="n">
        <x:v>0.5</x:v>
      </x:c>
      <x:c r="C63" s="41" t="str">
        <x:v>B</x:v>
      </x:c>
      <x:c r="D63" s="33" t="n">
        <x:f>1-'简化64组原始'!I63/'简化64组原始'!I62</x:f>
        <x:v>0.00879698504461135</x:v>
      </x:c>
      <x:c r="E63" s="33" t="n">
        <x:f>IF('简化64组原始'!J62&lt;0.000001,"n.a.",1-'简化64组原始'!J63/'简化64组原始'!J62)</x:f>
        <x:v>0.1963353982198054</x:v>
      </x:c>
      <x:c r="F63" s="33" t="n">
        <x:f>1-'简化64组原始'!K63/'简化64组原始'!K62</x:f>
        <x:v>0.0924773106342377</x:v>
      </x:c>
      <x:c r="G63" s="33" t="n">
        <x:f>1-10^(-('简化64组原始'!L63-'简化64组原始'!L62)/10)</x:f>
        <x:v>0.16714010387137612</x:v>
      </x:c>
      <x:c r="H63" s="33" t="n">
        <x:f>1-(1-'简化64组原始'!M63)/(1-'简化64组原始'!M62)</x:f>
        <x:v>0.10905233560998595</x:v>
      </x:c>
    </x:row>
    <x:row r="64" ht="23" customHeight="1">
      <x:c r="A64" s="10" t="str">
        <x:v>M4</x:v>
      </x:c>
      <x:c r="B64" s="39" t="n">
        <x:v>0.5</x:v>
      </x:c>
      <x:c r="C64" s="41" t="str">
        <x:v>C</x:v>
      </x:c>
      <x:c r="D64" s="33" t="n">
        <x:f>1-'简化64组原始'!I64/'简化64组原始'!I62</x:f>
        <x:v>0.014650446471039968</x:v>
      </x:c>
      <x:c r="E64" s="33" t="n">
        <x:f>IF('简化64组原始'!J62&lt;0.000001,"n.a.",1-'简化64组原始'!J64/'简化64组原始'!J62)</x:f>
        <x:v>-0.016687762627247915</x:v>
      </x:c>
      <x:c r="F64" s="33" t="n">
        <x:f>1-'简化64组原始'!K64/'简化64组原始'!K62</x:f>
        <x:v>-0.0007964523892969311</x:v>
      </x:c>
      <x:c r="G64" s="33" t="n">
        <x:f>1-10^(-('简化64组原始'!L64-'简化64组原始'!L62)/10)</x:f>
        <x:v>-0.0013641926516274605</x:v>
      </x:c>
      <x:c r="H64" s="33" t="n">
        <x:f>1-(1-'简化64组原始'!M64)/(1-'简化64组原始'!M62)</x:f>
        <x:v>-0.0009278384722171129</x:v>
      </x:c>
    </x:row>
    <x:row r="65" ht="23" customHeight="1">
      <x:c r="A65" s="10" t="str">
        <x:v>M4</x:v>
      </x:c>
      <x:c r="B65" s="39" t="n">
        <x:v>0.5</x:v>
      </x:c>
      <x:c r="C65" s="41" t="str">
        <x:v>D</x:v>
      </x:c>
      <x:c r="D65" s="33" t="n">
        <x:f>1-'简化64组原始'!I65/'简化64组原始'!I62</x:f>
        <x:v>0.017933601865394277</x:v>
      </x:c>
      <x:c r="E65" s="33" t="n">
        <x:f>IF('简化64组原始'!J62&lt;0.000001,"n.a.",1-'简化64组原始'!J65/'简化64组原始'!J62)</x:f>
        <x:v>0.32716257902108836</x:v>
      </x:c>
      <x:c r="F65" s="33" t="n">
        <x:f>1-'简化64组原始'!K65/'简化64组原始'!K62</x:f>
        <x:v>0.09130148252640435</x:v>
      </x:c>
      <x:c r="G65" s="33" t="n">
        <x:f>1-10^(-('简化64组原始'!L65-'简化64组原始'!L62)/10)</x:f>
        <x:v>0.16511716160203926</x:v>
      </x:c>
      <x:c r="H65" s="33" t="n">
        <x:f>1-(1-'简化64组原始'!M65)/(1-'简化64组原始'!M62)</x:f>
        <x:v>0.10677476864780133</x:v>
      </x:c>
    </x:row>
    <x:row r="66" ht="23" customHeight="1">
      <x:c r="A66" s="10" t="str">
        <x:v>M4</x:v>
      </x:c>
      <x:c r="B66" s="39" t="n">
        <x:v>0.75</x:v>
      </x:c>
      <x:c r="C66" s="41" t="str">
        <x:v>A</x:v>
      </x:c>
      <x:c r="D66" s="33" t="n">
        <x:f>1-'简化64组原始'!I66/'简化64组原始'!I66</x:f>
        <x:v>0</x:v>
      </x:c>
      <x:c r="E66" s="33" t="str">
        <x:f>IF('简化64组原始'!J66&lt;0.000001,"n.a.",1-'简化64组原始'!J66/'简化64组原始'!J66)</x:f>
        <x:v>n.a.</x:v>
      </x:c>
      <x:c r="F66" s="33" t="n">
        <x:f>1-'简化64组原始'!K66/'简化64组原始'!K66</x:f>
        <x:v>0</x:v>
      </x:c>
      <x:c r="G66" s="33" t="n">
        <x:f>1-10^(-('简化64组原始'!L66-'简化64组原始'!L66)/10)</x:f>
        <x:v>0</x:v>
      </x:c>
      <x:c r="H66" s="33" t="n">
        <x:f>1-(1-'简化64组原始'!M66)/(1-'简化64组原始'!M66)</x:f>
        <x:v>0</x:v>
      </x:c>
    </x:row>
    <x:row r="67" ht="23" customHeight="1">
      <x:c r="A67" s="10" t="str">
        <x:v>M4</x:v>
      </x:c>
      <x:c r="B67" s="39" t="n">
        <x:v>0.75</x:v>
      </x:c>
      <x:c r="C67" s="41" t="str">
        <x:v>B</x:v>
      </x:c>
      <x:c r="D67" s="33" t="n">
        <x:f>1-'简化64组原始'!I67/'简化64组原始'!I66</x:f>
        <x:v>0.8517560054842828</x:v>
      </x:c>
      <x:c r="E67" s="33" t="str">
        <x:f>IF('简化64组原始'!J66&lt;0.000001,"n.a.",1-'简化64组原始'!J67/'简化64组原始'!J66)</x:f>
        <x:v>n.a.</x:v>
      </x:c>
      <x:c r="F67" s="33" t="n">
        <x:f>1-'简化64组原始'!K67/'简化64组原始'!K66</x:f>
        <x:v>0.31465099073425973</x:v>
      </x:c>
      <x:c r="G67" s="33" t="n">
        <x:f>1-10^(-('简化64组原始'!L67-'简化64组原始'!L66)/10)</x:f>
        <x:v>0.4937847812309759</x:v>
      </x:c>
      <x:c r="H67" s="33" t="n">
        <x:f>1-(1-'简化64组原始'!M67)/(1-'简化64组原始'!M66)</x:f>
        <x:v>0.4363709821611115</x:v>
      </x:c>
    </x:row>
    <x:row r="68" ht="23" customHeight="1">
      <x:c r="A68" s="10" t="str">
        <x:v>M4</x:v>
      </x:c>
      <x:c r="B68" s="39" t="n">
        <x:v>0.75</x:v>
      </x:c>
      <x:c r="C68" s="41" t="str">
        <x:v>C</x:v>
      </x:c>
      <x:c r="D68" s="33" t="n">
        <x:f>1-'简化64组原始'!I68/'简化64组原始'!I66</x:f>
        <x:v>-0.007494494624361581</x:v>
      </x:c>
      <x:c r="E68" s="33" t="str">
        <x:f>IF('简化64组原始'!J66&lt;0.000001,"n.a.",1-'简化64组原始'!J68/'简化64组原始'!J66)</x:f>
        <x:v>n.a.</x:v>
      </x:c>
      <x:c r="F68" s="33" t="n">
        <x:f>1-'简化64组原始'!K68/'简化64组原始'!K66</x:f>
        <x:v>0.012433753902474587</x:v>
      </x:c>
      <x:c r="G68" s="33" t="n">
        <x:f>1-10^(-('简化64组原始'!L68-'简化64组原始'!L66)/10)</x:f>
        <x:v>0.022269487506349384</x:v>
      </x:c>
      <x:c r="H68" s="33" t="n">
        <x:f>1-(1-'简化64组原始'!M68)/(1-'简化64组原始'!M66)</x:f>
        <x:v>0.024087604847029542</x:v>
      </x:c>
    </x:row>
    <x:row r="69" ht="23" customHeight="1">
      <x:c r="A69" s="10" t="str">
        <x:v>M4</x:v>
      </x:c>
      <x:c r="B69" s="39" t="n">
        <x:v>0.75</x:v>
      </x:c>
      <x:c r="C69" s="41" t="str">
        <x:v>D</x:v>
      </x:c>
      <x:c r="D69" s="33" t="n">
        <x:f>1-'简化64组原始'!I69/'简化64组原始'!I66</x:f>
        <x:v>0.8565221727195468</x:v>
      </x:c>
      <x:c r="E69" s="33" t="str">
        <x:f>IF('简化64组原始'!J66&lt;0.000001,"n.a.",1-'简化64组原始'!J69/'简化64组原始'!J66)</x:f>
        <x:v>n.a.</x:v>
      </x:c>
      <x:c r="F69" s="33" t="n">
        <x:f>1-'简化64组原始'!K69/'简化64组原始'!K66</x:f>
        <x:v>0.31490210625788484</x:v>
      </x:c>
      <x:c r="G69" s="33" t="n">
        <x:f>1-10^(-('简化64组原始'!L69-'简化64组原始'!L66)/10)</x:f>
        <x:v>0.4943227102841621</x:v>
      </x:c>
      <x:c r="H69" s="33" t="n">
        <x:f>1-(1-'简化64组原始'!M69)/(1-'简化64组原始'!M66)</x:f>
        <x:v>0.43781362562336934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</x:cols>
  <x:sheetData>
    <x:row r="2">
      <x:c r="A2" s="3" t="str">
        <x:v>表5-8最佳单模型改善率</x:v>
      </x:c>
      <x:c r="B2" s="3"/>
      <x:c r="C2" s="3"/>
      <x:c r="D2" s="3"/>
      <x:c r="E2" s="3"/>
      <x:c r="F2" s="3"/>
      <x:c r="G2" s="3"/>
    </x:row>
    <x:row r="3">
      <x:c r="A3" s="4" t="str">
        <x:v>每项最大值可能来自不同模型；75%下P95仅M1、M3纳入最大值，M2、M4近零基准不参与。100%为舍入结果。</x:v>
      </x:c>
      <x:c r="B3" s="4"/>
      <x:c r="C3" s="4"/>
      <x:c r="D3" s="4"/>
      <x:c r="E3" s="4"/>
      <x:c r="F3" s="4"/>
      <x:c r="G3" s="4"/>
    </x:row>
    <x:row r="4">
      <x:c r="A4" s="1"/>
      <x:c r="B4" s="1"/>
      <x:c r="C4" s="1"/>
      <x:c r="D4" s="1"/>
      <x:c r="E4" s="1"/>
      <x:c r="F4" s="1"/>
      <x:c r="G4" s="1"/>
    </x:row>
    <x:row r="5" ht="37" customHeight="1">
      <x:c r="A5" s="9" t="str">
        <x:v>保留率</x:v>
      </x:c>
      <x:c r="B5" s="9" t="str">
        <x:v>策略</x:v>
      </x:c>
      <x:c r="C5" s="9" t="str">
        <x:v>RMS降低率</x:v>
      </x:c>
      <x:c r="D5" s="9" t="str">
        <x:v>P95降低率</x:v>
      </x:c>
      <x:c r="E5" s="9" t="str">
        <x:v>RMSE降低率</x:v>
      </x:c>
      <x:c r="F5" s="9" t="str">
        <x:v>对应MSE降低率</x:v>
      </x:c>
      <x:c r="G5" s="9" t="str">
        <x:v>SSIM失真降低率</x:v>
      </x:c>
    </x:row>
    <x:row r="6" ht="23" customHeight="1">
      <x:c r="A6" s="39" t="n">
        <x:v>0.125</x:v>
      </x:c>
      <x:c r="B6" s="41" t="str">
        <x:v>A</x:v>
      </x:c>
      <x:c r="C6" s="33" t="n">
        <x:f>MAX('相对A改善'!D6,'相对A改善'!D22,'相对A改善'!D38,'相对A改善'!D54)</x:f>
        <x:v>0</x:v>
      </x:c>
      <x:c r="D6" s="33" t="n">
        <x:f>MAX('相对A改善'!E6,'相对A改善'!E22,'相对A改善'!E38,'相对A改善'!E54)</x:f>
        <x:v>0</x:v>
      </x:c>
      <x:c r="E6" s="33" t="n">
        <x:f>MAX('相对A改善'!F6,'相对A改善'!F22,'相对A改善'!F38,'相对A改善'!F54)</x:f>
        <x:v>0</x:v>
      </x:c>
      <x:c r="F6" s="33" t="n">
        <x:f>MAX('相对A改善'!G6,'相对A改善'!G22,'相对A改善'!G38,'相对A改善'!G54)</x:f>
        <x:v>0</x:v>
      </x:c>
      <x:c r="G6" s="33" t="n">
        <x:f>MAX('相对A改善'!H6,'相对A改善'!H22,'相对A改善'!H38,'相对A改善'!H54)</x:f>
        <x:v>0</x:v>
      </x:c>
    </x:row>
    <x:row r="7" ht="23" customHeight="1">
      <x:c r="A7" s="39" t="n">
        <x:v>0.125</x:v>
      </x:c>
      <x:c r="B7" s="41" t="str">
        <x:v>B</x:v>
      </x:c>
      <x:c r="C7" s="33" t="n">
        <x:f>MAX('相对A改善'!D7,'相对A改善'!D23,'相对A改善'!D39,'相对A改善'!D55)</x:f>
        <x:v>0.2016209891132119</x:v>
      </x:c>
      <x:c r="D7" s="33" t="n">
        <x:f>MAX('相对A改善'!E7,'相对A改善'!E23,'相对A改善'!E39,'相对A改善'!E55)</x:f>
        <x:v>0.3809177290641129</x:v>
      </x:c>
      <x:c r="E7" s="33" t="n">
        <x:f>MAX('相对A改善'!F7,'相对A改善'!F23,'相对A改善'!F39,'相对A改善'!F55)</x:f>
        <x:v>0.013820567480436252</x:v>
      </x:c>
      <x:c r="F7" s="33" t="n">
        <x:f>MAX('相对A改善'!G7,'相对A改善'!G23,'相对A改善'!G39,'相对A改善'!G55)</x:f>
        <x:v>0.027153130138879655</x:v>
      </x:c>
      <x:c r="G7" s="33" t="n">
        <x:f>MAX('相对A改善'!H7,'相对A改善'!H23,'相对A改善'!H39,'相对A改善'!H55)</x:f>
        <x:v>0.0072095553132836</x:v>
      </x:c>
    </x:row>
    <x:row r="8" ht="23" customHeight="1">
      <x:c r="A8" s="39" t="n">
        <x:v>0.125</x:v>
      </x:c>
      <x:c r="B8" s="41" t="str">
        <x:v>C</x:v>
      </x:c>
      <x:c r="C8" s="33" t="n">
        <x:f>MAX('相对A改善'!D8,'相对A改善'!D24,'相对A改善'!D40,'相对A改善'!D56)</x:f>
        <x:v>0.06721125217554136</x:v>
      </x:c>
      <x:c r="D8" s="33" t="n">
        <x:f>MAX('相对A改善'!E8,'相对A改善'!E24,'相对A改善'!E40,'相对A改善'!E56)</x:f>
        <x:v>0.056654427889853864</x:v>
      </x:c>
      <x:c r="E8" s="33" t="n">
        <x:f>MAX('相对A改善'!F8,'相对A改善'!F24,'相对A改善'!F40,'相对A改善'!F56)</x:f>
        <x:v>0.003991702493253424</x:v>
      </x:c>
      <x:c r="F8" s="33" t="n">
        <x:f>MAX('相对A改善'!G8,'相对A改善'!G24,'相对A改善'!G40,'相对A改善'!G56)</x:f>
        <x:v>0.005063109306257529</x:v>
      </x:c>
      <x:c r="G8" s="33" t="n">
        <x:f>MAX('相对A改善'!H8,'相对A改善'!H24,'相对A改善'!H40,'相对A改善'!H56)</x:f>
        <x:v>0.0020654628538055997</x:v>
      </x:c>
    </x:row>
    <x:row r="9" ht="23" customHeight="1">
      <x:c r="A9" s="39" t="n">
        <x:v>0.125</x:v>
      </x:c>
      <x:c r="B9" s="41" t="str">
        <x:v>D</x:v>
      </x:c>
      <x:c r="C9" s="33" t="n">
        <x:f>MAX('相对A改善'!D9,'相对A改善'!D25,'相对A改善'!D41,'相对A改善'!D57)</x:f>
        <x:v>0.24374240711024253</x:v>
      </x:c>
      <x:c r="D9" s="33" t="n">
        <x:f>MAX('相对A改善'!E9,'相对A改善'!E25,'相对A改善'!E41,'相对A改善'!E57)</x:f>
        <x:v>0.4483006274174981</x:v>
      </x:c>
      <x:c r="E9" s="33" t="n">
        <x:f>MAX('相对A改善'!F9,'相对A改善'!F25,'相对A改善'!F41,'相对A改善'!F57)</x:f>
        <x:v>0.030461157337029587</x:v>
      </x:c>
      <x:c r="F9" s="33" t="n">
        <x:f>MAX('相对A改善'!G9,'相对A改善'!G25,'相对A改善'!G41,'相对A改善'!G57)</x:f>
        <x:v>0.059347082491009506</x:v>
      </x:c>
      <x:c r="G9" s="33" t="n">
        <x:f>MAX('相对A改善'!H9,'相对A改善'!H25,'相对A改善'!H41,'相对A改善'!H57)</x:f>
        <x:v>0.05935157354967058</x:v>
      </x:c>
    </x:row>
    <x:row r="10" ht="23" customHeight="1">
      <x:c r="A10" s="39" t="n">
        <x:v>0.25</x:v>
      </x:c>
      <x:c r="B10" s="41" t="str">
        <x:v>A</x:v>
      </x:c>
      <x:c r="C10" s="33" t="n">
        <x:f>MAX('相对A改善'!D10,'相对A改善'!D26,'相对A改善'!D42,'相对A改善'!D58)</x:f>
        <x:v>0</x:v>
      </x:c>
      <x:c r="D10" s="33" t="n">
        <x:f>MAX('相对A改善'!E10,'相对A改善'!E26,'相对A改善'!E42,'相对A改善'!E58)</x:f>
        <x:v>0</x:v>
      </x:c>
      <x:c r="E10" s="33" t="n">
        <x:f>MAX('相对A改善'!F10,'相对A改善'!F26,'相对A改善'!F42,'相对A改善'!F58)</x:f>
        <x:v>0</x:v>
      </x:c>
      <x:c r="F10" s="33" t="n">
        <x:f>MAX('相对A改善'!G10,'相对A改善'!G26,'相对A改善'!G42,'相对A改善'!G58)</x:f>
        <x:v>0</x:v>
      </x:c>
      <x:c r="G10" s="33" t="n">
        <x:f>MAX('相对A改善'!H10,'相对A改善'!H26,'相对A改善'!H42,'相对A改善'!H58)</x:f>
        <x:v>0</x:v>
      </x:c>
    </x:row>
    <x:row r="11" ht="23" customHeight="1">
      <x:c r="A11" s="39" t="n">
        <x:v>0.25</x:v>
      </x:c>
      <x:c r="B11" s="41" t="str">
        <x:v>B</x:v>
      </x:c>
      <x:c r="C11" s="33" t="n">
        <x:f>MAX('相对A改善'!D11,'相对A改善'!D27,'相对A改善'!D43,'相对A改善'!D59)</x:f>
        <x:v>0.1339270443395001</x:v>
      </x:c>
      <x:c r="D11" s="33" t="n">
        <x:f>MAX('相对A改善'!E11,'相对A改善'!E27,'相对A改善'!E43,'相对A改善'!E59)</x:f>
        <x:v>0.4377126569872003</x:v>
      </x:c>
      <x:c r="E11" s="33" t="n">
        <x:f>MAX('相对A改善'!F11,'相对A改善'!F27,'相对A改善'!F43,'相对A改善'!F59)</x:f>
        <x:v>0.019173051075856873</x:v>
      </x:c>
      <x:c r="F11" s="33" t="n">
        <x:f>MAX('相对A改善'!G11,'相对A改善'!G27,'相对A改善'!G43,'相对A改善'!G59)</x:f>
        <x:v>0.04022330640864802</x:v>
      </x:c>
      <x:c r="G11" s="33" t="n">
        <x:f>MAX('相对A改善'!H11,'相对A改善'!H27,'相对A改善'!H43,'相对A改善'!H59)</x:f>
        <x:v>0.01742950147164546</x:v>
      </x:c>
    </x:row>
    <x:row r="12" ht="23" customHeight="1">
      <x:c r="A12" s="39" t="n">
        <x:v>0.25</x:v>
      </x:c>
      <x:c r="B12" s="41" t="str">
        <x:v>C</x:v>
      </x:c>
      <x:c r="C12" s="33" t="n">
        <x:f>MAX('相对A改善'!D12,'相对A改善'!D28,'相对A改善'!D44,'相对A改善'!D60)</x:f>
        <x:v>0.18350883057982847</x:v>
      </x:c>
      <x:c r="D12" s="33" t="n">
        <x:f>MAX('相对A改善'!E12,'相对A改善'!E28,'相对A改善'!E44,'相对A改善'!E60)</x:f>
        <x:v>0.1132028018220429</x:v>
      </x:c>
      <x:c r="E12" s="33" t="n">
        <x:f>MAX('相对A改善'!F12,'相对A改善'!F28,'相对A改善'!F44,'相对A改善'!F60)</x:f>
        <x:v>0.00441785149341678</x:v>
      </x:c>
      <x:c r="F12" s="33" t="n">
        <x:f>MAX('相对A改善'!G12,'相对A改善'!G28,'相对A改善'!G44,'相对A改善'!G60)</x:f>
        <x:v>0.008587373107876717</x:v>
      </x:c>
      <x:c r="G12" s="33" t="n">
        <x:f>MAX('相对A改善'!H12,'相对A改善'!H28,'相对A改善'!H44,'相对A改善'!H60)</x:f>
        <x:v>0.00564599654816611</x:v>
      </x:c>
    </x:row>
    <x:row r="13" ht="23" customHeight="1">
      <x:c r="A13" s="39" t="n">
        <x:v>0.25</x:v>
      </x:c>
      <x:c r="B13" s="41" t="str">
        <x:v>D</x:v>
      </x:c>
      <x:c r="C13" s="33" t="n">
        <x:f>MAX('相对A改善'!D13,'相对A改善'!D29,'相对A改善'!D45,'相对A改善'!D61)</x:f>
        <x:v>0.30739991378278075</x:v>
      </x:c>
      <x:c r="D13" s="33" t="n">
        <x:f>MAX('相对A改善'!E13,'相对A改善'!E29,'相对A改善'!E45,'相对A改善'!E61)</x:f>
        <x:v>0.5266608244726374</x:v>
      </x:c>
      <x:c r="E13" s="33" t="n">
        <x:f>MAX('相对A改善'!F13,'相对A改善'!F29,'相对A改善'!F45,'相对A改善'!F61)</x:f>
        <x:v>0.02077772390668342</x:v>
      </x:c>
      <x:c r="F13" s="33" t="n">
        <x:f>MAX('相对A改善'!G13,'相对A改善'!G29,'相对A改善'!G45,'相对A改善'!G61)</x:f>
        <x:v>0.04038882638131813</x:v>
      </x:c>
      <x:c r="G13" s="33" t="n">
        <x:f>MAX('相对A改善'!H13,'相对A改善'!H29,'相对A改善'!H45,'相对A改善'!H61)</x:f>
        <x:v>0.022415642774647693</x:v>
      </x:c>
    </x:row>
    <x:row r="14" ht="23" customHeight="1">
      <x:c r="A14" s="39" t="n">
        <x:v>0.5</x:v>
      </x:c>
      <x:c r="B14" s="41" t="str">
        <x:v>A</x:v>
      </x:c>
      <x:c r="C14" s="33" t="n">
        <x:f>MAX('相对A改善'!D14,'相对A改善'!D30,'相对A改善'!D46,'相对A改善'!D62)</x:f>
        <x:v>0</x:v>
      </x:c>
      <x:c r="D14" s="33" t="n">
        <x:f>MAX('相对A改善'!E14,'相对A改善'!E30,'相对A改善'!E46,'相对A改善'!E62)</x:f>
        <x:v>0</x:v>
      </x:c>
      <x:c r="E14" s="33" t="n">
        <x:f>MAX('相对A改善'!F14,'相对A改善'!F30,'相对A改善'!F46,'相对A改善'!F62)</x:f>
        <x:v>0</x:v>
      </x:c>
      <x:c r="F14" s="33" t="n">
        <x:f>MAX('相对A改善'!G14,'相对A改善'!G30,'相对A改善'!G46,'相对A改善'!G62)</x:f>
        <x:v>0</x:v>
      </x:c>
      <x:c r="G14" s="33" t="n">
        <x:f>MAX('相对A改善'!H14,'相对A改善'!H30,'相对A改善'!H46,'相对A改善'!H62)</x:f>
        <x:v>0</x:v>
      </x:c>
    </x:row>
    <x:row r="15" ht="23" customHeight="1">
      <x:c r="A15" s="39" t="n">
        <x:v>0.5</x:v>
      </x:c>
      <x:c r="B15" s="41" t="str">
        <x:v>B</x:v>
      </x:c>
      <x:c r="C15" s="33" t="n">
        <x:f>MAX('相对A改善'!D15,'相对A改善'!D31,'相对A改善'!D47,'相对A改善'!D63)</x:f>
        <x:v>0.22991822236675985</x:v>
      </x:c>
      <x:c r="D15" s="33" t="n">
        <x:f>MAX('相对A改善'!E15,'相对A改善'!E31,'相对A改善'!E47,'相对A改善'!E63)</x:f>
        <x:v>0.6215837040816549</x:v>
      </x:c>
      <x:c r="E15" s="33" t="n">
        <x:f>MAX('相对A改善'!F15,'相对A改善'!F31,'相对A改善'!F47,'相对A改善'!F63)</x:f>
        <x:v>0.0924773106342377</x:v>
      </x:c>
      <x:c r="F15" s="33" t="n">
        <x:f>MAX('相对A改善'!G15,'相对A改善'!G31,'相对A改善'!G47,'相对A改善'!G63)</x:f>
        <x:v>0.16714010387137612</x:v>
      </x:c>
      <x:c r="G15" s="33" t="n">
        <x:f>MAX('相对A改善'!H15,'相对A改善'!H31,'相对A改善'!H47,'相对A改善'!H63)</x:f>
        <x:v>0.10905233560998595</x:v>
      </x:c>
    </x:row>
    <x:row r="16" ht="23" customHeight="1">
      <x:c r="A16" s="39" t="n">
        <x:v>0.5</x:v>
      </x:c>
      <x:c r="B16" s="41" t="str">
        <x:v>C</x:v>
      </x:c>
      <x:c r="C16" s="33" t="n">
        <x:f>MAX('相对A改善'!D16,'相对A改善'!D32,'相对A改善'!D48,'相对A改善'!D64)</x:f>
        <x:v>0.0476620566280882</x:v>
      </x:c>
      <x:c r="D16" s="33" t="n">
        <x:f>MAX('相对A改善'!E16,'相对A改善'!E32,'相对A改善'!E48,'相对A改善'!E64)</x:f>
        <x:v>0.08774986521377448</x:v>
      </x:c>
      <x:c r="E16" s="33" t="n">
        <x:f>MAX('相对A改善'!F16,'相对A改善'!F32,'相对A改善'!F48,'相对A改善'!F64)</x:f>
        <x:v>0.000664993463028285</x:v>
      </x:c>
      <x:c r="F16" s="33" t="n">
        <x:f>MAX('相对A改善'!G16,'相对A改善'!G32,'相对A改善'!G48,'相对A改善'!G64)</x:f>
        <x:v>0.0013734654040251648</x:v>
      </x:c>
      <x:c r="G16" s="33" t="n">
        <x:f>MAX('相对A改善'!H16,'相对A改善'!H32,'相对A改善'!H48,'相对A改善'!H64)</x:f>
        <x:v>0.0035078167196940235</x:v>
      </x:c>
    </x:row>
    <x:row r="17" ht="23" customHeight="1">
      <x:c r="A17" s="39" t="n">
        <x:v>0.5</x:v>
      </x:c>
      <x:c r="B17" s="41" t="str">
        <x:v>D</x:v>
      </x:c>
      <x:c r="C17" s="33" t="n">
        <x:f>MAX('相对A改善'!D17,'相对A改善'!D33,'相对A改善'!D49,'相对A改善'!D65)</x:f>
        <x:v>0.2735657697077596</x:v>
      </x:c>
      <x:c r="D17" s="33" t="n">
        <x:f>MAX('相对A改善'!E17,'相对A改善'!E33,'相对A改善'!E49,'相对A改善'!E65)</x:f>
        <x:v>0.6552295186791723</x:v>
      </x:c>
      <x:c r="E17" s="33" t="n">
        <x:f>MAX('相对A改善'!F17,'相对A改善'!F33,'相对A改善'!F49,'相对A改善'!F65)</x:f>
        <x:v>0.09130148252640435</x:v>
      </x:c>
      <x:c r="F17" s="33" t="n">
        <x:f>MAX('相对A改善'!G17,'相对A改善'!G33,'相对A改善'!G49,'相对A改善'!G65)</x:f>
        <x:v>0.16511716160203926</x:v>
      </x:c>
      <x:c r="G17" s="33" t="n">
        <x:f>MAX('相对A改善'!H17,'相对A改善'!H33,'相对A改善'!H49,'相对A改善'!H65)</x:f>
        <x:v>0.10677476864780133</x:v>
      </x:c>
    </x:row>
    <x:row r="18" ht="23" customHeight="1">
      <x:c r="A18" s="39" t="n">
        <x:v>0.75</x:v>
      </x:c>
      <x:c r="B18" s="41" t="str">
        <x:v>A</x:v>
      </x:c>
      <x:c r="C18" s="33" t="n">
        <x:f>MAX('相对A改善'!D18,'相对A改善'!D34,'相对A改善'!D50,'相对A改善'!D66)</x:f>
        <x:v>0</x:v>
      </x:c>
      <x:c r="D18" s="33" t="n">
        <x:f>MAX('相对A改善'!E18,'相对A改善'!E34,'相对A改善'!E50,'相对A改善'!E66)</x:f>
        <x:v>0</x:v>
      </x:c>
      <x:c r="E18" s="33" t="n">
        <x:f>MAX('相对A改善'!F18,'相对A改善'!F34,'相对A改善'!F50,'相对A改善'!F66)</x:f>
        <x:v>0</x:v>
      </x:c>
      <x:c r="F18" s="33" t="n">
        <x:f>MAX('相对A改善'!G18,'相对A改善'!G34,'相对A改善'!G50,'相对A改善'!G66)</x:f>
        <x:v>0</x:v>
      </x:c>
      <x:c r="G18" s="33" t="n">
        <x:f>MAX('相对A改善'!H18,'相对A改善'!H34,'相对A改善'!H50,'相对A改善'!H66)</x:f>
        <x:v>0</x:v>
      </x:c>
    </x:row>
    <x:row r="19" ht="23" customHeight="1">
      <x:c r="A19" s="39" t="n">
        <x:v>0.75</x:v>
      </x:c>
      <x:c r="B19" s="41" t="str">
        <x:v>B</x:v>
      </x:c>
      <x:c r="C19" s="33" t="n">
        <x:f>MAX('相对A改善'!D19,'相对A改善'!D35,'相对A改善'!D51,'相对A改善'!D67)</x:f>
        <x:v>0.8517560054842828</x:v>
      </x:c>
      <x:c r="D19" s="33" t="n">
        <x:f>MAX('相对A改善'!E19,'相对A改善'!E35,'相对A改善'!E51,'相对A改善'!E67)</x:f>
        <x:v>1</x:v>
      </x:c>
      <x:c r="E19" s="33" t="n">
        <x:f>MAX('相对A改善'!F19,'相对A改善'!F35,'相对A改善'!F51,'相对A改善'!F67)</x:f>
        <x:v>0.8054005894864755</x:v>
      </x:c>
      <x:c r="F19" s="33" t="n">
        <x:f>MAX('相对A改善'!G19,'相对A改善'!G35,'相对A改善'!G51,'相对A改善'!G67)</x:f>
        <x:v>0.9624493484751222</x:v>
      </x:c>
      <x:c r="G19" s="33" t="n">
        <x:f>MAX('相对A改善'!H19,'相对A改善'!H35,'相对A改善'!H51,'相对A改善'!H67)</x:f>
        <x:v>0.852238852636245</x:v>
      </x:c>
    </x:row>
    <x:row r="20" ht="23" customHeight="1">
      <x:c r="A20" s="39" t="n">
        <x:v>0.75</x:v>
      </x:c>
      <x:c r="B20" s="41" t="str">
        <x:v>C</x:v>
      </x:c>
      <x:c r="C20" s="33" t="n">
        <x:f>MAX('相对A改善'!D20,'相对A改善'!D36,'相对A改善'!D52,'相对A改善'!D68)</x:f>
        <x:v>0.02824940102077067</x:v>
      </x:c>
      <x:c r="D20" s="33" t="n">
        <x:f>MAX('相对A改善'!E20,'相对A改善'!E36,'相对A改善'!E52,'相对A改善'!E68)</x:f>
        <x:v>0.07548015232214134</x:v>
      </x:c>
      <x:c r="E20" s="33" t="n">
        <x:f>MAX('相对A改善'!F20,'相对A改善'!F36,'相对A改善'!F52,'相对A改善'!F68)</x:f>
        <x:v>0.012433753902474587</x:v>
      </x:c>
      <x:c r="F20" s="33" t="n">
        <x:f>MAX('相对A改善'!G20,'相对A改善'!G36,'相对A改善'!G52,'相对A改善'!G68)</x:f>
        <x:v>0.023144983084500637</x:v>
      </x:c>
      <x:c r="G20" s="33" t="n">
        <x:f>MAX('相对A改善'!H20,'相对A改善'!H36,'相对A改善'!H52,'相对A改善'!H68)</x:f>
        <x:v>0.024087604847029542</x:v>
      </x:c>
    </x:row>
    <x:row r="21" ht="23" customHeight="1">
      <x:c r="A21" s="39" t="n">
        <x:v>0.75</x:v>
      </x:c>
      <x:c r="B21" s="41" t="str">
        <x:v>D</x:v>
      </x:c>
      <x:c r="C21" s="33" t="n">
        <x:f>MAX('相对A改善'!D21,'相对A改善'!D37,'相对A改善'!D53,'相对A改善'!D69)</x:f>
        <x:v>0.8660144850521032</x:v>
      </x:c>
      <x:c r="D21" s="33" t="n">
        <x:f>MAX('相对A改善'!E21,'相对A改善'!E37,'相对A改善'!E53,'相对A改善'!E69)</x:f>
        <x:v>0.9999915030525734</x:v>
      </x:c>
      <x:c r="E21" s="33" t="n">
        <x:f>MAX('相对A改善'!F21,'相对A改善'!F37,'相对A改善'!F53,'相对A改善'!F69)</x:f>
        <x:v>0.8087815290080208</x:v>
      </x:c>
      <x:c r="F21" s="33" t="n">
        <x:f>MAX('相对A改善'!G21,'相对A改善'!G37,'相对A改善'!G53,'相对A改善'!G69)</x:f>
        <x:v>0.9643193083351158</x:v>
      </x:c>
      <x:c r="G21" s="33" t="n">
        <x:f>MAX('相对A改善'!H21,'相对A改善'!H37,'相对A改善'!H53,'相对A改善'!H69)</x:f>
        <x:v>0.854383673678443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28" hidden="0" customWidth="1"/>
    <x:col min="5" max="5" width="28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65" hidden="0" customWidth="1"/>
  </x:cols>
  <x:sheetData>
    <x:row r="2">
      <x:c r="A2" s="3" t="str">
        <x:v>表5-9七个选定案例实测值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>
      <x:c r="A3" s="4" t="str">
        <x:v>只有Word实际选用的2整景、5部件；案例事后选择，原始完整统计保留。部件误差按部件尺度，不能与整景误差直接混用。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37" customHeight="1">
      <x:c r="A5" s="9" t="str">
        <x:v>模型</x:v>
      </x:c>
      <x:c r="B5" s="9" t="str">
        <x:v>保留率</x:v>
      </x:c>
      <x:c r="C5" s="9" t="str">
        <x:v>部件或整景</x:v>
      </x:c>
      <x:c r="D5" s="9" t="str">
        <x:v>固定视角</x:v>
      </x:c>
      <x:c r="E5" s="9" t="str">
        <x:v>统计范围</x:v>
      </x:c>
      <x:c r="F5" s="9" t="str">
        <x:v>A部件面数</x:v>
      </x:c>
      <x:c r="G5" s="9" t="str">
        <x:v>D部件面数</x:v>
      </x:c>
      <x:c r="H5" s="9" t="str">
        <x:v>A部件RMS/%</x:v>
      </x:c>
      <x:c r="I5" s="9" t="str">
        <x:v>D部件RMS/%</x:v>
      </x:c>
      <x:c r="J5" s="9" t="str">
        <x:v>RMS降低率</x:v>
      </x:c>
      <x:c r="K5" s="9" t="str">
        <x:v>A图像RMSE</x:v>
      </x:c>
      <x:c r="L5" s="9" t="str">
        <x:v>D图像RMSE</x:v>
      </x:c>
      <x:c r="M5" s="9" t="str">
        <x:v>RMSE降低率</x:v>
      </x:c>
      <x:c r="N5" s="9" t="str">
        <x:v>解释</x:v>
      </x:c>
    </x:row>
    <x:row r="6" ht="23" customHeight="1">
      <x:c r="A6" s="10" t="n">
        <x:v>3</x:v>
      </x:c>
      <x:c r="B6" s="39" t="n">
        <x:v>0.75</x:v>
      </x:c>
      <x:c r="C6" s="10" t="str">
        <x:v>整景可见表面</x:v>
      </x:c>
      <x:c r="D6" s="10" t="str">
        <x:v>az_090</x:v>
      </x:c>
      <x:c r="E6" s="10" t="str">
        <x:v>整景单视角</x:v>
      </x:c>
      <x:c r="F6" s="18"/>
      <x:c r="G6" s="18"/>
      <x:c r="H6" s="36"/>
      <x:c r="I6" s="36"/>
      <x:c r="J6" s="33"/>
      <x:c r="K6" s="30" t="n">
        <x:v>9.111214386200478</x:v>
      </x:c>
      <x:c r="L6" s="30" t="n">
        <x:v>3.1787043021301398</x:v>
      </x:c>
      <x:c r="M6" s="33" t="n">
        <x:v>0.6511217750572862</x:v>
      </x:c>
      <x:c r="N6" s="10" t="str">
        <x:v>所示值为单视角结果；不替代主表12视角均值。可见差异包含表面着色变化。</x:v>
      </x:c>
    </x:row>
    <x:row r="7" ht="23" customHeight="1">
      <x:c r="A7" s="10" t="n">
        <x:v>4</x:v>
      </x:c>
      <x:c r="B7" s="39" t="n">
        <x:v>0.75</x:v>
      </x:c>
      <x:c r="C7" s="10" t="str">
        <x:v>整景可见表面</x:v>
      </x:c>
      <x:c r="D7" s="10" t="str">
        <x:v>az_315</x:v>
      </x:c>
      <x:c r="E7" s="10" t="str">
        <x:v>整景单视角</x:v>
      </x:c>
      <x:c r="F7" s="18"/>
      <x:c r="G7" s="18"/>
      <x:c r="H7" s="36"/>
      <x:c r="I7" s="36"/>
      <x:c r="J7" s="33"/>
      <x:c r="K7" s="30" t="n">
        <x:v>5.950795583352337</x:v>
      </x:c>
      <x:c r="L7" s="30" t="n">
        <x:v>3.0057111383192607</x:v>
      </x:c>
      <x:c r="M7" s="33" t="n">
        <x:v>0.4949060010181</x:v>
      </x:c>
      <x:c r="N7" s="10" t="str">
        <x:v>所示值为单视角结果；不替代主表12视角均值。可见差异包含表面着色变化。</x:v>
      </x:c>
    </x:row>
    <x:row r="8" ht="23" customHeight="1">
      <x:c r="A8" s="10" t="n">
        <x:v>1</x:v>
      </x:c>
      <x:c r="B8" s="39" t="n">
        <x:v>0.25</x:v>
      </x:c>
      <x:c r="C8" s="10" t="str">
        <x:v>圆盘外缘</x:v>
      </x:c>
      <x:c r="D8" s="10" t="str">
        <x:v>oblique_a</x:v>
      </x:c>
      <x:c r="E8" s="10" t="str">
        <x:v>独立部件四视角均值</x:v>
      </x:c>
      <x:c r="F8" s="18" t="n">
        <x:v>1110</x:v>
      </x:c>
      <x:c r="G8" s="18" t="n">
        <x:v>1110</x:v>
      </x:c>
      <x:c r="H8" s="36" t="n">
        <x:v>0.2730674117948303</x:v>
      </x:c>
      <x:c r="I8" s="36" t="n">
        <x:v>0.15866933459539703</x:v>
      </x:c>
      <x:c r="J8" s="33" t="n">
        <x:v>0.41893712782317094</x:v>
      </x:c>
      <x:c r="K8" s="30" t="n">
        <x:v>20.984734677580946</x:v>
      </x:c>
      <x:c r="L8" s="30" t="n">
        <x:v>20.956843126192258</x:v>
      </x:c>
      <x:c r="M8" s="33" t="n">
        <x:v>0.0013291352889244212</x:v>
      </x:c>
      <x:c r="N8" s="10" t="str">
        <x:v>部件面数相同或更少；局部几何误差按原始部件包围盒对角线归一化。</x:v>
      </x:c>
    </x:row>
    <x:row r="9" ht="23" customHeight="1">
      <x:c r="A9" s="10" t="n">
        <x:v>1</x:v>
      </x:c>
      <x:c r="B9" s="39" t="n">
        <x:v>0.125</x:v>
      </x:c>
      <x:c r="C9" s="10" t="str">
        <x:v>块状部件端角</x:v>
      </x:c>
      <x:c r="D9" s="10" t="str">
        <x:v>oblique_a</x:v>
      </x:c>
      <x:c r="E9" s="10" t="str">
        <x:v>独立部件四视角均值</x:v>
      </x:c>
      <x:c r="F9" s="18" t="n">
        <x:v>154</x:v>
      </x:c>
      <x:c r="G9" s="18" t="n">
        <x:v>154</x:v>
      </x:c>
      <x:c r="H9" s="36" t="n">
        <x:v>1.5702362260276113</x:v>
      </x:c>
      <x:c r="I9" s="36" t="n">
        <x:v>0.6981786208261881</x:v>
      </x:c>
      <x:c r="J9" s="33" t="n">
        <x:v>0.5553671420557895</x:v>
      </x:c>
      <x:c r="K9" s="30" t="n">
        <x:v>26.058733644915346</x:v>
      </x:c>
      <x:c r="L9" s="30" t="n">
        <x:v>25.740937655187977</x:v>
      </x:c>
      <x:c r="M9" s="33" t="n">
        <x:v>0.012195373499639617</x:v>
      </x:c>
      <x:c r="N9" s="10" t="str">
        <x:v>部件面数相同或更少；局部几何误差按原始部件包围盒对角线归一化。</x:v>
      </x:c>
    </x:row>
    <x:row r="10" ht="23" customHeight="1">
      <x:c r="A10" s="10" t="n">
        <x:v>2</x:v>
      </x:c>
      <x:c r="B10" s="39" t="n">
        <x:v>0.25</x:v>
      </x:c>
      <x:c r="C10" s="10" t="str">
        <x:v>齿轮及轴段</x:v>
      </x:c>
      <x:c r="D10" s="10" t="str">
        <x:v>front</x:v>
      </x:c>
      <x:c r="E10" s="10" t="str">
        <x:v>独立部件四视角均值</x:v>
      </x:c>
      <x:c r="F10" s="18" t="n">
        <x:v>394</x:v>
      </x:c>
      <x:c r="G10" s="18" t="n">
        <x:v>788</x:v>
      </x:c>
      <x:c r="H10" s="36" t="n">
        <x:v>1.0943855504895728</x:v>
      </x:c>
      <x:c r="I10" s="36" t="n">
        <x:v>0.1397903479485811</x:v>
      </x:c>
      <x:c r="J10" s="33" t="n">
        <x:v>0.8722659049308118</x:v>
      </x:c>
      <x:c r="K10" s="30" t="n">
        <x:v>11.732775448703539</x:v>
      </x:c>
      <x:c r="L10" s="30" t="n">
        <x:v>8.42150548150181</x:v>
      </x:c>
      <x:c r="M10" s="33" t="n">
        <x:v>0.28222392746531433</x:v>
      </x:c>
      <x:c r="N10" s="10" t="str">
        <x:v>局部面数发生重新分配，不能将全部收益归于局部约束。</x:v>
      </x:c>
    </x:row>
    <x:row r="11" ht="23" customHeight="1">
      <x:c r="A11" s="10" t="n">
        <x:v>2</x:v>
      </x:c>
      <x:c r="B11" s="39" t="n">
        <x:v>0.125</x:v>
      </x:c>
      <x:c r="C11" s="10" t="str">
        <x:v>齿轮齿缘与下轴段</x:v>
      </x:c>
      <x:c r="D11" s="10" t="str">
        <x:v>oblique_b</x:v>
      </x:c>
      <x:c r="E11" s="10" t="str">
        <x:v>独立部件四视角均值</x:v>
      </x:c>
      <x:c r="F11" s="18" t="n">
        <x:v>192</x:v>
      </x:c>
      <x:c r="G11" s="18" t="n">
        <x:v>386</x:v>
      </x:c>
      <x:c r="H11" s="36" t="n">
        <x:v>1.8689122190847254</x:v>
      </x:c>
      <x:c r="I11" s="36" t="n">
        <x:v>0.8310212547417225</x:v>
      </x:c>
      <x:c r="J11" s="33" t="n">
        <x:v>0.5553449507924433</x:v>
      </x:c>
      <x:c r="K11" s="30" t="n">
        <x:v>13.0851852835511</x:v>
      </x:c>
      <x:c r="L11" s="30" t="n">
        <x:v>11.599559964915407</x:v>
      </x:c>
      <x:c r="M11" s="33" t="n">
        <x:v>0.11353490886393613</x:v>
      </x:c>
      <x:c r="N11" s="10" t="str">
        <x:v>局部面数发生重新分配，不能将全部收益归于局部约束。</x:v>
      </x:c>
    </x:row>
    <x:row r="12" ht="23" customHeight="1">
      <x:c r="A12" s="10" t="n">
        <x:v>3</x:v>
      </x:c>
      <x:c r="B12" s="39" t="n">
        <x:v>0.125</x:v>
      </x:c>
      <x:c r="C12" s="10" t="str">
        <x:v>圆形孔口</x:v>
      </x:c>
      <x:c r="D12" s="10" t="str">
        <x:v>front</x:v>
      </x:c>
      <x:c r="E12" s="10" t="str">
        <x:v>独立部件四视角均值</x:v>
      </x:c>
      <x:c r="F12" s="18" t="n">
        <x:v>232</x:v>
      </x:c>
      <x:c r="G12" s="18" t="n">
        <x:v>230</x:v>
      </x:c>
      <x:c r="H12" s="36" t="n">
        <x:v>0.9596876509385185</x:v>
      </x:c>
      <x:c r="I12" s="36" t="n">
        <x:v>0.4983310590482067</x:v>
      </x:c>
      <x:c r="J12" s="33" t="n">
        <x:v>0.48073619728161765</x:v>
      </x:c>
      <x:c r="K12" s="30" t="n">
        <x:v>21.65176157506575</x:v>
      </x:c>
      <x:c r="L12" s="30" t="n">
        <x:v>21.204376766730956</x:v>
      </x:c>
      <x:c r="M12" s="33" t="n">
        <x:v>0.02066274408129465</x:v>
      </x:c>
      <x:c r="N12" s="10" t="str">
        <x:v>部件面数相同或更少；局部几何误差按原始部件包围盒对角线归一化。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50" hidden="0" customWidth="1"/>
    <x:col min="3" max="3" width="24" hidden="0" customWidth="1"/>
    <x:col min="4" max="4" width="24" hidden="0" customWidth="1"/>
    <x:col min="5" max="5" width="24" hidden="0" customWidth="1"/>
    <x:col min="6" max="6" width="18" hidden="0" customWidth="1"/>
  </x:cols>
  <x:sheetData>
    <x:row r="2">
      <x:c r="A2" s="3" t="str">
        <x:v>论文显示值与原始记录核验</x:v>
      </x:c>
      <x:c r="B2" s="3"/>
      <x:c r="C2" s="3"/>
      <x:c r="D2" s="3"/>
      <x:c r="E2" s="3"/>
      <x:c r="F2" s="3"/>
    </x:row>
    <x:row r="3">
      <x:c r="A3" s="4" t="str">
        <x:v>按论文各列显示精度比较；原始值与显示值存在舍入差不自动视为错误。</x:v>
      </x:c>
      <x:c r="B3" s="4"/>
      <x:c r="C3" s="4"/>
      <x:c r="D3" s="4"/>
      <x:c r="E3" s="4"/>
      <x:c r="F3" s="4"/>
    </x:row>
    <x:row r="4">
      <x:c r="A4" s="1"/>
      <x:c r="B4" s="1"/>
      <x:c r="C4" s="1"/>
      <x:c r="D4" s="1"/>
      <x:c r="E4" s="1"/>
      <x:c r="F4" s="1"/>
    </x:row>
    <x:row r="5" ht="37" customHeight="1">
      <x:c r="A5" s="9" t="str">
        <x:v>表号</x:v>
      </x:c>
      <x:c r="B5" s="9" t="str">
        <x:v>检查项</x:v>
      </x:c>
      <x:c r="C5" s="9" t="str">
        <x:v>论文值</x:v>
      </x:c>
      <x:c r="D5" s="9" t="str">
        <x:v>原始复算值</x:v>
      </x:c>
      <x:c r="E5" s="9" t="str">
        <x:v>原始值减论文值</x:v>
      </x:c>
      <x:c r="F5" s="9" t="str">
        <x:v>结果</x:v>
      </x:c>
    </x:row>
    <x:row r="6" ht="23" customHeight="1">
      <x:c r="A6" s="10" t="str">
        <x:v>表5-2</x:v>
      </x:c>
      <x:c r="B6" s="10" t="str">
        <x:v>M1有效实例</x:v>
      </x:c>
      <x:c r="C6" s="36" t="n">
        <x:v>1167</x:v>
      </x:c>
      <x:c r="D6" s="36" t="n">
        <x:v>1167</x:v>
      </x:c>
      <x:c r="E6" s="36" t="n">
        <x:v>0</x:v>
      </x:c>
      <x:c r="F6" s="10" t="str">
        <x:v>一致</x:v>
      </x:c>
    </x:row>
    <x:row r="7" ht="23" customHeight="1">
      <x:c r="A7" s="10" t="str">
        <x:v>表5-2</x:v>
      </x:c>
      <x:c r="B7" s="10" t="str">
        <x:v>M1原始面数/万</x:v>
      </x:c>
      <x:c r="C7" s="36" t="n">
        <x:v>172.39</x:v>
      </x:c>
      <x:c r="D7" s="36" t="n">
        <x:v>172.3934</x:v>
      </x:c>
      <x:c r="E7" s="36" t="n">
        <x:v>0.003400000000027603</x:v>
      </x:c>
      <x:c r="F7" s="10" t="str">
        <x:v>一致</x:v>
      </x:c>
    </x:row>
    <x:row r="8" ht="23" customHeight="1">
      <x:c r="A8" s="10" t="str">
        <x:v>表5-2</x:v>
      </x:c>
      <x:c r="B8" s="10" t="str">
        <x:v>M1层级深度</x:v>
      </x:c>
      <x:c r="C8" s="36" t="n">
        <x:v>6</x:v>
      </x:c>
      <x:c r="D8" s="36" t="n">
        <x:v>6</x:v>
      </x:c>
      <x:c r="E8" s="36" t="n">
        <x:v>0</x:v>
      </x:c>
      <x:c r="F8" s="10" t="str">
        <x:v>一致</x:v>
      </x:c>
    </x:row>
    <x:row r="9" ht="23" customHeight="1">
      <x:c r="A9" s="10" t="str">
        <x:v>表5-2</x:v>
      </x:c>
      <x:c r="B9" s="10" t="str">
        <x:v>M2有效实例</x:v>
      </x:c>
      <x:c r="C9" s="36" t="n">
        <x:v>1480</x:v>
      </x:c>
      <x:c r="D9" s="36" t="n">
        <x:v>1480</x:v>
      </x:c>
      <x:c r="E9" s="36" t="n">
        <x:v>0</x:v>
      </x:c>
      <x:c r="F9" s="10" t="str">
        <x:v>一致</x:v>
      </x:c>
    </x:row>
    <x:row r="10" ht="23" customHeight="1">
      <x:c r="A10" s="10" t="str">
        <x:v>表5-2</x:v>
      </x:c>
      <x:c r="B10" s="10" t="str">
        <x:v>M2原始面数/万</x:v>
      </x:c>
      <x:c r="C10" s="36" t="n">
        <x:v>291.13</x:v>
      </x:c>
      <x:c r="D10" s="36" t="n">
        <x:v>291.1273</x:v>
      </x:c>
      <x:c r="E10" s="36" t="n">
        <x:v>-0.0027000000000043656</x:v>
      </x:c>
      <x:c r="F10" s="10" t="str">
        <x:v>一致</x:v>
      </x:c>
    </x:row>
    <x:row r="11" ht="23" customHeight="1">
      <x:c r="A11" s="10" t="str">
        <x:v>表5-2</x:v>
      </x:c>
      <x:c r="B11" s="10" t="str">
        <x:v>M2层级深度</x:v>
      </x:c>
      <x:c r="C11" s="36" t="n">
        <x:v>5</x:v>
      </x:c>
      <x:c r="D11" s="36" t="n">
        <x:v>5</x:v>
      </x:c>
      <x:c r="E11" s="36" t="n">
        <x:v>0</x:v>
      </x:c>
      <x:c r="F11" s="10" t="str">
        <x:v>一致</x:v>
      </x:c>
    </x:row>
    <x:row r="12" ht="23" customHeight="1">
      <x:c r="A12" s="10" t="str">
        <x:v>表5-2</x:v>
      </x:c>
      <x:c r="B12" s="10" t="str">
        <x:v>M3有效实例</x:v>
      </x:c>
      <x:c r="C12" s="36" t="n">
        <x:v>1481</x:v>
      </x:c>
      <x:c r="D12" s="36" t="n">
        <x:v>1481</x:v>
      </x:c>
      <x:c r="E12" s="36" t="n">
        <x:v>0</x:v>
      </x:c>
      <x:c r="F12" s="10" t="str">
        <x:v>一致</x:v>
      </x:c>
    </x:row>
    <x:row r="13" ht="23" customHeight="1">
      <x:c r="A13" s="10" t="str">
        <x:v>表5-2</x:v>
      </x:c>
      <x:c r="B13" s="10" t="str">
        <x:v>M3原始面数/万</x:v>
      </x:c>
      <x:c r="C13" s="36" t="n">
        <x:v>343.31</x:v>
      </x:c>
      <x:c r="D13" s="36" t="n">
        <x:v>343.306</x:v>
      </x:c>
      <x:c r="E13" s="36" t="n">
        <x:v>-0.004000000000019099</x:v>
      </x:c>
      <x:c r="F13" s="10" t="str">
        <x:v>一致</x:v>
      </x:c>
    </x:row>
    <x:row r="14" ht="23" customHeight="1">
      <x:c r="A14" s="10" t="str">
        <x:v>表5-2</x:v>
      </x:c>
      <x:c r="B14" s="10" t="str">
        <x:v>M3层级深度</x:v>
      </x:c>
      <x:c r="C14" s="36" t="n">
        <x:v>5</x:v>
      </x:c>
      <x:c r="D14" s="36" t="n">
        <x:v>5</x:v>
      </x:c>
      <x:c r="E14" s="36" t="n">
        <x:v>0</x:v>
      </x:c>
      <x:c r="F14" s="10" t="str">
        <x:v>一致</x:v>
      </x:c>
    </x:row>
    <x:row r="15" ht="23" customHeight="1">
      <x:c r="A15" s="10" t="str">
        <x:v>表5-2</x:v>
      </x:c>
      <x:c r="B15" s="10" t="str">
        <x:v>M4有效实例</x:v>
      </x:c>
      <x:c r="C15" s="36" t="n">
        <x:v>5451</x:v>
      </x:c>
      <x:c r="D15" s="36" t="n">
        <x:v>5451</x:v>
      </x:c>
      <x:c r="E15" s="36" t="n">
        <x:v>0</x:v>
      </x:c>
      <x:c r="F15" s="10" t="str">
        <x:v>一致</x:v>
      </x:c>
    </x:row>
    <x:row r="16" ht="23" customHeight="1">
      <x:c r="A16" s="10" t="str">
        <x:v>表5-2</x:v>
      </x:c>
      <x:c r="B16" s="10" t="str">
        <x:v>M4原始面数/万</x:v>
      </x:c>
      <x:c r="C16" s="36" t="n">
        <x:v>1055.36</x:v>
      </x:c>
      <x:c r="D16" s="36" t="n">
        <x:v>1055.3614</x:v>
      </x:c>
      <x:c r="E16" s="36" t="n">
        <x:v>0.0014000000001033186</x:v>
      </x:c>
      <x:c r="F16" s="10" t="str">
        <x:v>一致</x:v>
      </x:c>
    </x:row>
    <x:row r="17" ht="23" customHeight="1">
      <x:c r="A17" s="10" t="str">
        <x:v>表5-2</x:v>
      </x:c>
      <x:c r="B17" s="10" t="str">
        <x:v>M4层级深度</x:v>
      </x:c>
      <x:c r="C17" s="36" t="n">
        <x:v>8</x:v>
      </x:c>
      <x:c r="D17" s="36" t="n">
        <x:v>8</x:v>
      </x:c>
      <x:c r="E17" s="36" t="n">
        <x:v>0</x:v>
      </x:c>
      <x:c r="F17" s="10" t="str">
        <x:v>一致</x:v>
      </x:c>
    </x:row>
    <x:row r="18" ht="23" customHeight="1">
      <x:c r="A18" s="10" t="str">
        <x:v>表5-2</x:v>
      </x:c>
      <x:c r="B18" s="10" t="str">
        <x:v>M5有效实例</x:v>
      </x:c>
      <x:c r="C18" s="36" t="n">
        <x:v>1747</x:v>
      </x:c>
      <x:c r="D18" s="36" t="n">
        <x:v>1747</x:v>
      </x:c>
      <x:c r="E18" s="36" t="n">
        <x:v>0</x:v>
      </x:c>
      <x:c r="F18" s="10" t="str">
        <x:v>一致</x:v>
      </x:c>
    </x:row>
    <x:row r="19" ht="23" customHeight="1">
      <x:c r="A19" s="10" t="str">
        <x:v>表5-2</x:v>
      </x:c>
      <x:c r="B19" s="10" t="str">
        <x:v>M5原始面数/万</x:v>
      </x:c>
      <x:c r="C19" s="36" t="n">
        <x:v>1176.03</x:v>
      </x:c>
      <x:c r="D19" s="36" t="n">
        <x:v>1176.0345</x:v>
      </x:c>
      <x:c r="E19" s="36" t="n">
        <x:v>0.004500000000007276</x:v>
      </x:c>
      <x:c r="F19" s="10" t="str">
        <x:v>一致</x:v>
      </x:c>
    </x:row>
    <x:row r="20" ht="23" customHeight="1">
      <x:c r="A20" s="10" t="str">
        <x:v>表5-2</x:v>
      </x:c>
      <x:c r="B20" s="10" t="str">
        <x:v>M5层级深度</x:v>
      </x:c>
      <x:c r="C20" s="36" t="n">
        <x:v>7</x:v>
      </x:c>
      <x:c r="D20" s="36" t="n">
        <x:v>7</x:v>
      </x:c>
      <x:c r="E20" s="36" t="n">
        <x:v>0</x:v>
      </x:c>
      <x:c r="F20" s="10" t="str">
        <x:v>一致</x:v>
      </x:c>
    </x:row>
    <x:row r="21" ht="23" customHeight="1">
      <x:c r="A21" s="10" t="str">
        <x:v>表5-2</x:v>
      </x:c>
      <x:c r="B21" s="10" t="str">
        <x:v>M6有效实例</x:v>
      </x:c>
      <x:c r="C21" s="36" t="n">
        <x:v>3347</x:v>
      </x:c>
      <x:c r="D21" s="36" t="n">
        <x:v>3347</x:v>
      </x:c>
      <x:c r="E21" s="36" t="n">
        <x:v>0</x:v>
      </x:c>
      <x:c r="F21" s="10" t="str">
        <x:v>一致</x:v>
      </x:c>
    </x:row>
    <x:row r="22" ht="23" customHeight="1">
      <x:c r="A22" s="10" t="str">
        <x:v>表5-2</x:v>
      </x:c>
      <x:c r="B22" s="10" t="str">
        <x:v>M6原始面数/万</x:v>
      </x:c>
      <x:c r="C22" s="36" t="n">
        <x:v>1549.62</x:v>
      </x:c>
      <x:c r="D22" s="36" t="n">
        <x:v>1549.6224</x:v>
      </x:c>
      <x:c r="E22" s="36" t="n">
        <x:v>0.0024000000000796717</x:v>
      </x:c>
      <x:c r="F22" s="10" t="str">
        <x:v>一致</x:v>
      </x:c>
    </x:row>
    <x:row r="23" ht="23" customHeight="1">
      <x:c r="A23" s="10" t="str">
        <x:v>表5-2</x:v>
      </x:c>
      <x:c r="B23" s="10" t="str">
        <x:v>M6层级深度</x:v>
      </x:c>
      <x:c r="C23" s="36" t="n">
        <x:v>6</x:v>
      </x:c>
      <x:c r="D23" s="36" t="n">
        <x:v>6</x:v>
      </x:c>
      <x:c r="E23" s="36" t="n">
        <x:v>0</x:v>
      </x:c>
      <x:c r="F23" s="10" t="str">
        <x:v>一致</x:v>
      </x:c>
    </x:row>
    <x:row r="24" ht="23" customHeight="1">
      <x:c r="A24" s="10" t="str">
        <x:v>表5-2</x:v>
      </x:c>
      <x:c r="B24" s="10" t="str">
        <x:v>M7有效实例</x:v>
      </x:c>
      <x:c r="C24" s="36" t="n">
        <x:v>1026</x:v>
      </x:c>
      <x:c r="D24" s="36" t="n">
        <x:v>1026</x:v>
      </x:c>
      <x:c r="E24" s="36" t="n">
        <x:v>0</x:v>
      </x:c>
      <x:c r="F24" s="10" t="str">
        <x:v>一致</x:v>
      </x:c>
    </x:row>
    <x:row r="25" ht="23" customHeight="1">
      <x:c r="A25" s="10" t="str">
        <x:v>表5-2</x:v>
      </x:c>
      <x:c r="B25" s="10" t="str">
        <x:v>M7原始面数/万</x:v>
      </x:c>
      <x:c r="C25" s="36" t="n">
        <x:v>1990.57</x:v>
      </x:c>
      <x:c r="D25" s="36" t="n">
        <x:v>1990.5661</x:v>
      </x:c>
      <x:c r="E25" s="36" t="n">
        <x:v>-0.0038999999999305146</x:v>
      </x:c>
      <x:c r="F25" s="10" t="str">
        <x:v>一致</x:v>
      </x:c>
    </x:row>
    <x:row r="26" ht="23" customHeight="1">
      <x:c r="A26" s="10" t="str">
        <x:v>表5-2</x:v>
      </x:c>
      <x:c r="B26" s="10" t="str">
        <x:v>M7层级深度</x:v>
      </x:c>
      <x:c r="C26" s="36" t="n">
        <x:v>7</x:v>
      </x:c>
      <x:c r="D26" s="36" t="n">
        <x:v>7</x:v>
      </x:c>
      <x:c r="E26" s="36" t="n">
        <x:v>0</x:v>
      </x:c>
      <x:c r="F26" s="10" t="str">
        <x:v>一致</x:v>
      </x:c>
    </x:row>
    <x:row r="27" ht="23" customHeight="1">
      <x:c r="A27" s="10" t="str">
        <x:v>表5-2</x:v>
      </x:c>
      <x:c r="B27" s="10" t="str">
        <x:v>M8有效实例</x:v>
      </x:c>
      <x:c r="C27" s="36" t="n">
        <x:v>6103</x:v>
      </x:c>
      <x:c r="D27" s="36" t="n">
        <x:v>6103</x:v>
      </x:c>
      <x:c r="E27" s="36" t="n">
        <x:v>0</x:v>
      </x:c>
      <x:c r="F27" s="10" t="str">
        <x:v>一致</x:v>
      </x:c>
    </x:row>
    <x:row r="28" ht="23" customHeight="1">
      <x:c r="A28" s="10" t="str">
        <x:v>表5-2</x:v>
      </x:c>
      <x:c r="B28" s="10" t="str">
        <x:v>M8原始面数/万</x:v>
      </x:c>
      <x:c r="C28" s="36" t="n">
        <x:v>2070.33</x:v>
      </x:c>
      <x:c r="D28" s="36" t="n">
        <x:v>2070.3307</x:v>
      </x:c>
      <x:c r="E28" s="36" t="n">
        <x:v>0.0007000000000516593</x:v>
      </x:c>
      <x:c r="F28" s="10" t="str">
        <x:v>一致</x:v>
      </x:c>
    </x:row>
    <x:row r="29" ht="23" customHeight="1">
      <x:c r="A29" s="10" t="str">
        <x:v>表5-2</x:v>
      </x:c>
      <x:c r="B29" s="10" t="str">
        <x:v>M8层级深度</x:v>
      </x:c>
      <x:c r="C29" s="36" t="n">
        <x:v>13</x:v>
      </x:c>
      <x:c r="D29" s="36" t="n">
        <x:v>13</x:v>
      </x:c>
      <x:c r="E29" s="36" t="n">
        <x:v>0</x:v>
      </x:c>
      <x:c r="F29" s="10" t="str">
        <x:v>一致</x:v>
      </x:c>
    </x:row>
    <x:row r="30" ht="23" customHeight="1">
      <x:c r="A30" s="10" t="str">
        <x:v>表5-2</x:v>
      </x:c>
      <x:c r="B30" s="10" t="str">
        <x:v>M9有效实例</x:v>
      </x:c>
      <x:c r="C30" s="36" t="n">
        <x:v>3118</x:v>
      </x:c>
      <x:c r="D30" s="36" t="n">
        <x:v>3118</x:v>
      </x:c>
      <x:c r="E30" s="36" t="n">
        <x:v>0</x:v>
      </x:c>
      <x:c r="F30" s="10" t="str">
        <x:v>一致</x:v>
      </x:c>
    </x:row>
    <x:row r="31" ht="23" customHeight="1">
      <x:c r="A31" s="10" t="str">
        <x:v>表5-2</x:v>
      </x:c>
      <x:c r="B31" s="10" t="str">
        <x:v>M9原始面数/万</x:v>
      </x:c>
      <x:c r="C31" s="36" t="n">
        <x:v>2392.14</x:v>
      </x:c>
      <x:c r="D31" s="36" t="n">
        <x:v>2392.139</x:v>
      </x:c>
      <x:c r="E31" s="36" t="n">
        <x:v>-0.0009999999997489795</x:v>
      </x:c>
      <x:c r="F31" s="10" t="str">
        <x:v>一致</x:v>
      </x:c>
    </x:row>
    <x:row r="32" ht="23" customHeight="1">
      <x:c r="A32" s="10" t="str">
        <x:v>表5-2</x:v>
      </x:c>
      <x:c r="B32" s="10" t="str">
        <x:v>M9层级深度</x:v>
      </x:c>
      <x:c r="C32" s="36" t="n">
        <x:v>7</x:v>
      </x:c>
      <x:c r="D32" s="36" t="n">
        <x:v>7</x:v>
      </x:c>
      <x:c r="E32" s="36" t="n">
        <x:v>0</x:v>
      </x:c>
      <x:c r="F32" s="10" t="str">
        <x:v>一致</x:v>
      </x:c>
    </x:row>
    <x:row r="33" ht="23" customHeight="1">
      <x:c r="A33" s="10" t="str">
        <x:v>表5-2</x:v>
      </x:c>
      <x:c r="B33" s="10" t="str">
        <x:v>M10有效实例</x:v>
      </x:c>
      <x:c r="C33" s="36" t="n">
        <x:v>5198</x:v>
      </x:c>
      <x:c r="D33" s="36" t="n">
        <x:v>5198</x:v>
      </x:c>
      <x:c r="E33" s="36" t="n">
        <x:v>0</x:v>
      </x:c>
      <x:c r="F33" s="10" t="str">
        <x:v>一致</x:v>
      </x:c>
    </x:row>
    <x:row r="34" ht="23" customHeight="1">
      <x:c r="A34" s="10" t="str">
        <x:v>表5-2</x:v>
      </x:c>
      <x:c r="B34" s="10" t="str">
        <x:v>M10原始面数/万</x:v>
      </x:c>
      <x:c r="C34" s="36" t="n">
        <x:v>4759.11</x:v>
      </x:c>
      <x:c r="D34" s="36" t="n">
        <x:v>4759.1131</x:v>
      </x:c>
      <x:c r="E34" s="36" t="n">
        <x:v>0.0030999999999039574</x:v>
      </x:c>
      <x:c r="F34" s="10" t="str">
        <x:v>一致</x:v>
      </x:c>
    </x:row>
    <x:row r="35" ht="23" customHeight="1">
      <x:c r="A35" s="10" t="str">
        <x:v>表5-2</x:v>
      </x:c>
      <x:c r="B35" s="10" t="str">
        <x:v>M10层级深度</x:v>
      </x:c>
      <x:c r="C35" s="36" t="n">
        <x:v>10</x:v>
      </x:c>
      <x:c r="D35" s="36" t="n">
        <x:v>10</x:v>
      </x:c>
      <x:c r="E35" s="36" t="n">
        <x:v>0</x:v>
      </x:c>
      <x:c r="F35" s="10" t="str">
        <x:v>一致</x:v>
      </x:c>
    </x:row>
    <x:row r="36" ht="23" customHeight="1">
      <x:c r="A36" s="10" t="str">
        <x:v>表5-2</x:v>
      </x:c>
      <x:c r="B36" s="10" t="str">
        <x:v>M11有效实例</x:v>
      </x:c>
      <x:c r="C36" s="36" t="n">
        <x:v>15723</x:v>
      </x:c>
      <x:c r="D36" s="36" t="n">
        <x:v>15723</x:v>
      </x:c>
      <x:c r="E36" s="36" t="n">
        <x:v>0</x:v>
      </x:c>
      <x:c r="F36" s="10" t="str">
        <x:v>一致</x:v>
      </x:c>
    </x:row>
    <x:row r="37" ht="23" customHeight="1">
      <x:c r="A37" s="10" t="str">
        <x:v>表5-2</x:v>
      </x:c>
      <x:c r="B37" s="10" t="str">
        <x:v>M11原始面数/万</x:v>
      </x:c>
      <x:c r="C37" s="36" t="n">
        <x:v>3706.86</x:v>
      </x:c>
      <x:c r="D37" s="36" t="n">
        <x:v>3706.862</x:v>
      </x:c>
      <x:c r="E37" s="36" t="n">
        <x:v>0.0019999999999527063</x:v>
      </x:c>
      <x:c r="F37" s="10" t="str">
        <x:v>一致</x:v>
      </x:c>
    </x:row>
    <x:row r="38" ht="23" customHeight="1">
      <x:c r="A38" s="10" t="str">
        <x:v>表5-2</x:v>
      </x:c>
      <x:c r="B38" s="10" t="str">
        <x:v>M11层级深度</x:v>
      </x:c>
      <x:c r="C38" s="36" t="n">
        <x:v>11</x:v>
      </x:c>
      <x:c r="D38" s="36" t="n">
        <x:v>11</x:v>
      </x:c>
      <x:c r="E38" s="36" t="n">
        <x:v>0</x:v>
      </x:c>
      <x:c r="F38" s="10" t="str">
        <x:v>一致</x:v>
      </x:c>
    </x:row>
    <x:row r="39" ht="23" customHeight="1">
      <x:c r="A39" s="10" t="str">
        <x:v>表5-2</x:v>
      </x:c>
      <x:c r="B39" s="10" t="str">
        <x:v>M12有效实例</x:v>
      </x:c>
      <x:c r="C39" s="36" t="n">
        <x:v>7163</x:v>
      </x:c>
      <x:c r="D39" s="36" t="n">
        <x:v>7163</x:v>
      </x:c>
      <x:c r="E39" s="36" t="n">
        <x:v>0</x:v>
      </x:c>
      <x:c r="F39" s="10" t="str">
        <x:v>一致</x:v>
      </x:c>
    </x:row>
    <x:row r="40" ht="23" customHeight="1">
      <x:c r="A40" s="10" t="str">
        <x:v>表5-2</x:v>
      </x:c>
      <x:c r="B40" s="10" t="str">
        <x:v>M12原始面数/万</x:v>
      </x:c>
      <x:c r="C40" s="36" t="n">
        <x:v>5185.7</x:v>
      </x:c>
      <x:c r="D40" s="36" t="n">
        <x:v>5185.704</x:v>
      </x:c>
      <x:c r="E40" s="36" t="n">
        <x:v>0.0039999999999054126</x:v>
      </x:c>
      <x:c r="F40" s="10" t="str">
        <x:v>一致</x:v>
      </x:c>
    </x:row>
    <x:row r="41" ht="23" customHeight="1">
      <x:c r="A41" s="10" t="str">
        <x:v>表5-2</x:v>
      </x:c>
      <x:c r="B41" s="10" t="str">
        <x:v>M12层级深度</x:v>
      </x:c>
      <x:c r="C41" s="36" t="n">
        <x:v>10</x:v>
      </x:c>
      <x:c r="D41" s="36" t="n">
        <x:v>10</x:v>
      </x:c>
      <x:c r="E41" s="36" t="n">
        <x:v>0</x:v>
      </x:c>
      <x:c r="F41" s="10" t="str">
        <x:v>一致</x:v>
      </x:c>
    </x:row>
    <x:row r="42" ht="23" customHeight="1">
      <x:c r="A42" s="10" t="str">
        <x:v>表5-2</x:v>
      </x:c>
      <x:c r="B42" s="10" t="str">
        <x:v>M13有效实例</x:v>
      </x:c>
      <x:c r="C42" s="36" t="n">
        <x:v>15968</x:v>
      </x:c>
      <x:c r="D42" s="36" t="n">
        <x:v>15968</x:v>
      </x:c>
      <x:c r="E42" s="36" t="n">
        <x:v>0</x:v>
      </x:c>
      <x:c r="F42" s="10" t="str">
        <x:v>一致</x:v>
      </x:c>
    </x:row>
    <x:row r="43" ht="23" customHeight="1">
      <x:c r="A43" s="10" t="str">
        <x:v>表5-2</x:v>
      </x:c>
      <x:c r="B43" s="10" t="str">
        <x:v>M13原始面数/万</x:v>
      </x:c>
      <x:c r="C43" s="36" t="n">
        <x:v>5200.39</x:v>
      </x:c>
      <x:c r="D43" s="36" t="n">
        <x:v>5200.3855</x:v>
      </x:c>
      <x:c r="E43" s="36" t="n">
        <x:v>-0.004500000000007276</x:v>
      </x:c>
      <x:c r="F43" s="10" t="str">
        <x:v>一致</x:v>
      </x:c>
    </x:row>
    <x:row r="44" ht="23" customHeight="1">
      <x:c r="A44" s="10" t="str">
        <x:v>表5-2</x:v>
      </x:c>
      <x:c r="B44" s="10" t="str">
        <x:v>M13层级深度</x:v>
      </x:c>
      <x:c r="C44" s="36" t="n">
        <x:v>11</x:v>
      </x:c>
      <x:c r="D44" s="36" t="n">
        <x:v>11</x:v>
      </x:c>
      <x:c r="E44" s="36" t="n">
        <x:v>0</x:v>
      </x:c>
      <x:c r="F44" s="10" t="str">
        <x:v>一致</x:v>
      </x:c>
    </x:row>
    <x:row r="45" ht="23" customHeight="1">
      <x:c r="A45" s="10" t="str">
        <x:v>表5-3</x:v>
      </x:c>
      <x:c r="B45" s="10" t="str">
        <x:v>PointNet oa均值</x:v>
      </x:c>
      <x:c r="C45" s="36" t="n">
        <x:v>67.64</x:v>
      </x:c>
      <x:c r="D45" s="36" t="n">
        <x:v>67.63559175186276</x:v>
      </x:c>
      <x:c r="E45" s="36" t="n">
        <x:v>-0.004408248137238502</x:v>
      </x:c>
      <x:c r="F45" s="10" t="str">
        <x:v>一致</x:v>
      </x:c>
    </x:row>
    <x:row r="46" ht="23" customHeight="1">
      <x:c r="A46" s="10" t="str">
        <x:v>表5-3</x:v>
      </x:c>
      <x:c r="B46" s="10" t="str">
        <x:v>PointNet oa样本标准差</x:v>
      </x:c>
      <x:c r="C46" s="36" t="n">
        <x:v>0.47</x:v>
      </x:c>
      <x:c r="D46" s="36" t="n">
        <x:v>0.4717312610584392</x:v>
      </x:c>
      <x:c r="E46" s="36" t="n">
        <x:v>0.0017312610584392374</x:v>
      </x:c>
      <x:c r="F46" s="10" t="str">
        <x:v>一致</x:v>
      </x:c>
    </x:row>
    <x:row r="47" ht="23" customHeight="1">
      <x:c r="A47" s="10" t="str">
        <x:v>表5-3</x:v>
      </x:c>
      <x:c r="B47" s="10" t="str">
        <x:v>PointNet macc均值</x:v>
      </x:c>
      <x:c r="C47" s="36" t="n">
        <x:v>39.67</x:v>
      </x:c>
      <x:c r="D47" s="36" t="n">
        <x:v>39.66925863389996</x:v>
      </x:c>
      <x:c r="E47" s="36" t="n">
        <x:v>-0.0007413661000441607</x:v>
      </x:c>
      <x:c r="F47" s="10" t="str">
        <x:v>一致</x:v>
      </x:c>
    </x:row>
    <x:row r="48" ht="23" customHeight="1">
      <x:c r="A48" s="10" t="str">
        <x:v>表5-3</x:v>
      </x:c>
      <x:c r="B48" s="10" t="str">
        <x:v>PointNet macc样本标准差</x:v>
      </x:c>
      <x:c r="C48" s="36" t="n">
        <x:v>0.33</x:v>
      </x:c>
      <x:c r="D48" s="36" t="n">
        <x:v>0.33075585259926554</x:v>
      </x:c>
      <x:c r="E48" s="36" t="n">
        <x:v>0.0007558525992655274</x:v>
      </x:c>
      <x:c r="F48" s="10" t="str">
        <x:v>一致</x:v>
      </x:c>
    </x:row>
    <x:row r="49" ht="23" customHeight="1">
      <x:c r="A49" s="10" t="str">
        <x:v>表5-3</x:v>
      </x:c>
      <x:c r="B49" s="10" t="str">
        <x:v>PointNet macro_f1均值</x:v>
      </x:c>
      <x:c r="C49" s="36" t="n">
        <x:v>39.97</x:v>
      </x:c>
      <x:c r="D49" s="36" t="n">
        <x:v>39.97257295382359</x:v>
      </x:c>
      <x:c r="E49" s="36" t="n">
        <x:v>0.002572953823587909</x:v>
      </x:c>
      <x:c r="F49" s="10" t="str">
        <x:v>一致</x:v>
      </x:c>
    </x:row>
    <x:row r="50" ht="23" customHeight="1">
      <x:c r="A50" s="10" t="str">
        <x:v>表5-3</x:v>
      </x:c>
      <x:c r="B50" s="10" t="str">
        <x:v>PointNet macro_f1样本标准差</x:v>
      </x:c>
      <x:c r="C50" s="36" t="n">
        <x:v>0.43</x:v>
      </x:c>
      <x:c r="D50" s="36" t="n">
        <x:v>0.4345219570018355</x:v>
      </x:c>
      <x:c r="E50" s="36" t="n">
        <x:v>0.004521957001835497</x:v>
      </x:c>
      <x:c r="F50" s="10" t="str">
        <x:v>一致</x:v>
      </x:c>
    </x:row>
    <x:row r="51" ht="23" customHeight="1">
      <x:c r="A51" s="10" t="str">
        <x:v>表5-3</x:v>
      </x:c>
      <x:c r="B51" s="10" t="str">
        <x:v>PointNet参数/M</x:v>
      </x:c>
      <x:c r="C51" s="36" t="n">
        <x:v>3.473</x:v>
      </x:c>
      <x:c r="D51" s="36" t="n">
        <x:v>3.472599</x:v>
      </x:c>
      <x:c r="E51" s="36" t="n">
        <x:v>-0.00040099999999965164</x:v>
      </x:c>
      <x:c r="F51" s="10" t="str">
        <x:v>一致</x:v>
      </x:c>
    </x:row>
    <x:row r="52" ht="23" customHeight="1">
      <x:c r="A52" s="10" t="str">
        <x:v>表5-3</x:v>
      </x:c>
      <x:c r="B52" s="10" t="str">
        <x:v>PointNet延迟</x:v>
      </x:c>
      <x:c r="C52" s="36" t="n">
        <x:v>4.27</x:v>
      </x:c>
      <x:c r="D52" s="36" t="n">
        <x:v>4.272150545120239</x:v>
      </x:c>
      <x:c r="E52" s="36" t="n">
        <x:v>0.0021505451202390446</x:v>
      </x:c>
      <x:c r="F52" s="10" t="str">
        <x:v>一致</x:v>
      </x:c>
    </x:row>
    <x:row r="53" ht="23" customHeight="1">
      <x:c r="A53" s="10" t="str">
        <x:v>表5-3</x:v>
      </x:c>
      <x:c r="B53" s="10" t="str">
        <x:v>PointNet++ oa均值</x:v>
      </x:c>
      <x:c r="C53" s="36" t="n">
        <x:v>94.63</x:v>
      </x:c>
      <x:c r="D53" s="36" t="n">
        <x:v>94.62831398371168</x:v>
      </x:c>
      <x:c r="E53" s="36" t="n">
        <x:v>-0.00168601628831766</x:v>
      </x:c>
      <x:c r="F53" s="10" t="str">
        <x:v>一致</x:v>
      </x:c>
    </x:row>
    <x:row r="54" ht="23" customHeight="1">
      <x:c r="A54" s="10" t="str">
        <x:v>表5-3</x:v>
      </x:c>
      <x:c r="B54" s="10" t="str">
        <x:v>PointNet++ oa样本标准差</x:v>
      </x:c>
      <x:c r="C54" s="36" t="n">
        <x:v>0.23</x:v>
      </x:c>
      <x:c r="D54" s="36" t="n">
        <x:v>0.23280244052234075</x:v>
      </x:c>
      <x:c r="E54" s="36" t="n">
        <x:v>0.0028024405223407434</x:v>
      </x:c>
      <x:c r="F54" s="10" t="str">
        <x:v>一致</x:v>
      </x:c>
    </x:row>
    <x:row r="55" ht="23" customHeight="1">
      <x:c r="A55" s="10" t="str">
        <x:v>表5-3</x:v>
      </x:c>
      <x:c r="B55" s="10" t="str">
        <x:v>PointNet++ macc均值</x:v>
      </x:c>
      <x:c r="C55" s="36" t="n">
        <x:v>91.04</x:v>
      </x:c>
      <x:c r="D55" s="36" t="n">
        <x:v>91.03959243405305</x:v>
      </x:c>
      <x:c r="E55" s="36" t="n">
        <x:v>-0.0004075659469577886</x:v>
      </x:c>
      <x:c r="F55" s="10" t="str">
        <x:v>一致</x:v>
      </x:c>
    </x:row>
    <x:row r="56" ht="23" customHeight="1">
      <x:c r="A56" s="10" t="str">
        <x:v>表5-3</x:v>
      </x:c>
      <x:c r="B56" s="10" t="str">
        <x:v>PointNet++ macc样本标准差</x:v>
      </x:c>
      <x:c r="C56" s="36" t="n">
        <x:v>0.58</x:v>
      </x:c>
      <x:c r="D56" s="36" t="n">
        <x:v>0.5797657679554161</x:v>
      </x:c>
      <x:c r="E56" s="36" t="n">
        <x:v>-0.0002342320445838375</x:v>
      </x:c>
      <x:c r="F56" s="10" t="str">
        <x:v>一致</x:v>
      </x:c>
    </x:row>
    <x:row r="57" ht="23" customHeight="1">
      <x:c r="A57" s="10" t="str">
        <x:v>表5-3</x:v>
      </x:c>
      <x:c r="B57" s="10" t="str">
        <x:v>PointNet++ macro_f1均值</x:v>
      </x:c>
      <x:c r="C57" s="36" t="n">
        <x:v>91.26</x:v>
      </x:c>
      <x:c r="D57" s="36" t="n">
        <x:v>91.26249584744797</x:v>
      </x:c>
      <x:c r="E57" s="36" t="n">
        <x:v>0.0024958474479603865</x:v>
      </x:c>
      <x:c r="F57" s="10" t="str">
        <x:v>一致</x:v>
      </x:c>
    </x:row>
    <x:row r="58" ht="23" customHeight="1">
      <x:c r="A58" s="10" t="str">
        <x:v>表5-3</x:v>
      </x:c>
      <x:c r="B58" s="10" t="str">
        <x:v>PointNet++ macro_f1样本标准差</x:v>
      </x:c>
      <x:c r="C58" s="36" t="n">
        <x:v>0.46</x:v>
      </x:c>
      <x:c r="D58" s="36" t="n">
        <x:v>0.4647220714660614</x:v>
      </x:c>
      <x:c r="E58" s="36" t="n">
        <x:v>0.004722071466061406</x:v>
      </x:c>
      <x:c r="F58" s="10" t="str">
        <x:v>一致</x:v>
      </x:c>
    </x:row>
    <x:row r="59" ht="23" customHeight="1">
      <x:c r="A59" s="10" t="str">
        <x:v>表5-3</x:v>
      </x:c>
      <x:c r="B59" s="10" t="str">
        <x:v>PointNet++参数/M</x:v>
      </x:c>
      <x:c r="C59" s="36" t="n">
        <x:v>1.466</x:v>
      </x:c>
      <x:c r="D59" s="36" t="n">
        <x:v>1.46587</x:v>
      </x:c>
      <x:c r="E59" s="36" t="n">
        <x:v>-0.00012999999999996348</x:v>
      </x:c>
      <x:c r="F59" s="10" t="str">
        <x:v>一致</x:v>
      </x:c>
    </x:row>
    <x:row r="60" ht="23" customHeight="1">
      <x:c r="A60" s="10" t="str">
        <x:v>表5-3</x:v>
      </x:c>
      <x:c r="B60" s="10" t="str">
        <x:v>PointNet++延迟</x:v>
      </x:c>
      <x:c r="C60" s="36" t="n">
        <x:v>21.05</x:v>
      </x:c>
      <x:c r="D60" s="36" t="n">
        <x:v>21.04794005393982</x:v>
      </x:c>
      <x:c r="E60" s="36" t="n">
        <x:v>-0.0020599460601822273</x:v>
      </x:c>
      <x:c r="F60" s="10" t="str">
        <x:v>一致</x:v>
      </x:c>
    </x:row>
    <x:row r="61" ht="23" customHeight="1">
      <x:c r="A61" s="10" t="str">
        <x:v>表5-3</x:v>
      </x:c>
      <x:c r="B61" s="10" t="str">
        <x:v>PointNeXt四分下采样 oa均值</x:v>
      </x:c>
      <x:c r="C61" s="36" t="n">
        <x:v>94.8</x:v>
      </x:c>
      <x:c r="D61" s="36" t="n">
        <x:v>94.79726217293364</x:v>
      </x:c>
      <x:c r="E61" s="36" t="n">
        <x:v>-0.0027378270663547255</x:v>
      </x:c>
      <x:c r="F61" s="10" t="str">
        <x:v>一致</x:v>
      </x:c>
    </x:row>
    <x:row r="62" ht="23" customHeight="1">
      <x:c r="A62" s="10" t="str">
        <x:v>表5-3</x:v>
      </x:c>
      <x:c r="B62" s="10" t="str">
        <x:v>PointNeXt四分下采样 oa样本标准差</x:v>
      </x:c>
      <x:c r="C62" s="36" t="n">
        <x:v>0.13</x:v>
      </x:c>
      <x:c r="D62" s="36" t="n">
        <x:v>0.12865398028867073</x:v>
      </x:c>
      <x:c r="E62" s="36" t="n">
        <x:v>-0.0013460197113292771</x:v>
      </x:c>
      <x:c r="F62" s="10" t="str">
        <x:v>一致</x:v>
      </x:c>
    </x:row>
    <x:row r="63" ht="23" customHeight="1">
      <x:c r="A63" s="10" t="str">
        <x:v>表5-3</x:v>
      </x:c>
      <x:c r="B63" s="10" t="str">
        <x:v>PointNeXt四分下采样 macc均值</x:v>
      </x:c>
      <x:c r="C63" s="36" t="n">
        <x:v>91.52</x:v>
      </x:c>
      <x:c r="D63" s="36" t="n">
        <x:v>91.52337513091311</x:v>
      </x:c>
      <x:c r="E63" s="36" t="n">
        <x:v>0.0033751309131133667</x:v>
      </x:c>
      <x:c r="F63" s="10" t="str">
        <x:v>一致</x:v>
      </x:c>
    </x:row>
    <x:row r="64" ht="23" customHeight="1">
      <x:c r="A64" s="10" t="str">
        <x:v>表5-3</x:v>
      </x:c>
      <x:c r="B64" s="10" t="str">
        <x:v>PointNeXt四分下采样 macc样本标准差</x:v>
      </x:c>
      <x:c r="C64" s="36" t="n">
        <x:v>0.21</x:v>
      </x:c>
      <x:c r="D64" s="36" t="n">
        <x:v>0.2085676121476976</x:v>
      </x:c>
      <x:c r="E64" s="36" t="n">
        <x:v>-0.0014323878523024025</x:v>
      </x:c>
      <x:c r="F64" s="10" t="str">
        <x:v>一致</x:v>
      </x:c>
    </x:row>
    <x:row r="65" ht="23" customHeight="1">
      <x:c r="A65" s="10" t="str">
        <x:v>表5-3</x:v>
      </x:c>
      <x:c r="B65" s="10" t="str">
        <x:v>PointNeXt四分下采样 macro_f1均值</x:v>
      </x:c>
      <x:c r="C65" s="36" t="n">
        <x:v>91.7</x:v>
      </x:c>
      <x:c r="D65" s="36" t="n">
        <x:v>91.70395612099409</x:v>
      </x:c>
      <x:c r="E65" s="36" t="n">
        <x:v>0.003956120994089929</x:v>
      </x:c>
      <x:c r="F65" s="10" t="str">
        <x:v>一致</x:v>
      </x:c>
    </x:row>
    <x:row r="66" ht="23" customHeight="1">
      <x:c r="A66" s="10" t="str">
        <x:v>表5-3</x:v>
      </x:c>
      <x:c r="B66" s="10" t="str">
        <x:v>PointNeXt四分下采样 macro_f1样本标准差</x:v>
      </x:c>
      <x:c r="C66" s="36" t="n">
        <x:v>0.48</x:v>
      </x:c>
      <x:c r="D66" s="36" t="n">
        <x:v>0.48197260546678133</x:v>
      </x:c>
      <x:c r="E66" s="36" t="n">
        <x:v>0.001972605466781352</x:v>
      </x:c>
      <x:c r="F66" s="10" t="str">
        <x:v>一致</x:v>
      </x:c>
    </x:row>
    <x:row r="67" ht="23" customHeight="1">
      <x:c r="A67" s="10" t="str">
        <x:v>表5-3</x:v>
      </x:c>
      <x:c r="B67" s="10" t="str">
        <x:v>PointNeXt四分下采样参数/M</x:v>
      </x:c>
      <x:c r="C67" s="36" t="n">
        <x:v>1.367</x:v>
      </x:c>
      <x:c r="D67" s="36" t="n">
        <x:v>1.36683</x:v>
      </x:c>
      <x:c r="E67" s="36" t="n">
        <x:v>-0.00017000000000000348</x:v>
      </x:c>
      <x:c r="F67" s="10" t="str">
        <x:v>一致</x:v>
      </x:c>
    </x:row>
    <x:row r="68" ht="23" customHeight="1">
      <x:c r="A68" s="10" t="str">
        <x:v>表5-3</x:v>
      </x:c>
      <x:c r="B68" s="10" t="str">
        <x:v>PointNeXt四分下采样延迟</x:v>
      </x:c>
      <x:c r="C68" s="36" t="n">
        <x:v>9.56</x:v>
      </x:c>
      <x:c r="D68" s="36" t="n">
        <x:v>9.55551423549652</x:v>
      </x:c>
      <x:c r="E68" s="36" t="n">
        <x:v>-0.004485764503479928</x:v>
      </x:c>
      <x:c r="F68" s="10" t="str">
        <x:v>一致</x:v>
      </x:c>
    </x:row>
    <x:row r="69" ht="23" customHeight="1">
      <x:c r="A69" s="10" t="str">
        <x:v>表5-3</x:v>
      </x:c>
      <x:c r="B69" s="10" t="str">
        <x:v>ISPointNet监督分支 oa均值</x:v>
      </x:c>
      <x:c r="C69" s="36" t="n">
        <x:v>95.4</x:v>
      </x:c>
      <x:c r="D69" s="36" t="n">
        <x:v>95.403742852192</x:v>
      </x:c>
      <x:c r="E69" s="36" t="n">
        <x:v>0.0037428521919906643</x:v>
      </x:c>
      <x:c r="F69" s="10" t="str">
        <x:v>一致</x:v>
      </x:c>
    </x:row>
    <x:row r="70" ht="23" customHeight="1">
      <x:c r="A70" s="10" t="str">
        <x:v>表5-3</x:v>
      </x:c>
      <x:c r="B70" s="10" t="str">
        <x:v>ISPointNet监督分支 oa样本标准差</x:v>
      </x:c>
      <x:c r="C70" s="36" t="n">
        <x:v>0.03</x:v>
      </x:c>
      <x:c r="D70" s="36" t="n">
        <x:v>0.0306319000687383</x:v>
      </x:c>
      <x:c r="E70" s="36" t="n">
        <x:v>0.000631900068738301</x:v>
      </x:c>
      <x:c r="F70" s="10" t="str">
        <x:v>一致</x:v>
      </x:c>
    </x:row>
    <x:row r="71" ht="23" customHeight="1">
      <x:c r="A71" s="10" t="str">
        <x:v>表5-3</x:v>
      </x:c>
      <x:c r="B71" s="10" t="str">
        <x:v>ISPointNet监督分支 macc均值</x:v>
      </x:c>
      <x:c r="C71" s="36" t="n">
        <x:v>92.45</x:v>
      </x:c>
      <x:c r="D71" s="36" t="n">
        <x:v>92.45099893733031</x:v>
      </x:c>
      <x:c r="E71" s="36" t="n">
        <x:v>0.0009989373303085358</x:v>
      </x:c>
      <x:c r="F71" s="10" t="str">
        <x:v>一致</x:v>
      </x:c>
    </x:row>
    <x:row r="72" ht="23" customHeight="1">
      <x:c r="A72" s="10" t="str">
        <x:v>表5-3</x:v>
      </x:c>
      <x:c r="B72" s="10" t="str">
        <x:v>ISPointNet监督分支 macc样本标准差</x:v>
      </x:c>
      <x:c r="C72" s="36" t="n">
        <x:v>0.04</x:v>
      </x:c>
      <x:c r="D72" s="36" t="n">
        <x:v>0.036423592029866246</x:v>
      </x:c>
      <x:c r="E72" s="36" t="n">
        <x:v>-0.0035764079701337548</x:v>
      </x:c>
      <x:c r="F72" s="10" t="str">
        <x:v>一致</x:v>
      </x:c>
    </x:row>
    <x:row r="73" ht="23" customHeight="1">
      <x:c r="A73" s="10" t="str">
        <x:v>表5-3</x:v>
      </x:c>
      <x:c r="B73" s="10" t="str">
        <x:v>ISPointNet监督分支 macro_f1均值</x:v>
      </x:c>
      <x:c r="C73" s="36" t="n">
        <x:v>92.91</x:v>
      </x:c>
      <x:c r="D73" s="36" t="n">
        <x:v>92.9142488356158</x:v>
      </x:c>
      <x:c r="E73" s="36" t="n">
        <x:v>0.004248835615797475</x:v>
      </x:c>
      <x:c r="F73" s="10" t="str">
        <x:v>一致</x:v>
      </x:c>
    </x:row>
    <x:row r="74" ht="23" customHeight="1">
      <x:c r="A74" s="10" t="str">
        <x:v>表5-3</x:v>
      </x:c>
      <x:c r="B74" s="10" t="str">
        <x:v>ISPointNet监督分支 macro_f1样本标准差</x:v>
      </x:c>
      <x:c r="C74" s="36" t="n">
        <x:v>0.21</x:v>
      </x:c>
      <x:c r="D74" s="36" t="n">
        <x:v>0.20625005605713279</x:v>
      </x:c>
      <x:c r="E74" s="36" t="n">
        <x:v>-0.0037499439428672066</x:v>
      </x:c>
      <x:c r="F74" s="10" t="str">
        <x:v>一致</x:v>
      </x:c>
    </x:row>
    <x:row r="75" ht="23" customHeight="1">
      <x:c r="A75" s="10" t="str">
        <x:v>表5-3</x:v>
      </x:c>
      <x:c r="B75" s="10" t="str">
        <x:v>ISPointNet监督分支参数/M</x:v>
      </x:c>
      <x:c r="C75" s="36" t="n">
        <x:v>1.367</x:v>
      </x:c>
      <x:c r="D75" s="36" t="n">
        <x:v>1.36683</x:v>
      </x:c>
      <x:c r="E75" s="36" t="n">
        <x:v>-0.00017000000000000348</x:v>
      </x:c>
      <x:c r="F75" s="10" t="str">
        <x:v>一致</x:v>
      </x:c>
    </x:row>
    <x:row r="76" ht="23" customHeight="1">
      <x:c r="A76" s="10" t="str">
        <x:v>表5-3</x:v>
      </x:c>
      <x:c r="B76" s="10" t="str">
        <x:v>ISPointNet监督分支延迟</x:v>
      </x:c>
      <x:c r="C76" s="36" t="n">
        <x:v>25</x:v>
      </x:c>
      <x:c r="D76" s="36" t="n">
        <x:v>24.999260005950926</x:v>
      </x:c>
      <x:c r="E76" s="36" t="n">
        <x:v>-0.0007399940490735446</x:v>
      </x:c>
      <x:c r="F76" s="10" t="str">
        <x:v>一致</x:v>
      </x:c>
    </x:row>
    <x:row r="77" ht="23" customHeight="1">
      <x:c r="A77" s="10" t="str">
        <x:v>表5-4</x:v>
      </x:c>
      <x:c r="B77" s="10" t="str">
        <x:v>螺钉／螺栓／螺柱四分F1</x:v>
      </x:c>
      <x:c r="C77" s="36" t="n">
        <x:v>97.04</x:v>
      </x:c>
      <x:c r="D77" s="36" t="n">
        <x:v>97.04441103434154</x:v>
      </x:c>
      <x:c r="E77" s="36" t="n">
        <x:v>0.004411034341529785</x:v>
      </x:c>
      <x:c r="F77" s="10" t="str">
        <x:v>一致</x:v>
      </x:c>
    </x:row>
    <x:row r="78" ht="23" customHeight="1">
      <x:c r="A78" s="10" t="str">
        <x:v>表5-4</x:v>
      </x:c>
      <x:c r="B78" s="10" t="str">
        <x:v>螺钉／螺栓／螺柱二分F1</x:v>
      </x:c>
      <x:c r="C78" s="36" t="n">
        <x:v>97.14</x:v>
      </x:c>
      <x:c r="D78" s="36" t="n">
        <x:v>97.13579594863505</x:v>
      </x:c>
      <x:c r="E78" s="36" t="n">
        <x:v>-0.004204051364951056</x:v>
      </x:c>
      <x:c r="F78" s="10" t="str">
        <x:v>一致</x:v>
      </x:c>
    </x:row>
    <x:row r="79" ht="23" customHeight="1">
      <x:c r="A79" s="42" t="str">
        <x:v>表5-4</x:v>
      </x:c>
      <x:c r="B79" s="42" t="str">
        <x:v>螺钉／螺栓／螺柱差值</x:v>
      </x:c>
      <x:c r="C79" s="43" t="n">
        <x:v>0.1</x:v>
      </x:c>
      <x:c r="D79" s="43" t="n">
        <x:v>0.09138491429351303</x:v>
      </x:c>
      <x:c r="E79" s="43" t="n">
        <x:v>-0.008615085706486975</x:v>
      </x:c>
      <x:c r="F79" s="42" t="str">
        <x:v>需修正</x:v>
      </x:c>
    </x:row>
    <x:row r="80" ht="23" customHeight="1">
      <x:c r="A80" s="10" t="str">
        <x:v>表5-4</x:v>
      </x:c>
      <x:c r="B80" s="10" t="str">
        <x:v>螺母四分F1</x:v>
      </x:c>
      <x:c r="C80" s="36" t="n">
        <x:v>97.15</x:v>
      </x:c>
      <x:c r="D80" s="36" t="n">
        <x:v>97.15496158748672</x:v>
      </x:c>
      <x:c r="E80" s="36" t="n">
        <x:v>0.004961587486718599</x:v>
      </x:c>
      <x:c r="F80" s="10" t="str">
        <x:v>一致</x:v>
      </x:c>
    </x:row>
    <x:row r="81" ht="23" customHeight="1">
      <x:c r="A81" s="10" t="str">
        <x:v>表5-4</x:v>
      </x:c>
      <x:c r="B81" s="10" t="str">
        <x:v>螺母二分F1</x:v>
      </x:c>
      <x:c r="C81" s="36" t="n">
        <x:v>97.52</x:v>
      </x:c>
      <x:c r="D81" s="36" t="n">
        <x:v>97.52374463667259</x:v>
      </x:c>
      <x:c r="E81" s="36" t="n">
        <x:v>0.00374463667259306</x:v>
      </x:c>
      <x:c r="F81" s="10" t="str">
        <x:v>一致</x:v>
      </x:c>
    </x:row>
    <x:row r="82" ht="23" customHeight="1">
      <x:c r="A82" s="10" t="str">
        <x:v>表5-4</x:v>
      </x:c>
      <x:c r="B82" s="10" t="str">
        <x:v>螺母差值</x:v>
      </x:c>
      <x:c r="C82" s="36" t="n">
        <x:v>0.37</x:v>
      </x:c>
      <x:c r="D82" s="36" t="n">
        <x:v>0.36878304918587235</x:v>
      </x:c>
      <x:c r="E82" s="36" t="n">
        <x:v>-0.0012169508141276486</x:v>
      </x:c>
      <x:c r="F82" s="10" t="str">
        <x:v>一致</x:v>
      </x:c>
    </x:row>
    <x:row r="83" ht="23" customHeight="1">
      <x:c r="A83" s="10" t="str">
        <x:v>表5-4</x:v>
      </x:c>
      <x:c r="B83" s="10" t="str">
        <x:v>垫圈／环／隔套四分F1</x:v>
      </x:c>
      <x:c r="C83" s="36" t="n">
        <x:v>97.09</x:v>
      </x:c>
      <x:c r="D83" s="36" t="n">
        <x:v>97.0945090364913</x:v>
      </x:c>
      <x:c r="E83" s="36" t="n">
        <x:v>0.004509036491299412</x:v>
      </x:c>
      <x:c r="F83" s="10" t="str">
        <x:v>一致</x:v>
      </x:c>
    </x:row>
    <x:row r="84" ht="23" customHeight="1">
      <x:c r="A84" s="10" t="str">
        <x:v>表5-4</x:v>
      </x:c>
      <x:c r="B84" s="10" t="str">
        <x:v>垫圈／环／隔套二分F1</x:v>
      </x:c>
      <x:c r="C84" s="36" t="n">
        <x:v>97.43</x:v>
      </x:c>
      <x:c r="D84" s="36" t="n">
        <x:v>97.42623950586244</x:v>
      </x:c>
      <x:c r="E84" s="36" t="n">
        <x:v>-0.0037604941375661838</x:v>
      </x:c>
      <x:c r="F84" s="10" t="str">
        <x:v>一致</x:v>
      </x:c>
    </x:row>
    <x:row r="85" ht="23" customHeight="1">
      <x:c r="A85" s="42" t="str">
        <x:v>表5-4</x:v>
      </x:c>
      <x:c r="B85" s="42" t="str">
        <x:v>垫圈／环／隔套差值</x:v>
      </x:c>
      <x:c r="C85" s="43" t="n">
        <x:v>0.34</x:v>
      </x:c>
      <x:c r="D85" s="43" t="n">
        <x:v>0.3317304693711387</x:v>
      </x:c>
      <x:c r="E85" s="43" t="n">
        <x:v>-0.008269530628861321</x:v>
      </x:c>
      <x:c r="F85" s="42" t="str">
        <x:v>需修正</x:v>
      </x:c>
    </x:row>
    <x:row r="86" ht="23" customHeight="1">
      <x:c r="A86" s="10" t="str">
        <x:v>表5-4</x:v>
      </x:c>
      <x:c r="B86" s="10" t="str">
        <x:v>销／铆钉／键四分F1</x:v>
      </x:c>
      <x:c r="C86" s="36" t="n">
        <x:v>97.26</x:v>
      </x:c>
      <x:c r="D86" s="36" t="n">
        <x:v>97.26301530762815</x:v>
      </x:c>
      <x:c r="E86" s="36" t="n">
        <x:v>0.003015307628146502</x:v>
      </x:c>
      <x:c r="F86" s="10" t="str">
        <x:v>一致</x:v>
      </x:c>
    </x:row>
    <x:row r="87" ht="23" customHeight="1">
      <x:c r="A87" s="10" t="str">
        <x:v>表5-4</x:v>
      </x:c>
      <x:c r="B87" s="10" t="str">
        <x:v>销／铆钉／键二分F1</x:v>
      </x:c>
      <x:c r="C87" s="36" t="n">
        <x:v>97.54</x:v>
      </x:c>
      <x:c r="D87" s="36" t="n">
        <x:v>97.54430527910878</x:v>
      </x:c>
      <x:c r="E87" s="36" t="n">
        <x:v>0.004305279108777427</x:v>
      </x:c>
      <x:c r="F87" s="10" t="str">
        <x:v>一致</x:v>
      </x:c>
    </x:row>
    <x:row r="88" ht="23" customHeight="1">
      <x:c r="A88" s="10" t="str">
        <x:v>表5-4</x:v>
      </x:c>
      <x:c r="B88" s="10" t="str">
        <x:v>销／铆钉／键差值</x:v>
      </x:c>
      <x:c r="C88" s="36" t="n">
        <x:v>0.28</x:v>
      </x:c>
      <x:c r="D88" s="36" t="n">
        <x:v>0.28128997148062496</x:v>
      </x:c>
      <x:c r="E88" s="36" t="n">
        <x:v>0.0012899714806249296</x:v>
      </x:c>
      <x:c r="F88" s="10" t="str">
        <x:v>一致</x:v>
      </x:c>
    </x:row>
    <x:row r="89" ht="23" customHeight="1">
      <x:c r="A89" s="10" t="str">
        <x:v>表5-4</x:v>
      </x:c>
      <x:c r="B89" s="10" t="str">
        <x:v>轴承／衬套／导向件四分F1</x:v>
      </x:c>
      <x:c r="C89" s="36" t="n">
        <x:v>88.77</x:v>
      </x:c>
      <x:c r="D89" s="36" t="n">
        <x:v>88.76560259762165</x:v>
      </x:c>
      <x:c r="E89" s="36" t="n">
        <x:v>-0.00439740237834485</x:v>
      </x:c>
      <x:c r="F89" s="10" t="str">
        <x:v>一致</x:v>
      </x:c>
    </x:row>
    <x:row r="90" ht="23" customHeight="1">
      <x:c r="A90" s="10" t="str">
        <x:v>表5-4</x:v>
      </x:c>
      <x:c r="B90" s="10" t="str">
        <x:v>轴承／衬套／导向件二分F1</x:v>
      </x:c>
      <x:c r="C90" s="36" t="n">
        <x:v>90.64</x:v>
      </x:c>
      <x:c r="D90" s="36" t="n">
        <x:v>90.64217345416165</x:v>
      </x:c>
      <x:c r="E90" s="36" t="n">
        <x:v>0.0021734541616496017</x:v>
      </x:c>
      <x:c r="F90" s="10" t="str">
        <x:v>一致</x:v>
      </x:c>
    </x:row>
    <x:row r="91" ht="23" customHeight="1">
      <x:c r="A91" s="42" t="str">
        <x:v>表5-4</x:v>
      </x:c>
      <x:c r="B91" s="42" t="str">
        <x:v>轴承／衬套／导向件差值</x:v>
      </x:c>
      <x:c r="C91" s="43" t="n">
        <x:v>1.87</x:v>
      </x:c>
      <x:c r="D91" s="43" t="n">
        <x:v>1.8765708565400052</x:v>
      </x:c>
      <x:c r="E91" s="43" t="n">
        <x:v>0.00657085654000511</x:v>
      </x:c>
      <x:c r="F91" s="42" t="str">
        <x:v>需修正</x:v>
      </x:c>
    </x:row>
    <x:row r="92" ht="23" customHeight="1">
      <x:c r="A92" s="10" t="str">
        <x:v>表5-4</x:v>
      </x:c>
      <x:c r="B92" s="10" t="str">
        <x:v>齿轮／带轮／链条四分F1</x:v>
      </x:c>
      <x:c r="C92" s="36" t="n">
        <x:v>92.02</x:v>
      </x:c>
      <x:c r="D92" s="36" t="n">
        <x:v>92.02106905969568</x:v>
      </x:c>
      <x:c r="E92" s="36" t="n">
        <x:v>0.0010690596956806075</x:v>
      </x:c>
      <x:c r="F92" s="10" t="str">
        <x:v>一致</x:v>
      </x:c>
    </x:row>
    <x:row r="93" ht="23" customHeight="1">
      <x:c r="A93" s="10" t="str">
        <x:v>表5-4</x:v>
      </x:c>
      <x:c r="B93" s="10" t="str">
        <x:v>齿轮／带轮／链条二分F1</x:v>
      </x:c>
      <x:c r="C93" s="36" t="n">
        <x:v>92.62</x:v>
      </x:c>
      <x:c r="D93" s="36" t="n">
        <x:v>92.62229124020611</x:v>
      </x:c>
      <x:c r="E93" s="36" t="n">
        <x:v>0.0022912402061052717</x:v>
      </x:c>
      <x:c r="F93" s="10" t="str">
        <x:v>一致</x:v>
      </x:c>
    </x:row>
    <x:row r="94" ht="23" customHeight="1">
      <x:c r="A94" s="10" t="str">
        <x:v>表5-4</x:v>
      </x:c>
      <x:c r="B94" s="10" t="str">
        <x:v>齿轮／带轮／链条差值</x:v>
      </x:c>
      <x:c r="C94" s="36" t="n">
        <x:v>0.6</x:v>
      </x:c>
      <x:c r="D94" s="36" t="n">
        <x:v>0.6012221805104412</x:v>
      </x:c>
      <x:c r="E94" s="36" t="n">
        <x:v>0.0012221805104412065</x:v>
      </x:c>
      <x:c r="F94" s="10" t="str">
        <x:v>一致</x:v>
      </x:c>
    </x:row>
    <x:row r="95" ht="23" customHeight="1">
      <x:c r="A95" s="10" t="str">
        <x:v>表5-4</x:v>
      </x:c>
      <x:c r="B95" s="10" t="str">
        <x:v>电机／减速电机四分F1</x:v>
      </x:c>
      <x:c r="C95" s="36" t="n">
        <x:v>94.05</x:v>
      </x:c>
      <x:c r="D95" s="36" t="n">
        <x:v>94.054397726104</x:v>
      </x:c>
      <x:c r="E95" s="36" t="n">
        <x:v>0.004397726104002686</x:v>
      </x:c>
      <x:c r="F95" s="10" t="str">
        <x:v>一致</x:v>
      </x:c>
    </x:row>
    <x:row r="96" ht="23" customHeight="1">
      <x:c r="A96" s="10" t="str">
        <x:v>表5-4</x:v>
      </x:c>
      <x:c r="B96" s="10" t="str">
        <x:v>电机／减速电机二分F1</x:v>
      </x:c>
      <x:c r="C96" s="36" t="n">
        <x:v>96.22</x:v>
      </x:c>
      <x:c r="D96" s="36" t="n">
        <x:v>96.22022824804073</x:v>
      </x:c>
      <x:c r="E96" s="36" t="n">
        <x:v>0.0002282480407274079</x:v>
      </x:c>
      <x:c r="F96" s="10" t="str">
        <x:v>一致</x:v>
      </x:c>
    </x:row>
    <x:row r="97" ht="23" customHeight="1">
      <x:c r="A97" s="10" t="str">
        <x:v>表5-4</x:v>
      </x:c>
      <x:c r="B97" s="10" t="str">
        <x:v>电机／减速电机差值</x:v>
      </x:c>
      <x:c r="C97" s="36" t="n">
        <x:v>2.17</x:v>
      </x:c>
      <x:c r="D97" s="36" t="n">
        <x:v>2.165830521936729</x:v>
      </x:c>
      <x:c r="E97" s="36" t="n">
        <x:v>-0.004169478063270837</x:v>
      </x:c>
      <x:c r="F97" s="10" t="str">
        <x:v>一致</x:v>
      </x:c>
    </x:row>
    <x:row r="98" ht="23" customHeight="1">
      <x:c r="A98" s="10" t="str">
        <x:v>表5-4</x:v>
      </x:c>
      <x:c r="B98" s="10" t="str">
        <x:v>管件／阀门／喷嘴四分F1</x:v>
      </x:c>
      <x:c r="C98" s="36" t="n">
        <x:v>81.52</x:v>
      </x:c>
      <x:c r="D98" s="36" t="n">
        <x:v>81.52381553479762</x:v>
      </x:c>
      <x:c r="E98" s="36" t="n">
        <x:v>0.0038155347976243092</x:v>
      </x:c>
      <x:c r="F98" s="10" t="str">
        <x:v>一致</x:v>
      </x:c>
    </x:row>
    <x:row r="99" ht="23" customHeight="1">
      <x:c r="A99" s="10" t="str">
        <x:v>表5-4</x:v>
      </x:c>
      <x:c r="B99" s="10" t="str">
        <x:v>管件／阀门／喷嘴二分F1</x:v>
      </x:c>
      <x:c r="C99" s="36" t="n">
        <x:v>83.12</x:v>
      </x:c>
      <x:c r="D99" s="36" t="n">
        <x:v>83.1199543299516</x:v>
      </x:c>
      <x:c r="E99" s="36" t="n">
        <x:v>-0.00004567004840794198</x:v>
      </x:c>
      <x:c r="F99" s="10" t="str">
        <x:v>一致</x:v>
      </x:c>
    </x:row>
    <x:row r="100" ht="23" customHeight="1">
      <x:c r="A100" s="10" t="str">
        <x:v>表5-4</x:v>
      </x:c>
      <x:c r="B100" s="10" t="str">
        <x:v>管件／阀门／喷嘴差值</x:v>
      </x:c>
      <x:c r="C100" s="36" t="n">
        <x:v>1.6</x:v>
      </x:c>
      <x:c r="D100" s="36" t="n">
        <x:v>1.5961387951539785</x:v>
      </x:c>
      <x:c r="E100" s="36" t="n">
        <x:v>-0.003861204846021593</x:v>
      </x:c>
      <x:c r="F100" s="10" t="str">
        <x:v>一致</x:v>
      </x:c>
    </x:row>
    <x:row r="101" ht="23" customHeight="1">
      <x:c r="A101" s="10" t="str">
        <x:v>表5-4</x:v>
      </x:c>
      <x:c r="B101" s="10" t="str">
        <x:v>连接件／夹具四分F1</x:v>
      </x:c>
      <x:c r="C101" s="36" t="n">
        <x:v>88.61</x:v>
      </x:c>
      <x:c r="D101" s="36" t="n">
        <x:v>88.61305104583717</x:v>
      </x:c>
      <x:c r="E101" s="36" t="n">
        <x:v>0.003051045837167976</x:v>
      </x:c>
      <x:c r="F101" s="10" t="str">
        <x:v>一致</x:v>
      </x:c>
    </x:row>
    <x:row r="102" ht="23" customHeight="1">
      <x:c r="A102" s="10" t="str">
        <x:v>表5-4</x:v>
      </x:c>
      <x:c r="B102" s="10" t="str">
        <x:v>连接件／夹具二分F1</x:v>
      </x:c>
      <x:c r="C102" s="36" t="n">
        <x:v>90.13</x:v>
      </x:c>
      <x:c r="D102" s="36" t="n">
        <x:v>90.12644830659538</x:v>
      </x:c>
      <x:c r="E102" s="36" t="n">
        <x:v>-0.00355169340461714</x:v>
      </x:c>
      <x:c r="F102" s="10" t="str">
        <x:v>一致</x:v>
      </x:c>
    </x:row>
    <x:row r="103" ht="23" customHeight="1">
      <x:c r="A103" s="42" t="str">
        <x:v>表5-4</x:v>
      </x:c>
      <x:c r="B103" s="42" t="str">
        <x:v>连接件／夹具差值</x:v>
      </x:c>
      <x:c r="C103" s="43" t="n">
        <x:v>1.52</x:v>
      </x:c>
      <x:c r="D103" s="43" t="n">
        <x:v>1.5133972607582091</x:v>
      </x:c>
      <x:c r="E103" s="43" t="n">
        <x:v>-0.006602739241790889</x:v>
      </x:c>
      <x:c r="F103" s="42" t="str">
        <x:v>需修正</x:v>
      </x:c>
    </x:row>
    <x:row r="104" ht="23" customHeight="1">
      <x:c r="A104" s="10" t="str">
        <x:v>表5-4</x:v>
      </x:c>
      <x:c r="B104" s="10" t="str">
        <x:v>轮／脚轮四分F1</x:v>
      </x:c>
      <x:c r="C104" s="36" t="n">
        <x:v>94.74</x:v>
      </x:c>
      <x:c r="D104" s="36" t="n">
        <x:v>94.73636009799209</x:v>
      </x:c>
      <x:c r="E104" s="36" t="n">
        <x:v>-0.0036399020079045386</x:v>
      </x:c>
      <x:c r="F104" s="10" t="str">
        <x:v>一致</x:v>
      </x:c>
    </x:row>
    <x:row r="105" ht="23" customHeight="1">
      <x:c r="A105" s="10" t="str">
        <x:v>表5-4</x:v>
      </x:c>
      <x:c r="B105" s="10" t="str">
        <x:v>轮／脚轮二分F1</x:v>
      </x:c>
      <x:c r="C105" s="36" t="n">
        <x:v>96.17</x:v>
      </x:c>
      <x:c r="D105" s="36" t="n">
        <x:v>96.17216117216117</x:v>
      </x:c>
      <x:c r="E105" s="36" t="n">
        <x:v>0.0021611721611662915</x:v>
      </x:c>
      <x:c r="F105" s="10" t="str">
        <x:v>一致</x:v>
      </x:c>
    </x:row>
    <x:row r="106" ht="23" customHeight="1">
      <x:c r="A106" s="10" t="str">
        <x:v>表5-4</x:v>
      </x:c>
      <x:c r="B106" s="10" t="str">
        <x:v>轮／脚轮差值</x:v>
      </x:c>
      <x:c r="C106" s="36" t="n">
        <x:v>1.44</x:v>
      </x:c>
      <x:c r="D106" s="36" t="n">
        <x:v>1.4358010741690852</x:v>
      </x:c>
      <x:c r="E106" s="36" t="n">
        <x:v>-0.004198925830914746</x:v>
      </x:c>
      <x:c r="F106" s="10" t="str">
        <x:v>一致</x:v>
      </x:c>
    </x:row>
    <x:row r="107" ht="23" customHeight="1">
      <x:c r="A107" s="10" t="str">
        <x:v>表5-4</x:v>
      </x:c>
      <x:c r="B107" s="10" t="str">
        <x:v>旋转流体机械四分F1</x:v>
      </x:c>
      <x:c r="C107" s="36" t="n">
        <x:v>93.03</x:v>
      </x:c>
      <x:c r="D107" s="36" t="n">
        <x:v>93.02681992337165</x:v>
      </x:c>
      <x:c r="E107" s="36" t="n">
        <x:v>-0.003180076628353845</x:v>
      </x:c>
      <x:c r="F107" s="10" t="str">
        <x:v>一致</x:v>
      </x:c>
    </x:row>
    <x:row r="108" ht="23" customHeight="1">
      <x:c r="A108" s="10" t="str">
        <x:v>表5-4</x:v>
      </x:c>
      <x:c r="B108" s="10" t="str">
        <x:v>旋转流体机械二分F1</x:v>
      </x:c>
      <x:c r="C108" s="36" t="n">
        <x:v>94.14</x:v>
      </x:c>
      <x:c r="D108" s="36" t="n">
        <x:v>94.13619590741362</x:v>
      </x:c>
      <x:c r="E108" s="36" t="n">
        <x:v>-0.0038040925863782604</x:v>
      </x:c>
      <x:c r="F108" s="10" t="str">
        <x:v>一致</x:v>
      </x:c>
    </x:row>
    <x:row r="109" ht="23" customHeight="1">
      <x:c r="A109" s="10" t="str">
        <x:v>表5-4</x:v>
      </x:c>
      <x:c r="B109" s="10" t="str">
        <x:v>旋转流体机械差值</x:v>
      </x:c>
      <x:c r="C109" s="36" t="n">
        <x:v>1.11</x:v>
      </x:c>
      <x:c r="D109" s="36" t="n">
        <x:v>1.1093759840419715</x:v>
      </x:c>
      <x:c r="E109" s="36" t="n">
        <x:v>-0.0006240159580286342</x:v>
      </x:c>
      <x:c r="F109" s="10" t="str">
        <x:v>一致</x:v>
      </x:c>
    </x:row>
    <x:row r="110" ht="23" customHeight="1">
      <x:c r="A110" s="10" t="str">
        <x:v>表5-4</x:v>
      </x:c>
      <x:c r="B110" s="10" t="str">
        <x:v>板／盘／形状件四分F1</x:v>
      </x:c>
      <x:c r="C110" s="36" t="n">
        <x:v>85.65</x:v>
      </x:c>
      <x:c r="D110" s="36" t="n">
        <x:v>85.64531977613534</x:v>
      </x:c>
      <x:c r="E110" s="36" t="n">
        <x:v>-0.00468022386466771</x:v>
      </x:c>
      <x:c r="F110" s="10" t="str">
        <x:v>一致</x:v>
      </x:c>
    </x:row>
    <x:row r="111" ht="23" customHeight="1">
      <x:c r="A111" s="10" t="str">
        <x:v>表5-4</x:v>
      </x:c>
      <x:c r="B111" s="10" t="str">
        <x:v>板／盘／形状件二分F1</x:v>
      </x:c>
      <x:c r="C111" s="36" t="n">
        <x:v>84.87</x:v>
      </x:c>
      <x:c r="D111" s="36" t="n">
        <x:v>84.87084870848709</x:v>
      </x:c>
      <x:c r="E111" s="36" t="n">
        <x:v>0.000848708487083627</x:v>
      </x:c>
      <x:c r="F111" s="10" t="str">
        <x:v>一致</x:v>
      </x:c>
    </x:row>
    <x:row r="112" ht="23" customHeight="1">
      <x:c r="A112" s="42" t="str">
        <x:v>表5-4</x:v>
      </x:c>
      <x:c r="B112" s="42" t="str">
        <x:v>板／盘／形状件差值</x:v>
      </x:c>
      <x:c r="C112" s="43" t="n">
        <x:v>-0.78</x:v>
      </x:c>
      <x:c r="D112" s="43" t="n">
        <x:v>-0.7744710676482525</x:v>
      </x:c>
      <x:c r="E112" s="43" t="n">
        <x:v>0.005528932351747562</x:v>
      </x:c>
      <x:c r="F112" s="42" t="str">
        <x:v>需修正</x:v>
      </x:c>
    </x:row>
    <x:row r="113" ht="23" customHeight="1">
      <x:c r="A113" s="10" t="str">
        <x:v>表5-4</x:v>
      </x:c>
      <x:c r="B113" s="10" t="str">
        <x:v>把手／控制件四分F1</x:v>
      </x:c>
      <x:c r="C113" s="36" t="n">
        <x:v>92.03</x:v>
      </x:c>
      <x:c r="D113" s="36" t="n">
        <x:v>92.03336576214575</x:v>
      </x:c>
      <x:c r="E113" s="36" t="n">
        <x:v>0.003365762145747908</x:v>
      </x:c>
      <x:c r="F113" s="10" t="str">
        <x:v>一致</x:v>
      </x:c>
    </x:row>
    <x:row r="114" ht="23" customHeight="1">
      <x:c r="A114" s="10" t="str">
        <x:v>表5-4</x:v>
      </x:c>
      <x:c r="B114" s="10" t="str">
        <x:v>把手／控制件二分F1</x:v>
      </x:c>
      <x:c r="C114" s="36" t="n">
        <x:v>94.72</x:v>
      </x:c>
      <x:c r="D114" s="36" t="n">
        <x:v>94.72297161071054</x:v>
      </x:c>
      <x:c r="E114" s="36" t="n">
        <x:v>0.0029716107105457468</x:v>
      </x:c>
      <x:c r="F114" s="10" t="str">
        <x:v>一致</x:v>
      </x:c>
    </x:row>
    <x:row r="115" ht="23" customHeight="1">
      <x:c r="A115" s="10" t="str">
        <x:v>表5-4</x:v>
      </x:c>
      <x:c r="B115" s="10" t="str">
        <x:v>把手／控制件差值</x:v>
      </x:c>
      <x:c r="C115" s="36" t="n">
        <x:v>2.69</x:v>
      </x:c>
      <x:c r="D115" s="36" t="n">
        <x:v>2.6896058485648022</x:v>
      </x:c>
      <x:c r="E115" s="36" t="n">
        <x:v>-0.00039415143519772045</x:v>
      </x:c>
      <x:c r="F115" s="10" t="str">
        <x:v>一致</x:v>
      </x:c>
    </x:row>
    <x:row r="116" ht="23" customHeight="1">
      <x:c r="A116" s="10" t="str">
        <x:v>表5-4</x:v>
      </x:c>
      <x:c r="B116" s="10" t="str">
        <x:v>弹簧四分F1</x:v>
      </x:c>
      <x:c r="C116" s="36" t="n">
        <x:v>84.88</x:v>
      </x:c>
      <x:c r="D116" s="36" t="n">
        <x:v>84.87868720426859</x:v>
      </x:c>
      <x:c r="E116" s="36" t="n">
        <x:v>-0.0013127957314083005</x:v>
      </x:c>
      <x:c r="F116" s="10" t="str">
        <x:v>一致</x:v>
      </x:c>
    </x:row>
    <x:row r="117" ht="23" customHeight="1">
      <x:c r="A117" s="10" t="str">
        <x:v>表5-4</x:v>
      </x:c>
      <x:c r="B117" s="10" t="str">
        <x:v>弹簧二分F1</x:v>
      </x:c>
      <x:c r="C117" s="36" t="n">
        <x:v>88.54</x:v>
      </x:c>
      <x:c r="D117" s="36" t="n">
        <x:v>88.53612535061418</x:v>
      </x:c>
      <x:c r="E117" s="36" t="n">
        <x:v>-0.0038746493858212716</x:v>
      </x:c>
      <x:c r="F117" s="10" t="str">
        <x:v>一致</x:v>
      </x:c>
    </x:row>
    <x:row r="118" ht="23" customHeight="1">
      <x:c r="A118" s="10" t="str">
        <x:v>表5-4</x:v>
      </x:c>
      <x:c r="B118" s="10" t="str">
        <x:v>弹簧差值</x:v>
      </x:c>
      <x:c r="C118" s="36" t="n">
        <x:v>3.66</x:v>
      </x:c>
      <x:c r="D118" s="36" t="n">
        <x:v>3.657438146345604</x:v>
      </x:c>
      <x:c r="E118" s="36" t="n">
        <x:v>-0.0025618536543960957</x:v>
      </x:c>
      <x:c r="F118" s="10" t="str">
        <x:v>一致</x:v>
      </x:c>
    </x:row>
    <x:row r="119" ht="23" customHeight="1">
      <x:c r="A119" s="10" t="str">
        <x:v>表5-5</x:v>
      </x:c>
      <x:c r="B119" s="10" t="str">
        <x:v>N H0</x:v>
      </x:c>
      <x:c r="C119" s="36" t="n">
        <x:v>72.9</x:v>
      </x:c>
      <x:c r="D119" s="36" t="n">
        <x:v>72.89646798252254</x:v>
      </x:c>
      <x:c r="E119" s="36" t="n">
        <x:v>-0.00353201747746823</x:v>
      </x:c>
      <x:c r="F119" s="10" t="str">
        <x:v>一致</x:v>
      </x:c>
    </x:row>
    <x:row r="120" ht="23" customHeight="1">
      <x:c r="A120" s="10" t="str">
        <x:v>表5-5</x:v>
      </x:c>
      <x:c r="B120" s="10" t="str">
        <x:v>N H1</x:v>
      </x:c>
      <x:c r="C120" s="36" t="n">
        <x:v>72.61</x:v>
      </x:c>
      <x:c r="D120" s="36" t="n">
        <x:v>72.61017182746866</x:v>
      </x:c>
      <x:c r="E120" s="36" t="n">
        <x:v>0.00017182746866239995</x:v>
      </x:c>
      <x:c r="F120" s="10" t="str">
        <x:v>一致</x:v>
      </x:c>
    </x:row>
    <x:row r="121" ht="23" customHeight="1">
      <x:c r="A121" s="10" t="str">
        <x:v>表5-5</x:v>
      </x:c>
      <x:c r="B121" s="10" t="str">
        <x:v>N 减少量</x:v>
      </x:c>
      <x:c r="C121" s="36" t="n">
        <x:v>0.29</x:v>
      </x:c>
      <x:c r="D121" s="36" t="n">
        <x:v>0.2862961550538756</x:v>
      </x:c>
      <x:c r="E121" s="36" t="n">
        <x:v>-0.0037038449461243572</x:v>
      </x:c>
      <x:c r="F121" s="10" t="str">
        <x:v>一致</x:v>
      </x:c>
    </x:row>
    <x:row r="122" ht="23" customHeight="1">
      <x:c r="A122" s="10" t="str">
        <x:v>表5-5</x:v>
      </x:c>
      <x:c r="B122" s="10" t="str">
        <x:v>C H0</x:v>
      </x:c>
      <x:c r="C122" s="36" t="n">
        <x:v>77.29</x:v>
      </x:c>
      <x:c r="D122" s="36" t="n">
        <x:v>77.29286617369978</x:v>
      </x:c>
      <x:c r="E122" s="36" t="n">
        <x:v>0.0028661736997719345</x:v>
      </x:c>
      <x:c r="F122" s="10" t="str">
        <x:v>一致</x:v>
      </x:c>
    </x:row>
    <x:row r="123" ht="23" customHeight="1">
      <x:c r="A123" s="10" t="str">
        <x:v>表5-5</x:v>
      </x:c>
      <x:c r="B123" s="10" t="str">
        <x:v>C H1</x:v>
      </x:c>
      <x:c r="C123" s="36" t="n">
        <x:v>76.68</x:v>
      </x:c>
      <x:c r="D123" s="36" t="n">
        <x:v>76.6762981118389</x:v>
      </x:c>
      <x:c r="E123" s="36" t="n">
        <x:v>-0.003701888161103284</x:v>
      </x:c>
      <x:c r="F123" s="10" t="str">
        <x:v>一致</x:v>
      </x:c>
    </x:row>
    <x:row r="124" ht="23" customHeight="1">
      <x:c r="A124" s="10" t="str">
        <x:v>表5-5</x:v>
      </x:c>
      <x:c r="B124" s="10" t="str">
        <x:v>C 减少量</x:v>
      </x:c>
      <x:c r="C124" s="36" t="n">
        <x:v>0.62</x:v>
      </x:c>
      <x:c r="D124" s="36" t="n">
        <x:v>0.6165680618608746</x:v>
      </x:c>
      <x:c r="E124" s="36" t="n">
        <x:v>-0.0034319381391253456</x:v>
      </x:c>
      <x:c r="F124" s="10" t="str">
        <x:v>一致</x:v>
      </x:c>
    </x:row>
    <x:row r="125" ht="23" customHeight="1">
      <x:c r="A125" s="10" t="str">
        <x:v>表5-5</x:v>
      </x:c>
      <x:c r="B125" s="10" t="str">
        <x:v>G H0</x:v>
      </x:c>
      <x:c r="C125" s="36" t="n">
        <x:v>18.93</x:v>
      </x:c>
      <x:c r="D125" s="36" t="n">
        <x:v>18.92725407528253</x:v>
      </x:c>
      <x:c r="E125" s="36" t="n">
        <x:v>-0.0027459247174697055</x:v>
      </x:c>
      <x:c r="F125" s="10" t="str">
        <x:v>一致</x:v>
      </x:c>
    </x:row>
    <x:row r="126" ht="23" customHeight="1">
      <x:c r="A126" s="10" t="str">
        <x:v>表5-5</x:v>
      </x:c>
      <x:c r="B126" s="10" t="str">
        <x:v>G H1</x:v>
      </x:c>
      <x:c r="C126" s="36" t="n">
        <x:v>14.02</x:v>
      </x:c>
      <x:c r="D126" s="36" t="n">
        <x:v>14.018564922310361</x:v>
      </x:c>
      <x:c r="E126" s="36" t="n">
        <x:v>-0.0014350776896385753</x:v>
      </x:c>
      <x:c r="F126" s="10" t="str">
        <x:v>一致</x:v>
      </x:c>
    </x:row>
    <x:row r="127" ht="23" customHeight="1">
      <x:c r="A127" s="10" t="str">
        <x:v>表5-5</x:v>
      </x:c>
      <x:c r="B127" s="10" t="str">
        <x:v>G 减少量</x:v>
      </x:c>
      <x:c r="C127" s="36" t="n">
        <x:v>4.91</x:v>
      </x:c>
      <x:c r="D127" s="36" t="n">
        <x:v>4.908689152972169</x:v>
      </x:c>
      <x:c r="E127" s="36" t="n">
        <x:v>-0.0013108470278311302</x:v>
      </x:c>
      <x:c r="F127" s="10" t="str">
        <x:v>一致</x:v>
      </x:c>
    </x:row>
    <x:row r="128" ht="23" customHeight="1">
      <x:c r="A128" s="10" t="str">
        <x:v>表5-5</x:v>
      </x:c>
      <x:c r="B128" s="10" t="str">
        <x:v>NC H0</x:v>
      </x:c>
      <x:c r="C128" s="36" t="n">
        <x:v>68.12</x:v>
      </x:c>
      <x:c r="D128" s="36" t="n">
        <x:v>68.12368081244809</x:v>
      </x:c>
      <x:c r="E128" s="36" t="n">
        <x:v>0.003680812448081383</x:v>
      </x:c>
      <x:c r="F128" s="10" t="str">
        <x:v>一致</x:v>
      </x:c>
    </x:row>
    <x:row r="129" ht="23" customHeight="1">
      <x:c r="A129" s="10" t="str">
        <x:v>表5-5</x:v>
      </x:c>
      <x:c r="B129" s="10" t="str">
        <x:v>NC H1</x:v>
      </x:c>
      <x:c r="C129" s="36" t="n">
        <x:v>67.67</x:v>
      </x:c>
      <x:c r="D129" s="36" t="n">
        <x:v>67.6679693844546</x:v>
      </x:c>
      <x:c r="E129" s="36" t="n">
        <x:v>-0.0020306155454079544</x:v>
      </x:c>
      <x:c r="F129" s="10" t="str">
        <x:v>一致</x:v>
      </x:c>
    </x:row>
    <x:row r="130" ht="23" customHeight="1">
      <x:c r="A130" s="10" t="str">
        <x:v>表5-5</x:v>
      </x:c>
      <x:c r="B130" s="10" t="str">
        <x:v>NC 减少量</x:v>
      </x:c>
      <x:c r="C130" s="36" t="n">
        <x:v>0.46</x:v>
      </x:c>
      <x:c r="D130" s="36" t="n">
        <x:v>0.4557114279934922</x:v>
      </x:c>
      <x:c r="E130" s="36" t="n">
        <x:v>-0.00428857200650784</x:v>
      </x:c>
      <x:c r="F130" s="10" t="str">
        <x:v>一致</x:v>
      </x:c>
    </x:row>
    <x:row r="131" ht="23" customHeight="1">
      <x:c r="A131" s="10" t="str">
        <x:v>表5-5</x:v>
      </x:c>
      <x:c r="B131" s="10" t="str">
        <x:v>NG H0</x:v>
      </x:c>
      <x:c r="C131" s="36" t="n">
        <x:v>13.1</x:v>
      </x:c>
      <x:c r="D131" s="36" t="n">
        <x:v>13.097897578839268</x:v>
      </x:c>
      <x:c r="E131" s="36" t="n">
        <x:v>-0.0021024211607318932</x:v>
      </x:c>
      <x:c r="F131" s="10" t="str">
        <x:v>一致</x:v>
      </x:c>
    </x:row>
    <x:row r="132" ht="23" customHeight="1">
      <x:c r="A132" s="10" t="str">
        <x:v>表5-5</x:v>
      </x:c>
      <x:c r="B132" s="10" t="str">
        <x:v>NG H1</x:v>
      </x:c>
      <x:c r="C132" s="36" t="n">
        <x:v>6.13</x:v>
      </x:c>
      <x:c r="D132" s="36" t="n">
        <x:v>6.12831200758389</x:v>
      </x:c>
      <x:c r="E132" s="36" t="n">
        <x:v>-0.0016879924161097293</x:v>
      </x:c>
      <x:c r="F132" s="10" t="str">
        <x:v>一致</x:v>
      </x:c>
    </x:row>
    <x:row r="133" ht="23" customHeight="1">
      <x:c r="A133" s="10" t="str">
        <x:v>表5-5</x:v>
      </x:c>
      <x:c r="B133" s="10" t="str">
        <x:v>NG 减少量</x:v>
      </x:c>
      <x:c r="C133" s="36" t="n">
        <x:v>6.97</x:v>
      </x:c>
      <x:c r="D133" s="36" t="n">
        <x:v>6.969585571255378</x:v>
      </x:c>
      <x:c r="E133" s="36" t="n">
        <x:v>-0.00041442874462216395</x:v>
      </x:c>
      <x:c r="F133" s="10" t="str">
        <x:v>一致</x:v>
      </x:c>
    </x:row>
    <x:row r="134" ht="23" customHeight="1">
      <x:c r="A134" s="10" t="str">
        <x:v>表5-5</x:v>
      </x:c>
      <x:c r="B134" s="10" t="str">
        <x:v>CG H0</x:v>
      </x:c>
      <x:c r="C134" s="36" t="n">
        <x:v>21.27</x:v>
      </x:c>
      <x:c r="D134" s="36" t="n">
        <x:v>21.27120898882111</x:v>
      </x:c>
      <x:c r="E134" s="36" t="n">
        <x:v>0.0012089888211122002</x:v>
      </x:c>
      <x:c r="F134" s="10" t="str">
        <x:v>一致</x:v>
      </x:c>
    </x:row>
    <x:row r="135" ht="23" customHeight="1">
      <x:c r="A135" s="10" t="str">
        <x:v>表5-5</x:v>
      </x:c>
      <x:c r="B135" s="10" t="str">
        <x:v>CG H1</x:v>
      </x:c>
      <x:c r="C135" s="36" t="n">
        <x:v>12.2</x:v>
      </x:c>
      <x:c r="D135" s="36" t="n">
        <x:v>12.200151046554963</x:v>
      </x:c>
      <x:c r="E135" s="36" t="n">
        <x:v>0.00015104655496323005</x:v>
      </x:c>
      <x:c r="F135" s="10" t="str">
        <x:v>一致</x:v>
      </x:c>
    </x:row>
    <x:row r="136" ht="23" customHeight="1">
      <x:c r="A136" s="10" t="str">
        <x:v>表5-5</x:v>
      </x:c>
      <x:c r="B136" s="10" t="str">
        <x:v>CG 减少量</x:v>
      </x:c>
      <x:c r="C136" s="36" t="n">
        <x:v>9.07</x:v>
      </x:c>
      <x:c r="D136" s="36" t="n">
        <x:v>9.07105794226615</x:v>
      </x:c>
      <x:c r="E136" s="36" t="n">
        <x:v>0.0010579422661489701</x:v>
      </x:c>
      <x:c r="F136" s="10" t="str">
        <x:v>一致</x:v>
      </x:c>
    </x:row>
    <x:row r="137" ht="23" customHeight="1">
      <x:c r="A137" s="10" t="str">
        <x:v>表5-5</x:v>
      </x:c>
      <x:c r="B137" s="10" t="str">
        <x:v>NCG H0</x:v>
      </x:c>
      <x:c r="C137" s="36" t="n">
        <x:v>11.01</x:v>
      </x:c>
      <x:c r="D137" s="36" t="n">
        <x:v>11.007407341087596</x:v>
      </x:c>
      <x:c r="E137" s="36" t="n">
        <x:v>-0.002592658912403678</x:v>
      </x:c>
      <x:c r="F137" s="10" t="str">
        <x:v>一致</x:v>
      </x:c>
    </x:row>
    <x:row r="138" ht="23" customHeight="1">
      <x:c r="A138" s="10" t="str">
        <x:v>表5-5</x:v>
      </x:c>
      <x:c r="B138" s="10" t="str">
        <x:v>NCG H1</x:v>
      </x:c>
      <x:c r="C138" s="36" t="n">
        <x:v>3.85</x:v>
      </x:c>
      <x:c r="D138" s="36" t="n">
        <x:v>3.848789551415325</x:v>
      </x:c>
      <x:c r="E138" s="36" t="n">
        <x:v>-0.0012104485846751167</x:v>
      </x:c>
      <x:c r="F138" s="10" t="str">
        <x:v>一致</x:v>
      </x:c>
    </x:row>
    <x:row r="139" ht="23" customHeight="1">
      <x:c r="A139" s="10" t="str">
        <x:v>表5-5</x:v>
      </x:c>
      <x:c r="B139" s="10" t="str">
        <x:v>NCG 减少量</x:v>
      </x:c>
      <x:c r="C139" s="36" t="n">
        <x:v>7.16</x:v>
      </x:c>
      <x:c r="D139" s="36" t="n">
        <x:v>7.158617789672271</x:v>
      </x:c>
      <x:c r="E139" s="36" t="n">
        <x:v>-0.0013822103277290054</x:v>
      </x:c>
      <x:c r="F139" s="10" t="str">
        <x:v>一致</x:v>
      </x:c>
    </x:row>
    <x:row r="140" ht="23" customHeight="1">
      <x:c r="A140" s="10" t="str">
        <x:v>表5-6</x:v>
      </x:c>
      <x:c r="B140" s="10" t="str">
        <x:v>M1准确率</x:v>
      </x:c>
      <x:c r="C140" s="36" t="n">
        <x:v>82.26</x:v>
      </x:c>
      <x:c r="D140" s="36" t="n">
        <x:v>82.26221079691517</x:v>
      </x:c>
      <x:c r="E140" s="36" t="n">
        <x:v>0.002210796915164792</x:v>
      </x:c>
      <x:c r="F140" s="10" t="str">
        <x:v>一致</x:v>
      </x:c>
    </x:row>
    <x:row r="141" ht="23" customHeight="1">
      <x:c r="A141" s="10" t="str">
        <x:v>表5-6</x:v>
      </x:c>
      <x:c r="B141" s="10" t="str">
        <x:v>M2准确率</x:v>
      </x:c>
      <x:c r="C141" s="36" t="n">
        <x:v>78.72</x:v>
      </x:c>
      <x:c r="D141" s="36" t="n">
        <x:v>78.71621621621621</x:v>
      </x:c>
      <x:c r="E141" s="36" t="n">
        <x:v>-0.003783783783788408</x:v>
      </x:c>
      <x:c r="F141" s="10" t="str">
        <x:v>一致</x:v>
      </x:c>
    </x:row>
    <x:row r="142" ht="23" customHeight="1">
      <x:c r="A142" s="10" t="str">
        <x:v>表5-6</x:v>
      </x:c>
      <x:c r="B142" s="10" t="str">
        <x:v>M3准确率</x:v>
      </x:c>
      <x:c r="C142" s="36" t="n">
        <x:v>80.01</x:v>
      </x:c>
      <x:c r="D142" s="36" t="n">
        <x:v>80.0135043889264</x:v>
      </x:c>
      <x:c r="E142" s="36" t="n">
        <x:v>0.0035043889264017025</x:v>
      </x:c>
      <x:c r="F142" s="10" t="str">
        <x:v>一致</x:v>
      </x:c>
    </x:row>
    <x:row r="143" ht="23" customHeight="1">
      <x:c r="A143" s="10" t="str">
        <x:v>表5-6</x:v>
      </x:c>
      <x:c r="B143" s="10" t="str">
        <x:v>M4准确率</x:v>
      </x:c>
      <x:c r="C143" s="36" t="n">
        <x:v>86.41</x:v>
      </x:c>
      <x:c r="D143" s="36" t="n">
        <x:v>86.4061640066043</x:v>
      </x:c>
      <x:c r="E143" s="36" t="n">
        <x:v>-0.003835993395696846</x:v>
      </x:c>
      <x:c r="F143" s="10" t="str">
        <x:v>一致</x:v>
      </x:c>
    </x:row>
    <x:row r="144" ht="23" customHeight="1">
      <x:c r="A144" s="10" t="str">
        <x:v>表5-6</x:v>
      </x:c>
      <x:c r="B144" s="10" t="str">
        <x:v>M5准确率</x:v>
      </x:c>
      <x:c r="C144" s="36" t="n">
        <x:v>83.51</x:v>
      </x:c>
      <x:c r="D144" s="36" t="n">
        <x:v>83.51459645105896</x:v>
      </x:c>
      <x:c r="E144" s="36" t="n">
        <x:v>0.004596451058958451</x:v>
      </x:c>
      <x:c r="F144" s="10" t="str">
        <x:v>一致</x:v>
      </x:c>
    </x:row>
    <x:row r="145" ht="23" customHeight="1">
      <x:c r="A145" s="10" t="str">
        <x:v>表5-6</x:v>
      </x:c>
      <x:c r="B145" s="10" t="str">
        <x:v>M6准确率</x:v>
      </x:c>
      <x:c r="C145" s="36" t="n">
        <x:v>81.6</x:v>
      </x:c>
      <x:c r="D145" s="36" t="n">
        <x:v>81.5954586196594</x:v>
      </x:c>
      <x:c r="E145" s="36" t="n">
        <x:v>-0.0045413803405978115</x:v>
      </x:c>
      <x:c r="F145" s="10" t="str">
        <x:v>一致</x:v>
      </x:c>
    </x:row>
    <x:row r="146" ht="23" customHeight="1">
      <x:c r="A146" s="10" t="str">
        <x:v>表5-6</x:v>
      </x:c>
      <x:c r="B146" s="10" t="str">
        <x:v>M7准确率</x:v>
      </x:c>
      <x:c r="C146" s="36" t="n">
        <x:v>85.87</x:v>
      </x:c>
      <x:c r="D146" s="36" t="n">
        <x:v>85.86744639376218</x:v>
      </x:c>
      <x:c r="E146" s="36" t="n">
        <x:v>-0.002553606237825079</x:v>
      </x:c>
      <x:c r="F146" s="10" t="str">
        <x:v>一致</x:v>
      </x:c>
    </x:row>
    <x:row r="147" ht="23" customHeight="1">
      <x:c r="A147" s="10" t="str">
        <x:v>表5-6</x:v>
      </x:c>
      <x:c r="B147" s="10" t="str">
        <x:v>M8准确率</x:v>
      </x:c>
      <x:c r="C147" s="36" t="n">
        <x:v>76.09</x:v>
      </x:c>
      <x:c r="D147" s="36" t="n">
        <x:v>76.09372439783714</x:v>
      </x:c>
      <x:c r="E147" s="36" t="n">
        <x:v>0.0037243978371321873</x:v>
      </x:c>
      <x:c r="F147" s="10" t="str">
        <x:v>一致</x:v>
      </x:c>
    </x:row>
    <x:row r="148" ht="23" customHeight="1">
      <x:c r="A148" s="10" t="str">
        <x:v>表5-6</x:v>
      </x:c>
      <x:c r="B148" s="10" t="str">
        <x:v>M9准确率</x:v>
      </x:c>
      <x:c r="C148" s="36" t="n">
        <x:v>84.19</x:v>
      </x:c>
      <x:c r="D148" s="36" t="n">
        <x:v>84.18858242463118</x:v>
      </x:c>
      <x:c r="E148" s="36" t="n">
        <x:v>-0.0014175753688192572</x:v>
      </x:c>
      <x:c r="F148" s="10" t="str">
        <x:v>一致</x:v>
      </x:c>
    </x:row>
    <x:row r="149" ht="23" customHeight="1">
      <x:c r="A149" s="10" t="str">
        <x:v>表5-6</x:v>
      </x:c>
      <x:c r="B149" s="10" t="str">
        <x:v>M10准确率</x:v>
      </x:c>
      <x:c r="C149" s="36" t="n">
        <x:v>89.09</x:v>
      </x:c>
      <x:c r="D149" s="36" t="n">
        <x:v>89.09195844555599</x:v>
      </x:c>
      <x:c r="E149" s="36" t="n">
        <x:v>0.001958445555985122</x:v>
      </x:c>
      <x:c r="F149" s="10" t="str">
        <x:v>一致</x:v>
      </x:c>
    </x:row>
    <x:row r="150" ht="23" customHeight="1">
      <x:c r="A150" s="10" t="str">
        <x:v>表5-6</x:v>
      </x:c>
      <x:c r="B150" s="10" t="str">
        <x:v>M11准确率</x:v>
      </x:c>
      <x:c r="C150" s="36" t="n">
        <x:v>75.3</x:v>
      </x:c>
      <x:c r="D150" s="36" t="n">
        <x:v>75.29733511416396</x:v>
      </x:c>
      <x:c r="E150" s="36" t="n">
        <x:v>-0.0026648858360402983</x:v>
      </x:c>
      <x:c r="F150" s="10" t="str">
        <x:v>一致</x:v>
      </x:c>
    </x:row>
    <x:row r="151" ht="23" customHeight="1">
      <x:c r="A151" s="10" t="str">
        <x:v>表5-6</x:v>
      </x:c>
      <x:c r="B151" s="10" t="str">
        <x:v>M12准确率</x:v>
      </x:c>
      <x:c r="C151" s="36" t="n">
        <x:v>90.1</x:v>
      </x:c>
      <x:c r="D151" s="36" t="n">
        <x:v>90.10191260644982</x:v>
      </x:c>
      <x:c r="E151" s="36" t="n">
        <x:v>0.0019126064498209416</x:v>
      </x:c>
      <x:c r="F151" s="10" t="str">
        <x:v>一致</x:v>
      </x:c>
    </x:row>
    <x:row r="152" ht="23" customHeight="1">
      <x:c r="A152" s="10" t="str">
        <x:v>表5-6</x:v>
      </x:c>
      <x:c r="B152" s="10" t="str">
        <x:v>M13准确率</x:v>
      </x:c>
      <x:c r="C152" s="36" t="n">
        <x:v>88.2</x:v>
      </x:c>
      <x:c r="D152" s="36" t="n">
        <x:v>88.20140280561122</x:v>
      </x:c>
      <x:c r="E152" s="36" t="n">
        <x:v>0.0014028056112209697</x:v>
      </x:c>
      <x:c r="F152" s="10" t="str">
        <x:v>一致</x:v>
      </x:c>
    </x:row>
    <x:row r="153" ht="23" customHeight="1">
      <x:c r="A153" s="10" t="str">
        <x:v>表5-6</x:v>
      </x:c>
      <x:c r="B153" s="10" t="str">
        <x:v>合计准确率</x:v>
      </x:c>
      <x:c r="C153" s="36" t="n">
        <x:v>83.18</x:v>
      </x:c>
      <x:c r="D153" s="36" t="n">
        <x:v>83.1757814765412</x:v>
      </x:c>
      <x:c r="E153" s="36" t="n">
        <x:v>-0.004218523458803247</x:v>
      </x:c>
      <x:c r="F153" s="10" t="str">
        <x:v>一致</x:v>
      </x:c>
    </x:row>
    <x:row r="154" ht="23" customHeight="1">
      <x:c r="A154" s="10" t="str">
        <x:v>表5-7</x:v>
      </x:c>
      <x:c r="B154" s="10" t="str">
        <x:v>0.125/A/rms</x:v>
      </x:c>
      <x:c r="C154" s="36" t="n">
        <x:v>0.041562</x:v>
      </x:c>
      <x:c r="D154" s="36" t="n">
        <x:v>0.04156159440607026</x:v>
      </x:c>
      <x:c r="E154" s="36" t="n">
        <x:v>-4.055939297406552e-7</x:v>
      </x:c>
      <x:c r="F154" s="10" t="str">
        <x:v>一致</x:v>
      </x:c>
    </x:row>
    <x:row r="155" ht="23" customHeight="1">
      <x:c r="A155" s="10" t="str">
        <x:v>表5-7</x:v>
      </x:c>
      <x:c r="B155" s="10" t="str">
        <x:v>0.125/A/p95</x:v>
      </x:c>
      <x:c r="C155" s="36" t="n">
        <x:v>0.077277</x:v>
      </x:c>
      <x:c r="D155" s="36" t="n">
        <x:v>0.07727673058980136</x:v>
      </x:c>
      <x:c r="E155" s="36" t="n">
        <x:v>-2.69410198636133e-7</x:v>
      </x:c>
      <x:c r="F155" s="10" t="str">
        <x:v>一致</x:v>
      </x:c>
    </x:row>
    <x:row r="156" ht="23" customHeight="1">
      <x:c r="A156" s="10" t="str">
        <x:v>表5-7</x:v>
      </x:c>
      <x:c r="B156" s="10" t="str">
        <x:v>0.125/A/rmse</x:v>
      </x:c>
      <x:c r="C156" s="36" t="n">
        <x:v>17.88</x:v>
      </x:c>
      <x:c r="D156" s="36" t="n">
        <x:v>17.880086352425195</x:v>
      </x:c>
      <x:c r="E156" s="36" t="n">
        <x:v>0.00008635242519616781</x:v>
      </x:c>
      <x:c r="F156" s="10" t="str">
        <x:v>一致</x:v>
      </x:c>
    </x:row>
    <x:row r="157" ht="23" customHeight="1">
      <x:c r="A157" s="10" t="str">
        <x:v>表5-7</x:v>
      </x:c>
      <x:c r="B157" s="10" t="str">
        <x:v>0.125/A/psnr</x:v>
      </x:c>
      <x:c r="C157" s="36" t="n">
        <x:v>23.743</x:v>
      </x:c>
      <x:c r="D157" s="36" t="n">
        <x:v>23.743434365618967</x:v>
      </x:c>
      <x:c r="E157" s="36" t="n">
        <x:v>0.00043436561896825765</x:v>
      </x:c>
      <x:c r="F157" s="10" t="str">
        <x:v>一致</x:v>
      </x:c>
    </x:row>
    <x:row r="158" ht="23" customHeight="1">
      <x:c r="A158" s="10" t="str">
        <x:v>表5-7</x:v>
      </x:c>
      <x:c r="B158" s="10" t="str">
        <x:v>0.125/A/ssim</x:v>
      </x:c>
      <x:c r="C158" s="36" t="n">
        <x:v>0.939628</x:v>
      </x:c>
      <x:c r="D158" s="36" t="n">
        <x:v>0.9396279830562171</x:v>
      </x:c>
      <x:c r="E158" s="36" t="n">
        <x:v>-1.694378293226606e-8</x:v>
      </x:c>
      <x:c r="F158" s="10" t="str">
        <x:v>一致</x:v>
      </x:c>
    </x:row>
    <x:row r="159" ht="23" customHeight="1">
      <x:c r="A159" s="10" t="str">
        <x:v>表5-7</x:v>
      </x:c>
      <x:c r="B159" s="10" t="str">
        <x:v>0.125/B/rms</x:v>
      </x:c>
      <x:c r="C159" s="36" t="n">
        <x:v>0.047035</x:v>
      </x:c>
      <x:c r="D159" s="36" t="n">
        <x:v>0.04703493242351669</x:v>
      </x:c>
      <x:c r="E159" s="36" t="n">
        <x:v>-6.757648331190413e-8</x:v>
      </x:c>
      <x:c r="F159" s="10" t="str">
        <x:v>一致</x:v>
      </x:c>
    </x:row>
    <x:row r="160" ht="23" customHeight="1">
      <x:c r="A160" s="10" t="str">
        <x:v>表5-7</x:v>
      </x:c>
      <x:c r="B160" s="10" t="str">
        <x:v>0.125/B/p95</x:v>
      </x:c>
      <x:c r="C160" s="36" t="n">
        <x:v>0.060199</x:v>
      </x:c>
      <x:c r="D160" s="36" t="n">
        <x:v>0.06019913329510017</x:v>
      </x:c>
      <x:c r="E160" s="36" t="n">
        <x:v>1.3329510016590884e-7</x:v>
      </x:c>
      <x:c r="F160" s="10" t="str">
        <x:v>一致</x:v>
      </x:c>
    </x:row>
    <x:row r="161" ht="23" customHeight="1">
      <x:c r="A161" s="10" t="str">
        <x:v>表5-7</x:v>
      </x:c>
      <x:c r="B161" s="10" t="str">
        <x:v>0.125/B/rmse</x:v>
      </x:c>
      <x:c r="C161" s="36" t="n">
        <x:v>17.771</x:v>
      </x:c>
      <x:c r="D161" s="36" t="n">
        <x:v>17.770764397279315</x:v>
      </x:c>
      <x:c r="E161" s="36" t="n">
        <x:v>-0.00023560272068579025</x:v>
      </x:c>
      <x:c r="F161" s="10" t="str">
        <x:v>一致</x:v>
      </x:c>
    </x:row>
    <x:row r="162" ht="23" customHeight="1">
      <x:c r="A162" s="10" t="str">
        <x:v>表5-7</x:v>
      </x:c>
      <x:c r="B162" s="10" t="str">
        <x:v>0.125/B/psnr</x:v>
      </x:c>
      <x:c r="C162" s="36" t="n">
        <x:v>23.81</x:v>
      </x:c>
      <x:c r="D162" s="36" t="n">
        <x:v>23.810257088945065</x:v>
      </x:c>
      <x:c r="E162" s="36" t="n">
        <x:v>0.00025708894506593083</x:v>
      </x:c>
      <x:c r="F162" s="10" t="str">
        <x:v>一致</x:v>
      </x:c>
    </x:row>
    <x:row r="163" ht="23" customHeight="1">
      <x:c r="A163" s="10" t="str">
        <x:v>表5-7</x:v>
      </x:c>
      <x:c r="B163" s="10" t="str">
        <x:v>0.125/B/ssim</x:v>
      </x:c>
      <x:c r="C163" s="36" t="n">
        <x:v>0.939885</x:v>
      </x:c>
      <x:c r="D163" s="36" t="n">
        <x:v>0.9398852279864949</x:v>
      </x:c>
      <x:c r="E163" s="36" t="n">
        <x:v>2.2798649490507472e-7</x:v>
      </x:c>
      <x:c r="F163" s="10" t="str">
        <x:v>一致</x:v>
      </x:c>
    </x:row>
    <x:row r="164" ht="23" customHeight="1">
      <x:c r="A164" s="10" t="str">
        <x:v>表5-7</x:v>
      </x:c>
      <x:c r="B164" s="10" t="str">
        <x:v>0.125/C/rms</x:v>
      </x:c>
      <x:c r="C164" s="36" t="n">
        <x:v>0.039732</x:v>
      </x:c>
      <x:c r="D164" s="36" t="n">
        <x:v>0.039732396227228524</x:v>
      </x:c>
      <x:c r="E164" s="36" t="n">
        <x:v>3.9622722852045156e-7</x:v>
      </x:c>
      <x:c r="F164" s="10" t="str">
        <x:v>一致</x:v>
      </x:c>
    </x:row>
    <x:row r="165" ht="23" customHeight="1">
      <x:c r="A165" s="10" t="str">
        <x:v>表5-7</x:v>
      </x:c>
      <x:c r="B165" s="10" t="str">
        <x:v>0.125/C/p95</x:v>
      </x:c>
      <x:c r="C165" s="36" t="n">
        <x:v>0.074505</x:v>
      </x:c>
      <x:c r="D165" s="36" t="n">
        <x:v>0.07450527249602598</x:v>
      </x:c>
      <x:c r="E165" s="36" t="n">
        <x:v>2.7249602597978484e-7</x:v>
      </x:c>
      <x:c r="F165" s="10" t="str">
        <x:v>一致</x:v>
      </x:c>
    </x:row>
    <x:row r="166" ht="23" customHeight="1">
      <x:c r="A166" s="10" t="str">
        <x:v>表5-7</x:v>
      </x:c>
      <x:c r="B166" s="10" t="str">
        <x:v>0.125/C/rmse</x:v>
      </x:c>
      <x:c r="C166" s="36" t="n">
        <x:v>17.906</x:v>
      </x:c>
      <x:c r="D166" s="36" t="n">
        <x:v>17.906396169932933</x:v>
      </x:c>
      <x:c r="E166" s="36" t="n">
        <x:v>0.00039616993293378755</x:v>
      </x:c>
      <x:c r="F166" s="10" t="str">
        <x:v>一致</x:v>
      </x:c>
    </x:row>
    <x:row r="167" ht="23" customHeight="1">
      <x:c r="A167" s="10" t="str">
        <x:v>表5-7</x:v>
      </x:c>
      <x:c r="B167" s="10" t="str">
        <x:v>0.125/C/psnr</x:v>
      </x:c>
      <x:c r="C167" s="36" t="n">
        <x:v>23.728</x:v>
      </x:c>
      <x:c r="D167" s="36" t="n">
        <x:v>23.72753052740532</x:v>
      </x:c>
      <x:c r="E167" s="36" t="n">
        <x:v>-0.00046947259468055336</x:v>
      </x:c>
      <x:c r="F167" s="10" t="str">
        <x:v>一致</x:v>
      </x:c>
    </x:row>
    <x:row r="168" ht="23" customHeight="1">
      <x:c r="A168" s="10" t="str">
        <x:v>表5-7</x:v>
      </x:c>
      <x:c r="B168" s="10" t="str">
        <x:v>0.125/C/ssim</x:v>
      </x:c>
      <x:c r="C168" s="36" t="n">
        <x:v>0.939429</x:v>
      </x:c>
      <x:c r="D168" s="36" t="n">
        <x:v>0.9394287649613609</x:v>
      </x:c>
      <x:c r="E168" s="36" t="n">
        <x:v>-2.3503863910701028e-7</x:v>
      </x:c>
      <x:c r="F168" s="10" t="str">
        <x:v>一致</x:v>
      </x:c>
    </x:row>
    <x:row r="169" ht="23" customHeight="1">
      <x:c r="A169" s="10" t="str">
        <x:v>表5-7</x:v>
      </x:c>
      <x:c r="B169" s="10" t="str">
        <x:v>0.125/D/rms</x:v>
      </x:c>
      <x:c r="C169" s="36" t="n">
        <x:v>0.034878</x:v>
      </x:c>
      <x:c r="D169" s="36" t="n">
        <x:v>0.0348781145188845</x:v>
      </x:c>
      <x:c r="E169" s="36" t="n">
        <x:v>1.1451888450031422e-7</x:v>
      </x:c>
      <x:c r="F169" s="10" t="str">
        <x:v>一致</x:v>
      </x:c>
    </x:row>
    <x:row r="170" ht="23" customHeight="1">
      <x:c r="A170" s="10" t="str">
        <x:v>表5-7</x:v>
      </x:c>
      <x:c r="B170" s="10" t="str">
        <x:v>0.125/D/p95</x:v>
      </x:c>
      <x:c r="C170" s="36" t="n">
        <x:v>0.054952</x:v>
      </x:c>
      <x:c r="D170" s="36" t="n">
        <x:v>0.0549523334484547</x:v>
      </x:c>
      <x:c r="E170" s="36" t="n">
        <x:v>3.3344845470212325e-7</x:v>
      </x:c>
      <x:c r="F170" s="10" t="str">
        <x:v>一致</x:v>
      </x:c>
    </x:row>
    <x:row r="171" ht="23" customHeight="1">
      <x:c r="A171" s="10" t="str">
        <x:v>表5-7</x:v>
      </x:c>
      <x:c r="B171" s="10" t="str">
        <x:v>0.125/D/rmse</x:v>
      </x:c>
      <x:c r="C171" s="36" t="n">
        <x:v>17.64</x:v>
      </x:c>
      <x:c r="D171" s="36" t="n">
        <x:v>17.63977980209976</x:v>
      </x:c>
      <x:c r="E171" s="36" t="n">
        <x:v>-0.00022019790024074837</x:v>
      </x:c>
      <x:c r="F171" s="10" t="str">
        <x:v>一致</x:v>
      </x:c>
    </x:row>
    <x:row r="172" ht="23" customHeight="1">
      <x:c r="A172" s="10" t="str">
        <x:v>表5-7</x:v>
      </x:c>
      <x:c r="B172" s="10" t="str">
        <x:v>0.125/D/psnr</x:v>
      </x:c>
      <x:c r="C172" s="36" t="n">
        <x:v>23.86</x:v>
      </x:c>
      <x:c r="D172" s="36" t="n">
        <x:v>23.85973957212356</x:v>
      </x:c>
      <x:c r="E172" s="36" t="n">
        <x:v>-0.00026042787644087184</x:v>
      </x:c>
      <x:c r="F172" s="10" t="str">
        <x:v>一致</x:v>
      </x:c>
    </x:row>
    <x:row r="173" ht="23" customHeight="1">
      <x:c r="A173" s="10" t="str">
        <x:v>表5-7</x:v>
      </x:c>
      <x:c r="B173" s="10" t="str">
        <x:v>0.125/D/ssim</x:v>
      </x:c>
      <x:c r="C173" s="36" t="n">
        <x:v>0.941207</x:v>
      </x:c>
      <x:c r="D173" s="36" t="n">
        <x:v>0.9412066065360685</x:v>
      </x:c>
      <x:c r="E173" s="36" t="n">
        <x:v>-3.9346393154726655e-7</x:v>
      </x:c>
      <x:c r="F173" s="10" t="str">
        <x:v>一致</x:v>
      </x:c>
    </x:row>
    <x:row r="174" ht="23" customHeight="1">
      <x:c r="A174" s="10" t="str">
        <x:v>表5-7</x:v>
      </x:c>
      <x:c r="B174" s="10" t="str">
        <x:v>0.25/A/rms</x:v>
      </x:c>
      <x:c r="C174" s="36" t="n">
        <x:v>0.017031</x:v>
      </x:c>
      <x:c r="D174" s="36" t="n">
        <x:v>0.0170312398515071</x:v>
      </x:c>
      <x:c r="E174" s="36" t="n">
        <x:v>2.3985150710004177e-7</x:v>
      </x:c>
      <x:c r="F174" s="10" t="str">
        <x:v>一致</x:v>
      </x:c>
    </x:row>
    <x:row r="175" ht="23" customHeight="1">
      <x:c r="A175" s="10" t="str">
        <x:v>表5-7</x:v>
      </x:c>
      <x:c r="B175" s="10" t="str">
        <x:v>0.25/A/p95</x:v>
      </x:c>
      <x:c r="C175" s="36" t="n">
        <x:v>0.026691</x:v>
      </x:c>
      <x:c r="D175" s="36" t="n">
        <x:v>0.026690882746152046</x:v>
      </x:c>
      <x:c r="E175" s="36" t="n">
        <x:v>-1.1725384795394089e-7</x:v>
      </x:c>
      <x:c r="F175" s="10" t="str">
        <x:v>一致</x:v>
      </x:c>
    </x:row>
    <x:row r="176" ht="23" customHeight="1">
      <x:c r="A176" s="10" t="str">
        <x:v>表5-7</x:v>
      </x:c>
      <x:c r="B176" s="10" t="str">
        <x:v>0.25/A/rmse</x:v>
      </x:c>
      <x:c r="C176" s="36" t="n">
        <x:v>16.764</x:v>
      </x:c>
      <x:c r="D176" s="36" t="n">
        <x:v>16.764023867625916</x:v>
      </x:c>
      <x:c r="E176" s="36" t="n">
        <x:v>0.00002386762591655156</x:v>
      </x:c>
      <x:c r="F176" s="10" t="str">
        <x:v>一致</x:v>
      </x:c>
    </x:row>
    <x:row r="177" ht="23" customHeight="1">
      <x:c r="A177" s="10" t="str">
        <x:v>表5-7</x:v>
      </x:c>
      <x:c r="B177" s="10" t="str">
        <x:v>0.25/A/psnr</x:v>
      </x:c>
      <x:c r="C177" s="36" t="n">
        <x:v>24.333</x:v>
      </x:c>
      <x:c r="D177" s="36" t="n">
        <x:v>24.3328892760489</x:v>
      </x:c>
      <x:c r="E177" s="36" t="n">
        <x:v>-0.00011072395109934519</x:v>
      </x:c>
      <x:c r="F177" s="10" t="str">
        <x:v>一致</x:v>
      </x:c>
    </x:row>
    <x:row r="178" ht="23" customHeight="1">
      <x:c r="A178" s="10" t="str">
        <x:v>表5-7</x:v>
      </x:c>
      <x:c r="B178" s="10" t="str">
        <x:v>0.25/A/ssim</x:v>
      </x:c>
      <x:c r="C178" s="36" t="n">
        <x:v>0.945177</x:v>
      </x:c>
      <x:c r="D178" s="36" t="n">
        <x:v>0.945177247182938</x:v>
      </x:c>
      <x:c r="E178" s="36" t="n">
        <x:v>2.471829380068513e-7</x:v>
      </x:c>
      <x:c r="F178" s="10" t="str">
        <x:v>一致</x:v>
      </x:c>
    </x:row>
    <x:row r="179" ht="23" customHeight="1">
      <x:c r="A179" s="10" t="str">
        <x:v>表5-7</x:v>
      </x:c>
      <x:c r="B179" s="10" t="str">
        <x:v>0.25/B/rms</x:v>
      </x:c>
      <x:c r="C179" s="36" t="n">
        <x:v>0.015463</x:v>
      </x:c>
      <x:c r="D179" s="36" t="n">
        <x:v>0.015462821157236172</x:v>
      </x:c>
      <x:c r="E179" s="36" t="n">
        <x:v>-1.7884276382745812e-7</x:v>
      </x:c>
      <x:c r="F179" s="10" t="str">
        <x:v>一致</x:v>
      </x:c>
    </x:row>
    <x:row r="180" ht="23" customHeight="1">
      <x:c r="A180" s="10" t="str">
        <x:v>表5-7</x:v>
      </x:c>
      <x:c r="B180" s="10" t="str">
        <x:v>0.25/B/p95</x:v>
      </x:c>
      <x:c r="C180" s="36" t="n">
        <x:v>0.020975</x:v>
      </x:c>
      <x:c r="D180" s="36" t="n">
        <x:v>0.020975406068828303</x:v>
      </x:c>
      <x:c r="E180" s="36" t="n">
        <x:v>4.06068828302103e-7</x:v>
      </x:c>
      <x:c r="F180" s="10" t="str">
        <x:v>一致</x:v>
      </x:c>
    </x:row>
    <x:row r="181" ht="23" customHeight="1">
      <x:c r="A181" s="10" t="str">
        <x:v>表5-7</x:v>
      </x:c>
      <x:c r="B181" s="10" t="str">
        <x:v>0.25/B/rmse</x:v>
      </x:c>
      <x:c r="C181" s="36" t="n">
        <x:v>16.579</x:v>
      </x:c>
      <x:c r="D181" s="36" t="n">
        <x:v>16.578657434173415</x:v>
      </x:c>
      <x:c r="E181" s="36" t="n">
        <x:v>-0.0003425658265854281</x:v>
      </x:c>
      <x:c r="F181" s="10" t="str">
        <x:v>一致</x:v>
      </x:c>
    </x:row>
    <x:row r="182" ht="23" customHeight="1">
      <x:c r="A182" s="10" t="str">
        <x:v>表5-7</x:v>
      </x:c>
      <x:c r="B182" s="10" t="str">
        <x:v>0.25/B/psnr</x:v>
      </x:c>
      <x:c r="C182" s="36" t="n">
        <x:v>24.437</x:v>
      </x:c>
      <x:c r="D182" s="36" t="n">
        <x:v>24.436731178872975</x:v>
      </x:c>
      <x:c r="E182" s="36" t="n">
        <x:v>-0.0002688211270260865</x:v>
      </x:c>
      <x:c r="F182" s="10" t="str">
        <x:v>一致</x:v>
      </x:c>
    </x:row>
    <x:row r="183" ht="23" customHeight="1">
      <x:c r="A183" s="10" t="str">
        <x:v>表5-7</x:v>
      </x:c>
      <x:c r="B183" s="10" t="str">
        <x:v>0.25/B/ssim</x:v>
      </x:c>
      <x:c r="C183" s="36" t="n">
        <x:v>0.945849</x:v>
      </x:c>
      <x:c r="D183" s="36" t="n">
        <x:v>0.9458494741687464</x:v>
      </x:c>
      <x:c r="E183" s="36" t="n">
        <x:v>4.7416874637828954e-7</x:v>
      </x:c>
      <x:c r="F183" s="10" t="str">
        <x:v>一致</x:v>
      </x:c>
    </x:row>
    <x:row r="184" ht="23" customHeight="1">
      <x:c r="A184" s="10" t="str">
        <x:v>表5-7</x:v>
      </x:c>
      <x:c r="B184" s="10" t="str">
        <x:v>0.25/C/rms</x:v>
      </x:c>
      <x:c r="C184" s="36" t="n">
        <x:v>0.014837</x:v>
      </x:c>
      <x:c r="D184" s="36" t="n">
        <x:v>0.01483685694652402</x:v>
      </x:c>
      <x:c r="E184" s="36" t="n">
        <x:v>-1.4305347597991236e-7</x:v>
      </x:c>
      <x:c r="F184" s="10" t="str">
        <x:v>一致</x:v>
      </x:c>
    </x:row>
    <x:row r="185" ht="23" customHeight="1">
      <x:c r="A185" s="10" t="str">
        <x:v>表5-7</x:v>
      </x:c>
      <x:c r="B185" s="10" t="str">
        <x:v>0.25/C/p95</x:v>
      </x:c>
      <x:c r="C185" s="36" t="n">
        <x:v>0.024953</x:v>
      </x:c>
      <x:c r="D185" s="36" t="n">
        <x:v>0.024952908256636853</x:v>
      </x:c>
      <x:c r="E185" s="36" t="n">
        <x:v>-9.17433631460185e-8</x:v>
      </x:c>
      <x:c r="F185" s="10" t="str">
        <x:v>一致</x:v>
      </x:c>
    </x:row>
    <x:row r="186" ht="23" customHeight="1">
      <x:c r="A186" s="10" t="str">
        <x:v>表5-7</x:v>
      </x:c>
      <x:c r="B186" s="10" t="str">
        <x:v>0.25/C/rmse</x:v>
      </x:c>
      <x:c r="C186" s="36" t="n">
        <x:v>16.81</x:v>
      </x:c>
      <x:c r="D186" s="36" t="n">
        <x:v>16.80995432971667</x:v>
      </x:c>
      <x:c r="E186" s="36" t="n">
        <x:v>-0.000045670283327581274</x:v>
      </x:c>
      <x:c r="F186" s="10" t="str">
        <x:v>一致</x:v>
      </x:c>
    </x:row>
    <x:row r="187" ht="23" customHeight="1">
      <x:c r="A187" s="10" t="str">
        <x:v>表5-7</x:v>
      </x:c>
      <x:c r="B187" s="10" t="str">
        <x:v>0.25/C/psnr</x:v>
      </x:c>
      <x:c r="C187" s="36" t="n">
        <x:v>24.316</x:v>
      </x:c>
      <x:c r="D187" s="36" t="n">
        <x:v>24.316396416409447</x:v>
      </x:c>
      <x:c r="E187" s="36" t="n">
        <x:v>0.000396416409447653</x:v>
      </x:c>
      <x:c r="F187" s="10" t="str">
        <x:v>一致</x:v>
      </x:c>
    </x:row>
    <x:row r="188" ht="23" customHeight="1">
      <x:c r="A188" s="10" t="str">
        <x:v>表5-7</x:v>
      </x:c>
      <x:c r="B188" s="10" t="str">
        <x:v>0.25/C/ssim</x:v>
      </x:c>
      <x:c r="C188" s="36" t="n">
        <x:v>0.945107</x:v>
      </x:c>
      <x:c r="D188" s="36" t="n">
        <x:v>0.9451072420850778</x:v>
      </x:c>
      <x:c r="E188" s="36" t="n">
        <x:v>2.420850777618e-7</x:v>
      </x:c>
      <x:c r="F188" s="10" t="str">
        <x:v>一致</x:v>
      </x:c>
    </x:row>
    <x:row r="189" ht="23" customHeight="1">
      <x:c r="A189" s="10" t="str">
        <x:v>表5-7</x:v>
      </x:c>
      <x:c r="B189" s="10" t="str">
        <x:v>0.25/D/rms</x:v>
      </x:c>
      <x:c r="C189" s="36" t="n">
        <x:v>0.013794</x:v>
      </x:c>
      <x:c r="D189" s="36" t="n">
        <x:v>0.013793845253431516</x:v>
      </x:c>
      <x:c r="E189" s="36" t="n">
        <x:v>-1.5474656848459e-7</x:v>
      </x:c>
      <x:c r="F189" s="10" t="str">
        <x:v>一致</x:v>
      </x:c>
    </x:row>
    <x:row r="190" ht="23" customHeight="1">
      <x:c r="A190" s="10" t="str">
        <x:v>表5-7</x:v>
      </x:c>
      <x:c r="B190" s="10" t="str">
        <x:v>0.25/D/p95</x:v>
      </x:c>
      <x:c r="C190" s="36" t="n">
        <x:v>0.019677</x:v>
      </x:c>
      <x:c r="D190" s="36" t="n">
        <x:v>0.019677026043609637</x:v>
      </x:c>
      <x:c r="E190" s="36" t="n">
        <x:v>2.6043609636927645e-8</x:v>
      </x:c>
      <x:c r="F190" s="10" t="str">
        <x:v>一致</x:v>
      </x:c>
    </x:row>
    <x:row r="191" ht="23" customHeight="1">
      <x:c r="A191" s="10" t="str">
        <x:v>表5-7</x:v>
      </x:c>
      <x:c r="B191" s="10" t="str">
        <x:v>0.25/D/rmse</x:v>
      </x:c>
      <x:c r="C191" s="36" t="n">
        <x:v>16.589</x:v>
      </x:c>
      <x:c r="D191" s="36" t="n">
        <x:v>16.58882044700775</x:v>
      </x:c>
      <x:c r="E191" s="36" t="n">
        <x:v>-0.0001795529922503647</x:v>
      </x:c>
      <x:c r="F191" s="10" t="str">
        <x:v>一致</x:v>
      </x:c>
    </x:row>
    <x:row r="192" ht="23" customHeight="1">
      <x:c r="A192" s="10" t="str">
        <x:v>表5-7</x:v>
      </x:c>
      <x:c r="B192" s="10" t="str">
        <x:v>0.25/D/psnr</x:v>
      </x:c>
      <x:c r="C192" s="36" t="n">
        <x:v>24.432</x:v>
      </x:c>
      <x:c r="D192" s="36" t="n">
        <x:v>24.43220248546975</x:v>
      </x:c>
      <x:c r="E192" s="36" t="n">
        <x:v>0.00020248546975309978</x:v>
      </x:c>
      <x:c r="F192" s="10" t="str">
        <x:v>一致</x:v>
      </x:c>
    </x:row>
    <x:row r="193" ht="23" customHeight="1">
      <x:c r="A193" s="10" t="str">
        <x:v>表5-7</x:v>
      </x:c>
      <x:c r="B193" s="10" t="str">
        <x:v>0.25/D/ssim</x:v>
      </x:c>
      <x:c r="C193" s="36" t="n">
        <x:v>0.945776</x:v>
      </x:c>
      <x:c r="D193" s="36" t="n">
        <x:v>0.9457757586886718</x:v>
      </x:c>
      <x:c r="E193" s="36" t="n">
        <x:v>-2.4131132814186884e-7</x:v>
      </x:c>
      <x:c r="F193" s="10" t="str">
        <x:v>一致</x:v>
      </x:c>
    </x:row>
    <x:row r="194" ht="23" customHeight="1">
      <x:c r="A194" s="10" t="str">
        <x:v>表5-7</x:v>
      </x:c>
      <x:c r="B194" s="10" t="str">
        <x:v>0.5/A/rms</x:v>
      </x:c>
      <x:c r="C194" s="36" t="n">
        <x:v>0.003684</x:v>
      </x:c>
      <x:c r="D194" s="36" t="n">
        <x:v>0.0036837591420079635</x:v>
      </x:c>
      <x:c r="E194" s="36" t="n">
        <x:v>-2.4085799203666866e-7</x:v>
      </x:c>
      <x:c r="F194" s="10" t="str">
        <x:v>一致</x:v>
      </x:c>
    </x:row>
    <x:row r="195" ht="23" customHeight="1">
      <x:c r="A195" s="10" t="str">
        <x:v>表5-7</x:v>
      </x:c>
      <x:c r="B195" s="10" t="str">
        <x:v>0.5/A/p95</x:v>
      </x:c>
      <x:c r="C195" s="36" t="n">
        <x:v>0.003345</x:v>
      </x:c>
      <x:c r="D195" s="36" t="n">
        <x:v>0.0033450111413912947</x:v>
      </x:c>
      <x:c r="E195" s="36" t="n">
        <x:v>1.1141391294787473e-8</x:v>
      </x:c>
      <x:c r="F195" s="10" t="str">
        <x:v>一致</x:v>
      </x:c>
    </x:row>
    <x:row r="196" ht="23" customHeight="1">
      <x:c r="A196" s="10" t="str">
        <x:v>表5-7</x:v>
      </x:c>
      <x:c r="B196" s="10" t="str">
        <x:v>0.5/A/rmse</x:v>
      </x:c>
      <x:c r="C196" s="36" t="n">
        <x:v>13.509</x:v>
      </x:c>
      <x:c r="D196" s="36" t="n">
        <x:v>13.5094761076979</x:v>
      </x:c>
      <x:c r="E196" s="36" t="n">
        <x:v>0.0004761076978994083</x:v>
      </x:c>
      <x:c r="F196" s="10" t="str">
        <x:v>一致</x:v>
      </x:c>
    </x:row>
    <x:row r="197" ht="23" customHeight="1">
      <x:c r="A197" s="10" t="str">
        <x:v>表5-7</x:v>
      </x:c>
      <x:c r="B197" s="10" t="str">
        <x:v>0.5/A/psnr</x:v>
      </x:c>
      <x:c r="C197" s="36" t="n">
        <x:v>26.557</x:v>
      </x:c>
      <x:c r="D197" s="36" t="n">
        <x:v>26.55738322323958</x:v>
      </x:c>
      <x:c r="E197" s="36" t="n">
        <x:v>0.00038322323958084326</x:v>
      </x:c>
      <x:c r="F197" s="10" t="str">
        <x:v>一致</x:v>
      </x:c>
    </x:row>
    <x:row r="198" ht="23" customHeight="1">
      <x:c r="A198" s="10" t="str">
        <x:v>表5-7</x:v>
      </x:c>
      <x:c r="B198" s="10" t="str">
        <x:v>0.5/A/ssim</x:v>
      </x:c>
      <x:c r="C198" s="36" t="n">
        <x:v>0.960046</x:v>
      </x:c>
      <x:c r="D198" s="36" t="n">
        <x:v>0.9600464038669914</x:v>
      </x:c>
      <x:c r="E198" s="36" t="n">
        <x:v>4.0386699140526616e-7</x:v>
      </x:c>
      <x:c r="F198" s="10" t="str">
        <x:v>一致</x:v>
      </x:c>
    </x:row>
    <x:row r="199" ht="23" customHeight="1">
      <x:c r="A199" s="10" t="str">
        <x:v>表5-7</x:v>
      </x:c>
      <x:c r="B199" s="10" t="str">
        <x:v>0.5/B/rms</x:v>
      </x:c>
      <x:c r="C199" s="36" t="n">
        <x:v>0.003432</x:v>
      </x:c>
      <x:c r="D199" s="36" t="n">
        <x:v>0.0034317366088157286</x:v>
      </x:c>
      <x:c r="E199" s="36" t="n">
        <x:v>-2.633911842715199e-7</x:v>
      </x:c>
      <x:c r="F199" s="10" t="str">
        <x:v>一致</x:v>
      </x:c>
    </x:row>
    <x:row r="200" ht="23" customHeight="1">
      <x:c r="A200" s="10" t="str">
        <x:v>表5-7</x:v>
      </x:c>
      <x:c r="B200" s="10" t="str">
        <x:v>0.5/B/p95</x:v>
      </x:c>
      <x:c r="C200" s="36" t="n">
        <x:v>0.002289</x:v>
      </x:c>
      <x:c r="D200" s="36" t="n">
        <x:v>0.0022889158366012894</x:v>
      </x:c>
      <x:c r="E200" s="36" t="n">
        <x:v>-8.416339871038236e-8</x:v>
      </x:c>
      <x:c r="F200" s="10" t="str">
        <x:v>一致</x:v>
      </x:c>
    </x:row>
    <x:row r="201" ht="23" customHeight="1">
      <x:c r="A201" s="10" t="str">
        <x:v>表5-7</x:v>
      </x:c>
      <x:c r="B201" s="10" t="str">
        <x:v>0.5/B/rmse</x:v>
      </x:c>
      <x:c r="C201" s="36" t="n">
        <x:v>12.942</x:v>
      </x:c>
      <x:c r="D201" s="36" t="n">
        <x:v>12.94184639023995</x:v>
      </x:c>
      <x:c r="E201" s="36" t="n">
        <x:v>-0.00015360976004963334</x:v>
      </x:c>
      <x:c r="F201" s="10" t="str">
        <x:v>一致</x:v>
      </x:c>
    </x:row>
    <x:row r="202" ht="23" customHeight="1">
      <x:c r="A202" s="10" t="str">
        <x:v>表5-7</x:v>
      </x:c>
      <x:c r="B202" s="10" t="str">
        <x:v>0.5/B/psnr</x:v>
      </x:c>
      <x:c r="C202" s="36" t="n">
        <x:v>27.037</x:v>
      </x:c>
      <x:c r="D202" s="36" t="n">
        <x:v>27.03716199474573</x:v>
      </x:c>
      <x:c r="E202" s="36" t="n">
        <x:v>0.0001619947457314197</x:v>
      </x:c>
      <x:c r="F202" s="10" t="str">
        <x:v>一致</x:v>
      </x:c>
    </x:row>
    <x:row r="203" ht="23" customHeight="1">
      <x:c r="A203" s="10" t="str">
        <x:v>表5-7</x:v>
      </x:c>
      <x:c r="B203" s="10" t="str">
        <x:v>0.5/B/ssim</x:v>
      </x:c>
      <x:c r="C203" s="36" t="n">
        <x:v>0.962351</x:v>
      </x:c>
      <x:c r="D203" s="36" t="n">
        <x:v>0.9623512101850253</x:v>
      </x:c>
      <x:c r="E203" s="36" t="n">
        <x:v>2.1018502538439066e-7</x:v>
      </x:c>
      <x:c r="F203" s="10" t="str">
        <x:v>一致</x:v>
      </x:c>
    </x:row>
    <x:row r="204" ht="23" customHeight="1">
      <x:c r="A204" s="10" t="str">
        <x:v>表5-7</x:v>
      </x:c>
      <x:c r="B204" s="10" t="str">
        <x:v>0.5/C/rms</x:v>
      </x:c>
      <x:c r="C204" s="36" t="n">
        <x:v>0.003636</x:v>
      </x:c>
      <x:c r="D204" s="36" t="n">
        <x:v>0.0036359760146652455</x:v>
      </x:c>
      <x:c r="E204" s="36" t="n">
        <x:v>-2.398533475436379e-8</x:v>
      </x:c>
      <x:c r="F204" s="10" t="str">
        <x:v>一致</x:v>
      </x:c>
    </x:row>
    <x:row r="205" ht="23" customHeight="1">
      <x:c r="A205" s="10" t="str">
        <x:v>表5-7</x:v>
      </x:c>
      <x:c r="B205" s="10" t="str">
        <x:v>0.5/C/p95</x:v>
      </x:c>
      <x:c r="C205" s="36" t="n">
        <x:v>0.003109</x:v>
      </x:c>
      <x:c r="D205" s="36" t="n">
        <x:v>0.003108818963823976</x:v>
      </x:c>
      <x:c r="E205" s="36" t="n">
        <x:v>-1.8103617602368768e-7</x:v>
      </x:c>
      <x:c r="F205" s="10" t="str">
        <x:v>一致</x:v>
      </x:c>
    </x:row>
    <x:row r="206" ht="23" customHeight="1">
      <x:c r="A206" s="10" t="str">
        <x:v>表5-7</x:v>
      </x:c>
      <x:c r="B206" s="10" t="str">
        <x:v>0.5/C/rmse</x:v>
      </x:c>
      <x:c r="C206" s="36" t="n">
        <x:v>13.508</x:v>
      </x:c>
      <x:c r="D206" s="36" t="n">
        <x:v>13.508282737061409</x:v>
      </x:c>
      <x:c r="E206" s="36" t="n">
        <x:v>0.000282737061409577</x:v>
      </x:c>
      <x:c r="F206" s="10" t="str">
        <x:v>一致</x:v>
      </x:c>
    </x:row>
    <x:row r="207" ht="23" customHeight="1">
      <x:c r="A207" s="10" t="str">
        <x:v>表5-7</x:v>
      </x:c>
      <x:c r="B207" s="10" t="str">
        <x:v>0.5/C/psnr</x:v>
      </x:c>
      <x:c r="C207" s="36" t="n">
        <x:v>26.558</x:v>
      </x:c>
      <x:c r="D207" s="36" t="n">
        <x:v>26.557960665652416</x:v>
      </x:c>
      <x:c r="E207" s="36" t="n">
        <x:v>-0.0000393343475835195</x:v>
      </x:c>
      <x:c r="F207" s="10" t="str">
        <x:v>一致</x:v>
      </x:c>
    </x:row>
    <x:row r="208" ht="23" customHeight="1">
      <x:c r="A208" s="10" t="str">
        <x:v>表5-7</x:v>
      </x:c>
      <x:c r="B208" s="10" t="str">
        <x:v>0.5/C/ssim</x:v>
      </x:c>
      <x:c r="C208" s="36" t="n">
        <x:v>0.960072</x:v>
      </x:c>
      <x:c r="D208" s="36" t="n">
        <x:v>0.960071962792493</x:v>
      </x:c>
      <x:c r="E208" s="36" t="n">
        <x:v>-3.720750707536524e-8</x:v>
      </x:c>
      <x:c r="F208" s="10" t="str">
        <x:v>一致</x:v>
      </x:c>
    </x:row>
    <x:row r="209" ht="23" customHeight="1">
      <x:c r="A209" s="10" t="str">
        <x:v>表5-7</x:v>
      </x:c>
      <x:c r="B209" s="10" t="str">
        <x:v>0.5/D/rms</x:v>
      </x:c>
      <x:c r="C209" s="36" t="n">
        <x:v>0.003361</x:v>
      </x:c>
      <x:c r="D209" s="36" t="n">
        <x:v>0.003360894102669475</x:v>
      </x:c>
      <x:c r="E209" s="36" t="n">
        <x:v>-1.0589733052479913e-7</x:v>
      </x:c>
      <x:c r="F209" s="10" t="str">
        <x:v>一致</x:v>
      </x:c>
    </x:row>
    <x:row r="210" ht="23" customHeight="1">
      <x:c r="A210" s="10" t="str">
        <x:v>表5-7</x:v>
      </x:c>
      <x:c r="B210" s="10" t="str">
        <x:v>0.5/D/p95</x:v>
      </x:c>
      <x:c r="C210" s="36" t="n">
        <x:v>0.002128</x:v>
      </x:c>
      <x:c r="D210" s="36" t="n">
        <x:v>0.0021282911859543665</x:v>
      </x:c>
      <x:c r="E210" s="36" t="n">
        <x:v>2.911859543664082e-7</x:v>
      </x:c>
      <x:c r="F210" s="10" t="str">
        <x:v>一致</x:v>
      </x:c>
    </x:row>
    <x:row r="211" ht="23" customHeight="1">
      <x:c r="A211" s="10" t="str">
        <x:v>表5-7</x:v>
      </x:c>
      <x:c r="B211" s="10" t="str">
        <x:v>0.5/D/rmse</x:v>
      </x:c>
      <x:c r="C211" s="36" t="n">
        <x:v>12.95</x:v>
      </x:c>
      <x:c r="D211" s="36" t="n">
        <x:v>12.950048354282801</x:v>
      </x:c>
      <x:c r="E211" s="36" t="n">
        <x:v>0.0000483542828018102</x:v>
      </x:c>
      <x:c r="F211" s="10" t="str">
        <x:v>一致</x:v>
      </x:c>
    </x:row>
    <x:row r="212" ht="23" customHeight="1">
      <x:c r="A212" s="10" t="str">
        <x:v>表5-7</x:v>
      </x:c>
      <x:c r="B212" s="10" t="str">
        <x:v>0.5/D/psnr</x:v>
      </x:c>
      <x:c r="C212" s="36" t="n">
        <x:v>27.03</x:v>
      </x:c>
      <x:c r="D212" s="36" t="n">
        <x:v>27.0302000596161</x:v>
      </x:c>
      <x:c r="E212" s="36" t="n">
        <x:v>0.00020005961609825818</x:v>
      </x:c>
      <x:c r="F212" s="10" t="str">
        <x:v>一致</x:v>
      </x:c>
    </x:row>
    <x:row r="213" ht="23" customHeight="1">
      <x:c r="A213" s="10" t="str">
        <x:v>表5-7</x:v>
      </x:c>
      <x:c r="B213" s="10" t="str">
        <x:v>0.5/D/ssim</x:v>
      </x:c>
      <x:c r="C213" s="36" t="n">
        <x:v>0.962193</x:v>
      </x:c>
      <x:c r="D213" s="36" t="n">
        <x:v>0.9621927501267774</x:v>
      </x:c>
      <x:c r="E213" s="36" t="n">
        <x:v>-2.498732225575395e-7</x:v>
      </x:c>
      <x:c r="F213" s="10" t="str">
        <x:v>一致</x:v>
      </x:c>
    </x:row>
    <x:row r="214" ht="23" customHeight="1">
      <x:c r="A214" s="10" t="str">
        <x:v>表5-7</x:v>
      </x:c>
      <x:c r="B214" s="10" t="str">
        <x:v>0.75/A/rms</x:v>
      </x:c>
      <x:c r="C214" s="36" t="n">
        <x:v>0.002962</x:v>
      </x:c>
      <x:c r="D214" s="36" t="n">
        <x:v>0.0029618558480582233</x:v>
      </x:c>
      <x:c r="E214" s="36" t="n">
        <x:v>-1.4415194177653384e-7</x:v>
      </x:c>
      <x:c r="F214" s="10" t="str">
        <x:v>一致</x:v>
      </x:c>
    </x:row>
    <x:row r="215" ht="23" customHeight="1">
      <x:c r="A215" s="10" t="str">
        <x:v>表5-7</x:v>
      </x:c>
      <x:c r="B215" s="10" t="str">
        <x:v>0.75/A/p95</x:v>
      </x:c>
      <x:c r="C215" s="36" t="n">
        <x:v>0.000607</x:v>
      </x:c>
      <x:c r="D215" s="36" t="n">
        <x:v>0.000607028928283903</x:v>
      </x:c>
      <x:c r="E215" s="36" t="n">
        <x:v>2.8928283902986303e-8</x:v>
      </x:c>
      <x:c r="F215" s="10" t="str">
        <x:v>一致</x:v>
      </x:c>
    </x:row>
    <x:row r="216" ht="23" customHeight="1">
      <x:c r="A216" s="10" t="str">
        <x:v>表5-7</x:v>
      </x:c>
      <x:c r="B216" s="10" t="str">
        <x:v>0.75/A/rmse</x:v>
      </x:c>
      <x:c r="C216" s="36" t="n">
        <x:v>10.751</x:v>
      </x:c>
      <x:c r="D216" s="36" t="n">
        <x:v>10.750697537538917</x:v>
      </x:c>
      <x:c r="E216" s="36" t="n">
        <x:v>-0.0003024624610823423</x:v>
      </x:c>
      <x:c r="F216" s="10" t="str">
        <x:v>一致</x:v>
      </x:c>
    </x:row>
    <x:row r="217" ht="23" customHeight="1">
      <x:c r="A217" s="10" t="str">
        <x:v>表5-7</x:v>
      </x:c>
      <x:c r="B217" s="10" t="str">
        <x:v>0.75/A/psnr</x:v>
      </x:c>
      <x:c r="C217" s="36" t="n">
        <x:v>28.927</x:v>
      </x:c>
      <x:c r="D217" s="36" t="n">
        <x:v>28.926939867443554</x:v>
      </x:c>
      <x:c r="E217" s="36" t="n">
        <x:v>-0.00006013255644532478</x:v>
      </x:c>
      <x:c r="F217" s="10" t="str">
        <x:v>一致</x:v>
      </x:c>
    </x:row>
    <x:row r="218" ht="23" customHeight="1">
      <x:c r="A218" s="10" t="str">
        <x:v>表5-7</x:v>
      </x:c>
      <x:c r="B218" s="10" t="str">
        <x:v>0.75/A/ssim</x:v>
      </x:c>
      <x:c r="C218" s="36" t="n">
        <x:v>0.97251</x:v>
      </x:c>
      <x:c r="D218" s="36" t="n">
        <x:v>0.9725102929182899</x:v>
      </x:c>
      <x:c r="E218" s="36" t="n">
        <x:v>2.929182899569227e-7</x:v>
      </x:c>
      <x:c r="F218" s="10" t="str">
        <x:v>一致</x:v>
      </x:c>
    </x:row>
    <x:row r="219" ht="23" customHeight="1">
      <x:c r="A219" s="10" t="str">
        <x:v>表5-7</x:v>
      </x:c>
      <x:c r="B219" s="10" t="str">
        <x:v>0.75/B/rms</x:v>
      </x:c>
      <x:c r="C219" s="36" t="n">
        <x:v>0.000628</x:v>
      </x:c>
      <x:c r="D219" s="36" t="n">
        <x:v>0.000628054273077486</x:v>
      </x:c>
      <x:c r="E219" s="36" t="n">
        <x:v>5.427307748606235e-8</x:v>
      </x:c>
      <x:c r="F219" s="10" t="str">
        <x:v>一致</x:v>
      </x:c>
    </x:row>
    <x:row r="220" ht="23" customHeight="1">
      <x:c r="A220" s="10" t="str">
        <x:v>表5-7</x:v>
      </x:c>
      <x:c r="B220" s="10" t="str">
        <x:v>0.75/B/p95</x:v>
      </x:c>
      <x:c r="C220" s="36" t="n">
        <x:v>3.45e-8</x:v>
      </x:c>
      <x:c r="D220" s="36" t="n">
        <x:v>3.4539336252192794e-8</x:v>
      </x:c>
      <x:c r="E220" s="36" t="n">
        <x:v>3.933625219279628e-11</x:v>
      </x:c>
      <x:c r="F220" s="10" t="str">
        <x:v>一致</x:v>
      </x:c>
    </x:row>
    <x:row r="221" ht="23" customHeight="1">
      <x:c r="A221" s="10" t="str">
        <x:v>表5-7</x:v>
      </x:c>
      <x:c r="B221" s="10" t="str">
        <x:v>0.75/B/rmse</x:v>
      </x:c>
      <x:c r="C221" s="36" t="n">
        <x:v>4.787</x:v>
      </x:c>
      <x:c r="D221" s="36" t="n">
        <x:v>4.786643768969758</x:v>
      </x:c>
      <x:c r="E221" s="36" t="n">
        <x:v>-0.00035623103024207126</x:v>
      </x:c>
      <x:c r="F221" s="10" t="str">
        <x:v>一致</x:v>
      </x:c>
    </x:row>
    <x:row r="222" ht="23" customHeight="1">
      <x:c r="A222" s="10" t="str">
        <x:v>表5-7</x:v>
      </x:c>
      <x:c r="B222" s="10" t="str">
        <x:v>0.75/B/psnr</x:v>
      </x:c>
      <x:c r="C222" s="36" t="n">
        <x:v>35.416</x:v>
      </x:c>
      <x:c r="D222" s="36" t="n">
        <x:v>35.415965964082076</x:v>
      </x:c>
      <x:c r="E222" s="36" t="n">
        <x:v>-0.0000340359179205052</x:v>
      </x:c>
      <x:c r="F222" s="10" t="str">
        <x:v>一致</x:v>
      </x:c>
    </x:row>
    <x:row r="223" ht="23" customHeight="1">
      <x:c r="A223" s="10" t="str">
        <x:v>表5-7</x:v>
      </x:c>
      <x:c r="B223" s="10" t="str">
        <x:v>0.75/B/ssim</x:v>
      </x:c>
      <x:c r="C223" s="36" t="n">
        <x:v>0.991155</x:v>
      </x:c>
      <x:c r="D223" s="36" t="n">
        <x:v>0.9911550058239703</x:v>
      </x:c>
      <x:c r="E223" s="36" t="n">
        <x:v>5.823970306018111e-9</x:v>
      </x:c>
      <x:c r="F223" s="10" t="str">
        <x:v>一致</x:v>
      </x:c>
    </x:row>
    <x:row r="224" ht="23" customHeight="1">
      <x:c r="A224" s="10" t="str">
        <x:v>表5-7</x:v>
      </x:c>
      <x:c r="B224" s="10" t="str">
        <x:v>0.75/C/rms</x:v>
      </x:c>
      <x:c r="C224" s="36" t="n">
        <x:v>0.002905</x:v>
      </x:c>
      <x:c r="D224" s="36" t="n">
        <x:v>0.0029046058206855106</x:v>
      </x:c>
      <x:c r="E224" s="36" t="n">
        <x:v>-3.9417931448938737e-7</x:v>
      </x:c>
      <x:c r="F224" s="10" t="str">
        <x:v>一致</x:v>
      </x:c>
    </x:row>
    <x:row r="225" ht="23" customHeight="1">
      <x:c r="A225" s="10" t="str">
        <x:v>表5-7</x:v>
      </x:c>
      <x:c r="B225" s="10" t="str">
        <x:v>0.75/C/p95</x:v>
      </x:c>
      <x:c r="C225" s="36" t="n">
        <x:v>0.000565</x:v>
      </x:c>
      <x:c r="D225" s="36" t="n">
        <x:v>0.0005654804417745684</x:v>
      </x:c>
      <x:c r="E225" s="36" t="n">
        <x:v>4.804417745683928e-7</x:v>
      </x:c>
      <x:c r="F225" s="10" t="str">
        <x:v>一致</x:v>
      </x:c>
    </x:row>
    <x:row r="226" ht="23" customHeight="1">
      <x:c r="A226" s="10" t="str">
        <x:v>表5-7</x:v>
      </x:c>
      <x:c r="B226" s="10" t="str">
        <x:v>0.75/C/rmse</x:v>
      </x:c>
      <x:c r="C226" s="36" t="n">
        <x:v>10.694</x:v>
      </x:c>
      <x:c r="D226" s="36" t="n">
        <x:v>10.693798766107722</x:v>
      </x:c>
      <x:c r="E226" s="36" t="n">
        <x:v>-0.0002012338922785517</x:v>
      </x:c>
      <x:c r="F226" s="10" t="str">
        <x:v>一致</x:v>
      </x:c>
    </x:row>
    <x:row r="227" ht="23" customHeight="1">
      <x:c r="A227" s="10" t="str">
        <x:v>表5-7</x:v>
      </x:c>
      <x:c r="B227" s="10" t="str">
        <x:v>0.75/C/psnr</x:v>
      </x:c>
      <x:c r="C227" s="36" t="n">
        <x:v>28.979</x:v>
      </x:c>
      <x:c r="D227" s="36" t="n">
        <x:v>28.97858387617062</x:v>
      </x:c>
      <x:c r="E227" s="36" t="n">
        <x:v>-0.00041612382937827874</x:v>
      </x:c>
      <x:c r="F227" s="10" t="str">
        <x:v>一致</x:v>
      </x:c>
    </x:row>
    <x:row r="228" ht="23" customHeight="1">
      <x:c r="A228" s="10" t="str">
        <x:v>表5-7</x:v>
      </x:c>
      <x:c r="B228" s="10" t="str">
        <x:v>0.75/C/ssim</x:v>
      </x:c>
      <x:c r="C228" s="36" t="n">
        <x:v>0.972732</x:v>
      </x:c>
      <x:c r="D228" s="36" t="n">
        <x:v>0.9727322436365577</x:v>
      </x:c>
      <x:c r="E228" s="36" t="n">
        <x:v>2.436365577063171e-7</x:v>
      </x:c>
      <x:c r="F228" s="10" t="str">
        <x:v>一致</x:v>
      </x:c>
    </x:row>
    <x:row r="229" ht="23" customHeight="1">
      <x:c r="A229" s="10" t="str">
        <x:v>表5-7</x:v>
      </x:c>
      <x:c r="B229" s="10" t="str">
        <x:v>0.75/D/rms</x:v>
      </x:c>
      <x:c r="C229" s="36" t="n">
        <x:v>0.000573</x:v>
      </x:c>
      <x:c r="D229" s="36" t="n">
        <x:v>0.0005729804516221801</x:v>
      </x:c>
      <x:c r="E229" s="36" t="n">
        <x:v>-1.9548377819906745e-8</x:v>
      </x:c>
      <x:c r="F229" s="10" t="str">
        <x:v>一致</x:v>
      </x:c>
    </x:row>
    <x:row r="230" ht="23" customHeight="1">
      <x:c r="A230" s="10" t="str">
        <x:v>表5-7</x:v>
      </x:c>
      <x:c r="B230" s="10" t="str">
        <x:v>0.75/D/p95</x:v>
      </x:c>
      <x:c r="C230" s="36" t="n">
        <x:v>2.82e-8</x:v>
      </x:c>
      <x:c r="D230" s="36" t="n">
        <x:v>2.8190229751229292e-8</x:v>
      </x:c>
      <x:c r="E230" s="36" t="n">
        <x:v>-9.770248770708834e-12</x:v>
      </x:c>
      <x:c r="F230" s="10" t="str">
        <x:v>一致</x:v>
      </x:c>
    </x:row>
    <x:row r="231" ht="23" customHeight="1">
      <x:c r="A231" s="10" t="str">
        <x:v>表5-7</x:v>
      </x:c>
      <x:c r="B231" s="10" t="str">
        <x:v>0.75/D/rmse</x:v>
      </x:c>
      <x:c r="C231" s="36" t="n">
        <x:v>4.774</x:v>
      </x:c>
      <x:c r="D231" s="36" t="n">
        <x:v>4.774049109750898</x:v>
      </x:c>
      <x:c r="E231" s="36" t="n">
        <x:v>0.00004910975089789105</x:v>
      </x:c>
      <x:c r="F231" s="10" t="str">
        <x:v>一致</x:v>
      </x:c>
    </x:row>
    <x:row r="232" ht="23" customHeight="1">
      <x:c r="A232" s="10" t="str">
        <x:v>表5-7</x:v>
      </x:c>
      <x:c r="B232" s="10" t="str">
        <x:v>0.75/D/psnr</x:v>
      </x:c>
      <x:c r="C232" s="36" t="n">
        <x:v>35.469</x:v>
      </x:c>
      <x:c r="D232" s="36" t="n">
        <x:v>35.4686052637416</x:v>
      </x:c>
      <x:c r="E232" s="36" t="n">
        <x:v>-0.00039473625840003024</x:v>
      </x:c>
      <x:c r="F232" s="10" t="str">
        <x:v>一致</x:v>
      </x:c>
    </x:row>
    <x:row r="233" ht="23" customHeight="1">
      <x:c r="A233" s="10" t="str">
        <x:v>表5-7</x:v>
      </x:c>
      <x:c r="B233" s="10" t="str">
        <x:v>0.75/D/ssim</x:v>
      </x:c>
      <x:c r="C233" s="36" t="n">
        <x:v>0.991165</x:v>
      </x:c>
      <x:c r="D233" s="36" t="n">
        <x:v>0.9911646800200388</x:v>
      </x:c>
      <x:c r="E233" s="36" t="n">
        <x:v>-3.1997996119415006e-7</x:v>
      </x:c>
      <x:c r="F233" s="10" t="str">
        <x:v>一致</x:v>
      </x:c>
    </x:row>
    <x:row r="234" ht="23" customHeight="1">
      <x:c r="A234" s="10" t="str">
        <x:v>表5-8</x:v>
      </x:c>
      <x:c r="B234" s="10" t="str">
        <x:v>0.125/A/rms_best</x:v>
      </x:c>
      <x:c r="C234" s="36" t="n">
        <x:v>0</x:v>
      </x:c>
      <x:c r="D234" s="36" t="n">
        <x:v>0</x:v>
      </x:c>
      <x:c r="E234" s="36" t="n">
        <x:v>0</x:v>
      </x:c>
      <x:c r="F234" s="10" t="str">
        <x:v>一致</x:v>
      </x:c>
    </x:row>
    <x:row r="235" ht="23" customHeight="1">
      <x:c r="A235" s="10" t="str">
        <x:v>表5-8</x:v>
      </x:c>
      <x:c r="B235" s="10" t="str">
        <x:v>0.125/A/p95_best</x:v>
      </x:c>
      <x:c r="C235" s="36" t="n">
        <x:v>0</x:v>
      </x:c>
      <x:c r="D235" s="36" t="n">
        <x:v>0</x:v>
      </x:c>
      <x:c r="E235" s="36" t="n">
        <x:v>0</x:v>
      </x:c>
      <x:c r="F235" s="10" t="str">
        <x:v>一致</x:v>
      </x:c>
    </x:row>
    <x:row r="236" ht="23" customHeight="1">
      <x:c r="A236" s="10" t="str">
        <x:v>表5-8</x:v>
      </x:c>
      <x:c r="B236" s="10" t="str">
        <x:v>0.125/A/rmse_best</x:v>
      </x:c>
      <x:c r="C236" s="36" t="n">
        <x:v>0</x:v>
      </x:c>
      <x:c r="D236" s="36" t="n">
        <x:v>0</x:v>
      </x:c>
      <x:c r="E236" s="36" t="n">
        <x:v>0</x:v>
      </x:c>
      <x:c r="F236" s="10" t="str">
        <x:v>一致</x:v>
      </x:c>
    </x:row>
    <x:row r="237" ht="23" customHeight="1">
      <x:c r="A237" s="10" t="str">
        <x:v>表5-8</x:v>
      </x:c>
      <x:c r="B237" s="10" t="str">
        <x:v>0.125/A/psnr_mse_best</x:v>
      </x:c>
      <x:c r="C237" s="36" t="n">
        <x:v>0</x:v>
      </x:c>
      <x:c r="D237" s="36" t="n">
        <x:v>0</x:v>
      </x:c>
      <x:c r="E237" s="36" t="n">
        <x:v>0</x:v>
      </x:c>
      <x:c r="F237" s="10" t="str">
        <x:v>一致</x:v>
      </x:c>
    </x:row>
    <x:row r="238" ht="23" customHeight="1">
      <x:c r="A238" s="10" t="str">
        <x:v>表5-8</x:v>
      </x:c>
      <x:c r="B238" s="10" t="str">
        <x:v>0.125/A/ssim_loss_best</x:v>
      </x:c>
      <x:c r="C238" s="36" t="n">
        <x:v>0</x:v>
      </x:c>
      <x:c r="D238" s="36" t="n">
        <x:v>0</x:v>
      </x:c>
      <x:c r="E238" s="36" t="n">
        <x:v>0</x:v>
      </x:c>
      <x:c r="F238" s="10" t="str">
        <x:v>一致</x:v>
      </x:c>
    </x:row>
    <x:row r="239" ht="23" customHeight="1">
      <x:c r="A239" s="10" t="str">
        <x:v>表5-8</x:v>
      </x:c>
      <x:c r="B239" s="10" t="str">
        <x:v>0.125/B/rms_best</x:v>
      </x:c>
      <x:c r="C239" s="36" t="n">
        <x:v>20.16</x:v>
      </x:c>
      <x:c r="D239" s="36" t="n">
        <x:v>20.16209891132119</x:v>
      </x:c>
      <x:c r="E239" s="36" t="n">
        <x:v>0.0020989113211911103</x:v>
      </x:c>
      <x:c r="F239" s="10" t="str">
        <x:v>一致</x:v>
      </x:c>
    </x:row>
    <x:row r="240" ht="23" customHeight="1">
      <x:c r="A240" s="10" t="str">
        <x:v>表5-8</x:v>
      </x:c>
      <x:c r="B240" s="10" t="str">
        <x:v>0.125/B/p95_best</x:v>
      </x:c>
      <x:c r="C240" s="36" t="n">
        <x:v>38.09</x:v>
      </x:c>
      <x:c r="D240" s="36" t="n">
        <x:v>38.09177290641129</x:v>
      </x:c>
      <x:c r="E240" s="36" t="n">
        <x:v>0.0017729064112899096</x:v>
      </x:c>
      <x:c r="F240" s="10" t="str">
        <x:v>一致</x:v>
      </x:c>
    </x:row>
    <x:row r="241" ht="23" customHeight="1">
      <x:c r="A241" s="10" t="str">
        <x:v>表5-8</x:v>
      </x:c>
      <x:c r="B241" s="10" t="str">
        <x:v>0.125/B/rmse_best</x:v>
      </x:c>
      <x:c r="C241" s="36" t="n">
        <x:v>1.38</x:v>
      </x:c>
      <x:c r="D241" s="36" t="n">
        <x:v>1.3820567480436252</x:v>
      </x:c>
      <x:c r="E241" s="36" t="n">
        <x:v>0.0020567480436253227</x:v>
      </x:c>
      <x:c r="F241" s="10" t="str">
        <x:v>一致</x:v>
      </x:c>
    </x:row>
    <x:row r="242" ht="23" customHeight="1">
      <x:c r="A242" s="10" t="str">
        <x:v>表5-8</x:v>
      </x:c>
      <x:c r="B242" s="10" t="str">
        <x:v>0.125/B/psnr_mse_best</x:v>
      </x:c>
      <x:c r="C242" s="36" t="n">
        <x:v>2.72</x:v>
      </x:c>
      <x:c r="D242" s="36" t="n">
        <x:v>2.7153130138879655</x:v>
      </x:c>
      <x:c r="E242" s="36" t="n">
        <x:v>-0.004686986112034663</x:v>
      </x:c>
      <x:c r="F242" s="10" t="str">
        <x:v>一致</x:v>
      </x:c>
    </x:row>
    <x:row r="243" ht="23" customHeight="1">
      <x:c r="A243" s="10" t="str">
        <x:v>表5-8</x:v>
      </x:c>
      <x:c r="B243" s="10" t="str">
        <x:v>0.125/B/ssim_loss_best</x:v>
      </x:c>
      <x:c r="C243" s="36" t="n">
        <x:v>0.72</x:v>
      </x:c>
      <x:c r="D243" s="36" t="n">
        <x:v>0.72095553132836</x:v>
      </x:c>
      <x:c r="E243" s="36" t="n">
        <x:v>0.0009555313283600153</x:v>
      </x:c>
      <x:c r="F243" s="10" t="str">
        <x:v>一致</x:v>
      </x:c>
    </x:row>
    <x:row r="244" ht="23" customHeight="1">
      <x:c r="A244" s="10" t="str">
        <x:v>表5-8</x:v>
      </x:c>
      <x:c r="B244" s="10" t="str">
        <x:v>0.125/C/rms_best</x:v>
      </x:c>
      <x:c r="C244" s="36" t="n">
        <x:v>6.72</x:v>
      </x:c>
      <x:c r="D244" s="36" t="n">
        <x:v>6.721125217554135</x:v>
      </x:c>
      <x:c r="E244" s="36" t="n">
        <x:v>0.001125217554135638</x:v>
      </x:c>
      <x:c r="F244" s="10" t="str">
        <x:v>一致</x:v>
      </x:c>
    </x:row>
    <x:row r="245" ht="23" customHeight="1">
      <x:c r="A245" s="10" t="str">
        <x:v>表5-8</x:v>
      </x:c>
      <x:c r="B245" s="10" t="str">
        <x:v>0.125/C/p95_best</x:v>
      </x:c>
      <x:c r="C245" s="36" t="n">
        <x:v>5.67</x:v>
      </x:c>
      <x:c r="D245" s="36" t="n">
        <x:v>5.665442788985386</x:v>
      </x:c>
      <x:c r="E245" s="36" t="n">
        <x:v>-0.004557211014613927</x:v>
      </x:c>
      <x:c r="F245" s="10" t="str">
        <x:v>一致</x:v>
      </x:c>
    </x:row>
    <x:row r="246" ht="23" customHeight="1">
      <x:c r="A246" s="10" t="str">
        <x:v>表5-8</x:v>
      </x:c>
      <x:c r="B246" s="10" t="str">
        <x:v>0.125/C/rmse_best</x:v>
      </x:c>
      <x:c r="C246" s="36" t="n">
        <x:v>0.4</x:v>
      </x:c>
      <x:c r="D246" s="36" t="n">
        <x:v>0.3991702493253424</x:v>
      </x:c>
      <x:c r="E246" s="36" t="n">
        <x:v>-0.0008297506746576255</x:v>
      </x:c>
      <x:c r="F246" s="10" t="str">
        <x:v>一致</x:v>
      </x:c>
    </x:row>
    <x:row r="247" ht="23" customHeight="1">
      <x:c r="A247" s="10" t="str">
        <x:v>表5-8</x:v>
      </x:c>
      <x:c r="B247" s="10" t="str">
        <x:v>0.125/C/psnr_mse_best</x:v>
      </x:c>
      <x:c r="C247" s="36" t="n">
        <x:v>0.51</x:v>
      </x:c>
      <x:c r="D247" s="36" t="n">
        <x:v>0.5063109306257529</x:v>
      </x:c>
      <x:c r="E247" s="36" t="n">
        <x:v>-0.003689069374247067</x:v>
      </x:c>
      <x:c r="F247" s="10" t="str">
        <x:v>一致</x:v>
      </x:c>
    </x:row>
    <x:row r="248" ht="23" customHeight="1">
      <x:c r="A248" s="10" t="str">
        <x:v>表5-8</x:v>
      </x:c>
      <x:c r="B248" s="10" t="str">
        <x:v>0.125/C/ssim_loss_best</x:v>
      </x:c>
      <x:c r="C248" s="36" t="n">
        <x:v>0.21</x:v>
      </x:c>
      <x:c r="D248" s="36" t="n">
        <x:v>0.20654628538055997</x:v>
      </x:c>
      <x:c r="E248" s="36" t="n">
        <x:v>-0.0034537146194400237</x:v>
      </x:c>
      <x:c r="F248" s="10" t="str">
        <x:v>一致</x:v>
      </x:c>
    </x:row>
    <x:row r="249" ht="23" customHeight="1">
      <x:c r="A249" s="10" t="str">
        <x:v>表5-8</x:v>
      </x:c>
      <x:c r="B249" s="10" t="str">
        <x:v>0.125/D/rms_best</x:v>
      </x:c>
      <x:c r="C249" s="36" t="n">
        <x:v>24.37</x:v>
      </x:c>
      <x:c r="D249" s="36" t="n">
        <x:v>24.374240711024253</x:v>
      </x:c>
      <x:c r="E249" s="36" t="n">
        <x:v>0.004240711024252164</x:v>
      </x:c>
      <x:c r="F249" s="10" t="str">
        <x:v>一致</x:v>
      </x:c>
    </x:row>
    <x:row r="250" ht="23" customHeight="1">
      <x:c r="A250" s="10" t="str">
        <x:v>表5-8</x:v>
      </x:c>
      <x:c r="B250" s="10" t="str">
        <x:v>0.125/D/p95_best</x:v>
      </x:c>
      <x:c r="C250" s="36" t="n">
        <x:v>44.83</x:v>
      </x:c>
      <x:c r="D250" s="36" t="n">
        <x:v>44.83006274174981</x:v>
      </x:c>
      <x:c r="E250" s="36" t="n">
        <x:v>0.0000627417498151317</x:v>
      </x:c>
      <x:c r="F250" s="10" t="str">
        <x:v>一致</x:v>
      </x:c>
    </x:row>
    <x:row r="251" ht="23" customHeight="1">
      <x:c r="A251" s="10" t="str">
        <x:v>表5-8</x:v>
      </x:c>
      <x:c r="B251" s="10" t="str">
        <x:v>0.125/D/rmse_best</x:v>
      </x:c>
      <x:c r="C251" s="36" t="n">
        <x:v>3.05</x:v>
      </x:c>
      <x:c r="D251" s="36" t="n">
        <x:v>3.0461157337029587</x:v>
      </x:c>
      <x:c r="E251" s="36" t="n">
        <x:v>-0.0038842662970410835</x:v>
      </x:c>
      <x:c r="F251" s="10" t="str">
        <x:v>一致</x:v>
      </x:c>
    </x:row>
    <x:row r="252" ht="23" customHeight="1">
      <x:c r="A252" s="10" t="str">
        <x:v>表5-8</x:v>
      </x:c>
      <x:c r="B252" s="10" t="str">
        <x:v>0.125/D/psnr_mse_best</x:v>
      </x:c>
      <x:c r="C252" s="36" t="n">
        <x:v>5.93</x:v>
      </x:c>
      <x:c r="D252" s="36" t="n">
        <x:v>5.93470824910095</x:v>
      </x:c>
      <x:c r="E252" s="36" t="n">
        <x:v>0.004708249100950468</x:v>
      </x:c>
      <x:c r="F252" s="10" t="str">
        <x:v>一致</x:v>
      </x:c>
    </x:row>
    <x:row r="253" ht="23" customHeight="1">
      <x:c r="A253" s="10" t="str">
        <x:v>表5-8</x:v>
      </x:c>
      <x:c r="B253" s="10" t="str">
        <x:v>0.125/D/ssim_loss_best</x:v>
      </x:c>
      <x:c r="C253" s="36" t="n">
        <x:v>5.94</x:v>
      </x:c>
      <x:c r="D253" s="36" t="n">
        <x:v>5.935157354967058</x:v>
      </x:c>
      <x:c r="E253" s="36" t="n">
        <x:v>-0.004842645032942627</x:v>
      </x:c>
      <x:c r="F253" s="10" t="str">
        <x:v>一致</x:v>
      </x:c>
    </x:row>
    <x:row r="254" ht="23" customHeight="1">
      <x:c r="A254" s="10" t="str">
        <x:v>表5-8</x:v>
      </x:c>
      <x:c r="B254" s="10" t="str">
        <x:v>0.25/A/rms_best</x:v>
      </x:c>
      <x:c r="C254" s="36" t="n">
        <x:v>0</x:v>
      </x:c>
      <x:c r="D254" s="36" t="n">
        <x:v>0</x:v>
      </x:c>
      <x:c r="E254" s="36" t="n">
        <x:v>0</x:v>
      </x:c>
      <x:c r="F254" s="10" t="str">
        <x:v>一致</x:v>
      </x:c>
    </x:row>
    <x:row r="255" ht="23" customHeight="1">
      <x:c r="A255" s="10" t="str">
        <x:v>表5-8</x:v>
      </x:c>
      <x:c r="B255" s="10" t="str">
        <x:v>0.25/A/p95_best</x:v>
      </x:c>
      <x:c r="C255" s="36" t="n">
        <x:v>0</x:v>
      </x:c>
      <x:c r="D255" s="36" t="n">
        <x:v>0</x:v>
      </x:c>
      <x:c r="E255" s="36" t="n">
        <x:v>0</x:v>
      </x:c>
      <x:c r="F255" s="10" t="str">
        <x:v>一致</x:v>
      </x:c>
    </x:row>
    <x:row r="256" ht="23" customHeight="1">
      <x:c r="A256" s="10" t="str">
        <x:v>表5-8</x:v>
      </x:c>
      <x:c r="B256" s="10" t="str">
        <x:v>0.25/A/rmse_best</x:v>
      </x:c>
      <x:c r="C256" s="36" t="n">
        <x:v>0</x:v>
      </x:c>
      <x:c r="D256" s="36" t="n">
        <x:v>0</x:v>
      </x:c>
      <x:c r="E256" s="36" t="n">
        <x:v>0</x:v>
      </x:c>
      <x:c r="F256" s="10" t="str">
        <x:v>一致</x:v>
      </x:c>
    </x:row>
    <x:row r="257" ht="23" customHeight="1">
      <x:c r="A257" s="10" t="str">
        <x:v>表5-8</x:v>
      </x:c>
      <x:c r="B257" s="10" t="str">
        <x:v>0.25/A/psnr_mse_best</x:v>
      </x:c>
      <x:c r="C257" s="36" t="n">
        <x:v>0</x:v>
      </x:c>
      <x:c r="D257" s="36" t="n">
        <x:v>0</x:v>
      </x:c>
      <x:c r="E257" s="36" t="n">
        <x:v>0</x:v>
      </x:c>
      <x:c r="F257" s="10" t="str">
        <x:v>一致</x:v>
      </x:c>
    </x:row>
    <x:row r="258" ht="23" customHeight="1">
      <x:c r="A258" s="10" t="str">
        <x:v>表5-8</x:v>
      </x:c>
      <x:c r="B258" s="10" t="str">
        <x:v>0.25/A/ssim_loss_best</x:v>
      </x:c>
      <x:c r="C258" s="36" t="n">
        <x:v>0</x:v>
      </x:c>
      <x:c r="D258" s="36" t="n">
        <x:v>0</x:v>
      </x:c>
      <x:c r="E258" s="36" t="n">
        <x:v>0</x:v>
      </x:c>
      <x:c r="F258" s="10" t="str">
        <x:v>一致</x:v>
      </x:c>
    </x:row>
    <x:row r="259" ht="23" customHeight="1">
      <x:c r="A259" s="10" t="str">
        <x:v>表5-8</x:v>
      </x:c>
      <x:c r="B259" s="10" t="str">
        <x:v>0.25/B/rms_best</x:v>
      </x:c>
      <x:c r="C259" s="36" t="n">
        <x:v>13.39</x:v>
      </x:c>
      <x:c r="D259" s="36" t="n">
        <x:v>13.392704433950009</x:v>
      </x:c>
      <x:c r="E259" s="36" t="n">
        <x:v>0.0027044339500079673</x:v>
      </x:c>
      <x:c r="F259" s="10" t="str">
        <x:v>一致</x:v>
      </x:c>
    </x:row>
    <x:row r="260" ht="23" customHeight="1">
      <x:c r="A260" s="10" t="str">
        <x:v>表5-8</x:v>
      </x:c>
      <x:c r="B260" s="10" t="str">
        <x:v>0.25/B/p95_best</x:v>
      </x:c>
      <x:c r="C260" s="36" t="n">
        <x:v>43.77</x:v>
      </x:c>
      <x:c r="D260" s="36" t="n">
        <x:v>43.77126569872003</x:v>
      </x:c>
      <x:c r="E260" s="36" t="n">
        <x:v>0.0012656987200259096</x:v>
      </x:c>
      <x:c r="F260" s="10" t="str">
        <x:v>一致</x:v>
      </x:c>
    </x:row>
    <x:row r="261" ht="23" customHeight="1">
      <x:c r="A261" s="10" t="str">
        <x:v>表5-8</x:v>
      </x:c>
      <x:c r="B261" s="10" t="str">
        <x:v>0.25/B/rmse_best</x:v>
      </x:c>
      <x:c r="C261" s="36" t="n">
        <x:v>1.92</x:v>
      </x:c>
      <x:c r="D261" s="36" t="n">
        <x:v>1.9173051075856873</x:v>
      </x:c>
      <x:c r="E261" s="36" t="n">
        <x:v>-0.002694892414312644</x:v>
      </x:c>
      <x:c r="F261" s="10" t="str">
        <x:v>一致</x:v>
      </x:c>
    </x:row>
    <x:row r="262" ht="23" customHeight="1">
      <x:c r="A262" s="10" t="str">
        <x:v>表5-8</x:v>
      </x:c>
      <x:c r="B262" s="10" t="str">
        <x:v>0.25/B/psnr_mse_best</x:v>
      </x:c>
      <x:c r="C262" s="36" t="n">
        <x:v>4.02</x:v>
      </x:c>
      <x:c r="D262" s="36" t="n">
        <x:v>4.022330640864801</x:v>
      </x:c>
      <x:c r="E262" s="36" t="n">
        <x:v>0.002330640864801836</x:v>
      </x:c>
      <x:c r="F262" s="10" t="str">
        <x:v>一致</x:v>
      </x:c>
    </x:row>
    <x:row r="263" ht="23" customHeight="1">
      <x:c r="A263" s="10" t="str">
        <x:v>表5-8</x:v>
      </x:c>
      <x:c r="B263" s="10" t="str">
        <x:v>0.25/B/ssim_loss_best</x:v>
      </x:c>
      <x:c r="C263" s="36" t="n">
        <x:v>1.74</x:v>
      </x:c>
      <x:c r="D263" s="36" t="n">
        <x:v>1.7429501471645459</x:v>
      </x:c>
      <x:c r="E263" s="36" t="n">
        <x:v>0.002950147164545891</x:v>
      </x:c>
      <x:c r="F263" s="10" t="str">
        <x:v>一致</x:v>
      </x:c>
    </x:row>
    <x:row r="264" ht="23" customHeight="1">
      <x:c r="A264" s="10" t="str">
        <x:v>表5-8</x:v>
      </x:c>
      <x:c r="B264" s="10" t="str">
        <x:v>0.25/C/rms_best</x:v>
      </x:c>
      <x:c r="C264" s="36" t="n">
        <x:v>18.35</x:v>
      </x:c>
      <x:c r="D264" s="36" t="n">
        <x:v>18.35088305798285</x:v>
      </x:c>
      <x:c r="E264" s="36" t="n">
        <x:v>0.0008830579828469354</x:v>
      </x:c>
      <x:c r="F264" s="10" t="str">
        <x:v>一致</x:v>
      </x:c>
    </x:row>
    <x:row r="265" ht="23" customHeight="1">
      <x:c r="A265" s="10" t="str">
        <x:v>表5-8</x:v>
      </x:c>
      <x:c r="B265" s="10" t="str">
        <x:v>0.25/C/p95_best</x:v>
      </x:c>
      <x:c r="C265" s="36" t="n">
        <x:v>11.32</x:v>
      </x:c>
      <x:c r="D265" s="36" t="n">
        <x:v>11.32028018220429</x:v>
      </x:c>
      <x:c r="E265" s="36" t="n">
        <x:v>0.00028018220428904783</x:v>
      </x:c>
      <x:c r="F265" s="10" t="str">
        <x:v>一致</x:v>
      </x:c>
    </x:row>
    <x:row r="266" ht="23" customHeight="1">
      <x:c r="A266" s="10" t="str">
        <x:v>表5-8</x:v>
      </x:c>
      <x:c r="B266" s="10" t="str">
        <x:v>0.25/C/rmse_best</x:v>
      </x:c>
      <x:c r="C266" s="36" t="n">
        <x:v>0.44</x:v>
      </x:c>
      <x:c r="D266" s="36" t="n">
        <x:v>0.441785149341678</x:v>
      </x:c>
      <x:c r="E266" s="36" t="n">
        <x:v>0.001785149341678005</x:v>
      </x:c>
      <x:c r="F266" s="10" t="str">
        <x:v>一致</x:v>
      </x:c>
    </x:row>
    <x:row r="267" ht="23" customHeight="1">
      <x:c r="A267" s="10" t="str">
        <x:v>表5-8</x:v>
      </x:c>
      <x:c r="B267" s="10" t="str">
        <x:v>0.25/C/psnr_mse_best</x:v>
      </x:c>
      <x:c r="C267" s="36" t="n">
        <x:v>0.86</x:v>
      </x:c>
      <x:c r="D267" s="36" t="n">
        <x:v>0.8587373107876717</x:v>
      </x:c>
      <x:c r="E267" s="36" t="n">
        <x:v>-0.0012626892123283051</x:v>
      </x:c>
      <x:c r="F267" s="10" t="str">
        <x:v>一致</x:v>
      </x:c>
    </x:row>
    <x:row r="268" ht="23" customHeight="1">
      <x:c r="A268" s="10" t="str">
        <x:v>表5-8</x:v>
      </x:c>
      <x:c r="B268" s="10" t="str">
        <x:v>0.25/C/ssim_loss_best</x:v>
      </x:c>
      <x:c r="C268" s="36" t="n">
        <x:v>0.56</x:v>
      </x:c>
      <x:c r="D268" s="36" t="n">
        <x:v>0.564599654816611</x:v>
      </x:c>
      <x:c r="E268" s="36" t="n">
        <x:v>0.004599654816610954</x:v>
      </x:c>
      <x:c r="F268" s="10" t="str">
        <x:v>一致</x:v>
      </x:c>
    </x:row>
    <x:row r="269" ht="23" customHeight="1">
      <x:c r="A269" s="10" t="str">
        <x:v>表5-8</x:v>
      </x:c>
      <x:c r="B269" s="10" t="str">
        <x:v>0.25/D/rms_best</x:v>
      </x:c>
      <x:c r="C269" s="36" t="n">
        <x:v>30.74</x:v>
      </x:c>
      <x:c r="D269" s="36" t="n">
        <x:v>30.739991378278077</x:v>
      </x:c>
      <x:c r="E269" s="36" t="n">
        <x:v>-0.000008621721921286962</x:v>
      </x:c>
      <x:c r="F269" s="10" t="str">
        <x:v>一致</x:v>
      </x:c>
    </x:row>
    <x:row r="270" ht="23" customHeight="1">
      <x:c r="A270" s="10" t="str">
        <x:v>表5-8</x:v>
      </x:c>
      <x:c r="B270" s="10" t="str">
        <x:v>0.25/D/p95_best</x:v>
      </x:c>
      <x:c r="C270" s="36" t="n">
        <x:v>52.67</x:v>
      </x:c>
      <x:c r="D270" s="36" t="n">
        <x:v>52.66608244726374</x:v>
      </x:c>
      <x:c r="E270" s="36" t="n">
        <x:v>-0.003917552736261598</x:v>
      </x:c>
      <x:c r="F270" s="10" t="str">
        <x:v>一致</x:v>
      </x:c>
    </x:row>
    <x:row r="271" ht="23" customHeight="1">
      <x:c r="A271" s="10" t="str">
        <x:v>表5-8</x:v>
      </x:c>
      <x:c r="B271" s="10" t="str">
        <x:v>0.25/D/rmse_best</x:v>
      </x:c>
      <x:c r="C271" s="36" t="n">
        <x:v>2.08</x:v>
      </x:c>
      <x:c r="D271" s="36" t="n">
        <x:v>2.077772390668342</x:v>
      </x:c>
      <x:c r="E271" s="36" t="n">
        <x:v>-0.002227609331657998</x:v>
      </x:c>
      <x:c r="F271" s="10" t="str">
        <x:v>一致</x:v>
      </x:c>
    </x:row>
    <x:row r="272" ht="23" customHeight="1">
      <x:c r="A272" s="10" t="str">
        <x:v>表5-8</x:v>
      </x:c>
      <x:c r="B272" s="10" t="str">
        <x:v>0.25/D/psnr_mse_best</x:v>
      </x:c>
      <x:c r="C272" s="36" t="n">
        <x:v>4.04</x:v>
      </x:c>
      <x:c r="D272" s="36" t="n">
        <x:v>4.038882638131813</x:v>
      </x:c>
      <x:c r="E272" s="36" t="n">
        <x:v>-0.0011173618681867836</x:v>
      </x:c>
      <x:c r="F272" s="10" t="str">
        <x:v>一致</x:v>
      </x:c>
    </x:row>
    <x:row r="273" ht="23" customHeight="1">
      <x:c r="A273" s="10" t="str">
        <x:v>表5-8</x:v>
      </x:c>
      <x:c r="B273" s="10" t="str">
        <x:v>0.25/D/ssim_loss_best</x:v>
      </x:c>
      <x:c r="C273" s="36" t="n">
        <x:v>2.24</x:v>
      </x:c>
      <x:c r="D273" s="36" t="n">
        <x:v>2.2415642774647693</x:v>
      </x:c>
      <x:c r="E273" s="36" t="n">
        <x:v>0.0015642774647690594</x:v>
      </x:c>
      <x:c r="F273" s="10" t="str">
        <x:v>一致</x:v>
      </x:c>
    </x:row>
    <x:row r="274" ht="23" customHeight="1">
      <x:c r="A274" s="10" t="str">
        <x:v>表5-8</x:v>
      </x:c>
      <x:c r="B274" s="10" t="str">
        <x:v>0.5/A/rms_best</x:v>
      </x:c>
      <x:c r="C274" s="36" t="n">
        <x:v>0</x:v>
      </x:c>
      <x:c r="D274" s="36" t="n">
        <x:v>0</x:v>
      </x:c>
      <x:c r="E274" s="36" t="n">
        <x:v>0</x:v>
      </x:c>
      <x:c r="F274" s="10" t="str">
        <x:v>一致</x:v>
      </x:c>
    </x:row>
    <x:row r="275" ht="23" customHeight="1">
      <x:c r="A275" s="10" t="str">
        <x:v>表5-8</x:v>
      </x:c>
      <x:c r="B275" s="10" t="str">
        <x:v>0.5/A/p95_best</x:v>
      </x:c>
      <x:c r="C275" s="36" t="n">
        <x:v>0</x:v>
      </x:c>
      <x:c r="D275" s="36" t="n">
        <x:v>0</x:v>
      </x:c>
      <x:c r="E275" s="36" t="n">
        <x:v>0</x:v>
      </x:c>
      <x:c r="F275" s="10" t="str">
        <x:v>一致</x:v>
      </x:c>
    </x:row>
    <x:row r="276" ht="23" customHeight="1">
      <x:c r="A276" s="10" t="str">
        <x:v>表5-8</x:v>
      </x:c>
      <x:c r="B276" s="10" t="str">
        <x:v>0.5/A/rmse_best</x:v>
      </x:c>
      <x:c r="C276" s="36" t="n">
        <x:v>0</x:v>
      </x:c>
      <x:c r="D276" s="36" t="n">
        <x:v>0</x:v>
      </x:c>
      <x:c r="E276" s="36" t="n">
        <x:v>0</x:v>
      </x:c>
      <x:c r="F276" s="10" t="str">
        <x:v>一致</x:v>
      </x:c>
    </x:row>
    <x:row r="277" ht="23" customHeight="1">
      <x:c r="A277" s="10" t="str">
        <x:v>表5-8</x:v>
      </x:c>
      <x:c r="B277" s="10" t="str">
        <x:v>0.5/A/psnr_mse_best</x:v>
      </x:c>
      <x:c r="C277" s="36" t="n">
        <x:v>0</x:v>
      </x:c>
      <x:c r="D277" s="36" t="n">
        <x:v>0</x:v>
      </x:c>
      <x:c r="E277" s="36" t="n">
        <x:v>0</x:v>
      </x:c>
      <x:c r="F277" s="10" t="str">
        <x:v>一致</x:v>
      </x:c>
    </x:row>
    <x:row r="278" ht="23" customHeight="1">
      <x:c r="A278" s="10" t="str">
        <x:v>表5-8</x:v>
      </x:c>
      <x:c r="B278" s="10" t="str">
        <x:v>0.5/A/ssim_loss_best</x:v>
      </x:c>
      <x:c r="C278" s="36" t="n">
        <x:v>0</x:v>
      </x:c>
      <x:c r="D278" s="36" t="n">
        <x:v>0</x:v>
      </x:c>
      <x:c r="E278" s="36" t="n">
        <x:v>0</x:v>
      </x:c>
      <x:c r="F278" s="10" t="str">
        <x:v>一致</x:v>
      </x:c>
    </x:row>
    <x:row r="279" ht="23" customHeight="1">
      <x:c r="A279" s="10" t="str">
        <x:v>表5-8</x:v>
      </x:c>
      <x:c r="B279" s="10" t="str">
        <x:v>0.5/B/rms_best</x:v>
      </x:c>
      <x:c r="C279" s="36" t="n">
        <x:v>22.99</x:v>
      </x:c>
      <x:c r="D279" s="36" t="n">
        <x:v>22.991822236675986</x:v>
      </x:c>
      <x:c r="E279" s="36" t="n">
        <x:v>0.0018222366759879094</x:v>
      </x:c>
      <x:c r="F279" s="10" t="str">
        <x:v>一致</x:v>
      </x:c>
    </x:row>
    <x:row r="280" ht="23" customHeight="1">
      <x:c r="A280" s="10" t="str">
        <x:v>表5-8</x:v>
      </x:c>
      <x:c r="B280" s="10" t="str">
        <x:v>0.5/B/p95_best</x:v>
      </x:c>
      <x:c r="C280" s="36" t="n">
        <x:v>62.16</x:v>
      </x:c>
      <x:c r="D280" s="36" t="n">
        <x:v>62.15837040816549</x:v>
      </x:c>
      <x:c r="E280" s="36" t="n">
        <x:v>-0.0016295918345079485</x:v>
      </x:c>
      <x:c r="F280" s="10" t="str">
        <x:v>一致</x:v>
      </x:c>
    </x:row>
    <x:row r="281" ht="23" customHeight="1">
      <x:c r="A281" s="10" t="str">
        <x:v>表5-8</x:v>
      </x:c>
      <x:c r="B281" s="10" t="str">
        <x:v>0.5/B/rmse_best</x:v>
      </x:c>
      <x:c r="C281" s="36" t="n">
        <x:v>9.25</x:v>
      </x:c>
      <x:c r="D281" s="36" t="n">
        <x:v>9.24773106342377</x:v>
      </x:c>
      <x:c r="E281" s="36" t="n">
        <x:v>-0.002268936576230729</x:v>
      </x:c>
      <x:c r="F281" s="10" t="str">
        <x:v>一致</x:v>
      </x:c>
    </x:row>
    <x:row r="282" ht="23" customHeight="1">
      <x:c r="A282" s="10" t="str">
        <x:v>表5-8</x:v>
      </x:c>
      <x:c r="B282" s="10" t="str">
        <x:v>0.5/B/psnr_mse_best</x:v>
      </x:c>
      <x:c r="C282" s="36" t="n">
        <x:v>16.71</x:v>
      </x:c>
      <x:c r="D282" s="36" t="n">
        <x:v>16.714010387137613</x:v>
      </x:c>
      <x:c r="E282" s="36" t="n">
        <x:v>0.004010387137611815</x:v>
      </x:c>
      <x:c r="F282" s="10" t="str">
        <x:v>一致</x:v>
      </x:c>
    </x:row>
    <x:row r="283" ht="23" customHeight="1">
      <x:c r="A283" s="10" t="str">
        <x:v>表5-8</x:v>
      </x:c>
      <x:c r="B283" s="10" t="str">
        <x:v>0.5/B/ssim_loss_best</x:v>
      </x:c>
      <x:c r="C283" s="36" t="n">
        <x:v>10.91</x:v>
      </x:c>
      <x:c r="D283" s="36" t="n">
        <x:v>10.905233560998596</x:v>
      </x:c>
      <x:c r="E283" s="36" t="n">
        <x:v>-0.004766439001404166</x:v>
      </x:c>
      <x:c r="F283" s="10" t="str">
        <x:v>一致</x:v>
      </x:c>
    </x:row>
    <x:row r="284" ht="23" customHeight="1">
      <x:c r="A284" s="10" t="str">
        <x:v>表5-8</x:v>
      </x:c>
      <x:c r="B284" s="10" t="str">
        <x:v>0.5/C/rms_best</x:v>
      </x:c>
      <x:c r="C284" s="36" t="n">
        <x:v>4.77</x:v>
      </x:c>
      <x:c r="D284" s="36" t="n">
        <x:v>4.7662056628088205</x:v>
      </x:c>
      <x:c r="E284" s="36" t="n">
        <x:v>-0.0037943371911790535</x:v>
      </x:c>
      <x:c r="F284" s="10" t="str">
        <x:v>一致</x:v>
      </x:c>
    </x:row>
    <x:row r="285" ht="23" customHeight="1">
      <x:c r="A285" s="10" t="str">
        <x:v>表5-8</x:v>
      </x:c>
      <x:c r="B285" s="10" t="str">
        <x:v>0.5/C/p95_best</x:v>
      </x:c>
      <x:c r="C285" s="36" t="n">
        <x:v>8.77</x:v>
      </x:c>
      <x:c r="D285" s="36" t="n">
        <x:v>8.774986521377448</x:v>
      </x:c>
      <x:c r="E285" s="36" t="n">
        <x:v>0.004986521377448483</x:v>
      </x:c>
      <x:c r="F285" s="10" t="str">
        <x:v>一致</x:v>
      </x:c>
    </x:row>
    <x:row r="286" ht="23" customHeight="1">
      <x:c r="A286" s="10" t="str">
        <x:v>表5-8</x:v>
      </x:c>
      <x:c r="B286" s="10" t="str">
        <x:v>0.5/C/rmse_best</x:v>
      </x:c>
      <x:c r="C286" s="36" t="n">
        <x:v>0.07</x:v>
      </x:c>
      <x:c r="D286" s="36" t="n">
        <x:v>0.0664993463028285</x:v>
      </x:c>
      <x:c r="E286" s="36" t="n">
        <x:v>-0.0035006536971715074</x:v>
      </x:c>
      <x:c r="F286" s="10" t="str">
        <x:v>一致</x:v>
      </x:c>
    </x:row>
    <x:row r="287" ht="23" customHeight="1">
      <x:c r="A287" s="10" t="str">
        <x:v>表5-8</x:v>
      </x:c>
      <x:c r="B287" s="10" t="str">
        <x:v>0.5/C/psnr_mse_best</x:v>
      </x:c>
      <x:c r="C287" s="36" t="n">
        <x:v>0.14</x:v>
      </x:c>
      <x:c r="D287" s="36" t="n">
        <x:v>0.13734654040251648</x:v>
      </x:c>
      <x:c r="E287" s="36" t="n">
        <x:v>-0.0026534595974835318</x:v>
      </x:c>
      <x:c r="F287" s="10" t="str">
        <x:v>一致</x:v>
      </x:c>
    </x:row>
    <x:row r="288" ht="23" customHeight="1">
      <x:c r="A288" s="10" t="str">
        <x:v>表5-8</x:v>
      </x:c>
      <x:c r="B288" s="10" t="str">
        <x:v>0.5/C/ssim_loss_best</x:v>
      </x:c>
      <x:c r="C288" s="36" t="n">
        <x:v>0.35</x:v>
      </x:c>
      <x:c r="D288" s="36" t="n">
        <x:v>0.35078167196940235</x:v>
      </x:c>
      <x:c r="E288" s="36" t="n">
        <x:v>0.0007816719694023755</x:v>
      </x:c>
      <x:c r="F288" s="10" t="str">
        <x:v>一致</x:v>
      </x:c>
    </x:row>
    <x:row r="289" ht="23" customHeight="1">
      <x:c r="A289" s="10" t="str">
        <x:v>表5-8</x:v>
      </x:c>
      <x:c r="B289" s="10" t="str">
        <x:v>0.5/D/rms_best</x:v>
      </x:c>
      <x:c r="C289" s="36" t="n">
        <x:v>27.36</x:v>
      </x:c>
      <x:c r="D289" s="36" t="n">
        <x:v>27.356576970775958</x:v>
      </x:c>
      <x:c r="E289" s="36" t="n">
        <x:v>-0.003423029224041585</x:v>
      </x:c>
      <x:c r="F289" s="10" t="str">
        <x:v>一致</x:v>
      </x:c>
    </x:row>
    <x:row r="290" ht="23" customHeight="1">
      <x:c r="A290" s="10" t="str">
        <x:v>表5-8</x:v>
      </x:c>
      <x:c r="B290" s="10" t="str">
        <x:v>0.5/D/p95_best</x:v>
      </x:c>
      <x:c r="C290" s="36" t="n">
        <x:v>65.52</x:v>
      </x:c>
      <x:c r="D290" s="36" t="n">
        <x:v>65.52295186791723</x:v>
      </x:c>
      <x:c r="E290" s="36" t="n">
        <x:v>0.0029518679172326756</x:v>
      </x:c>
      <x:c r="F290" s="10" t="str">
        <x:v>一致</x:v>
      </x:c>
    </x:row>
    <x:row r="291" ht="23" customHeight="1">
      <x:c r="A291" s="10" t="str">
        <x:v>表5-8</x:v>
      </x:c>
      <x:c r="B291" s="10" t="str">
        <x:v>0.5/D/rmse_best</x:v>
      </x:c>
      <x:c r="C291" s="36" t="n">
        <x:v>9.13</x:v>
      </x:c>
      <x:c r="D291" s="36" t="n">
        <x:v>9.130148252640435</x:v>
      </x:c>
      <x:c r="E291" s="36" t="n">
        <x:v>0.00014825264043416553</x:v>
      </x:c>
      <x:c r="F291" s="10" t="str">
        <x:v>一致</x:v>
      </x:c>
    </x:row>
    <x:row r="292" ht="23" customHeight="1">
      <x:c r="A292" s="10" t="str">
        <x:v>表5-8</x:v>
      </x:c>
      <x:c r="B292" s="10" t="str">
        <x:v>0.5/D/psnr_mse_best</x:v>
      </x:c>
      <x:c r="C292" s="36" t="n">
        <x:v>16.51</x:v>
      </x:c>
      <x:c r="D292" s="36" t="n">
        <x:v>16.511716160203925</x:v>
      </x:c>
      <x:c r="E292" s="36" t="n">
        <x:v>0.0017161602039230672</x:v>
      </x:c>
      <x:c r="F292" s="10" t="str">
        <x:v>一致</x:v>
      </x:c>
    </x:row>
    <x:row r="293" ht="23" customHeight="1">
      <x:c r="A293" s="10" t="str">
        <x:v>表5-8</x:v>
      </x:c>
      <x:c r="B293" s="10" t="str">
        <x:v>0.5/D/ssim_loss_best</x:v>
      </x:c>
      <x:c r="C293" s="36" t="n">
        <x:v>10.68</x:v>
      </x:c>
      <x:c r="D293" s="36" t="n">
        <x:v>10.677476864780132</x:v>
      </x:c>
      <x:c r="E293" s="36" t="n">
        <x:v>-0.0025231352198673562</x:v>
      </x:c>
      <x:c r="F293" s="10" t="str">
        <x:v>一致</x:v>
      </x:c>
    </x:row>
    <x:row r="294" ht="23" customHeight="1">
      <x:c r="A294" s="10" t="str">
        <x:v>表5-8</x:v>
      </x:c>
      <x:c r="B294" s="10" t="str">
        <x:v>0.75/A/rms_best</x:v>
      </x:c>
      <x:c r="C294" s="36" t="n">
        <x:v>0</x:v>
      </x:c>
      <x:c r="D294" s="36" t="n">
        <x:v>0</x:v>
      </x:c>
      <x:c r="E294" s="36" t="n">
        <x:v>0</x:v>
      </x:c>
      <x:c r="F294" s="10" t="str">
        <x:v>一致</x:v>
      </x:c>
    </x:row>
    <x:row r="295" ht="23" customHeight="1">
      <x:c r="A295" s="10" t="str">
        <x:v>表5-8</x:v>
      </x:c>
      <x:c r="B295" s="10" t="str">
        <x:v>0.75/A/p95_best</x:v>
      </x:c>
      <x:c r="C295" s="36" t="n">
        <x:v>0</x:v>
      </x:c>
      <x:c r="D295" s="36" t="n">
        <x:v>0</x:v>
      </x:c>
      <x:c r="E295" s="36" t="n">
        <x:v>0</x:v>
      </x:c>
      <x:c r="F295" s="10" t="str">
        <x:v>一致</x:v>
      </x:c>
    </x:row>
    <x:row r="296" ht="23" customHeight="1">
      <x:c r="A296" s="10" t="str">
        <x:v>表5-8</x:v>
      </x:c>
      <x:c r="B296" s="10" t="str">
        <x:v>0.75/A/rmse_best</x:v>
      </x:c>
      <x:c r="C296" s="36" t="n">
        <x:v>0</x:v>
      </x:c>
      <x:c r="D296" s="36" t="n">
        <x:v>0</x:v>
      </x:c>
      <x:c r="E296" s="36" t="n">
        <x:v>0</x:v>
      </x:c>
      <x:c r="F296" s="10" t="str">
        <x:v>一致</x:v>
      </x:c>
    </x:row>
    <x:row r="297" ht="23" customHeight="1">
      <x:c r="A297" s="10" t="str">
        <x:v>表5-8</x:v>
      </x:c>
      <x:c r="B297" s="10" t="str">
        <x:v>0.75/A/psnr_mse_best</x:v>
      </x:c>
      <x:c r="C297" s="36" t="n">
        <x:v>0</x:v>
      </x:c>
      <x:c r="D297" s="36" t="n">
        <x:v>0</x:v>
      </x:c>
      <x:c r="E297" s="36" t="n">
        <x:v>0</x:v>
      </x:c>
      <x:c r="F297" s="10" t="str">
        <x:v>一致</x:v>
      </x:c>
    </x:row>
    <x:row r="298" ht="23" customHeight="1">
      <x:c r="A298" s="10" t="str">
        <x:v>表5-8</x:v>
      </x:c>
      <x:c r="B298" s="10" t="str">
        <x:v>0.75/A/ssim_loss_best</x:v>
      </x:c>
      <x:c r="C298" s="36" t="n">
        <x:v>0</x:v>
      </x:c>
      <x:c r="D298" s="36" t="n">
        <x:v>0</x:v>
      </x:c>
      <x:c r="E298" s="36" t="n">
        <x:v>0</x:v>
      </x:c>
      <x:c r="F298" s="10" t="str">
        <x:v>一致</x:v>
      </x:c>
    </x:row>
    <x:row r="299" ht="23" customHeight="1">
      <x:c r="A299" s="10" t="str">
        <x:v>表5-8</x:v>
      </x:c>
      <x:c r="B299" s="10" t="str">
        <x:v>0.75/B/rms_best</x:v>
      </x:c>
      <x:c r="C299" s="36" t="n">
        <x:v>85.18</x:v>
      </x:c>
      <x:c r="D299" s="36" t="n">
        <x:v>85.17560054842828</x:v>
      </x:c>
      <x:c r="E299" s="36" t="n">
        <x:v>-0.004399451571728719</x:v>
      </x:c>
      <x:c r="F299" s="10" t="str">
        <x:v>一致</x:v>
      </x:c>
    </x:row>
    <x:row r="300" ht="23" customHeight="1">
      <x:c r="A300" s="10" t="str">
        <x:v>表5-8</x:v>
      </x:c>
      <x:c r="B300" s="10" t="str">
        <x:v>0.75/B/p95_best</x:v>
      </x:c>
      <x:c r="C300" s="36" t="n">
        <x:v>100</x:v>
      </x:c>
      <x:c r="D300" s="36" t="n">
        <x:v>100</x:v>
      </x:c>
      <x:c r="E300" s="36" t="n">
        <x:v>0</x:v>
      </x:c>
      <x:c r="F300" s="10" t="str">
        <x:v>一致</x:v>
      </x:c>
    </x:row>
    <x:row r="301" ht="23" customHeight="1">
      <x:c r="A301" s="10" t="str">
        <x:v>表5-8</x:v>
      </x:c>
      <x:c r="B301" s="10" t="str">
        <x:v>0.75/B/rmse_best</x:v>
      </x:c>
      <x:c r="C301" s="36" t="n">
        <x:v>80.54</x:v>
      </x:c>
      <x:c r="D301" s="36" t="n">
        <x:v>80.54005894864756</x:v>
      </x:c>
      <x:c r="E301" s="36" t="n">
        <x:v>0.00005894864754907303</x:v>
      </x:c>
      <x:c r="F301" s="10" t="str">
        <x:v>一致</x:v>
      </x:c>
    </x:row>
    <x:row r="302" ht="23" customHeight="1">
      <x:c r="A302" s="10" t="str">
        <x:v>表5-8</x:v>
      </x:c>
      <x:c r="B302" s="10" t="str">
        <x:v>0.75/B/psnr_mse_best</x:v>
      </x:c>
      <x:c r="C302" s="36" t="n">
        <x:v>96.24</x:v>
      </x:c>
      <x:c r="D302" s="36" t="n">
        <x:v>96.24493484751223</x:v>
      </x:c>
      <x:c r="E302" s="36" t="n">
        <x:v>0.004934847512231499</x:v>
      </x:c>
      <x:c r="F302" s="10" t="str">
        <x:v>一致</x:v>
      </x:c>
    </x:row>
    <x:row r="303" ht="23" customHeight="1">
      <x:c r="A303" s="10" t="str">
        <x:v>表5-8</x:v>
      </x:c>
      <x:c r="B303" s="10" t="str">
        <x:v>0.75/B/ssim_loss_best</x:v>
      </x:c>
      <x:c r="C303" s="36" t="n">
        <x:v>85.22</x:v>
      </x:c>
      <x:c r="D303" s="36" t="n">
        <x:v>85.2238852636245</x:v>
      </x:c>
      <x:c r="E303" s="36" t="n">
        <x:v>0.0038852636244968153</x:v>
      </x:c>
      <x:c r="F303" s="10" t="str">
        <x:v>一致</x:v>
      </x:c>
    </x:row>
    <x:row r="304" ht="23" customHeight="1">
      <x:c r="A304" s="10" t="str">
        <x:v>表5-8</x:v>
      </x:c>
      <x:c r="B304" s="10" t="str">
        <x:v>0.75/C/rms_best</x:v>
      </x:c>
      <x:c r="C304" s="36" t="n">
        <x:v>2.82</x:v>
      </x:c>
      <x:c r="D304" s="36" t="n">
        <x:v>2.824940102077067</x:v>
      </x:c>
      <x:c r="E304" s="36" t="n">
        <x:v>0.004940102077067188</x:v>
      </x:c>
      <x:c r="F304" s="10" t="str">
        <x:v>一致</x:v>
      </x:c>
    </x:row>
    <x:row r="305" ht="23" customHeight="1">
      <x:c r="A305" s="10" t="str">
        <x:v>表5-8</x:v>
      </x:c>
      <x:c r="B305" s="10" t="str">
        <x:v>0.75/C/p95_best</x:v>
      </x:c>
      <x:c r="C305" s="36" t="n">
        <x:v>7.55</x:v>
      </x:c>
      <x:c r="D305" s="36" t="n">
        <x:v>7.548015232214134</x:v>
      </x:c>
      <x:c r="E305" s="36" t="n">
        <x:v>-0.001984767785866204</x:v>
      </x:c>
      <x:c r="F305" s="10" t="str">
        <x:v>一致</x:v>
      </x:c>
    </x:row>
    <x:row r="306" ht="23" customHeight="1">
      <x:c r="A306" s="10" t="str">
        <x:v>表5-8</x:v>
      </x:c>
      <x:c r="B306" s="10" t="str">
        <x:v>0.75/C/rmse_best</x:v>
      </x:c>
      <x:c r="C306" s="36" t="n">
        <x:v>1.24</x:v>
      </x:c>
      <x:c r="D306" s="36" t="n">
        <x:v>1.2433753902474587</x:v>
      </x:c>
      <x:c r="E306" s="36" t="n">
        <x:v>0.0033753902474586983</x:v>
      </x:c>
      <x:c r="F306" s="10" t="str">
        <x:v>一致</x:v>
      </x:c>
    </x:row>
    <x:row r="307" ht="23" customHeight="1">
      <x:c r="A307" s="10" t="str">
        <x:v>表5-8</x:v>
      </x:c>
      <x:c r="B307" s="10" t="str">
        <x:v>0.75/C/psnr_mse_best</x:v>
      </x:c>
      <x:c r="C307" s="36" t="n">
        <x:v>2.31</x:v>
      </x:c>
      <x:c r="D307" s="36" t="n">
        <x:v>2.3144983084500637</x:v>
      </x:c>
      <x:c r="E307" s="36" t="n">
        <x:v>0.004498308450063604</x:v>
      </x:c>
      <x:c r="F307" s="10" t="str">
        <x:v>一致</x:v>
      </x:c>
    </x:row>
    <x:row r="308" ht="23" customHeight="1">
      <x:c r="A308" s="10" t="str">
        <x:v>表5-8</x:v>
      </x:c>
      <x:c r="B308" s="10" t="str">
        <x:v>0.75/C/ssim_loss_best</x:v>
      </x:c>
      <x:c r="C308" s="36" t="n">
        <x:v>2.41</x:v>
      </x:c>
      <x:c r="D308" s="36" t="n">
        <x:v>2.4087604847029542</x:v>
      </x:c>
      <x:c r="E308" s="36" t="n">
        <x:v>-0.0012395152970459122</x:v>
      </x:c>
      <x:c r="F308" s="10" t="str">
        <x:v>一致</x:v>
      </x:c>
    </x:row>
    <x:row r="309" ht="23" customHeight="1">
      <x:c r="A309" s="10" t="str">
        <x:v>表5-8</x:v>
      </x:c>
      <x:c r="B309" s="10" t="str">
        <x:v>0.75/D/rms_best</x:v>
      </x:c>
      <x:c r="C309" s="36" t="n">
        <x:v>86.6</x:v>
      </x:c>
      <x:c r="D309" s="36" t="n">
        <x:v>86.60144850521033</x:v>
      </x:c>
      <x:c r="E309" s="36" t="n">
        <x:v>0.0014485052103339058</x:v>
      </x:c>
      <x:c r="F309" s="10" t="str">
        <x:v>一致</x:v>
      </x:c>
    </x:row>
    <x:row r="310" ht="23" customHeight="1">
      <x:c r="A310" s="10" t="str">
        <x:v>表5-8</x:v>
      </x:c>
      <x:c r="B310" s="10" t="str">
        <x:v>0.75/D/p95_best</x:v>
      </x:c>
      <x:c r="C310" s="36" t="n">
        <x:v>100</x:v>
      </x:c>
      <x:c r="D310" s="36" t="n">
        <x:v>99.99915030525734</x:v>
      </x:c>
      <x:c r="E310" s="36" t="n">
        <x:v>-0.0008496947426550605</x:v>
      </x:c>
      <x:c r="F310" s="10" t="str">
        <x:v>一致</x:v>
      </x:c>
    </x:row>
    <x:row r="311" ht="23" customHeight="1">
      <x:c r="A311" s="10" t="str">
        <x:v>表5-8</x:v>
      </x:c>
      <x:c r="B311" s="10" t="str">
        <x:v>0.75/D/rmse_best</x:v>
      </x:c>
      <x:c r="C311" s="36" t="n">
        <x:v>80.88</x:v>
      </x:c>
      <x:c r="D311" s="36" t="n">
        <x:v>80.87815290080208</x:v>
      </x:c>
      <x:c r="E311" s="36" t="n">
        <x:v>-0.0018470991979171458</x:v>
      </x:c>
      <x:c r="F311" s="10" t="str">
        <x:v>一致</x:v>
      </x:c>
    </x:row>
    <x:row r="312" ht="23" customHeight="1">
      <x:c r="A312" s="10" t="str">
        <x:v>表5-8</x:v>
      </x:c>
      <x:c r="B312" s="10" t="str">
        <x:v>0.75/D/psnr_mse_best</x:v>
      </x:c>
      <x:c r="C312" s="36" t="n">
        <x:v>96.43</x:v>
      </x:c>
      <x:c r="D312" s="36" t="n">
        <x:v>96.43193083351159</x:v>
      </x:c>
      <x:c r="E312" s="36" t="n">
        <x:v>0.0019308335115795217</x:v>
      </x:c>
      <x:c r="F312" s="10" t="str">
        <x:v>一致</x:v>
      </x:c>
    </x:row>
    <x:row r="313" ht="23" customHeight="1">
      <x:c r="A313" s="10" t="str">
        <x:v>表5-8</x:v>
      </x:c>
      <x:c r="B313" s="10" t="str">
        <x:v>0.75/D/ssim_loss_best</x:v>
      </x:c>
      <x:c r="C313" s="36" t="n">
        <x:v>85.44</x:v>
      </x:c>
      <x:c r="D313" s="36" t="n">
        <x:v>85.43836736784431</x:v>
      </x:c>
      <x:c r="E313" s="36" t="n">
        <x:v>-0.0016326321556903167</x:v>
      </x:c>
      <x:c r="F313" s="10" t="str">
        <x:v>一致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43" hidden="0" customWidth="1"/>
    <x:col min="3" max="3" width="100" hidden="0" customWidth="1"/>
    <x:col min="4" max="4" width="74" hidden="0" customWidth="1"/>
    <x:col min="5" max="5" width="60" hidden="0" customWidth="1"/>
  </x:cols>
  <x:sheetData>
    <x:row r="2">
      <x:c r="A2" s="3" t="str">
        <x:v>数据来源与快照哈希</x:v>
      </x:c>
      <x:c r="B2" s="3"/>
      <x:c r="C2" s="3"/>
      <x:c r="D2" s="3"/>
      <x:c r="E2" s="3"/>
    </x:row>
    <x:row r="3">
      <x:c r="A3" s="4" t="str">
        <x:v>原始来源未修改；表5-6缺少逐实例人工参考文件，不补造真值。</x:v>
      </x:c>
      <x:c r="B3" s="4"/>
      <x:c r="C3" s="4"/>
      <x:c r="D3" s="4"/>
      <x:c r="E3" s="4"/>
    </x:row>
    <x:row r="4">
      <x:c r="A4" s="1"/>
      <x:c r="B4" s="1"/>
      <x:c r="C4" s="1"/>
      <x:c r="D4" s="1"/>
      <x:c r="E4" s="1"/>
    </x:row>
    <x:row r="5" ht="37" customHeight="1">
      <x:c r="A5" s="9" t="str">
        <x:v>编号</x:v>
      </x:c>
      <x:c r="B5" s="9" t="str">
        <x:v>来源用途</x:v>
      </x:c>
      <x:c r="C5" s="9" t="str">
        <x:v>原始路径</x:v>
      </x:c>
      <x:c r="D5" s="9" t="str">
        <x:v>SHA256</x:v>
      </x:c>
      <x:c r="E5" s="9" t="str">
        <x:v>本包快照</x:v>
      </x:c>
    </x:row>
    <x:row r="6" ht="42" customHeight="1">
      <x:c r="A6" s="10" t="str">
        <x:v>S01</x:v>
      </x:c>
      <x:c r="B6" s="10" t="str">
        <x:v>本次论文原件快照</x:v>
      </x:c>
      <x:c r="C6" s="45" t="str">
        <x:v>C:\Users\12908\WPSDrive\9201742\WPS云盘\毕业论文\毕业论文10.22.docx</x:v>
      </x:c>
      <x:c r="D6" s="45" t="str">
        <x:v>bb501d7af3a89b81239ffc958bb14951883370b5f9ab79eb357217a120543bca</x:v>
      </x:c>
      <x:c r="E6" s="45" t="str">
        <x:v>来源快照\S01_毕业论文10.22.docx</x:v>
      </x:c>
    </x:row>
    <x:row r="7" ht="42" customHeight="1">
      <x:c r="A7" s="10" t="str">
        <x:v>S02</x:v>
      </x:c>
      <x:c r="B7" s="10" t="str">
        <x:v>论文表格的结构化提取</x:v>
      </x:c>
      <x:c r="C7" s="45" t="str">
        <x:v>work\ch5_audit\thesis_tables.json</x:v>
      </x:c>
      <x:c r="D7" s="45" t="str">
        <x:v>381f33772ea2a52497ac57c528a9039c7129405fafa42f7ef0dd8455193bc054</x:v>
      </x:c>
      <x:c r="E7" s="45" t="str">
        <x:v>来源快照\S02_thesis_tables.json</x:v>
      </x:c>
    </x:row>
    <x:row r="8" ht="42" customHeight="1">
      <x:c r="A8" s="10" t="str">
        <x:v>S03</x:v>
      </x:c>
      <x:c r="B8" s="10" t="str">
        <x:v>13场景有效实例与面数</x:v>
      </x:c>
      <x:c r="C8" s="45" t="str">
        <x:v>E:\vk_lod_clusters1\t1\analysis_reports\thirteen_scene_ablation_v5_20261021\scene_inventory.csv</x:v>
      </x:c>
      <x:c r="D8" s="45" t="str">
        <x:v>5870101d18d0477f23a6982e9caaceded2d89a537fd694f9a9fcef905c4306ec</x:v>
      </x:c>
      <x:c r="E8" s="45" t="str">
        <x:v>来源快照\S03_scene_inventory.csv</x:v>
      </x:c>
    </x:row>
    <x:row r="9" ht="42" customHeight="1">
      <x:c r="A9" s="10" t="str">
        <x:v>S04</x:v>
      </x:c>
      <x:c r="B9" s="10" t="str">
        <x:v>pointnet seed2026原始训练结果</x:v>
      </x:c>
      <x:c r="C9" s="45" t="str">
        <x:v>E:\vk_lod_clusters1\t1\experiments\pointnext\encoder-compare-two-seeds-20261019\pointnet\seed_2026\result.json</x:v>
      </x:c>
      <x:c r="D9" s="45" t="str">
        <x:v>851b4ccb2190b394857781248fc67e65e7ab043d2c25f732ced4e4d544131d6f</x:v>
      </x:c>
      <x:c r="E9" s="45" t="str">
        <x:v>来源快照\S04_result.json</x:v>
      </x:c>
    </x:row>
    <x:row r="10" ht="42" customHeight="1">
      <x:c r="A10" s="10" t="str">
        <x:v>S05</x:v>
      </x:c>
      <x:c r="B10" s="10" t="str">
        <x:v>pointnet seed2027原始训练结果</x:v>
      </x:c>
      <x:c r="C10" s="45" t="str">
        <x:v>E:\vk_lod_clusters1\t1\experiments\pointnext\encoder-compare-two-seeds-20261019\pointnet\seed_2027\result.json</x:v>
      </x:c>
      <x:c r="D10" s="45" t="str">
        <x:v>b65ac4c13c1de2e8f037feea92b7f9586a777eb7ae4eab91a6822eb5c4b195f0</x:v>
      </x:c>
      <x:c r="E10" s="45" t="str">
        <x:v>来源快照\S05_result.json</x:v>
      </x:c>
    </x:row>
    <x:row r="11" ht="42" customHeight="1">
      <x:c r="A11" s="10" t="str">
        <x:v>S06</x:v>
      </x:c>
      <x:c r="B11" s="10" t="str">
        <x:v>pointnetpp seed2026原始训练结果</x:v>
      </x:c>
      <x:c r="C11" s="45" t="str">
        <x:v>E:\vk_lod_clusters1\t1\experiments\pointnext\encoder-compare-two-seeds-20261019\pointnetpp\seed_2026\result.json</x:v>
      </x:c>
      <x:c r="D11" s="45" t="str">
        <x:v>0acf4ce289240af3b8dfccae6aefbd102b32103a765e3a6d07c5995c4bc0f641</x:v>
      </x:c>
      <x:c r="E11" s="45" t="str">
        <x:v>来源快照\S06_result.json</x:v>
      </x:c>
    </x:row>
    <x:row r="12" ht="42" customHeight="1">
      <x:c r="A12" s="10" t="str">
        <x:v>S07</x:v>
      </x:c>
      <x:c r="B12" s="10" t="str">
        <x:v>pointnetpp seed2027原始训练结果</x:v>
      </x:c>
      <x:c r="C12" s="45" t="str">
        <x:v>E:\vk_lod_clusters1\t1\experiments\pointnext\encoder-compare-two-seeds-20261019\pointnetpp\seed_2027\result.json</x:v>
      </x:c>
      <x:c r="D12" s="45" t="str">
        <x:v>92d626f251b696013a58ae12b31dacb7a1dac3d9f8fc836d2ddeff9afaed055b</x:v>
      </x:c>
      <x:c r="E12" s="45" t="str">
        <x:v>来源快照\S07_result.json</x:v>
      </x:c>
    </x:row>
    <x:row r="13" ht="42" customHeight="1">
      <x:c r="A13" s="10" t="str">
        <x:v>S08</x:v>
      </x:c>
      <x:c r="B13" s="10" t="str">
        <x:v>pointnext_stride4 seed2026原始训练结果</x:v>
      </x:c>
      <x:c r="C13" s="45" t="str">
        <x:v>E:\vk_lod_clusters1\t1\experiments\pointnext\encoder-compare-two-seeds-20261019\pointnext_stride4\seed_2026\result.json</x:v>
      </x:c>
      <x:c r="D13" s="45" t="str">
        <x:v>0b709a6d74985fc460f352f7ff480659d5bb87b7d39608ff7f5b3d023b74f606</x:v>
      </x:c>
      <x:c r="E13" s="45" t="str">
        <x:v>来源快照\S08_result.json</x:v>
      </x:c>
    </x:row>
    <x:row r="14" ht="42" customHeight="1">
      <x:c r="A14" s="10" t="str">
        <x:v>S09</x:v>
      </x:c>
      <x:c r="B14" s="10" t="str">
        <x:v>pointnext_stride4 seed2027原始训练结果</x:v>
      </x:c>
      <x:c r="C14" s="45" t="str">
        <x:v>E:\vk_lod_clusters1\t1\experiments\pointnext\encoder-compare-two-seeds-20261019\pointnext_stride4\seed_2027\result.json</x:v>
      </x:c>
      <x:c r="D14" s="45" t="str">
        <x:v>f3840b52285c45014598c37a343d8fe717e024b3d8cd5e0fbd0fddca72b60b00</x:v>
      </x:c>
      <x:c r="E14" s="45" t="str">
        <x:v>来源快照\S09_result.json</x:v>
      </x:c>
    </x:row>
    <x:row r="15" ht="42" customHeight="1">
      <x:c r="A15" s="10" t="str">
        <x:v>S10</x:v>
      </x:c>
      <x:c r="B15" s="10" t="str">
        <x:v>pointnext_s seed2026原始训练结果</x:v>
      </x:c>
      <x:c r="C15" s="45" t="str">
        <x:v>E:\vk_lod_clusters1\t1\experiments\pointnext\encoder-compare-two-seeds-20261019\pointnext_s\seed_2026\result.json</x:v>
      </x:c>
      <x:c r="D15" s="45" t="str">
        <x:v>5abaa1af45564c08e2ac3ad7114ad9c29091785a6037185478cdd14b3fba4f59</x:v>
      </x:c>
      <x:c r="E15" s="45" t="str">
        <x:v>来源快照\S10_result.json</x:v>
      </x:c>
    </x:row>
    <x:row r="16" ht="42" customHeight="1">
      <x:c r="A16" s="10" t="str">
        <x:v>S11</x:v>
      </x:c>
      <x:c r="B16" s="10" t="str">
        <x:v>pointnext_s seed2027原始训练结果</x:v>
      </x:c>
      <x:c r="C16" s="45" t="str">
        <x:v>E:\vk_lod_clusters1\t1\experiments\pointnext\encoder-compare-two-seeds-20261019\pointnext_s\seed_2027\result.json</x:v>
      </x:c>
      <x:c r="D16" s="45" t="str">
        <x:v>4085f6a317b2071b1bf40266ae7c6fba77b88e7581cb7d0ae769c9a36af544dd</x:v>
      </x:c>
      <x:c r="E16" s="45" t="str">
        <x:v>来源快照\S11_result.json</x:v>
      </x:c>
    </x:row>
    <x:row r="17" ht="42" customHeight="1">
      <x:c r="A17" s="10" t="str">
        <x:v>S12</x:v>
      </x:c>
      <x:c r="B17" s="10" t="str">
        <x:v>13场景参考占比、预测占比与分布距离</x:v>
      </x:c>
      <x:c r="C17" s="45" t="str">
        <x:v>E:\vk_lod_clusters1\t1\analysis_reports\user_reference_distribution_20261022\comparison_results.json</x:v>
      </x:c>
      <x:c r="D17" s="45" t="str">
        <x:v>83888f899b05d0833319d84bdb9249560e0879ec5b6598a23aa725207cb95068</x:v>
      </x:c>
      <x:c r="E17" s="45" t="str">
        <x:v>来源快照\S12_comparison_results.json</x:v>
      </x:c>
    </x:row>
    <x:row r="18" ht="42" customHeight="1">
      <x:c r="A18" s="10" t="str">
        <x:v>S13</x:v>
      </x:c>
      <x:c r="B18" s="10" t="str">
        <x:v>最终17版64组整景原始结果</x:v>
      </x:c>
      <x:c r="C18" s="45" t="str">
        <x:v>E:\vk_lod_clusters1\t1\.artifacts\ch54_m1_m4_final17_20261026\报告\完整主结果.csv</x:v>
      </x:c>
      <x:c r="D18" s="45" t="str">
        <x:v>cb2d26dea52f08b9b7559dd16017ab0049f61a01f60c3eb271384815c44a8536</x:v>
      </x:c>
      <x:c r="E18" s="45" t="str">
        <x:v>来源快照\S13_完整主结果.csv</x:v>
      </x:c>
    </x:row>
    <x:row r="19" ht="42" customHeight="1">
      <x:c r="A19" s="10" t="str">
        <x:v>S14</x:v>
      </x:c>
      <x:c r="B19" s="10" t="str">
        <x:v>12例独立图片及实测值</x:v>
      </x:c>
      <x:c r="C19" s="45" t="str">
        <x:v>E:\vk_lod_clusters1\t1\.artifacts\ch54_chapter_20261026\more_cases\twelve\panel_selection.json</x:v>
      </x:c>
      <x:c r="D19" s="45" t="str">
        <x:v>e4f6ddb3ab67a2bfd94a9a17052968c78ebac5d387b9a3d704413526a9c69da3</x:v>
      </x:c>
      <x:c r="E19" s="45" t="str">
        <x:v>来源快照\S14_panel_selection.json</x:v>
      </x:c>
    </x:row>
  </x:sheetData>
  <x:pageMargins left="0.7" right="0.7" top="0.75" bottom="0.75" header="0.3" footer="0.3"/>
</x:worksheet>
</file>