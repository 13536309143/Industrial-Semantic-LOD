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f7e2c6c144b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结果" sheetId="1" r:id="R75bc5a31fb1149bd"/>
    <x:sheet xmlns:r="http://schemas.openxmlformats.org/officeDocument/2006/relationships" name="P档分布" sheetId="2" r:id="Re1b1baff178d4155"/>
    <x:sheet xmlns:r="http://schemas.openxmlformats.org/officeDocument/2006/relationships" name="成对对照" sheetId="3" r:id="R402100f660114f66"/>
    <x:sheet xmlns:r="http://schemas.openxmlformats.org/officeDocument/2006/relationships" name="未知件几何" sheetId="4" r:id="R2f766eda8bc245e9"/>
    <x:sheet xmlns:r="http://schemas.openxmlformats.org/officeDocument/2006/relationships" name="低置信候选" sheetId="5" r:id="R8eee37ec6fc64986"/>
    <x:sheet xmlns:r="http://schemas.openxmlformats.org/officeDocument/2006/relationships" name="全部组合" sheetId="6" r:id="R5fc807b2d75444ec"/>
    <x:sheet xmlns:r="http://schemas.openxmlformats.org/officeDocument/2006/relationships" name="场景与口径" sheetId="7" r:id="Rad3334ceba8d4b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00%"/>
  </x:numFmts>
  <x:fonts count="5">
    <x:font>
      <x:sz val="11"/>
      <x:name val="Carlito"/>
    </x:font>
    <x:font>
      <x:sz val="10"/>
      <x:color rgb="FF24334A"/>
      <x:name val="Microsoft YaHei"/>
    </x:font>
    <x:font>
      <x:b/>
      <x:sz val="14"/>
      <x:color rgb="FF20334D"/>
      <x:name val="Microsoft YaHei"/>
    </x:font>
    <x:font>
      <x:sz val="9"/>
      <x:color rgb="FF627388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3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201" fontId="0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344af86e0c4215" /><Relationship Type="http://schemas.openxmlformats.org/officeDocument/2006/relationships/theme" Target="/xl/theme/theme1.xml" Id="R6a641cbe225a4403" /><Relationship Type="http://schemas.openxmlformats.org/officeDocument/2006/relationships/sharedStrings" Target="/xl/sharedStrings.xml" Id="Ra74c158be4494703" /><Relationship Type="http://schemas.openxmlformats.org/officeDocument/2006/relationships/worksheet" Target="/xl/worksheets/sheet1.xml" Id="R75bc5a31fb1149bd" /><Relationship Type="http://schemas.openxmlformats.org/officeDocument/2006/relationships/worksheet" Target="/xl/worksheets/sheet2.xml" Id="Re1b1baff178d4155" /><Relationship Type="http://schemas.openxmlformats.org/officeDocument/2006/relationships/worksheet" Target="/xl/worksheets/sheet3.xml" Id="R402100f660114f66" /><Relationship Type="http://schemas.openxmlformats.org/officeDocument/2006/relationships/worksheet" Target="/xl/worksheets/sheet4.xml" Id="R2f766eda8bc245e9" /><Relationship Type="http://schemas.openxmlformats.org/officeDocument/2006/relationships/worksheet" Target="/xl/worksheets/sheet5.xml" Id="R8eee37ec6fc64986" /><Relationship Type="http://schemas.openxmlformats.org/officeDocument/2006/relationships/worksheet" Target="/xl/worksheets/sheet6.xml" Id="R5fc807b2d75444ec" /><Relationship Type="http://schemas.openxmlformats.org/officeDocument/2006/relationships/worksheet" Target="/xl/worksheets/sheet7.xml" Id="Rad3334ceba8d4b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dc5b2d863d401d" /><Relationship Type="http://schemas.openxmlformats.org/officeDocument/2006/relationships/chart" Target="/xl/drawings/charts/chart2.xml" Id="R3b8ae5bcae07496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关闭上下文时的未决证据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对象未决</c:v>
          </c:tx>
          <c:spPr>
            <a:solidFill xmlns:a="http://schemas.openxmlformats.org/drawingml/2006/main">
              <a:srgbClr val="427BB0"/>
            </a:solidFill>
          </c:spPr>
          <c:invertIfNegative val="0"/>
          <c:cat>
            <c:strRef>
              <c:f>'主结果'!$J$16:$J$22</c:f>
              <c:strCache>
                <c:ptCount val="0"/>
              </c:strCache>
            </c:strRef>
          </c:cat>
          <c:val>
            <c:numRef>
              <c:f>'主结果'!$K$16:$K$22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功能未知</c:v>
          </c:tx>
          <c:spPr>
            <a:solidFill xmlns:a="http://schemas.openxmlformats.org/drawingml/2006/main">
              <a:srgbClr val="D87A5C"/>
            </a:solidFill>
          </c:spPr>
          <c:invertIfNegative val="0"/>
          <c:cat>
            <c:strRef>
              <c:f>'主结果'!$J$16:$J$22</c:f>
              <c:strCache>
                <c:ptCount val="0"/>
              </c:strCache>
            </c:strRef>
          </c:cat>
          <c:val>
            <c:numRef>
              <c:f>'主结果'!$L$16:$L$22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启用装配上下文后的改变比例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改变P的比例</c:v>
          </c:tx>
          <c:spPr>
            <a:solidFill xmlns:a="http://schemas.openxmlformats.org/drawingml/2006/main">
              <a:srgbClr val="427BB0"/>
            </a:solidFill>
          </c:spPr>
          <c:invertIfNegative val="0"/>
          <c:cat>
            <c:strRef>
              <c:f>'主结果'!$A$47:$A$53</c:f>
              <c:strCache>
                <c:ptCount val="0"/>
              </c:strCache>
            </c:strRef>
          </c:cat>
          <c:val>
            <c:numRef>
              <c:f>'主结果'!$B$47:$B$53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功能改变比例</c:v>
          </c:tx>
          <c:spPr>
            <a:solidFill xmlns:a="http://schemas.openxmlformats.org/drawingml/2006/main">
              <a:srgbClr val="D87A5C"/>
            </a:solidFill>
          </c:spPr>
          <c:invertIfNegative val="0"/>
          <c:cat>
            <c:strRef>
              <c:f>'主结果'!$A$47:$A$53</c:f>
              <c:strCache>
                <c:ptCount val="0"/>
              </c:strCache>
            </c:strRef>
          </c:cat>
          <c:val>
            <c:numRef>
              <c:f>'主结果'!$C$47:$C$53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7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dc5b2d863d401d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15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8ae5bcae07496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7" name="MainFusionOverview" displayName="MainFusionOverview" ref="A5:H19" headerRowCount="1" totalsRowCount="0" totalsRowShown="0">
  <x:autoFilter ref="A5:H19"/>
  <x:tableColumns count="8">
    <x:tableColumn id="1" name="配置"/>
    <x:tableColumn id="2" name="节点数"/>
    <x:tableColumn id="3" name="对象未决"/>
    <x:tableColumn id="4" name="功能未知"/>
    <x:tableColumn id="5" name="P1至P3"/>
    <x:tableColumn id="6" name="P8至P10"/>
    <x:tableColumn id="7" name="请求远档面数比例"/>
    <x:tableColumn id="8" name="N/C分歧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orityDistribution" displayName="PriorityDistribution" ref="A5:N649" headerRowCount="1" totalsRowCount="0" totalsRowShown="0">
  <x:autoFilter ref="A5:N649"/>
  <x:tableColumns count="14">
    <x:tableColumn id="1" name="模型"/>
    <x:tableColumn id="2" name="配置"/>
    <x:tableColumn id="3" name="计数口径"/>
    <x:tableColumn id="4" name="分母"/>
    <x:tableColumn id="5" name="P1"/>
    <x:tableColumn id="6" name="P2"/>
    <x:tableColumn id="7" name="P3"/>
    <x:tableColumn id="8" name="P4"/>
    <x:tableColumn id="9" name="P5"/>
    <x:tableColumn id="10" name="P6"/>
    <x:tableColumn id="11" name="P7"/>
    <x:tableColumn id="12" name="P8"/>
    <x:tableColumn id="13" name="P9"/>
    <x:tableColumn id="14" name="P1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iredNodeChanges" displayName="PairedNodeChanges" ref="A5:M369" headerRowCount="1" totalsRowCount="0" totalsRowShown="0">
  <x:autoFilter ref="A5:M369"/>
  <x:tableColumns count="13">
    <x:tableColumn id="1" name="模型"/>
    <x:tableColumn id="2" name="组合"/>
    <x:tableColumn id="3" name="对照类型"/>
    <x:tableColumn id="4" name="对照前"/>
    <x:tableColumn id="5" name="对照后"/>
    <x:tableColumn id="6" name="节点数"/>
    <x:tableColumn id="7" name="改变P"/>
    <x:tableColumn id="8" name="改变P比例"/>
    <x:tableColumn id="9" name="升档"/>
    <x:tableColumn id="10" name="降档"/>
    <x:tableColumn id="11" name="功能改变"/>
    <x:tableColumn id="12" name="身份改变"/>
    <x:tableColumn id="13" name="约束改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nknownGeometry" displayName="UnknownGeometry" ref="A5:O103" headerRowCount="1" totalsRowCount="0" totalsRowShown="0">
  <x:autoFilter ref="A5:O103"/>
  <x:tableColumns count="15">
    <x:tableColumn id="1" name="模型"/>
    <x:tableColumn id="2" name="几何分型"/>
    <x:tableColumn id="3" name="功能未知总数"/>
    <x:tableColumn id="4" name="该型节点数"/>
    <x:tableColumn id="5" name="该型占比"/>
    <x:tableColumn id="6" name="P1节点"/>
    <x:tableColumn id="7" name="P2节点"/>
    <x:tableColumn id="8" name="P3节点"/>
    <x:tableColumn id="9" name="P4节点"/>
    <x:tableColumn id="10" name="P5节点"/>
    <x:tableColumn id="11" name="P6节点"/>
    <x:tableColumn id="12" name="P7节点"/>
    <x:tableColumn id="13" name="P8节点"/>
    <x:tableColumn id="14" name="P9节点"/>
    <x:tableColumn id="15" name="P10节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wConfidenceCandidates" displayName="LowConfidenceCandidates" ref="A5:H557" headerRowCount="1" totalsRowCount="0" totalsRowShown="0">
  <x:autoFilter ref="A5:H557"/>
  <x:tableColumns count="8">
    <x:tableColumn id="1" name="模型"/>
    <x:tableColumn id="2" name="分支"/>
    <x:tableColumn id="3" name="候选类型"/>
    <x:tableColumn id="4" name="候选数"/>
    <x:tableColumn id="5" name="未接受数"/>
    <x:tableColumn id="6" name="类型内未接受比例"/>
    <x:tableColumn id="7" name="占该分支未接受记录"/>
    <x:tableColumn id="8" name="未接受源三角形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" name="AllConditionCounts" displayName="AllConditionCounts" ref="A5:AH327" headerRowCount="1" totalsRowCount="0" totalsRowShown="0">
  <x:autoFilter ref="A5:AH327"/>
  <x:tableColumns count="34">
    <x:tableColumn id="1" name="模型"/>
    <x:tableColumn id="2" name="配置"/>
    <x:tableColumn id="3" name="条件组"/>
    <x:tableColumn id="4" name="节点数"/>
    <x:tableColumn id="5" name="对象未决数"/>
    <x:tableColumn id="6" name="功能未知数"/>
    <x:tableColumn id="7" name="N/C分歧数"/>
    <x:tableColumn id="8" name="需复核数"/>
    <x:tableColumn id="9" name="源三角形数"/>
    <x:tableColumn id="10" name="请求远档面数"/>
    <x:tableColumn id="11" name="对象未决比例"/>
    <x:tableColumn id="12" name="功能未知比例"/>
    <x:tableColumn id="13" name="分歧比例"/>
    <x:tableColumn id="14" name="请求面数比例"/>
    <x:tableColumn id="15" name="P1节点"/>
    <x:tableColumn id="16" name="P2节点"/>
    <x:tableColumn id="17" name="P3节点"/>
    <x:tableColumn id="18" name="P4节点"/>
    <x:tableColumn id="19" name="P5节点"/>
    <x:tableColumn id="20" name="P6节点"/>
    <x:tableColumn id="21" name="P7节点"/>
    <x:tableColumn id="22" name="P8节点"/>
    <x:tableColumn id="23" name="P9节点"/>
    <x:tableColumn id="24" name="P10节点"/>
    <x:tableColumn id="25" name="P1源三角形"/>
    <x:tableColumn id="26" name="P2源三角形"/>
    <x:tableColumn id="27" name="P3源三角形"/>
    <x:tableColumn id="28" name="P4源三角形"/>
    <x:tableColumn id="29" name="P5源三角形"/>
    <x:tableColumn id="30" name="P6源三角形"/>
    <x:tableColumn id="31" name="P7源三角形"/>
    <x:tableColumn id="32" name="P8源三角形"/>
    <x:tableColumn id="33" name="P9源三角形"/>
    <x:tableColumn id="34" name="P10源三角形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SceneInventory" displayName="SceneInventory" ref="A5:G18" headerRowCount="1" totalsRowCount="0" totalsRowShown="0">
  <x:autoFilter ref="A5:G18"/>
  <x:tableColumns count="7">
    <x:tableColumn id="1" name="模型"/>
    <x:tableColumn id="2" name="设备名称"/>
    <x:tableColumn id="3" name="有顶点几何实例"/>
    <x:tableColumn id="4" name="空网格引用"/>
    <x:tableColumn id="5" name="源三角形实例数"/>
    <x:tableColumn id="6" name="层级深度"/>
    <x:tableColumn id="7" name="描述无效节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28636d2041c42db" /><Relationship Type="http://schemas.openxmlformats.org/officeDocument/2006/relationships/table" Target="/xl/tables/table1.xml" Id="R9d9495d9ee0847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91bc6140f041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9f8b87716243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54f925411ff4e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8c1a1ebfeaf4b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c5580c32e384a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65b31aeefc7496f" /></Relationships>
</file>

<file path=xl/worksheets/sheet1.xml><?xml version="1.0" encoding="utf-8"?>
<x:worksheet xmlns:x="http://schemas.openxmlformats.org/spreadsheetml/2006/main">
  <x:sheetPr>
    <x:tabColor rgb="FF20334D"/>
  </x:sheetPr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5" hidden="0" customWidth="1"/>
    <x:col min="8" max="8" width="21" hidden="0" customWidth="1"/>
    <x:col min="10" max="10" width="11" hidden="0" customWidth="1"/>
    <x:col min="11" max="11" width="2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13个工业场景融合与装配上下文消融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 t="str">
        <x:v>H1含祖先名称；覆盖和P分配不代表识别准确率。</x:v>
      </x:c>
      <x:c r="B3" s="2"/>
      <x:c r="C3" s="2"/>
      <x:c r="D3" s="2"/>
      <x:c r="E3" s="2"/>
      <x:c r="F3" s="2"/>
      <x:c r="G3" s="2"/>
      <x:c r="H3" s="2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8" t="str">
        <x:v>配置</x:v>
      </x:c>
      <x:c r="B5" s="8" t="str">
        <x:v>节点数</x:v>
      </x:c>
      <x:c r="C5" s="8" t="str">
        <x:v>对象未决</x:v>
      </x:c>
      <x:c r="D5" s="8" t="str">
        <x:v>功能未知</x:v>
      </x:c>
      <x:c r="E5" s="8" t="str">
        <x:v>P1至P3</x:v>
      </x:c>
      <x:c r="F5" s="8" t="str">
        <x:v>P8至P10</x:v>
      </x:c>
      <x:c r="G5" s="8" t="str">
        <x:v>请求远档面数比例</x:v>
      </x:c>
      <x:c r="H5" s="8" t="str">
        <x:v>N/C分歧数</x:v>
      </x:c>
      <x:c r="J5" t="str">
        <x:v>符号</x:v>
      </x:c>
      <x:c r="K5" t="str">
        <x:v>说明</x:v>
      </x:c>
    </x:row>
    <x:row r="6" ht="23" customHeight="1">
      <x:c r="A6" s="10" t="str">
        <x:v>N_H0</x:v>
      </x:c>
      <x:c r="B6" s="14" t="n">
        <x:f>'全部组合'!D305</x:f>
        <x:v>68972</x:v>
      </x:c>
      <x:c r="C6" s="12" t="n">
        <x:f>'全部组合'!K305</x:f>
        <x:v>0.6033172881749116</x:v>
      </x:c>
      <x:c r="D6" s="12" t="n">
        <x:f>'全部组合'!L305</x:f>
        <x:v>0.7507394304935336</x:v>
      </x:c>
      <x:c r="E6" s="12" t="n">
        <x:f>SUM('P档分布'!E6:G6)</x:f>
        <x:v>0.14647973090529492</x:v>
      </x:c>
      <x:c r="F6" s="12" t="n">
        <x:f>SUM('P档分布'!L6:N6)</x:f>
        <x:v>0.07721974134431364</x:v>
      </x:c>
      <x:c r="G6" s="12" t="n">
        <x:f>'全部组合'!N305</x:f>
        <x:v>0.24792073891788366</x:v>
      </x:c>
      <x:c r="H6" s="11" t="n">
        <x:f>'全部组合'!G305</x:f>
        <x:v>0</x:v>
      </x:c>
      <x:c r="J6" t="str">
        <x:v>N</x:v>
      </x:c>
      <x:c r="K6" t="str">
        <x:v>监督语义</x:v>
      </x:c>
    </x:row>
    <x:row r="7" ht="23" customHeight="1">
      <x:c r="A7" s="10" t="str">
        <x:v>N_H1</x:v>
      </x:c>
      <x:c r="B7" s="14" t="n">
        <x:f>'全部组合'!D307</x:f>
        <x:v>68972</x:v>
      </x:c>
      <x:c r="C7" s="12" t="n">
        <x:f>'全部组合'!K307</x:f>
        <x:v>0.6033172881749116</x:v>
      </x:c>
      <x:c r="D7" s="12" t="n">
        <x:f>'全部组合'!L307</x:f>
        <x:v>0.7507394304935336</x:v>
      </x:c>
      <x:c r="E7" s="12" t="n">
        <x:f>SUM('P档分布'!E10:G10)</x:f>
        <x:v>0.13254654062518123</x:v>
      </x:c>
      <x:c r="F7" s="12" t="n">
        <x:f>SUM('P档分布'!L10:N10)</x:f>
        <x:v>0.07721974134431364</x:v>
      </x:c>
      <x:c r="G7" s="12" t="n">
        <x:f>'全部组合'!N307</x:f>
        <x:v>0.24863459323081447</x:v>
      </x:c>
      <x:c r="H7" s="11" t="n">
        <x:f>'全部组合'!G307</x:f>
        <x:v>0</x:v>
      </x:c>
      <x:c r="J7" t="str">
        <x:v>C</x:v>
      </x:c>
      <x:c r="K7" t="str">
        <x:v>开放语义</x:v>
      </x:c>
    </x:row>
    <x:row r="8" ht="23" customHeight="1">
      <x:c r="A8" s="10" t="str">
        <x:v>C_H0</x:v>
      </x:c>
      <x:c r="B8" s="14" t="n">
        <x:f>'全部组合'!D308</x:f>
        <x:v>68972</x:v>
      </x:c>
      <x:c r="C8" s="12" t="n">
        <x:f>'全部组合'!K308</x:f>
        <x:v>0.7374876761584411</x:v>
      </x:c>
      <x:c r="D8" s="12" t="n">
        <x:f>'全部组合'!L308</x:f>
        <x:v>0.7378501420866439</x:v>
      </x:c>
      <x:c r="E8" s="12" t="n">
        <x:f>SUM('P档分布'!E12:G12)</x:f>
        <x:v>0.2614829206054631</x:v>
      </x:c>
      <x:c r="F8" s="12" t="n">
        <x:f>SUM('P档分布'!L12:N12)</x:f>
        <x:v>0.00021747955692164936</x:v>
      </x:c>
      <x:c r="G8" s="12" t="n">
        <x:f>'全部组合'!N308</x:f>
        <x:v>0.20432149680372438</x:v>
      </x:c>
      <x:c r="H8" s="11" t="n">
        <x:f>'全部组合'!G308</x:f>
        <x:v>0</x:v>
      </x:c>
      <x:c r="J8" t="str">
        <x:v>G</x:v>
      </x:c>
      <x:c r="K8" t="str">
        <x:v>显式几何</x:v>
      </x:c>
    </x:row>
    <x:row r="9" ht="23" customHeight="1">
      <x:c r="A9" s="10" t="str">
        <x:v>C_H1</x:v>
      </x:c>
      <x:c r="B9" s="14" t="n">
        <x:f>'全部组合'!D310</x:f>
        <x:v>68972</x:v>
      </x:c>
      <x:c r="C9" s="12" t="n">
        <x:f>'全部组合'!K310</x:f>
        <x:v>0.7374876761584411</x:v>
      </x:c>
      <x:c r="D9" s="12" t="n">
        <x:f>'全部组合'!L310</x:f>
        <x:v>0.7378501420866439</x:v>
      </x:c>
      <x:c r="E9" s="12" t="n">
        <x:f>SUM('P档分布'!E16:G16)</x:f>
        <x:v>0.2559154439482689</x:v>
      </x:c>
      <x:c r="F9" s="12" t="n">
        <x:f>SUM('P档分布'!L16:N16)</x:f>
        <x:v>0.00021747955692164936</x:v>
      </x:c>
      <x:c r="G9" s="12" t="n">
        <x:f>'全部组合'!N310</x:f>
        <x:v>0.20449292119604937</x:v>
      </x:c>
      <x:c r="H9" s="11" t="n">
        <x:f>'全部组合'!G310</x:f>
        <x:v>0</x:v>
      </x:c>
      <x:c r="J9" t="str">
        <x:v>H0</x:v>
      </x:c>
      <x:c r="K9" t="str">
        <x:v>关闭树辅助</x:v>
      </x:c>
    </x:row>
    <x:row r="10" ht="23" customHeight="1">
      <x:c r="A10" s="10" t="str">
        <x:v>G_H0</x:v>
      </x:c>
      <x:c r="B10" s="14" t="n">
        <x:f>'全部组合'!D311</x:f>
        <x:v>68972</x:v>
      </x:c>
      <x:c r="C10" s="12" t="n">
        <x:f>'全部组合'!K311</x:f>
        <x:v>1</x:v>
      </x:c>
      <x:c r="D10" s="12" t="n">
        <x:f>'全部组合'!L311</x:f>
        <x:v>1</x:v>
      </x:c>
      <x:c r="E10" s="12" t="n">
        <x:f>SUM('P档分布'!E18:G18)</x:f>
        <x:v>0.83622339500087</x:v>
      </x:c>
      <x:c r="F10" s="12" t="n">
        <x:f>SUM('P档分布'!L18:N18)</x:f>
        <x:v>0</x:v>
      </x:c>
      <x:c r="G10" s="12" t="n">
        <x:f>'全部组合'!N311</x:f>
        <x:v>0.18257327845028426</x:v>
      </x:c>
      <x:c r="H10" s="11" t="n">
        <x:f>'全部组合'!G311</x:f>
        <x:v>0</x:v>
      </x:c>
      <x:c r="J10" t="str">
        <x:v>HT</x:v>
      </x:c>
      <x:c r="K10" t="str">
        <x:v>仅拓扑与尺度</x:v>
      </x:c>
    </x:row>
    <x:row r="11" ht="23" customHeight="1">
      <x:c r="A11" s="10" t="str">
        <x:v>G_H1</x:v>
      </x:c>
      <x:c r="B11" s="14" t="n">
        <x:f>'全部组合'!D313</x:f>
        <x:v>68972</x:v>
      </x:c>
      <x:c r="C11" s="12" t="n">
        <x:f>'全部组合'!K313</x:f>
        <x:v>1</x:v>
      </x:c>
      <x:c r="D11" s="12" t="n">
        <x:f>'全部组合'!L313</x:f>
        <x:v>1</x:v>
      </x:c>
      <x:c r="E11" s="12" t="n">
        <x:f>SUM('P档分布'!E22:G22)</x:f>
        <x:v>0.7857391405207911</x:v>
      </x:c>
      <x:c r="F11" s="12" t="n">
        <x:f>SUM('P档分布'!L22:N22)</x:f>
        <x:v>0</x:v>
      </x:c>
      <x:c r="G11" s="12" t="n">
        <x:f>'全部组合'!N313</x:f>
        <x:v>0.18699748590894485</x:v>
      </x:c>
      <x:c r="H11" s="11" t="n">
        <x:f>'全部组合'!G313</x:f>
        <x:v>0</x:v>
      </x:c>
      <x:c r="J11" t="str">
        <x:v>H1</x:v>
      </x:c>
      <x:c r="K11" t="str">
        <x:v>装配上下文</x:v>
      </x:c>
    </x:row>
    <x:row r="12" ht="23" customHeight="1">
      <x:c r="A12" s="10" t="str">
        <x:v>NC_H0</x:v>
      </x:c>
      <x:c r="B12" s="14" t="n">
        <x:f>'全部组合'!D314</x:f>
        <x:v>68972</x:v>
      </x:c>
      <x:c r="C12" s="12" t="n">
        <x:f>'全部组合'!K314</x:f>
        <x:v>0.5132372556979644</x:v>
      </x:c>
      <x:c r="D12" s="12" t="n">
        <x:f>'全部组合'!L314</x:f>
        <x:v>0.6466972104622165</x:v>
      </x:c>
      <x:c r="E12" s="12" t="n">
        <x:f>SUM('P档分布'!E24:G24)</x:f>
        <x:v>0.2809255929942585</x:v>
      </x:c>
      <x:c r="F12" s="12" t="n">
        <x:f>SUM('P档分布'!L24:N24)</x:f>
        <x:v>0.04809197935394073</x:v>
      </x:c>
      <x:c r="G12" s="12" t="n">
        <x:f>'全部组合'!N314</x:f>
        <x:v>0.23434464360276566</x:v>
      </x:c>
      <x:c r="H12" s="11" t="n">
        <x:f>'全部组合'!G314</x:f>
        <x:v>9174</x:v>
      </x:c>
      <x:c r="J12" t="str">
        <x:v>M1</x:v>
      </x:c>
      <x:c r="K12" t="str">
        <x:v>叶名称辅助</x:v>
      </x:c>
    </x:row>
    <x:row r="13" ht="23" customHeight="1">
      <x:c r="A13" s="10" t="str">
        <x:v>NC_H1</x:v>
      </x:c>
      <x:c r="B13" s="14" t="n">
        <x:f>'全部组合'!D316</x:f>
        <x:v>68972</x:v>
      </x:c>
      <x:c r="C13" s="12" t="n">
        <x:f>'全部组合'!K316</x:f>
        <x:v>0.5132372556979644</x:v>
      </x:c>
      <x:c r="D13" s="12" t="n">
        <x:f>'全部组合'!L316</x:f>
        <x:v>0.6466972104622165</x:v>
      </x:c>
      <x:c r="E13" s="12" t="n">
        <x:f>SUM('P档分布'!E28:G28)</x:f>
        <x:v>0.2664559531404048</x:v>
      </x:c>
      <x:c r="F13" s="12" t="n">
        <x:f>SUM('P档分布'!L28:N28)</x:f>
        <x:v>0.04809197935394073</x:v>
      </x:c>
      <x:c r="G13" s="12" t="n">
        <x:f>'全部组合'!N316</x:f>
        <x:v>0.23507717188684693</x:v>
      </x:c>
      <x:c r="H13" s="11" t="n">
        <x:f>'全部组合'!G316</x:f>
        <x:v>9174</x:v>
      </x:c>
    </x:row>
    <x:row r="14" ht="23" customHeight="1">
      <x:c r="A14" s="10" t="str">
        <x:v>NG_H0</x:v>
      </x:c>
      <x:c r="B14" s="14" t="n">
        <x:f>'全部组合'!D317</x:f>
        <x:v>68972</x:v>
      </x:c>
      <x:c r="C14" s="12" t="n">
        <x:f>'全部组合'!K317</x:f>
        <x:v>0.6033172881749116</x:v>
      </x:c>
      <x:c r="D14" s="12" t="n">
        <x:f>'全部组合'!L317</x:f>
        <x:v>0.7507394304935336</x:v>
      </x:c>
      <x:c r="E14" s="12" t="n">
        <x:f>SUM('P档分布'!E30:G30)</x:f>
        <x:v>0.7422142318622049</x:v>
      </x:c>
      <x:c r="F14" s="12" t="n">
        <x:f>SUM('P档分布'!L30:N30)</x:f>
        <x:v>0.07721974134431363</x:v>
      </x:c>
      <x:c r="G14" s="12" t="n">
        <x:f>'全部组合'!N317</x:f>
        <x:v>0.23254830105210603</x:v>
      </x:c>
      <x:c r="H14" s="11" t="n">
        <x:f>'全部组合'!G317</x:f>
        <x:v>0</x:v>
      </x:c>
    </x:row>
    <x:row r="15" ht="23" customHeight="1">
      <x:c r="A15" s="10" t="str">
        <x:v>NG_H1</x:v>
      </x:c>
      <x:c r="B15" s="14" t="n">
        <x:f>'全部组合'!D319</x:f>
        <x:v>68972</x:v>
      </x:c>
      <x:c r="C15" s="12" t="n">
        <x:f>'全部组合'!K319</x:f>
        <x:v>0.6033172881749116</x:v>
      </x:c>
      <x:c r="D15" s="12" t="n">
        <x:f>'全部组合'!L319</x:f>
        <x:v>0.7507394304935336</x:v>
      </x:c>
      <x:c r="E15" s="12" t="n">
        <x:f>SUM('P档分布'!E34:G34)</x:f>
        <x:v>0.6845386533665836</x:v>
      </x:c>
      <x:c r="F15" s="12" t="n">
        <x:f>SUM('P档分布'!L34:N34)</x:f>
        <x:v>0.07721974134431363</x:v>
      </x:c>
      <x:c r="G15" s="12" t="n">
        <x:f>'全部组合'!N319</x:f>
        <x:v>0.2364025027193671</x:v>
      </x:c>
      <x:c r="H15" s="11" t="n">
        <x:f>'全部组合'!G319</x:f>
        <x:v>0</x:v>
      </x:c>
      <x:c r="J15" t="str">
        <x:v>组合</x:v>
      </x:c>
      <x:c r="K15" t="str">
        <x:v>对象未决</x:v>
      </x:c>
      <x:c r="L15" t="str">
        <x:v>功能未知</x:v>
      </x:c>
    </x:row>
    <x:row r="16" ht="23" customHeight="1">
      <x:c r="A16" s="10" t="str">
        <x:v>CG_H0</x:v>
      </x:c>
      <x:c r="B16" s="14" t="n">
        <x:f>'全部组合'!D320</x:f>
        <x:v>68972</x:v>
      </x:c>
      <x:c r="C16" s="12" t="n">
        <x:f>'全部组合'!K320</x:f>
        <x:v>0.7375021747955692</x:v>
      </x:c>
      <x:c r="D16" s="12" t="n">
        <x:f>'全部组合'!L320</x:f>
        <x:v>0.737864640723772</x:v>
      </x:c>
      <x:c r="E16" s="12" t="n">
        <x:f>SUM('P档分布'!E36:G36)</x:f>
        <x:v>0.8471408687583367</x:v>
      </x:c>
      <x:c r="F16" s="12" t="n">
        <x:f>SUM('P档分布'!L36:N36)</x:f>
        <x:v>0.00021747955692164936</x:v>
      </x:c>
      <x:c r="G16" s="12" t="n">
        <x:f>'全部组合'!N320</x:f>
        <x:v>0.18180652409760048</x:v>
      </x:c>
      <x:c r="H16" s="11" t="n">
        <x:f>'全部组合'!G320</x:f>
        <x:v>0</x:v>
      </x:c>
      <x:c r="J16" t="str">
        <x:v>N</x:v>
      </x:c>
      <x:c r="K16" s="17" t="n">
        <x:f>C6</x:f>
        <x:v>0.6033172881749116</x:v>
      </x:c>
      <x:c r="L16" s="17" t="n">
        <x:f>D6</x:f>
        <x:v>0.7507394304935336</x:v>
      </x:c>
    </x:row>
    <x:row r="17" ht="23" customHeight="1">
      <x:c r="A17" s="10" t="str">
        <x:v>CG_H1</x:v>
      </x:c>
      <x:c r="B17" s="14" t="n">
        <x:f>'全部组合'!D322</x:f>
        <x:v>68972</x:v>
      </x:c>
      <x:c r="C17" s="12" t="n">
        <x:f>'全部组合'!K322</x:f>
        <x:v>0.7387055616772024</x:v>
      </x:c>
      <x:c r="D17" s="12" t="n">
        <x:f>'全部组合'!L322</x:f>
        <x:v>0.7390680276054051</x:v>
      </x:c>
      <x:c r="E17" s="12" t="n">
        <x:f>SUM('P档分布'!E40:G40)</x:f>
        <x:v>0.8098358754277097</x:v>
      </x:c>
      <x:c r="F17" s="12" t="n">
        <x:f>SUM('P档分布'!L40:N40)</x:f>
        <x:v>0.00021747955692164936</x:v>
      </x:c>
      <x:c r="G17" s="12" t="n">
        <x:f>'全部组合'!N322</x:f>
        <x:v>0.18624734852034136</x:v>
      </x:c>
      <x:c r="H17" s="11" t="n">
        <x:f>'全部组合'!G322</x:f>
        <x:v>0</x:v>
      </x:c>
      <x:c r="J17" t="str">
        <x:v>C</x:v>
      </x:c>
      <x:c r="K17" s="17" t="n">
        <x:f>C8</x:f>
        <x:v>0.7374876761584411</x:v>
      </x:c>
      <x:c r="L17" s="17" t="n">
        <x:f>D8</x:f>
        <x:v>0.7378501420866439</x:v>
      </x:c>
    </x:row>
    <x:row r="18" ht="23" customHeight="1">
      <x:c r="A18" s="10" t="str">
        <x:v>NCG_H0</x:v>
      </x:c>
      <x:c r="B18" s="14" t="n">
        <x:f>'全部组合'!D323</x:f>
        <x:v>68972</x:v>
      </x:c>
      <x:c r="C18" s="12" t="n">
        <x:f>'全部组合'!K323</x:f>
        <x:v>0.5132517543350925</x:v>
      </x:c>
      <x:c r="D18" s="12" t="n">
        <x:f>'全部组合'!L323</x:f>
        <x:v>0.6467117090993446</x:v>
      </x:c>
      <x:c r="E18" s="12" t="n">
        <x:f>SUM('P档分布'!E42:G42)</x:f>
        <x:v>0.761453923331207</x:v>
      </x:c>
      <x:c r="F18" s="12" t="n">
        <x:f>SUM('P档分布'!L42:N42)</x:f>
        <x:v>0.048091979353940724</x:v>
      </x:c>
      <x:c r="G18" s="12" t="n">
        <x:f>'全部组合'!N323</x:f>
        <x:v>0.22602098340611726</x:v>
      </x:c>
      <x:c r="H18" s="11" t="n">
        <x:f>'全部组合'!G323</x:f>
        <x:v>9174</x:v>
      </x:c>
      <x:c r="J18" t="str">
        <x:v>G</x:v>
      </x:c>
      <x:c r="K18" s="17" t="n">
        <x:f>C10</x:f>
        <x:v>1</x:v>
      </x:c>
      <x:c r="L18" s="17" t="n">
        <x:f>D10</x:f>
        <x:v>1</x:v>
      </x:c>
    </x:row>
    <x:row r="19" ht="23" customHeight="1">
      <x:c r="A19" s="10" t="str">
        <x:v>NCG_H1</x:v>
      </x:c>
      <x:c r="B19" s="14" t="n">
        <x:f>'全部组合'!D325</x:f>
        <x:v>68972</x:v>
      </x:c>
      <x:c r="C19" s="12" t="n">
        <x:f>'全部组合'!K325</x:f>
        <x:v>0.5143681493939569</x:v>
      </x:c>
      <x:c r="D19" s="12" t="n">
        <x:f>'全部组合'!L325</x:f>
        <x:v>0.6478281041582091</x:v>
      </x:c>
      <x:c r="E19" s="12" t="n">
        <x:f>SUM('P档分布'!E46:G46)</x:f>
        <x:v>0.7112306443194341</x:v>
      </x:c>
      <x:c r="F19" s="12" t="n">
        <x:f>SUM('P档分布'!L46:N46)</x:f>
        <x:v>0.048091979353940724</x:v>
      </x:c>
      <x:c r="G19" s="12" t="n">
        <x:f>'全部组合'!N325</x:f>
        <x:v>0.22993066083790328</x:v>
      </x:c>
      <x:c r="H19" s="11" t="n">
        <x:f>'全部组合'!G325</x:f>
        <x:v>9174</x:v>
      </x:c>
      <x:c r="J19" t="str">
        <x:v>NC</x:v>
      </x:c>
      <x:c r="K19" s="17" t="n">
        <x:f>C12</x:f>
        <x:v>0.5132372556979644</x:v>
      </x:c>
      <x:c r="L19" s="17" t="n">
        <x:f>D12</x:f>
        <x:v>0.6466972104622165</x:v>
      </x:c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J20" t="str">
        <x:v>NG</x:v>
      </x:c>
      <x:c r="K20" s="17" t="n">
        <x:f>C14</x:f>
        <x:v>0.6033172881749116</x:v>
      </x:c>
      <x:c r="L20" s="17" t="n">
        <x:f>D14</x:f>
        <x:v>0.7507394304935336</x:v>
      </x:c>
    </x:row>
    <x:row r="21">
      <x:c r="J21" t="str">
        <x:v>CG</x:v>
      </x:c>
      <x:c r="K21" s="17" t="n">
        <x:f>C16</x:f>
        <x:v>0.7375021747955692</x:v>
      </x:c>
      <x:c r="L21" s="17" t="n">
        <x:f>D16</x:f>
        <x:v>0.737864640723772</x:v>
      </x:c>
    </x:row>
    <x:row r="22">
      <x:c r="J22" t="str">
        <x:v>NCG</x:v>
      </x:c>
      <x:c r="K22" s="17" t="n">
        <x:f>C18</x:f>
        <x:v>0.5132517543350925</x:v>
      </x:c>
      <x:c r="L22" s="17" t="n">
        <x:f>D18</x:f>
        <x:v>0.6467117090993446</x:v>
      </x:c>
    </x:row>
    <x:row r="46" ht="28" customHeight="1">
      <x:c r="A46" s="16" t="str">
        <x:v>组合</x:v>
      </x:c>
      <x:c r="B46" s="16" t="str">
        <x:v>改变P的比例</x:v>
      </x:c>
      <x:c r="C46" s="16" t="str">
        <x:v>功能改变比例</x:v>
      </x:c>
      <x:c r="J46" s="18" t="str">
        <x:v>请求面数比例是策略请求值，不是实际压缩比。</x:v>
      </x:c>
      <x:c r="K46" s="18"/>
      <x:c r="L46" s="18"/>
      <x:c r="M46" s="18"/>
      <x:c r="N46" s="18"/>
      <x:c r="O46" s="18"/>
    </x:row>
    <x:row r="47">
      <x:c r="A47" t="str">
        <x:v>N</x:v>
      </x:c>
      <x:c r="B47" s="17" t="n">
        <x:f>SUMIFS('成对对照'!$G$6:$G$369,'成对对照'!$B$6:$B$369,A47,'成对对照'!$D$6:$D$369,"H0",'成对对照'!$E$6:$E$369,"H1")/SUMIFS('成对对照'!$F$6:$F$369,'成对对照'!$B$6:$B$369,A47,'成对对照'!$D$6:$D$369,"H0",'成对对照'!$E$6:$E$369,"H1")</x:f>
        <x:v>0.01393319028011367</x:v>
      </x:c>
      <x:c r="C47" s="17" t="n">
        <x:f>SUMIFS('成对对照'!$K$6:$K$369,'成对对照'!$B$6:$B$369,A47,'成对对照'!$D$6:$D$369,"H0",'成对对照'!$E$6:$E$369,"H1")/SUMIFS('成对对照'!$F$6:$F$369,'成对对照'!$B$6:$B$369,A47,'成对对照'!$D$6:$D$369,"H0",'成对对照'!$E$6:$E$369,"H1")</x:f>
        <x:v>0.01393319028011367</x:v>
      </x:c>
      <x:c r="J47" s="18" t="str">
        <x:v>G不承担对象识别；M辅助不参加同名自评。</x:v>
      </x:c>
      <x:c r="K47" s="18"/>
      <x:c r="L47" s="18"/>
      <x:c r="M47" s="18"/>
      <x:c r="N47" s="18"/>
      <x:c r="O47" s="18"/>
    </x:row>
    <x:row r="48">
      <x:c r="A48" t="str">
        <x:v>C</x:v>
      </x:c>
      <x:c r="B48" s="17" t="n">
        <x:f>SUMIFS('成对对照'!$G$6:$G$369,'成对对照'!$B$6:$B$369,A48,'成对对照'!$D$6:$D$369,"H0",'成对对照'!$E$6:$E$369,"H1")/SUMIFS('成对对照'!$F$6:$F$369,'成对对照'!$B$6:$B$369,A48,'成对对照'!$D$6:$D$369,"H0",'成对对照'!$E$6:$E$369,"H1")</x:f>
        <x:v>0.0055674766571942235</x:v>
      </x:c>
      <x:c r="C48" s="17" t="n">
        <x:f>SUMIFS('成对对照'!$K$6:$K$369,'成对对照'!$B$6:$B$369,A48,'成对对照'!$D$6:$D$369,"H0",'成对对照'!$E$6:$E$369,"H1")/SUMIFS('成对对照'!$F$6:$F$369,'成对对照'!$B$6:$B$369,A48,'成对对照'!$D$6:$D$369,"H0",'成对对照'!$E$6:$E$369,"H1")</x:f>
        <x:v>0.0055674766571942235</x:v>
      </x:c>
    </x:row>
    <x:row r="49">
      <x:c r="A49" t="str">
        <x:v>G</x:v>
      </x:c>
      <x:c r="B49" s="17" t="n">
        <x:f>SUMIFS('成对对照'!$G$6:$G$369,'成对对照'!$B$6:$B$369,A49,'成对对照'!$D$6:$D$369,"H0",'成对对照'!$E$6:$E$369,"H1")/SUMIFS('成对对照'!$F$6:$F$369,'成对对照'!$B$6:$B$369,A49,'成对对照'!$D$6:$D$369,"H0",'成对对照'!$E$6:$E$369,"H1")</x:f>
        <x:v>0.2103897233660036</x:v>
      </x:c>
      <x:c r="C49" s="17" t="n">
        <x:f>SUMIFS('成对对照'!$K$6:$K$369,'成对对照'!$B$6:$B$369,A49,'成对对照'!$D$6:$D$369,"H0",'成对对照'!$E$6:$E$369,"H1")/SUMIFS('成对对照'!$F$6:$F$369,'成对对照'!$B$6:$B$369,A49,'成对对照'!$D$6:$D$369,"H0",'成对对照'!$E$6:$E$369,"H1")</x:f>
        <x:v>0</x:v>
      </x:c>
    </x:row>
    <x:row r="50">
      <x:c r="A50" t="str">
        <x:v>NC</x:v>
      </x:c>
      <x:c r="B50" s="17" t="n">
        <x:f>SUMIFS('成对对照'!$G$6:$G$369,'成对对照'!$B$6:$B$369,A50,'成对对照'!$D$6:$D$369,"H0",'成对对照'!$E$6:$E$369,"H1")/SUMIFS('成对对照'!$F$6:$F$369,'成对对照'!$B$6:$B$369,A50,'成对对照'!$D$6:$D$369,"H0",'成对对照'!$E$6:$E$369,"H1")</x:f>
        <x:v>0.014469639853853737</x:v>
      </x:c>
      <x:c r="C50" s="17" t="n">
        <x:f>SUMIFS('成对对照'!$K$6:$K$369,'成对对照'!$B$6:$B$369,A50,'成对对照'!$D$6:$D$369,"H0",'成对对照'!$E$6:$E$369,"H1")/SUMIFS('成对对照'!$F$6:$F$369,'成对对照'!$B$6:$B$369,A50,'成对对照'!$D$6:$D$369,"H0",'成对对照'!$E$6:$E$369,"H1")</x:f>
        <x:v>0.014469639853853737</x:v>
      </x:c>
    </x:row>
    <x:row r="51">
      <x:c r="A51" t="str">
        <x:v>NG</x:v>
      </x:c>
      <x:c r="B51" s="17" t="n">
        <x:f>SUMIFS('成对对照'!$G$6:$G$369,'成对对照'!$B$6:$B$369,A51,'成对对照'!$D$6:$D$369,"H0",'成对对照'!$E$6:$E$369,"H1")/SUMIFS('成对对照'!$F$6:$F$369,'成对对照'!$B$6:$B$369,A51,'成对对照'!$D$6:$D$369,"H0",'成对对照'!$E$6:$E$369,"H1")</x:f>
        <x:v>0.17378066461752595</x:v>
      </x:c>
      <x:c r="C51" s="17" t="n">
        <x:f>SUMIFS('成对对照'!$K$6:$K$369,'成对对照'!$B$6:$B$369,A51,'成对对照'!$D$6:$D$369,"H0",'成对对照'!$E$6:$E$369,"H1")/SUMIFS('成对对照'!$F$6:$F$369,'成对对照'!$B$6:$B$369,A51,'成对对照'!$D$6:$D$369,"H0",'成对对照'!$E$6:$E$369,"H1")</x:f>
        <x:v>0.01393319028011367</x:v>
      </x:c>
    </x:row>
    <x:row r="52">
      <x:c r="A52" t="str">
        <x:v>CG</x:v>
      </x:c>
      <x:c r="B52" s="17" t="n">
        <x:f>SUMIFS('成对对照'!$G$6:$G$369,'成对对照'!$B$6:$B$369,A52,'成对对照'!$D$6:$D$369,"H0",'成对对照'!$E$6:$E$369,"H1")/SUMIFS('成对对照'!$F$6:$F$369,'成对对照'!$B$6:$B$369,A52,'成对对照'!$D$6:$D$369,"H0",'成对对照'!$E$6:$E$369,"H1")</x:f>
        <x:v>0.19915327959171839</x:v>
      </x:c>
      <x:c r="C52" s="17" t="n">
        <x:f>SUMIFS('成对对照'!$K$6:$K$369,'成对对照'!$B$6:$B$369,A52,'成对对照'!$D$6:$D$369,"H0",'成对对照'!$E$6:$E$369,"H1")/SUMIFS('成对对照'!$F$6:$F$369,'成对对照'!$B$6:$B$369,A52,'成对对照'!$D$6:$D$369,"H0",'成对对照'!$E$6:$E$369,"H1")</x:f>
        <x:v>0.00677086353882735</x:v>
      </x:c>
    </x:row>
    <x:row r="53">
      <x:c r="A53" t="str">
        <x:v>NCG</x:v>
      </x:c>
      <x:c r="B53" s="17" t="n">
        <x:f>SUMIFS('成对对照'!$G$6:$G$369,'成对对照'!$B$6:$B$369,A53,'成对对照'!$D$6:$D$369,"H0",'成对对照'!$E$6:$E$369,"H1")/SUMIFS('成对对照'!$F$6:$F$369,'成对对照'!$B$6:$B$369,A53,'成对对照'!$D$6:$D$369,"H0",'成对对照'!$E$6:$E$369,"H1")</x:f>
        <x:v>0.1659948964797309</x:v>
      </x:c>
      <x:c r="C53" s="17" t="n">
        <x:f>SUMIFS('成对对照'!$K$6:$K$369,'成对对照'!$B$6:$B$369,A53,'成对对照'!$D$6:$D$369,"H0",'成对对照'!$E$6:$E$369,"H1")/SUMIFS('成对对照'!$F$6:$F$369,'成对对照'!$B$6:$B$369,A53,'成对对照'!$D$6:$D$369,"H0",'成对对照'!$E$6:$E$369,"H1")</x:f>
        <x:v>0.015586034912718205</x:v>
      </x:c>
    </x:row>
  </x:sheetData>
  <x:pageMargins left="0.7" right="0.7" top="0.75" bottom="0.75" header="0.3" footer="0.3"/>
  <x:drawing xmlns:r="http://schemas.openxmlformats.org/officeDocument/2006/relationships" r:id="R128636d2041c42db"/>
  <x:tableParts count="1">
    <x:tablePart xmlns:r="http://schemas.openxmlformats.org/officeDocument/2006/relationships" r:id="R9d9495d9ee08471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21" hidden="0" customWidth="1"/>
    <x:col min="3" max="3" width="16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3" t="str">
        <x:v>P1至P10完整分布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4" t="str">
        <x:v>节点与源三角形分开列示；百分比链接全部组合中的原始计数。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6" customHeight="1">
      <x:c r="A5" s="8" t="str">
        <x:v>模型</x:v>
      </x:c>
      <x:c r="B5" s="8" t="str">
        <x:v>配置</x:v>
      </x:c>
      <x:c r="C5" s="8" t="str">
        <x:v>计数口径</x:v>
      </x:c>
      <x:c r="D5" s="8" t="str">
        <x:v>分母</x:v>
      </x:c>
      <x:c r="E5" s="8" t="str">
        <x:v>P1</x:v>
      </x:c>
      <x:c r="F5" s="8" t="str">
        <x:v>P2</x:v>
      </x:c>
      <x:c r="G5" s="8" t="str">
        <x:v>P3</x:v>
      </x:c>
      <x:c r="H5" s="8" t="str">
        <x:v>P4</x:v>
      </x:c>
      <x:c r="I5" s="8" t="str">
        <x:v>P5</x:v>
      </x:c>
      <x:c r="J5" s="8" t="str">
        <x:v>P6</x:v>
      </x:c>
      <x:c r="K5" s="8" t="str">
        <x:v>P7</x:v>
      </x:c>
      <x:c r="L5" s="8" t="str">
        <x:v>P8</x:v>
      </x:c>
      <x:c r="M5" s="8" t="str">
        <x:v>P9</x:v>
      </x:c>
      <x:c r="N5" s="8" t="str">
        <x:v>P10</x:v>
      </x:c>
    </x:row>
    <x:row r="6" ht="23" customHeight="1">
      <x:c r="A6" s="10" t="str">
        <x:v>ALL</x:v>
      </x:c>
      <x:c r="B6" s="10" t="str">
        <x:v>N_H0</x:v>
      </x:c>
      <x:c r="C6" s="9" t="str">
        <x:v>节点</x:v>
      </x:c>
      <x:c r="D6" s="11" t="n">
        <x:f>'全部组合'!D305</x:f>
        <x:v>68972</x:v>
      </x:c>
      <x:c r="E6" s="12" t="n">
        <x:f>'全部组合'!O305/$D6</x:f>
        <x:v>0</x:v>
      </x:c>
      <x:c r="F6" s="12" t="n">
        <x:f>'全部组合'!P305/$D6</x:f>
        <x:v>0.10794235341877864</x:v>
      </x:c>
      <x:c r="G6" s="12" t="n">
        <x:f>'全部组合'!Q305/$D6</x:f>
        <x:v>0.03853737748651627</x:v>
      </x:c>
      <x:c r="H6" s="12" t="n">
        <x:f>'全部组合'!R305/$D6</x:f>
        <x:v>0</x:v>
      </x:c>
      <x:c r="I6" s="12" t="n">
        <x:f>'全部组合'!S305/$D6</x:f>
        <x:v>0.7507394304935336</x:v>
      </x:c>
      <x:c r="J6" s="12" t="n">
        <x:f>'全部组合'!T305/$D6</x:f>
        <x:v>0.008017746331844806</x:v>
      </x:c>
      <x:c r="K6" s="12" t="n">
        <x:f>'全部组合'!U305/$D6</x:f>
        <x:v>0.017543350925013048</x:v>
      </x:c>
      <x:c r="L6" s="12" t="n">
        <x:f>'全部组合'!V305/$D6</x:f>
        <x:v>0.03411529316244273</x:v>
      </x:c>
      <x:c r="M6" s="12" t="n">
        <x:f>'全部组合'!W305/$D6</x:f>
        <x:v>0.043104448181870904</x:v>
      </x:c>
      <x:c r="N6" s="13" t="n">
        <x:f>'全部组合'!X305/$D6</x:f>
        <x:v>0</x:v>
      </x:c>
    </x:row>
    <x:row r="7" ht="23" customHeight="1">
      <x:c r="A7" s="10" t="str">
        <x:v>ALL</x:v>
      </x:c>
      <x:c r="B7" s="10" t="str">
        <x:v>N_H0</x:v>
      </x:c>
      <x:c r="C7" s="9" t="str">
        <x:v>源三角形</x:v>
      </x:c>
      <x:c r="D7" s="11" t="n">
        <x:f>'全部组合'!I305</x:f>
        <x:v>298929454</x:v>
      </x:c>
      <x:c r="E7" s="12" t="n">
        <x:f>'全部组合'!Y305/$D7</x:f>
        <x:v>0</x:v>
      </x:c>
      <x:c r="F7" s="12" t="n">
        <x:f>'全部组合'!Z305/$D7</x:f>
        <x:v>0.03629717933382369</x:v>
      </x:c>
      <x:c r="G7" s="12" t="n">
        <x:f>'全部组合'!AA305/$D7</x:f>
        <x:v>0.017158887929457765</x:v>
      </x:c>
      <x:c r="H7" s="12" t="n">
        <x:f>'全部组合'!AB305/$D7</x:f>
        <x:v>0</x:v>
      </x:c>
      <x:c r="I7" s="12" t="n">
        <x:f>'全部组合'!AC305/$D7</x:f>
        <x:v>0.6883194655017166</x:v>
      </x:c>
      <x:c r="J7" s="12" t="n">
        <x:f>'全部组合'!AD305/$D7</x:f>
        <x:v>0.019695141851093736</x:v>
      </x:c>
      <x:c r="K7" s="12" t="n">
        <x:f>'全部组合'!AE305/$D7</x:f>
        <x:v>0.022835347633559055</x:v>
      </x:c>
      <x:c r="L7" s="12" t="n">
        <x:f>'全部组合'!AF305/$D7</x:f>
        <x:v>0.1241210041483567</x:v>
      </x:c>
      <x:c r="M7" s="12" t="n">
        <x:f>'全部组合'!AG305/$D7</x:f>
        <x:v>0.09157297360199239</x:v>
      </x:c>
      <x:c r="N7" s="13" t="n">
        <x:f>'全部组合'!AH305/$D7</x:f>
        <x:v>0</x:v>
      </x:c>
    </x:row>
    <x:row r="8" ht="23" customHeight="1">
      <x:c r="A8" s="10" t="str">
        <x:v>ALL</x:v>
      </x:c>
      <x:c r="B8" s="10" t="str">
        <x:v>N_HT</x:v>
      </x:c>
      <x:c r="C8" s="9" t="str">
        <x:v>节点</x:v>
      </x:c>
      <x:c r="D8" s="11" t="n">
        <x:f>'全部组合'!D306</x:f>
        <x:v>68972</x:v>
      </x:c>
      <x:c r="E8" s="12" t="n">
        <x:f>'全部组合'!O306/$D8</x:f>
        <x:v>0</x:v>
      </x:c>
      <x:c r="F8" s="12" t="n">
        <x:f>'全部组合'!P306/$D8</x:f>
        <x:v>0.10794235341877864</x:v>
      </x:c>
      <x:c r="G8" s="12" t="n">
        <x:f>'全部组合'!Q306/$D8</x:f>
        <x:v>0.03853737748651627</x:v>
      </x:c>
      <x:c r="H8" s="12" t="n">
        <x:f>'全部组合'!R306/$D8</x:f>
        <x:v>0</x:v>
      </x:c>
      <x:c r="I8" s="12" t="n">
        <x:f>'全部组合'!S306/$D8</x:f>
        <x:v>0.7507394304935336</x:v>
      </x:c>
      <x:c r="J8" s="12" t="n">
        <x:f>'全部组合'!T306/$D8</x:f>
        <x:v>0.008017746331844806</x:v>
      </x:c>
      <x:c r="K8" s="12" t="n">
        <x:f>'全部组合'!U306/$D8</x:f>
        <x:v>0.017543350925013048</x:v>
      </x:c>
      <x:c r="L8" s="12" t="n">
        <x:f>'全部组合'!V306/$D8</x:f>
        <x:v>0.03411529316244273</x:v>
      </x:c>
      <x:c r="M8" s="12" t="n">
        <x:f>'全部组合'!W306/$D8</x:f>
        <x:v>0.043104448181870904</x:v>
      </x:c>
      <x:c r="N8" s="13" t="n">
        <x:f>'全部组合'!X306/$D8</x:f>
        <x:v>0</x:v>
      </x:c>
    </x:row>
    <x:row r="9" ht="23" customHeight="1">
      <x:c r="A9" s="10" t="str">
        <x:v>ALL</x:v>
      </x:c>
      <x:c r="B9" s="10" t="str">
        <x:v>N_HT</x:v>
      </x:c>
      <x:c r="C9" s="9" t="str">
        <x:v>源三角形</x:v>
      </x:c>
      <x:c r="D9" s="11" t="n">
        <x:f>'全部组合'!I306</x:f>
        <x:v>298929454</x:v>
      </x:c>
      <x:c r="E9" s="12" t="n">
        <x:f>'全部组合'!Y306/$D9</x:f>
        <x:v>0</x:v>
      </x:c>
      <x:c r="F9" s="12" t="n">
        <x:f>'全部组合'!Z306/$D9</x:f>
        <x:v>0.03629717933382369</x:v>
      </x:c>
      <x:c r="G9" s="12" t="n">
        <x:f>'全部组合'!AA306/$D9</x:f>
        <x:v>0.017158887929457765</x:v>
      </x:c>
      <x:c r="H9" s="12" t="n">
        <x:f>'全部组合'!AB306/$D9</x:f>
        <x:v>0</x:v>
      </x:c>
      <x:c r="I9" s="12" t="n">
        <x:f>'全部组合'!AC306/$D9</x:f>
        <x:v>0.6883194655017166</x:v>
      </x:c>
      <x:c r="J9" s="12" t="n">
        <x:f>'全部组合'!AD306/$D9</x:f>
        <x:v>0.019695141851093736</x:v>
      </x:c>
      <x:c r="K9" s="12" t="n">
        <x:f>'全部组合'!AE306/$D9</x:f>
        <x:v>0.022835347633559055</x:v>
      </x:c>
      <x:c r="L9" s="12" t="n">
        <x:f>'全部组合'!AF306/$D9</x:f>
        <x:v>0.1241210041483567</x:v>
      </x:c>
      <x:c r="M9" s="12" t="n">
        <x:f>'全部组合'!AG306/$D9</x:f>
        <x:v>0.09157297360199239</x:v>
      </x:c>
      <x:c r="N9" s="13" t="n">
        <x:f>'全部组合'!AH306/$D9</x:f>
        <x:v>0</x:v>
      </x:c>
    </x:row>
    <x:row r="10" ht="23" customHeight="1">
      <x:c r="A10" s="10" t="str">
        <x:v>ALL</x:v>
      </x:c>
      <x:c r="B10" s="10" t="str">
        <x:v>N_H1</x:v>
      </x:c>
      <x:c r="C10" s="9" t="str">
        <x:v>节点</x:v>
      </x:c>
      <x:c r="D10" s="11" t="n">
        <x:f>'全部组合'!D307</x:f>
        <x:v>68972</x:v>
      </x:c>
      <x:c r="E10" s="12" t="n">
        <x:f>'全部组合'!O307/$D10</x:f>
        <x:v>0</x:v>
      </x:c>
      <x:c r="F10" s="12" t="n">
        <x:f>'全部组合'!P307/$D10</x:f>
        <x:v>0.10375224728875486</x:v>
      </x:c>
      <x:c r="G10" s="12" t="n">
        <x:f>'全部组合'!Q307/$D10</x:f>
        <x:v>0.028794293336426375</x:v>
      </x:c>
      <x:c r="H10" s="12" t="n">
        <x:f>'全部组合'!R307/$D10</x:f>
        <x:v>0</x:v>
      </x:c>
      <x:c r="I10" s="12" t="n">
        <x:f>'全部组合'!S307/$D10</x:f>
        <x:v>0.7507394304935336</x:v>
      </x:c>
      <x:c r="J10" s="12" t="n">
        <x:f>'全部组合'!T307/$D10</x:f>
        <x:v>0.01678942179435133</x:v>
      </x:c>
      <x:c r="K10" s="12" t="n">
        <x:f>'全部组合'!U307/$D10</x:f>
        <x:v>0.022704865742620192</x:v>
      </x:c>
      <x:c r="L10" s="12" t="n">
        <x:f>'全部组合'!V307/$D10</x:f>
        <x:v>0.03411529316244273</x:v>
      </x:c>
      <x:c r="M10" s="12" t="n">
        <x:f>'全部组合'!W307/$D10</x:f>
        <x:v>0.043104448181870904</x:v>
      </x:c>
      <x:c r="N10" s="13" t="n">
        <x:f>'全部组合'!X307/$D10</x:f>
        <x:v>0</x:v>
      </x:c>
    </x:row>
    <x:row r="11" ht="23" customHeight="1">
      <x:c r="A11" s="10" t="str">
        <x:v>ALL</x:v>
      </x:c>
      <x:c r="B11" s="10" t="str">
        <x:v>N_H1</x:v>
      </x:c>
      <x:c r="C11" s="9" t="str">
        <x:v>源三角形</x:v>
      </x:c>
      <x:c r="D11" s="11" t="n">
        <x:f>'全部组合'!I307</x:f>
        <x:v>298929454</x:v>
      </x:c>
      <x:c r="E11" s="12" t="n">
        <x:f>'全部组合'!Y307/$D11</x:f>
        <x:v>0</x:v>
      </x:c>
      <x:c r="F11" s="12" t="n">
        <x:f>'全部组合'!Z307/$D11</x:f>
        <x:v>0.03588512224693656</x:v>
      </x:c>
      <x:c r="G11" s="12" t="n">
        <x:f>'全部组合'!AA307/$D11</x:f>
        <x:v>0.012812056318812933</x:v>
      </x:c>
      <x:c r="H11" s="12" t="n">
        <x:f>'全部组合'!AB307/$D11</x:f>
        <x:v>0</x:v>
      </x:c>
      <x:c r="I11" s="12" t="n">
        <x:f>'全部组合'!AC307/$D11</x:f>
        <x:v>0.6883194655017166</x:v>
      </x:c>
      <x:c r="J11" s="12" t="n">
        <x:f>'全部组合'!AD307/$D11</x:f>
        <x:v>0.02346981171015687</x:v>
      </x:c>
      <x:c r="K11" s="12" t="n">
        <x:f>'全部组合'!AE307/$D11</x:f>
        <x:v>0.02381956647202788</x:v>
      </x:c>
      <x:c r="L11" s="12" t="n">
        <x:f>'全部组合'!AF307/$D11</x:f>
        <x:v>0.1241210041483567</x:v>
      </x:c>
      <x:c r="M11" s="12" t="n">
        <x:f>'全部组合'!AG307/$D11</x:f>
        <x:v>0.09157297360199239</x:v>
      </x:c>
      <x:c r="N11" s="13" t="n">
        <x:f>'全部组合'!AH307/$D11</x:f>
        <x:v>0</x:v>
      </x:c>
    </x:row>
    <x:row r="12" ht="23" customHeight="1">
      <x:c r="A12" s="10" t="str">
        <x:v>ALL</x:v>
      </x:c>
      <x:c r="B12" s="10" t="str">
        <x:v>C_H0</x:v>
      </x:c>
      <x:c r="C12" s="9" t="str">
        <x:v>节点</x:v>
      </x:c>
      <x:c r="D12" s="11" t="n">
        <x:f>'全部组合'!D308</x:f>
        <x:v>68972</x:v>
      </x:c>
      <x:c r="E12" s="12" t="n">
        <x:f>'全部组合'!O308/$D12</x:f>
        <x:v>0</x:v>
      </x:c>
      <x:c r="F12" s="12" t="n">
        <x:f>'全部组合'!P308/$D12</x:f>
        <x:v>0.2614829206054631</x:v>
      </x:c>
      <x:c r="G12" s="12" t="n">
        <x:f>'全部组合'!Q308/$D12</x:f>
        <x:v>0</x:v>
      </x:c>
      <x:c r="H12" s="12" t="n">
        <x:f>'全部组合'!R308/$D12</x:f>
        <x:v>0</x:v>
      </x:c>
      <x:c r="I12" s="12" t="n">
        <x:f>'全部组合'!S308/$D12</x:f>
        <x:v>0.7378501420866439</x:v>
      </x:c>
      <x:c r="J12" s="12" t="n">
        <x:f>'全部组合'!T308/$D12</x:f>
        <x:v>0</x:v>
      </x:c>
      <x:c r="K12" s="12" t="n">
        <x:f>'全部组合'!U308/$D12</x:f>
        <x:v>0.0004494577509714087</x:v>
      </x:c>
      <x:c r="L12" s="12" t="n">
        <x:f>'全部组合'!V308/$D12</x:f>
        <x:v>0</x:v>
      </x:c>
      <x:c r="M12" s="12" t="n">
        <x:f>'全部组合'!W308/$D12</x:f>
        <x:v>0.00021747955692164936</x:v>
      </x:c>
      <x:c r="N12" s="13" t="n">
        <x:f>'全部组合'!X308/$D12</x:f>
        <x:v>0</x:v>
      </x:c>
    </x:row>
    <x:row r="13" ht="23" customHeight="1">
      <x:c r="A13" s="10" t="str">
        <x:v>ALL</x:v>
      </x:c>
      <x:c r="B13" s="10" t="str">
        <x:v>C_H0</x:v>
      </x:c>
      <x:c r="C13" s="9" t="str">
        <x:v>源三角形</x:v>
      </x:c>
      <x:c r="D13" s="11" t="n">
        <x:f>'全部组合'!I308</x:f>
        <x:v>298929454</x:v>
      </x:c>
      <x:c r="E13" s="12" t="n">
        <x:f>'全部组合'!Y308/$D13</x:f>
        <x:v>0</x:v>
      </x:c>
      <x:c r="F13" s="12" t="n">
        <x:f>'全部组合'!Z308/$D13</x:f>
        <x:v>0.1310961214280343</x:v>
      </x:c>
      <x:c r="G13" s="12" t="n">
        <x:f>'全部组合'!AA308/$D13</x:f>
        <x:v>0</x:v>
      </x:c>
      <x:c r="H13" s="12" t="n">
        <x:f>'全部组合'!AB308/$D13</x:f>
        <x:v>0</x:v>
      </x:c>
      <x:c r="I13" s="12" t="n">
        <x:f>'全部组合'!AC308/$D13</x:f>
        <x:v>0.8683666013052029</x:v>
      </x:c>
      <x:c r="J13" s="12" t="n">
        <x:f>'全部组合'!AD308/$D13</x:f>
        <x:v>0</x:v>
      </x:c>
      <x:c r="K13" s="12" t="n">
        <x:f>'全部组合'!AE308/$D13</x:f>
        <x:v>0.00043678532929043517</x:v>
      </x:c>
      <x:c r="L13" s="12" t="n">
        <x:f>'全部组合'!AF308/$D13</x:f>
        <x:v>0</x:v>
      </x:c>
      <x:c r="M13" s="12" t="n">
        <x:f>'全部组合'!AG308/$D13</x:f>
        <x:v>0.00010049193747231077</x:v>
      </x:c>
      <x:c r="N13" s="13" t="n">
        <x:f>'全部组合'!AH308/$D13</x:f>
        <x:v>0</x:v>
      </x:c>
    </x:row>
    <x:row r="14" ht="23" customHeight="1">
      <x:c r="A14" s="10" t="str">
        <x:v>ALL</x:v>
      </x:c>
      <x:c r="B14" s="10" t="str">
        <x:v>C_HT</x:v>
      </x:c>
      <x:c r="C14" s="9" t="str">
        <x:v>节点</x:v>
      </x:c>
      <x:c r="D14" s="11" t="n">
        <x:f>'全部组合'!D309</x:f>
        <x:v>68972</x:v>
      </x:c>
      <x:c r="E14" s="12" t="n">
        <x:f>'全部组合'!O309/$D14</x:f>
        <x:v>0</x:v>
      </x:c>
      <x:c r="F14" s="12" t="n">
        <x:f>'全部组合'!P309/$D14</x:f>
        <x:v>0.2614829206054631</x:v>
      </x:c>
      <x:c r="G14" s="12" t="n">
        <x:f>'全部组合'!Q309/$D14</x:f>
        <x:v>0</x:v>
      </x:c>
      <x:c r="H14" s="12" t="n">
        <x:f>'全部组合'!R309/$D14</x:f>
        <x:v>0</x:v>
      </x:c>
      <x:c r="I14" s="12" t="n">
        <x:f>'全部组合'!S309/$D14</x:f>
        <x:v>0.7378501420866439</x:v>
      </x:c>
      <x:c r="J14" s="12" t="n">
        <x:f>'全部组合'!T309/$D14</x:f>
        <x:v>0</x:v>
      </x:c>
      <x:c r="K14" s="12" t="n">
        <x:f>'全部组合'!U309/$D14</x:f>
        <x:v>0.0004494577509714087</x:v>
      </x:c>
      <x:c r="L14" s="12" t="n">
        <x:f>'全部组合'!V309/$D14</x:f>
        <x:v>0</x:v>
      </x:c>
      <x:c r="M14" s="12" t="n">
        <x:f>'全部组合'!W309/$D14</x:f>
        <x:v>0.00021747955692164936</x:v>
      </x:c>
      <x:c r="N14" s="13" t="n">
        <x:f>'全部组合'!X309/$D14</x:f>
        <x:v>0</x:v>
      </x:c>
    </x:row>
    <x:row r="15" ht="23" customHeight="1">
      <x:c r="A15" s="10" t="str">
        <x:v>ALL</x:v>
      </x:c>
      <x:c r="B15" s="10" t="str">
        <x:v>C_HT</x:v>
      </x:c>
      <x:c r="C15" s="9" t="str">
        <x:v>源三角形</x:v>
      </x:c>
      <x:c r="D15" s="11" t="n">
        <x:f>'全部组合'!I309</x:f>
        <x:v>298929454</x:v>
      </x:c>
      <x:c r="E15" s="12" t="n">
        <x:f>'全部组合'!Y309/$D15</x:f>
        <x:v>0</x:v>
      </x:c>
      <x:c r="F15" s="12" t="n">
        <x:f>'全部组合'!Z309/$D15</x:f>
        <x:v>0.1310961214280343</x:v>
      </x:c>
      <x:c r="G15" s="12" t="n">
        <x:f>'全部组合'!AA309/$D15</x:f>
        <x:v>0</x:v>
      </x:c>
      <x:c r="H15" s="12" t="n">
        <x:f>'全部组合'!AB309/$D15</x:f>
        <x:v>0</x:v>
      </x:c>
      <x:c r="I15" s="12" t="n">
        <x:f>'全部组合'!AC309/$D15</x:f>
        <x:v>0.8683666013052029</x:v>
      </x:c>
      <x:c r="J15" s="12" t="n">
        <x:f>'全部组合'!AD309/$D15</x:f>
        <x:v>0</x:v>
      </x:c>
      <x:c r="K15" s="12" t="n">
        <x:f>'全部组合'!AE309/$D15</x:f>
        <x:v>0.00043678532929043517</x:v>
      </x:c>
      <x:c r="L15" s="12" t="n">
        <x:f>'全部组合'!AF309/$D15</x:f>
        <x:v>0</x:v>
      </x:c>
      <x:c r="M15" s="12" t="n">
        <x:f>'全部组合'!AG309/$D15</x:f>
        <x:v>0.00010049193747231077</x:v>
      </x:c>
      <x:c r="N15" s="13" t="n">
        <x:f>'全部组合'!AH309/$D15</x:f>
        <x:v>0</x:v>
      </x:c>
    </x:row>
    <x:row r="16" ht="23" customHeight="1">
      <x:c r="A16" s="10" t="str">
        <x:v>ALL</x:v>
      </x:c>
      <x:c r="B16" s="10" t="str">
        <x:v>C_H1</x:v>
      </x:c>
      <x:c r="C16" s="9" t="str">
        <x:v>节点</x:v>
      </x:c>
      <x:c r="D16" s="11" t="n">
        <x:f>'全部组合'!D310</x:f>
        <x:v>68972</x:v>
      </x:c>
      <x:c r="E16" s="12" t="n">
        <x:f>'全部组合'!O310/$D16</x:f>
        <x:v>0</x:v>
      </x:c>
      <x:c r="F16" s="12" t="n">
        <x:f>'全部组合'!P310/$D16</x:f>
        <x:v>0.2559154439482689</x:v>
      </x:c>
      <x:c r="G16" s="12" t="n">
        <x:f>'全部组合'!Q310/$D16</x:f>
        <x:v>0</x:v>
      </x:c>
      <x:c r="H16" s="12" t="n">
        <x:f>'全部组合'!R310/$D16</x:f>
        <x:v>0</x:v>
      </x:c>
      <x:c r="I16" s="12" t="n">
        <x:f>'全部组合'!S310/$D16</x:f>
        <x:v>0.7378501420866439</x:v>
      </x:c>
      <x:c r="J16" s="12" t="n">
        <x:f>'全部组合'!T310/$D16</x:f>
        <x:v>0</x:v>
      </x:c>
      <x:c r="K16" s="12" t="n">
        <x:f>'全部组合'!U310/$D16</x:f>
        <x:v>0.006016934408165632</x:v>
      </x:c>
      <x:c r="L16" s="12" t="n">
        <x:f>'全部组合'!V310/$D16</x:f>
        <x:v>0</x:v>
      </x:c>
      <x:c r="M16" s="12" t="n">
        <x:f>'全部组合'!W310/$D16</x:f>
        <x:v>0.00021747955692164936</x:v>
      </x:c>
      <x:c r="N16" s="13" t="n">
        <x:f>'全部组合'!X310/$D16</x:f>
        <x:v>0</x:v>
      </x:c>
    </x:row>
    <x:row r="17" ht="23" customHeight="1">
      <x:c r="A17" s="10" t="str">
        <x:v>ALL</x:v>
      </x:c>
      <x:c r="B17" s="10" t="str">
        <x:v>C_H1</x:v>
      </x:c>
      <x:c r="C17" s="9" t="str">
        <x:v>源三角形</x:v>
      </x:c>
      <x:c r="D17" s="11" t="n">
        <x:f>'全部组合'!I310</x:f>
        <x:v>298929454</x:v>
      </x:c>
      <x:c r="E17" s="12" t="n">
        <x:f>'全部组合'!Y310/$D17</x:f>
        <x:v>0</x:v>
      </x:c>
      <x:c r="F17" s="12" t="n">
        <x:f>'全部组合'!Z310/$D17</x:f>
        <x:v>0.1302389994664092</x:v>
      </x:c>
      <x:c r="G17" s="12" t="n">
        <x:f>'全部组合'!AA310/$D17</x:f>
        <x:v>0</x:v>
      </x:c>
      <x:c r="H17" s="12" t="n">
        <x:f>'全部组合'!AB310/$D17</x:f>
        <x:v>0</x:v>
      </x:c>
      <x:c r="I17" s="12" t="n">
        <x:f>'全部组合'!AC310/$D17</x:f>
        <x:v>0.8683666013052029</x:v>
      </x:c>
      <x:c r="J17" s="12" t="n">
        <x:f>'全部组合'!AD310/$D17</x:f>
        <x:v>0</x:v>
      </x:c>
      <x:c r="K17" s="12" t="n">
        <x:f>'全部组合'!AE310/$D17</x:f>
        <x:v>0.0012939072909155349</x:v>
      </x:c>
      <x:c r="L17" s="12" t="n">
        <x:f>'全部组合'!AF310/$D17</x:f>
        <x:v>0</x:v>
      </x:c>
      <x:c r="M17" s="12" t="n">
        <x:f>'全部组合'!AG310/$D17</x:f>
        <x:v>0.00010049193747231077</x:v>
      </x:c>
      <x:c r="N17" s="13" t="n">
        <x:f>'全部组合'!AH310/$D17</x:f>
        <x:v>0</x:v>
      </x:c>
    </x:row>
    <x:row r="18" ht="23" customHeight="1">
      <x:c r="A18" s="10" t="str">
        <x:v>ALL</x:v>
      </x:c>
      <x:c r="B18" s="10" t="str">
        <x:v>G_H0</x:v>
      </x:c>
      <x:c r="C18" s="9" t="str">
        <x:v>节点</x:v>
      </x:c>
      <x:c r="D18" s="11" t="n">
        <x:f>'全部组合'!D311</x:f>
        <x:v>68972</x:v>
      </x:c>
      <x:c r="E18" s="12" t="n">
        <x:f>'全部组合'!O311/$D18</x:f>
        <x:v>0</x:v>
      </x:c>
      <x:c r="F18" s="12" t="n">
        <x:f>'全部组合'!P311/$D18</x:f>
        <x:v>0.3886214695818593</x:v>
      </x:c>
      <x:c r="G18" s="12" t="n">
        <x:f>'全部组合'!Q311/$D18</x:f>
        <x:v>0.4476019254190106</x:v>
      </x:c>
      <x:c r="H18" s="12" t="n">
        <x:f>'全部组合'!R311/$D18</x:f>
        <x:v>0.12386185698544337</x:v>
      </x:c>
      <x:c r="I18" s="12" t="n">
        <x:f>'全部组合'!S311/$D18</x:f>
        <x:v>0.03415878907382706</x:v>
      </x:c>
      <x:c r="J18" s="12" t="n">
        <x:f>'全部组合'!T311/$D18</x:f>
        <x:v>0.0057269616656034335</x:v>
      </x:c>
      <x:c r="K18" s="12" t="n">
        <x:f>'全部组合'!U311/$D18</x:f>
        <x:v>0.000028997274256219914</x:v>
      </x:c>
      <x:c r="L18" s="12" t="n">
        <x:f>'全部组合'!V311/$D18</x:f>
        <x:v>0</x:v>
      </x:c>
      <x:c r="M18" s="12" t="n">
        <x:f>'全部组合'!W311/$D18</x:f>
        <x:v>0</x:v>
      </x:c>
      <x:c r="N18" s="13" t="n">
        <x:f>'全部组合'!X311/$D18</x:f>
        <x:v>0</x:v>
      </x:c>
    </x:row>
    <x:row r="19" ht="23" customHeight="1">
      <x:c r="A19" s="10" t="str">
        <x:v>ALL</x:v>
      </x:c>
      <x:c r="B19" s="10" t="str">
        <x:v>G_H0</x:v>
      </x:c>
      <x:c r="C19" s="9" t="str">
        <x:v>源三角形</x:v>
      </x:c>
      <x:c r="D19" s="11" t="n">
        <x:f>'全部组合'!I311</x:f>
        <x:v>298929454</x:v>
      </x:c>
      <x:c r="E19" s="12" t="n">
        <x:f>'全部组合'!Y311/$D19</x:f>
        <x:v>0</x:v>
      </x:c>
      <x:c r="F19" s="12" t="n">
        <x:f>'全部组合'!Z311/$D19</x:f>
        <x:v>0.16810297656382833</x:v>
      </x:c>
      <x:c r="G19" s="12" t="n">
        <x:f>'全部组合'!AA311/$D19</x:f>
        <x:v>0.3347560792721349</x:v>
      </x:c>
      <x:c r="H19" s="12" t="n">
        <x:f>'全部组合'!AB311/$D19</x:f>
        <x:v>0.186963285993223</x:v>
      </x:c>
      <x:c r="I19" s="12" t="n">
        <x:f>'全部组合'!AC311/$D19</x:f>
        <x:v>0.20830108297056601</x:v>
      </x:c>
      <x:c r="J19" s="12" t="n">
        <x:f>'全部组合'!AD311/$D19</x:f>
        <x:v>0.10063612199284985</x:v>
      </x:c>
      <x:c r="K19" s="12" t="n">
        <x:f>'全部组合'!AE311/$D19</x:f>
        <x:v>0.00124045320739789</x:v>
      </x:c>
      <x:c r="L19" s="12" t="n">
        <x:f>'全部组合'!AF311/$D19</x:f>
        <x:v>0</x:v>
      </x:c>
      <x:c r="M19" s="12" t="n">
        <x:f>'全部组合'!AG311/$D19</x:f>
        <x:v>0</x:v>
      </x:c>
      <x:c r="N19" s="13" t="n">
        <x:f>'全部组合'!AH311/$D19</x:f>
        <x:v>0</x:v>
      </x:c>
    </x:row>
    <x:row r="20" ht="23" customHeight="1">
      <x:c r="A20" s="10" t="str">
        <x:v>ALL</x:v>
      </x:c>
      <x:c r="B20" s="10" t="str">
        <x:v>G_HT</x:v>
      </x:c>
      <x:c r="C20" s="9" t="str">
        <x:v>节点</x:v>
      </x:c>
      <x:c r="D20" s="11" t="n">
        <x:f>'全部组合'!D312</x:f>
        <x:v>68972</x:v>
      </x:c>
      <x:c r="E20" s="12" t="n">
        <x:f>'全部组合'!O312/$D20</x:f>
        <x:v>0</x:v>
      </x:c>
      <x:c r="F20" s="12" t="n">
        <x:f>'全部组合'!P312/$D20</x:f>
        <x:v>0.235892826074349</x:v>
      </x:c>
      <x:c r="G20" s="12" t="n">
        <x:f>'全部组合'!Q312/$D20</x:f>
        <x:v>0.549846314446442</x:v>
      </x:c>
      <x:c r="H20" s="12" t="n">
        <x:f>'全部组合'!R312/$D20</x:f>
        <x:v>0.16779272748361654</x:v>
      </x:c>
      <x:c r="I20" s="12" t="n">
        <x:f>'全部组合'!S312/$D20</x:f>
        <x:v>0.04008873165922403</x:v>
      </x:c>
      <x:c r="J20" s="12" t="n">
        <x:f>'全部组合'!T312/$D20</x:f>
        <x:v>0.006350403062112161</x:v>
      </x:c>
      <x:c r="K20" s="12" t="n">
        <x:f>'全部组合'!U312/$D20</x:f>
        <x:v>0.000028997274256219914</x:v>
      </x:c>
      <x:c r="L20" s="12" t="n">
        <x:f>'全部组合'!V312/$D20</x:f>
        <x:v>0</x:v>
      </x:c>
      <x:c r="M20" s="12" t="n">
        <x:f>'全部组合'!W312/$D20</x:f>
        <x:v>0</x:v>
      </x:c>
      <x:c r="N20" s="13" t="n">
        <x:f>'全部组合'!X312/$D20</x:f>
        <x:v>0</x:v>
      </x:c>
    </x:row>
    <x:row r="21" ht="23" customHeight="1">
      <x:c r="A21" s="10" t="str">
        <x:v>ALL</x:v>
      </x:c>
      <x:c r="B21" s="10" t="str">
        <x:v>G_HT</x:v>
      </x:c>
      <x:c r="C21" s="9" t="str">
        <x:v>源三角形</x:v>
      </x:c>
      <x:c r="D21" s="11" t="n">
        <x:f>'全部组合'!I312</x:f>
        <x:v>298929454</x:v>
      </x:c>
      <x:c r="E21" s="12" t="n">
        <x:f>'全部组合'!Y312/$D21</x:f>
        <x:v>0</x:v>
      </x:c>
      <x:c r="F21" s="12" t="n">
        <x:f>'全部组合'!Z312/$D21</x:f>
        <x:v>0.07928678048567271</x:v>
      </x:c>
      <x:c r="G21" s="12" t="n">
        <x:f>'全部组合'!AA312/$D21</x:f>
        <x:v>0.3890668565567313</x:v>
      </x:c>
      <x:c r="H21" s="12" t="n">
        <x:f>'全部组合'!AB312/$D21</x:f>
        <x:v>0.21034960977783074</x:v>
      </x:c>
      <x:c r="I21" s="12" t="n">
        <x:f>'全部组合'!AC312/$D21</x:f>
        <x:v>0.20440715085907862</x:v>
      </x:c>
      <x:c r="J21" s="12" t="n">
        <x:f>'全部组合'!AD312/$D21</x:f>
        <x:v>0.11564914911328879</x:v>
      </x:c>
      <x:c r="K21" s="12" t="n">
        <x:f>'全部组合'!AE312/$D21</x:f>
        <x:v>0.00124045320739789</x:v>
      </x:c>
      <x:c r="L21" s="12" t="n">
        <x:f>'全部组合'!AF312/$D21</x:f>
        <x:v>0</x:v>
      </x:c>
      <x:c r="M21" s="12" t="n">
        <x:f>'全部组合'!AG312/$D21</x:f>
        <x:v>0</x:v>
      </x:c>
      <x:c r="N21" s="13" t="n">
        <x:f>'全部组合'!AH312/$D21</x:f>
        <x:v>0</x:v>
      </x:c>
    </x:row>
    <x:row r="22" ht="23" customHeight="1">
      <x:c r="A22" s="10" t="str">
        <x:v>ALL</x:v>
      </x:c>
      <x:c r="B22" s="10" t="str">
        <x:v>G_H1</x:v>
      </x:c>
      <x:c r="C22" s="9" t="str">
        <x:v>节点</x:v>
      </x:c>
      <x:c r="D22" s="11" t="n">
        <x:f>'全部组合'!D313</x:f>
        <x:v>68972</x:v>
      </x:c>
      <x:c r="E22" s="12" t="n">
        <x:f>'全部组合'!O313/$D22</x:f>
        <x:v>0</x:v>
      </x:c>
      <x:c r="F22" s="12" t="n">
        <x:f>'全部组合'!P313/$D22</x:f>
        <x:v>0.235892826074349</x:v>
      </x:c>
      <x:c r="G22" s="12" t="n">
        <x:f>'全部组合'!Q313/$D22</x:f>
        <x:v>0.549846314446442</x:v>
      </x:c>
      <x:c r="H22" s="12" t="n">
        <x:f>'全部组合'!R313/$D22</x:f>
        <x:v>0.16779272748361654</x:v>
      </x:c>
      <x:c r="I22" s="12" t="n">
        <x:f>'全部组合'!S313/$D22</x:f>
        <x:v>0.04008873165922403</x:v>
      </x:c>
      <x:c r="J22" s="12" t="n">
        <x:f>'全部组合'!T313/$D22</x:f>
        <x:v>0.006350403062112161</x:v>
      </x:c>
      <x:c r="K22" s="12" t="n">
        <x:f>'全部组合'!U313/$D22</x:f>
        <x:v>0.000028997274256219914</x:v>
      </x:c>
      <x:c r="L22" s="12" t="n">
        <x:f>'全部组合'!V313/$D22</x:f>
        <x:v>0</x:v>
      </x:c>
      <x:c r="M22" s="12" t="n">
        <x:f>'全部组合'!W313/$D22</x:f>
        <x:v>0</x:v>
      </x:c>
      <x:c r="N22" s="13" t="n">
        <x:f>'全部组合'!X313/$D22</x:f>
        <x:v>0</x:v>
      </x:c>
    </x:row>
    <x:row r="23" ht="23" customHeight="1">
      <x:c r="A23" s="10" t="str">
        <x:v>ALL</x:v>
      </x:c>
      <x:c r="B23" s="10" t="str">
        <x:v>G_H1</x:v>
      </x:c>
      <x:c r="C23" s="9" t="str">
        <x:v>源三角形</x:v>
      </x:c>
      <x:c r="D23" s="11" t="n">
        <x:f>'全部组合'!I313</x:f>
        <x:v>298929454</x:v>
      </x:c>
      <x:c r="E23" s="12" t="n">
        <x:f>'全部组合'!Y313/$D23</x:f>
        <x:v>0</x:v>
      </x:c>
      <x:c r="F23" s="12" t="n">
        <x:f>'全部组合'!Z313/$D23</x:f>
        <x:v>0.07928678048567271</x:v>
      </x:c>
      <x:c r="G23" s="12" t="n">
        <x:f>'全部组合'!AA313/$D23</x:f>
        <x:v>0.3890668565567313</x:v>
      </x:c>
      <x:c r="H23" s="12" t="n">
        <x:f>'全部组合'!AB313/$D23</x:f>
        <x:v>0.21034960977783074</x:v>
      </x:c>
      <x:c r="I23" s="12" t="n">
        <x:f>'全部组合'!AC313/$D23</x:f>
        <x:v>0.20440715085907862</x:v>
      </x:c>
      <x:c r="J23" s="12" t="n">
        <x:f>'全部组合'!AD313/$D23</x:f>
        <x:v>0.11564914911328879</x:v>
      </x:c>
      <x:c r="K23" s="12" t="n">
        <x:f>'全部组合'!AE313/$D23</x:f>
        <x:v>0.00124045320739789</x:v>
      </x:c>
      <x:c r="L23" s="12" t="n">
        <x:f>'全部组合'!AF313/$D23</x:f>
        <x:v>0</x:v>
      </x:c>
      <x:c r="M23" s="12" t="n">
        <x:f>'全部组合'!AG313/$D23</x:f>
        <x:v>0</x:v>
      </x:c>
      <x:c r="N23" s="13" t="n">
        <x:f>'全部组合'!AH313/$D23</x:f>
        <x:v>0</x:v>
      </x:c>
    </x:row>
    <x:row r="24" ht="23" customHeight="1">
      <x:c r="A24" s="10" t="str">
        <x:v>ALL</x:v>
      </x:c>
      <x:c r="B24" s="10" t="str">
        <x:v>NC_H0</x:v>
      </x:c>
      <x:c r="C24" s="9" t="str">
        <x:v>节点</x:v>
      </x:c>
      <x:c r="D24" s="11" t="n">
        <x:f>'全部组合'!D314</x:f>
        <x:v>68972</x:v>
      </x:c>
      <x:c r="E24" s="12" t="n">
        <x:f>'全部组合'!O314/$D24</x:f>
        <x:v>0</x:v>
      </x:c>
      <x:c r="F24" s="12" t="n">
        <x:f>'全部组合'!P314/$D24</x:f>
        <x:v>0.2497100272574378</x:v>
      </x:c>
      <x:c r="G24" s="12" t="n">
        <x:f>'全部组合'!Q314/$D24</x:f>
        <x:v>0.03121556573682074</x:v>
      </x:c>
      <x:c r="H24" s="12" t="n">
        <x:f>'全部组合'!R314/$D24</x:f>
        <x:v>0</x:v>
      </x:c>
      <x:c r="I24" s="12" t="n">
        <x:f>'全部组合'!S314/$D24</x:f>
        <x:v>0.6466972104622165</x:v>
      </x:c>
      <x:c r="J24" s="12" t="n">
        <x:f>'全部组合'!T314/$D24</x:f>
        <x:v>0.007945253146204256</x:v>
      </x:c>
      <x:c r="K24" s="12" t="n">
        <x:f>'全部组合'!U314/$D24</x:f>
        <x:v>0.016339964043379923</x:v>
      </x:c>
      <x:c r="L24" s="12" t="n">
        <x:f>'全部组合'!V314/$D24</x:f>
        <x:v>0.01702139998840109</x:v>
      </x:c>
      <x:c r="M24" s="12" t="n">
        <x:f>'全部组合'!W314/$D24</x:f>
        <x:v>0.031070579365539638</x:v>
      </x:c>
      <x:c r="N24" s="13" t="n">
        <x:f>'全部组合'!X314/$D24</x:f>
        <x:v>0</x:v>
      </x:c>
    </x:row>
    <x:row r="25" ht="23" customHeight="1">
      <x:c r="A25" s="10" t="str">
        <x:v>ALL</x:v>
      </x:c>
      <x:c r="B25" s="10" t="str">
        <x:v>NC_H0</x:v>
      </x:c>
      <x:c r="C25" s="9" t="str">
        <x:v>源三角形</x:v>
      </x:c>
      <x:c r="D25" s="11" t="n">
        <x:f>'全部组合'!I314</x:f>
        <x:v>298929454</x:v>
      </x:c>
      <x:c r="E25" s="12" t="n">
        <x:f>'全部组合'!Y314/$D25</x:f>
        <x:v>0</x:v>
      </x:c>
      <x:c r="F25" s="12" t="n">
        <x:f>'全部组合'!Z314/$D25</x:f>
        <x:v>0.1143804551290553</x:v>
      </x:c>
      <x:c r="G25" s="12" t="n">
        <x:f>'全部组合'!AA314/$D25</x:f>
        <x:v>0.011530971451210693</x:v>
      </x:c>
      <x:c r="H25" s="12" t="n">
        <x:f>'全部组合'!AB314/$D25</x:f>
        <x:v>0</x:v>
      </x:c>
      <x:c r="I25" s="12" t="n">
        <x:f>'全部组合'!AC314/$D25</x:f>
        <x:v>0.6446079381659059</x:v>
      </x:c>
      <x:c r="J25" s="12" t="n">
        <x:f>'全部组合'!AD314/$D25</x:f>
        <x:v>0.01954529378694145</x:v>
      </x:c>
      <x:c r="K25" s="12" t="n">
        <x:f>'全部组合'!AE314/$D25</x:f>
        <x:v>0.021545223844017726</x:v>
      </x:c>
      <x:c r="L25" s="12" t="n">
        <x:f>'全部组合'!AF314/$D25</x:f>
        <x:v>0.11987092446233151</x:v>
      </x:c>
      <x:c r="M25" s="12" t="n">
        <x:f>'全部组合'!AG314/$D25</x:f>
        <x:v>0.06851919316053746</x:v>
      </x:c>
      <x:c r="N25" s="13" t="n">
        <x:f>'全部组合'!AH314/$D25</x:f>
        <x:v>0</x:v>
      </x:c>
    </x:row>
    <x:row r="26" ht="23" customHeight="1">
      <x:c r="A26" s="10" t="str">
        <x:v>ALL</x:v>
      </x:c>
      <x:c r="B26" s="10" t="str">
        <x:v>NC_HT</x:v>
      </x:c>
      <x:c r="C26" s="9" t="str">
        <x:v>节点</x:v>
      </x:c>
      <x:c r="D26" s="11" t="n">
        <x:f>'全部组合'!D315</x:f>
        <x:v>68972</x:v>
      </x:c>
      <x:c r="E26" s="12" t="n">
        <x:f>'全部组合'!O315/$D26</x:f>
        <x:v>0</x:v>
      </x:c>
      <x:c r="F26" s="12" t="n">
        <x:f>'全部组合'!P315/$D26</x:f>
        <x:v>0.2497100272574378</x:v>
      </x:c>
      <x:c r="G26" s="12" t="n">
        <x:f>'全部组合'!Q315/$D26</x:f>
        <x:v>0.03121556573682074</x:v>
      </x:c>
      <x:c r="H26" s="12" t="n">
        <x:f>'全部组合'!R315/$D26</x:f>
        <x:v>0</x:v>
      </x:c>
      <x:c r="I26" s="12" t="n">
        <x:f>'全部组合'!S315/$D26</x:f>
        <x:v>0.6466972104622165</x:v>
      </x:c>
      <x:c r="J26" s="12" t="n">
        <x:f>'全部组合'!T315/$D26</x:f>
        <x:v>0.007945253146204256</x:v>
      </x:c>
      <x:c r="K26" s="12" t="n">
        <x:f>'全部组合'!U315/$D26</x:f>
        <x:v>0.016339964043379923</x:v>
      </x:c>
      <x:c r="L26" s="12" t="n">
        <x:f>'全部组合'!V315/$D26</x:f>
        <x:v>0.01702139998840109</x:v>
      </x:c>
      <x:c r="M26" s="12" t="n">
        <x:f>'全部组合'!W315/$D26</x:f>
        <x:v>0.031070579365539638</x:v>
      </x:c>
      <x:c r="N26" s="13" t="n">
        <x:f>'全部组合'!X315/$D26</x:f>
        <x:v>0</x:v>
      </x:c>
    </x:row>
    <x:row r="27" ht="23" customHeight="1">
      <x:c r="A27" s="10" t="str">
        <x:v>ALL</x:v>
      </x:c>
      <x:c r="B27" s="10" t="str">
        <x:v>NC_HT</x:v>
      </x:c>
      <x:c r="C27" s="9" t="str">
        <x:v>源三角形</x:v>
      </x:c>
      <x:c r="D27" s="11" t="n">
        <x:f>'全部组合'!I315</x:f>
        <x:v>298929454</x:v>
      </x:c>
      <x:c r="E27" s="12" t="n">
        <x:f>'全部组合'!Y315/$D27</x:f>
        <x:v>0</x:v>
      </x:c>
      <x:c r="F27" s="12" t="n">
        <x:f>'全部组合'!Z315/$D27</x:f>
        <x:v>0.1143804551290553</x:v>
      </x:c>
      <x:c r="G27" s="12" t="n">
        <x:f>'全部组合'!AA315/$D27</x:f>
        <x:v>0.011530971451210693</x:v>
      </x:c>
      <x:c r="H27" s="12" t="n">
        <x:f>'全部组合'!AB315/$D27</x:f>
        <x:v>0</x:v>
      </x:c>
      <x:c r="I27" s="12" t="n">
        <x:f>'全部组合'!AC315/$D27</x:f>
        <x:v>0.6446079381659059</x:v>
      </x:c>
      <x:c r="J27" s="12" t="n">
        <x:f>'全部组合'!AD315/$D27</x:f>
        <x:v>0.01954529378694145</x:v>
      </x:c>
      <x:c r="K27" s="12" t="n">
        <x:f>'全部组合'!AE315/$D27</x:f>
        <x:v>0.021545223844017726</x:v>
      </x:c>
      <x:c r="L27" s="12" t="n">
        <x:f>'全部组合'!AF315/$D27</x:f>
        <x:v>0.11987092446233151</x:v>
      </x:c>
      <x:c r="M27" s="12" t="n">
        <x:f>'全部组合'!AG315/$D27</x:f>
        <x:v>0.06851919316053746</x:v>
      </x:c>
      <x:c r="N27" s="13" t="n">
        <x:f>'全部组合'!AH315/$D27</x:f>
        <x:v>0</x:v>
      </x:c>
    </x:row>
    <x:row r="28" ht="23" customHeight="1">
      <x:c r="A28" s="10" t="str">
        <x:v>ALL</x:v>
      </x:c>
      <x:c r="B28" s="10" t="str">
        <x:v>NC_H1</x:v>
      </x:c>
      <x:c r="C28" s="9" t="str">
        <x:v>节点</x:v>
      </x:c>
      <x:c r="D28" s="11" t="n">
        <x:f>'全部组合'!D316</x:f>
        <x:v>68972</x:v>
      </x:c>
      <x:c r="E28" s="12" t="n">
        <x:f>'全部组合'!O316/$D28</x:f>
        <x:v>0</x:v>
      </x:c>
      <x:c r="F28" s="12" t="n">
        <x:f>'全部组合'!P316/$D28</x:f>
        <x:v>0.24372209012352838</x:v>
      </x:c>
      <x:c r="G28" s="12" t="n">
        <x:f>'全部组合'!Q316/$D28</x:f>
        <x:v>0.022733863016876413</x:v>
      </x:c>
      <x:c r="H28" s="12" t="n">
        <x:f>'全部组合'!R316/$D28</x:f>
        <x:v>0</x:v>
      </x:c>
      <x:c r="I28" s="12" t="n">
        <x:f>'全部组合'!S316/$D28</x:f>
        <x:v>0.6466972104622165</x:v>
      </x:c>
      <x:c r="J28" s="12" t="n">
        <x:f>'全部组合'!T316/$D28</x:f>
        <x:v>0.015644029461230644</x:v>
      </x:c>
      <x:c r="K28" s="12" t="n">
        <x:f>'全部组合'!U316/$D28</x:f>
        <x:v>0.023110827582207272</x:v>
      </x:c>
      <x:c r="L28" s="12" t="n">
        <x:f>'全部组合'!V316/$D28</x:f>
        <x:v>0.01702139998840109</x:v>
      </x:c>
      <x:c r="M28" s="12" t="n">
        <x:f>'全部组合'!W316/$D28</x:f>
        <x:v>0.031070579365539638</x:v>
      </x:c>
      <x:c r="N28" s="13" t="n">
        <x:f>'全部组合'!X316/$D28</x:f>
        <x:v>0</x:v>
      </x:c>
    </x:row>
    <x:row r="29" ht="23" customHeight="1">
      <x:c r="A29" s="10" t="str">
        <x:v>ALL</x:v>
      </x:c>
      <x:c r="B29" s="10" t="str">
        <x:v>NC_H1</x:v>
      </x:c>
      <x:c r="C29" s="9" t="str">
        <x:v>源三角形</x:v>
      </x:c>
      <x:c r="D29" s="11" t="n">
        <x:f>'全部组合'!I316</x:f>
        <x:v>298929454</x:v>
      </x:c>
      <x:c r="E29" s="12" t="n">
        <x:f>'全部组合'!Y316/$D29</x:f>
        <x:v>0</x:v>
      </x:c>
      <x:c r="F29" s="12" t="n">
        <x:f>'全部组合'!Z316/$D29</x:f>
        <x:v>0.11355932828218393</x:v>
      </x:c>
      <x:c r="G29" s="12" t="n">
        <x:f>'全部组合'!AA316/$D29</x:f>
        <x:v>0.007619051818159076</x:v>
      </x:c>
      <x:c r="H29" s="12" t="n">
        <x:f>'全部组合'!AB316/$D29</x:f>
        <x:v>0</x:v>
      </x:c>
      <x:c r="I29" s="12" t="n">
        <x:f>'全部组合'!AC316/$D29</x:f>
        <x:v>0.6446079381659059</x:v>
      </x:c>
      <x:c r="J29" s="12" t="n">
        <x:f>'全部组合'!AD316/$D29</x:f>
        <x:v>0.022941359267996387</x:v>
      </x:c>
      <x:c r="K29" s="12" t="n">
        <x:f>'全部组合'!AE316/$D29</x:f>
        <x:v>0.022882204842885775</x:v>
      </x:c>
      <x:c r="L29" s="12" t="n">
        <x:f>'全部组合'!AF316/$D29</x:f>
        <x:v>0.11987092446233151</x:v>
      </x:c>
      <x:c r="M29" s="12" t="n">
        <x:f>'全部组合'!AG316/$D29</x:f>
        <x:v>0.06851919316053746</x:v>
      </x:c>
      <x:c r="N29" s="13" t="n">
        <x:f>'全部组合'!AH316/$D29</x:f>
        <x:v>0</x:v>
      </x:c>
    </x:row>
    <x:row r="30" ht="23" customHeight="1">
      <x:c r="A30" s="10" t="str">
        <x:v>ALL</x:v>
      </x:c>
      <x:c r="B30" s="10" t="str">
        <x:v>NG_H0</x:v>
      </x:c>
      <x:c r="C30" s="9" t="str">
        <x:v>节点</x:v>
      </x:c>
      <x:c r="D30" s="11" t="n">
        <x:f>'全部组合'!D317</x:f>
        <x:v>68972</x:v>
      </x:c>
      <x:c r="E30" s="12" t="n">
        <x:f>'全部组合'!O317/$D30</x:f>
        <x:v>0.004958533897813606</x:v>
      </x:c>
      <x:c r="F30" s="12" t="n">
        <x:f>'全部组合'!P317/$D30</x:f>
        <x:v>0.34541553094009164</x:v>
      </x:c>
      <x:c r="G30" s="12" t="n">
        <x:f>'全部组合'!Q317/$D30</x:f>
        <x:v>0.3918401670242997</x:v>
      </x:c>
      <x:c r="H30" s="12" t="n">
        <x:f>'全部组合'!R317/$D30</x:f>
        <x:v>0.1160470915733921</x:v>
      </x:c>
      <x:c r="I30" s="12" t="n">
        <x:f>'全部组合'!S317/$D30</x:f>
        <x:v>0.033230876297628026</x:v>
      </x:c>
      <x:c r="J30" s="12" t="n">
        <x:f>'全部组合'!T317/$D30</x:f>
        <x:v>0.01371571072319202</x:v>
      </x:c>
      <x:c r="K30" s="12" t="n">
        <x:f>'全部组合'!U317/$D30</x:f>
        <x:v>0.01757234819926927</x:v>
      </x:c>
      <x:c r="L30" s="12" t="n">
        <x:f>'全部组合'!V317/$D30</x:f>
        <x:v>0.03411529316244273</x:v>
      </x:c>
      <x:c r="M30" s="12" t="n">
        <x:f>'全部组合'!W317/$D30</x:f>
        <x:v>0.04297396044771792</x:v>
      </x:c>
      <x:c r="N30" s="13" t="n">
        <x:f>'全部组合'!X317/$D30</x:f>
        <x:v>0.0001304877341529896</x:v>
      </x:c>
    </x:row>
    <x:row r="31" ht="23" customHeight="1">
      <x:c r="A31" s="10" t="str">
        <x:v>ALL</x:v>
      </x:c>
      <x:c r="B31" s="10" t="str">
        <x:v>NG_H0</x:v>
      </x:c>
      <x:c r="C31" s="9" t="str">
        <x:v>源三角形</x:v>
      </x:c>
      <x:c r="D31" s="11" t="n">
        <x:f>'全部组合'!I317</x:f>
        <x:v>298929454</x:v>
      </x:c>
      <x:c r="E31" s="12" t="n">
        <x:f>'全部组合'!Y317/$D31</x:f>
        <x:v>0.0022134386262251697</x:v>
      </x:c>
      <x:c r="F31" s="12" t="n">
        <x:f>'全部组合'!Z317/$D31</x:f>
        <x:v>0.13768912514054235</x:v>
      </x:c>
      <x:c r="G31" s="12" t="n">
        <x:f>'全部组合'!AA317/$D31</x:f>
        <x:v>0.23093473418648133</x:v>
      </x:c>
      <x:c r="H31" s="12" t="n">
        <x:f>'全部组合'!AB317/$D31</x:f>
        <x:v>0.14827245829044333</x:v>
      </x:c>
      <x:c r="I31" s="12" t="n">
        <x:f>'全部组合'!AC317/$D31</x:f>
        <x:v>0.12256174662534258</x:v>
      </x:c>
      <x:c r="J31" s="12" t="n">
        <x:f>'全部组合'!AD317/$D31</x:f>
        <x:v>0.1185587185396592</x:v>
      </x:c>
      <x:c r="K31" s="12" t="n">
        <x:f>'全部组合'!AE317/$D31</x:f>
        <x:v>0.024075800840956944</x:v>
      </x:c>
      <x:c r="L31" s="12" t="n">
        <x:f>'全部组合'!AF317/$D31</x:f>
        <x:v>0.1241210041483567</x:v>
      </x:c>
      <x:c r="M31" s="12" t="n">
        <x:f>'全部组合'!AG317/$D31</x:f>
        <x:v>0.0914445954863986</x:v>
      </x:c>
      <x:c r="N31" s="13" t="n">
        <x:f>'全部组合'!AH317/$D31</x:f>
        <x:v>0.0001283781155937882</x:v>
      </x:c>
    </x:row>
    <x:row r="32" ht="23" customHeight="1">
      <x:c r="A32" s="10" t="str">
        <x:v>ALL</x:v>
      </x:c>
      <x:c r="B32" s="10" t="str">
        <x:v>NG_HT</x:v>
      </x:c>
      <x:c r="C32" s="9" t="str">
        <x:v>节点</x:v>
      </x:c>
      <x:c r="D32" s="11" t="n">
        <x:f>'全部组合'!D318</x:f>
        <x:v>68972</x:v>
      </x:c>
      <x:c r="E32" s="12" t="n">
        <x:f>'全部组合'!O318/$D32</x:f>
        <x:v>0.004958533897813606</x:v>
      </x:c>
      <x:c r="F32" s="12" t="n">
        <x:f>'全部组合'!P318/$D32</x:f>
        <x:v>0.23663225656788262</x:v>
      </x:c>
      <x:c r="G32" s="12" t="n">
        <x:f>'全部组合'!Q318/$D32</x:f>
        <x:v>0.4561271240503393</x:v>
      </x:c>
      <x:c r="H32" s="12" t="n">
        <x:f>'全部组合'!R318/$D32</x:f>
        <x:v>0.15439598677724295</x:v>
      </x:c>
      <x:c r="I32" s="12" t="n">
        <x:f>'全部组合'!S318/$D32</x:f>
        <x:v>0.038769355680566026</x:v>
      </x:c>
      <x:c r="J32" s="12" t="n">
        <x:f>'全部组合'!T318/$D32</x:f>
        <x:v>0.014324653482572638</x:v>
      </x:c>
      <x:c r="K32" s="12" t="n">
        <x:f>'全部组合'!U318/$D32</x:f>
        <x:v>0.01757234819926927</x:v>
      </x:c>
      <x:c r="L32" s="12" t="n">
        <x:f>'全部组合'!V318/$D32</x:f>
        <x:v>0.03411529316244273</x:v>
      </x:c>
      <x:c r="M32" s="12" t="n">
        <x:f>'全部组合'!W318/$D32</x:f>
        <x:v>0.04297396044771792</x:v>
      </x:c>
      <x:c r="N32" s="13" t="n">
        <x:f>'全部组合'!X318/$D32</x:f>
        <x:v>0.0001304877341529896</x:v>
      </x:c>
    </x:row>
    <x:row r="33" ht="23" customHeight="1">
      <x:c r="A33" s="10" t="str">
        <x:v>ALL</x:v>
      </x:c>
      <x:c r="B33" s="10" t="str">
        <x:v>NG_HT</x:v>
      </x:c>
      <x:c r="C33" s="9" t="str">
        <x:v>源三角形</x:v>
      </x:c>
      <x:c r="D33" s="11" t="n">
        <x:f>'全部组合'!I318</x:f>
        <x:v>298929454</x:v>
      </x:c>
      <x:c r="E33" s="12" t="n">
        <x:f>'全部组合'!Y318/$D33</x:f>
        <x:v>0.0022134386262251697</x:v>
      </x:c>
      <x:c r="F33" s="12" t="n">
        <x:f>'全部组合'!Z318/$D33</x:f>
        <x:v>0.0776849443547975</x:v>
      </x:c>
      <x:c r="G33" s="12" t="n">
        <x:f>'全部组合'!AA318/$D33</x:f>
        <x:v>0.26094378441543603</x:v>
      </x:c>
      <x:c r="H33" s="12" t="n">
        <x:f>'全部组合'!AB318/$D33</x:f>
        <x:v>0.1722454890644533</x:v>
      </x:c>
      <x:c r="I33" s="12" t="n">
        <x:f>'全部组合'!AC318/$D33</x:f>
        <x:v>0.11695000453183847</x:v>
      </x:c>
      <x:c r="J33" s="12" t="n">
        <x:f>'全部组合'!AD318/$D33</x:f>
        <x:v>0.1301925604159435</x:v>
      </x:c>
      <x:c r="K33" s="12" t="n">
        <x:f>'全部组合'!AE318/$D33</x:f>
        <x:v>0.024075800840956944</x:v>
      </x:c>
      <x:c r="L33" s="12" t="n">
        <x:f>'全部组合'!AF318/$D33</x:f>
        <x:v>0.1241210041483567</x:v>
      </x:c>
      <x:c r="M33" s="12" t="n">
        <x:f>'全部组合'!AG318/$D33</x:f>
        <x:v>0.0914445954863986</x:v>
      </x:c>
      <x:c r="N33" s="13" t="n">
        <x:f>'全部组合'!AH318/$D33</x:f>
        <x:v>0.0001283781155937882</x:v>
      </x:c>
    </x:row>
    <x:row r="34" ht="23" customHeight="1">
      <x:c r="A34" s="10" t="str">
        <x:v>ALL</x:v>
      </x:c>
      <x:c r="B34" s="10" t="str">
        <x:v>NG_H1</x:v>
      </x:c>
      <x:c r="C34" s="9" t="str">
        <x:v>节点</x:v>
      </x:c>
      <x:c r="D34" s="11" t="n">
        <x:f>'全部组合'!D319</x:f>
        <x:v>68972</x:v>
      </x:c>
      <x:c r="E34" s="12" t="n">
        <x:f>'全部组合'!O319/$D34</x:f>
        <x:v>0.004958533897813606</x:v>
      </x:c>
      <x:c r="F34" s="12" t="n">
        <x:f>'全部组合'!P319/$D34</x:f>
        <x:v>0.23254364089775562</x:v>
      </x:c>
      <x:c r="G34" s="12" t="n">
        <x:f>'全部组合'!Q319/$D34</x:f>
        <x:v>0.4470364785710143</x:v>
      </x:c>
      <x:c r="H34" s="12" t="n">
        <x:f>'全部组合'!R319/$D34</x:f>
        <x:v>0.15371455083222177</x:v>
      </x:c>
      <x:c r="I34" s="12" t="n">
        <x:f>'全部组合'!S319/$D34</x:f>
        <x:v>0.038696862494925474</x:v>
      </x:c>
      <x:c r="J34" s="12" t="n">
        <x:f>'全部组合'!T319/$D34</x:f>
        <x:v>0.023096328945079164</x:v>
      </x:c>
      <x:c r="K34" s="12" t="n">
        <x:f>'全部组合'!U319/$D34</x:f>
        <x:v>0.022733863016876413</x:v>
      </x:c>
      <x:c r="L34" s="12" t="n">
        <x:f>'全部组合'!V319/$D34</x:f>
        <x:v>0.03411529316244273</x:v>
      </x:c>
      <x:c r="M34" s="12" t="n">
        <x:f>'全部组合'!W319/$D34</x:f>
        <x:v>0.04297396044771792</x:v>
      </x:c>
      <x:c r="N34" s="13" t="n">
        <x:f>'全部组合'!X319/$D34</x:f>
        <x:v>0.0001304877341529896</x:v>
      </x:c>
    </x:row>
    <x:row r="35" ht="23" customHeight="1">
      <x:c r="A35" s="10" t="str">
        <x:v>ALL</x:v>
      </x:c>
      <x:c r="B35" s="10" t="str">
        <x:v>NG_H1</x:v>
      </x:c>
      <x:c r="C35" s="9" t="str">
        <x:v>源三角形</x:v>
      </x:c>
      <x:c r="D35" s="11" t="n">
        <x:f>'全部组合'!I319</x:f>
        <x:v>298929454</x:v>
      </x:c>
      <x:c r="E35" s="12" t="n">
        <x:f>'全部组合'!Y319/$D35</x:f>
        <x:v>0.0022134386262251697</x:v>
      </x:c>
      <x:c r="F35" s="12" t="n">
        <x:f>'全部组合'!Z319/$D35</x:f>
        <x:v>0.07728658949746718</x:v>
      </x:c>
      <x:c r="G35" s="12" t="n">
        <x:f>'全部组合'!AA319/$D35</x:f>
        <x:v>0.2580530354830809</x:v>
      </x:c>
      <x:c r="H35" s="12" t="n">
        <x:f>'全部组合'!AB319/$D35</x:f>
        <x:v>0.1712282992361134</x:v>
      </x:c>
      <x:c r="I35" s="12" t="n">
        <x:f>'全部组合'!AC319/$D35</x:f>
        <x:v>0.11649740945233185</x:v>
      </x:c>
      <x:c r="J35" s="12" t="n">
        <x:f>'全部组合'!AD319/$D35</x:f>
        <x:v>0.13396723027500662</x:v>
      </x:c>
      <x:c r="K35" s="12" t="n">
        <x:f>'全部组合'!AE319/$D35</x:f>
        <x:v>0.02506001967942577</x:v>
      </x:c>
      <x:c r="L35" s="12" t="n">
        <x:f>'全部组合'!AF319/$D35</x:f>
        <x:v>0.1241210041483567</x:v>
      </x:c>
      <x:c r="M35" s="12" t="n">
        <x:f>'全部组合'!AG319/$D35</x:f>
        <x:v>0.0914445954863986</x:v>
      </x:c>
      <x:c r="N35" s="13" t="n">
        <x:f>'全部组合'!AH319/$D35</x:f>
        <x:v>0.0001283781155937882</x:v>
      </x:c>
    </x:row>
    <x:row r="36" ht="23" customHeight="1">
      <x:c r="A36" s="10" t="str">
        <x:v>ALL</x:v>
      </x:c>
      <x:c r="B36" s="10" t="str">
        <x:v>CG_H0</x:v>
      </x:c>
      <x:c r="C36" s="9" t="str">
        <x:v>节点</x:v>
      </x:c>
      <x:c r="D36" s="11" t="n">
        <x:f>'全部组合'!D320</x:f>
        <x:v>68972</x:v>
      </x:c>
      <x:c r="E36" s="12" t="n">
        <x:f>'全部组合'!O320/$D36</x:f>
        <x:v>0.012918285681145973</x:v>
      </x:c>
      <x:c r="F36" s="12" t="n">
        <x:f>'全部组合'!P320/$D36</x:f>
        <x:v>0.4823551586150902</x:v>
      </x:c>
      <x:c r="G36" s="12" t="n">
        <x:f>'全部组合'!Q320/$D36</x:f>
        <x:v>0.35186742446210056</x:v>
      </x:c>
      <x:c r="H36" s="12" t="n">
        <x:f>'全部组合'!R320/$D36</x:f>
        <x:v>0.11227744592008351</x:v>
      </x:c>
      <x:c r="I36" s="12" t="n">
        <x:f>'全部组合'!S320/$D36</x:f>
        <x:v>0.03415878907382706</x:v>
      </x:c>
      <x:c r="J36" s="12" t="n">
        <x:f>'全部组合'!T320/$D36</x:f>
        <x:v>0.0057269616656034335</x:v>
      </x:c>
      <x:c r="K36" s="12" t="n">
        <x:f>'全部组合'!U320/$D36</x:f>
        <x:v>0.0004784550252276286</x:v>
      </x:c>
      <x:c r="L36" s="12" t="n">
        <x:f>'全部组合'!V320/$D36</x:f>
        <x:v>0</x:v>
      </x:c>
      <x:c r="M36" s="12" t="n">
        <x:f>'全部组合'!W320/$D36</x:f>
        <x:v>0.00021747955692164936</x:v>
      </x:c>
      <x:c r="N36" s="13" t="n">
        <x:f>'全部组合'!X320/$D36</x:f>
        <x:v>0</x:v>
      </x:c>
    </x:row>
    <x:row r="37" ht="23" customHeight="1">
      <x:c r="A37" s="10" t="str">
        <x:v>ALL</x:v>
      </x:c>
      <x:c r="B37" s="10" t="str">
        <x:v>CG_H0</x:v>
      </x:c>
      <x:c r="C37" s="9" t="str">
        <x:v>源三角形</x:v>
      </x:c>
      <x:c r="D37" s="11" t="n">
        <x:f>'全部组合'!I320</x:f>
        <x:v>298929454</x:v>
      </x:c>
      <x:c r="E37" s="12" t="n">
        <x:f>'全部组合'!Y320/$D37</x:f>
        <x:v>0.0038091060775831075</x:v>
      </x:c>
      <x:c r="F37" s="12" t="n">
        <x:f>'全部组合'!Z320/$D37</x:f>
        <x:v>0.194530031155779</x:v>
      </x:c>
      <x:c r="G37" s="12" t="n">
        <x:f>'全部组合'!AA320/$D37</x:f>
        <x:v>0.30879784432349716</x:v>
      </x:c>
      <x:c r="H37" s="12" t="n">
        <x:f>'全部组合'!AB320/$D37</x:f>
        <x:v>0.18214808300556426</x:v>
      </x:c>
      <x:c r="I37" s="12" t="n">
        <x:f>'全部组合'!AC320/$D37</x:f>
        <x:v>0.20830108297056601</x:v>
      </x:c>
      <x:c r="J37" s="12" t="n">
        <x:f>'全部组合'!AD320/$D37</x:f>
        <x:v>0.10063612199284985</x:v>
      </x:c>
      <x:c r="K37" s="12" t="n">
        <x:f>'全部组合'!AE320/$D37</x:f>
        <x:v>0.001677238536688325</x:v>
      </x:c>
      <x:c r="L37" s="12" t="n">
        <x:f>'全部组合'!AF320/$D37</x:f>
        <x:v>0</x:v>
      </x:c>
      <x:c r="M37" s="12" t="n">
        <x:f>'全部组合'!AG320/$D37</x:f>
        <x:v>0.00010049193747231077</x:v>
      </x:c>
      <x:c r="N37" s="13" t="n">
        <x:f>'全部组合'!AH320/$D37</x:f>
        <x:v>0</x:v>
      </x:c>
    </x:row>
    <x:row r="38" ht="23" customHeight="1">
      <x:c r="A38" s="10" t="str">
        <x:v>ALL</x:v>
      </x:c>
      <x:c r="B38" s="10" t="str">
        <x:v>CG_HT</x:v>
      </x:c>
      <x:c r="C38" s="9" t="str">
        <x:v>节点</x:v>
      </x:c>
      <x:c r="D38" s="11" t="n">
        <x:f>'全部组合'!D321</x:f>
        <x:v>68972</x:v>
      </x:c>
      <x:c r="E38" s="12" t="n">
        <x:f>'全部组合'!O321/$D38</x:f>
        <x:v>0.012918285681145973</x:v>
      </x:c>
      <x:c r="F38" s="12" t="n">
        <x:f>'全部组合'!P321/$D38</x:f>
        <x:v>0.3286841036942527</x:v>
      </x:c>
      <x:c r="G38" s="12" t="n">
        <x:f>'全部组合'!Q321/$D38</x:f>
        <x:v>0.4730325349417155</x:v>
      </x:c>
      <x:c r="H38" s="12" t="n">
        <x:f>'全部组合'!R321/$D38</x:f>
        <x:v>0.13821550774227223</x:v>
      </x:c>
      <x:c r="I38" s="12" t="n">
        <x:f>'全部组合'!S321/$D38</x:f>
        <x:v>0.03984225482804617</x:v>
      </x:c>
      <x:c r="J38" s="12" t="n">
        <x:f>'全部组合'!T321/$D38</x:f>
        <x:v>0.006509888070521371</x:v>
      </x:c>
      <x:c r="K38" s="12" t="n">
        <x:f>'全部组合'!U321/$D38</x:f>
        <x:v>0.0005799454851243983</x:v>
      </x:c>
      <x:c r="L38" s="12" t="n">
        <x:f>'全部组合'!V321/$D38</x:f>
        <x:v>0</x:v>
      </x:c>
      <x:c r="M38" s="12" t="n">
        <x:f>'全部组合'!W321/$D38</x:f>
        <x:v>0.00021747955692164936</x:v>
      </x:c>
      <x:c r="N38" s="13" t="n">
        <x:f>'全部组合'!X321/$D38</x:f>
        <x:v>0</x:v>
      </x:c>
    </x:row>
    <x:row r="39" ht="23" customHeight="1">
      <x:c r="A39" s="10" t="str">
        <x:v>ALL</x:v>
      </x:c>
      <x:c r="B39" s="10" t="str">
        <x:v>CG_HT</x:v>
      </x:c>
      <x:c r="C39" s="9" t="str">
        <x:v>源三角形</x:v>
      </x:c>
      <x:c r="D39" s="11" t="n">
        <x:f>'全部组合'!I321</x:f>
        <x:v>298929454</x:v>
      </x:c>
      <x:c r="E39" s="12" t="n">
        <x:f>'全部组合'!Y321/$D39</x:f>
        <x:v>0.0038091060775831075</x:v>
      </x:c>
      <x:c r="F39" s="12" t="n">
        <x:f>'全部组合'!Z321/$D39</x:f>
        <x:v>0.10734180780994569</x:v>
      </x:c>
      <x:c r="G39" s="12" t="n">
        <x:f>'全部组合'!AA321/$D39</x:f>
        <x:v>0.3646267557160828</x:v>
      </x:c>
      <x:c r="H39" s="12" t="n">
        <x:f>'全部组合'!AB321/$D39</x:f>
        <x:v>0.20238674774416843</x:v>
      </x:c>
      <x:c r="I39" s="12" t="n">
        <x:f>'全部组合'!AC321/$D39</x:f>
        <x:v>0.20414993967105027</x:v>
      </x:c>
      <x:c r="J39" s="12" t="n">
        <x:f>'全部组合'!AD321/$D39</x:f>
        <x:v>0.1156931594970899</x:v>
      </x:c>
      <x:c r="K39" s="12" t="n">
        <x:f>'全部组合'!AE321/$D39</x:f>
        <x:v>0.0018919915466075149</x:v>
      </x:c>
      <x:c r="L39" s="12" t="n">
        <x:f>'全部组合'!AF321/$D39</x:f>
        <x:v>0</x:v>
      </x:c>
      <x:c r="M39" s="12" t="n">
        <x:f>'全部组合'!AG321/$D39</x:f>
        <x:v>0.00010049193747231077</x:v>
      </x:c>
      <x:c r="N39" s="13" t="n">
        <x:f>'全部组合'!AH321/$D39</x:f>
        <x:v>0</x:v>
      </x:c>
    </x:row>
    <x:row r="40" ht="23" customHeight="1">
      <x:c r="A40" s="10" t="str">
        <x:v>ALL</x:v>
      </x:c>
      <x:c r="B40" s="10" t="str">
        <x:v>CG_H1</x:v>
      </x:c>
      <x:c r="C40" s="9" t="str">
        <x:v>节点</x:v>
      </x:c>
      <x:c r="D40" s="11" t="n">
        <x:f>'全部组合'!D322</x:f>
        <x:v>68972</x:v>
      </x:c>
      <x:c r="E40" s="12" t="n">
        <x:f>'全部组合'!O322/$D40</x:f>
        <x:v>0.012918285681145973</x:v>
      </x:c>
      <x:c r="F40" s="12" t="n">
        <x:f>'全部组合'!P322/$D40</x:f>
        <x:v>0.3241460302731543</x:v>
      </x:c>
      <x:c r="G40" s="12" t="n">
        <x:f>'全部组合'!Q322/$D40</x:f>
        <x:v>0.4727715594734095</x:v>
      </x:c>
      <x:c r="H40" s="12" t="n">
        <x:f>'全部组合'!R322/$D40</x:f>
        <x:v>0.13747607724873862</x:v>
      </x:c>
      <x:c r="I40" s="12" t="n">
        <x:f>'全部组合'!S322/$D40</x:f>
        <x:v>0.03981325755378994</x:v>
      </x:c>
      <x:c r="J40" s="12" t="n">
        <x:f>'全部组合'!T322/$D40</x:f>
        <x:v>0.006509888070521371</x:v>
      </x:c>
      <x:c r="K40" s="12" t="n">
        <x:f>'全部组合'!U322/$D40</x:f>
        <x:v>0.006147422142318622</x:v>
      </x:c>
      <x:c r="L40" s="12" t="n">
        <x:f>'全部组合'!V322/$D40</x:f>
        <x:v>0</x:v>
      </x:c>
      <x:c r="M40" s="12" t="n">
        <x:f>'全部组合'!W322/$D40</x:f>
        <x:v>0.00021747955692164936</x:v>
      </x:c>
      <x:c r="N40" s="13" t="n">
        <x:f>'全部组合'!X322/$D40</x:f>
        <x:v>0</x:v>
      </x:c>
    </x:row>
    <x:row r="41" ht="23" customHeight="1">
      <x:c r="A41" s="10" t="str">
        <x:v>ALL</x:v>
      </x:c>
      <x:c r="B41" s="10" t="str">
        <x:v>CG_H1</x:v>
      </x:c>
      <x:c r="C41" s="9" t="str">
        <x:v>源三角形</x:v>
      </x:c>
      <x:c r="D41" s="11" t="n">
        <x:f>'全部组合'!I322</x:f>
        <x:v>298929454</x:v>
      </x:c>
      <x:c r="E41" s="12" t="n">
        <x:f>'全部组合'!Y322/$D41</x:f>
        <x:v>0.0038091060775831075</x:v>
      </x:c>
      <x:c r="F41" s="12" t="n">
        <x:f>'全部组合'!Z322/$D41</x:f>
        <x:v>0.10698943370096946</x:v>
      </x:c>
      <x:c r="G41" s="12" t="n">
        <x:f>'全部组合'!AA322/$D41</x:f>
        <x:v>0.36423491744644204</x:v>
      </x:c>
      <x:c r="H41" s="12" t="n">
        <x:f>'全部组合'!AB322/$D41</x:f>
        <x:v>0.20228760729613482</x:v>
      </x:c>
      <x:c r="I41" s="12" t="n">
        <x:f>'全部组合'!AC322/$D41</x:f>
        <x:v>0.20413617053607572</x:v>
      </x:c>
      <x:c r="J41" s="12" t="n">
        <x:f>'全部组合'!AD322/$D41</x:f>
        <x:v>0.1156931594970899</x:v>
      </x:c>
      <x:c r="K41" s="12" t="n">
        <x:f>'全部组合'!AE322/$D41</x:f>
        <x:v>0.0027491135082326145</x:v>
      </x:c>
      <x:c r="L41" s="12" t="n">
        <x:f>'全部组合'!AF322/$D41</x:f>
        <x:v>0</x:v>
      </x:c>
      <x:c r="M41" s="12" t="n">
        <x:f>'全部组合'!AG322/$D41</x:f>
        <x:v>0.00010049193747231077</x:v>
      </x:c>
      <x:c r="N41" s="13" t="n">
        <x:f>'全部组合'!AH322/$D41</x:f>
        <x:v>0</x:v>
      </x:c>
    </x:row>
    <x:row r="42" ht="23" customHeight="1">
      <x:c r="A42" s="10" t="str">
        <x:v>ALL</x:v>
      </x:c>
      <x:c r="B42" s="10" t="str">
        <x:v>NCG_H0</x:v>
      </x:c>
      <x:c r="C42" s="9" t="str">
        <x:v>节点</x:v>
      </x:c>
      <x:c r="D42" s="11" t="n">
        <x:f>'全部组合'!D323</x:f>
        <x:v>68972</x:v>
      </x:c>
      <x:c r="E42" s="12" t="n">
        <x:f>'全部组合'!O323/$D42</x:f>
        <x:v>0.01404917937713855</x:v>
      </x:c>
      <x:c r="F42" s="12" t="n">
        <x:f>'全部组合'!P323/$D42</x:f>
        <x:v>0.34670590964449344</x:v>
      </x:c>
      <x:c r="G42" s="12" t="n">
        <x:f>'全部组合'!Q323/$D42</x:f>
        <x:v>0.4006988343095749</x:v>
      </x:c>
      <x:c r="H42" s="12" t="n">
        <x:f>'全部组合'!R323/$D42</x:f>
        <x:v>0.12309342921765354</x:v>
      </x:c>
      <x:c r="I42" s="12" t="n">
        <x:f>'全部组合'!S323/$D42</x:f>
        <x:v>0.036536565562837096</x:v>
      </x:c>
      <x:c r="J42" s="12" t="n">
        <x:f>'全部组合'!T323/$D42</x:f>
        <x:v>0.014426143942469409</x:v>
      </x:c>
      <x:c r="K42" s="12" t="n">
        <x:f>'全部组合'!U323/$D42</x:f>
        <x:v>0.016397958591892362</x:v>
      </x:c>
      <x:c r="L42" s="12" t="n">
        <x:f>'全部组合'!V323/$D42</x:f>
        <x:v>0.01702139998840109</x:v>
      </x:c>
      <x:c r="M42" s="12" t="n">
        <x:f>'全部组合'!W323/$D42</x:f>
        <x:v>0.03105608072841153</x:v>
      </x:c>
      <x:c r="N42" s="13" t="n">
        <x:f>'全部组合'!X323/$D42</x:f>
        <x:v>0.000014498637128109957</x:v>
      </x:c>
    </x:row>
    <x:row r="43" ht="23" customHeight="1">
      <x:c r="A43" s="10" t="str">
        <x:v>ALL</x:v>
      </x:c>
      <x:c r="B43" s="10" t="str">
        <x:v>NCG_H0</x:v>
      </x:c>
      <x:c r="C43" s="9" t="str">
        <x:v>源三角形</x:v>
      </x:c>
      <x:c r="D43" s="11" t="n">
        <x:f>'全部组合'!I323</x:f>
        <x:v>298929454</x:v>
      </x:c>
      <x:c r="E43" s="12" t="n">
        <x:f>'全部组合'!Y323/$D43</x:f>
        <x:v>0.004819177169473571</x:v>
      </x:c>
      <x:c r="F43" s="12" t="n">
        <x:f>'全部组合'!Z323/$D43</x:f>
        <x:v>0.12837803530728692</x:v>
      </x:c>
      <x:c r="G43" s="12" t="n">
        <x:f>'全部组合'!AA323/$D43</x:f>
        <x:v>0.2520595879454555</x:v>
      </x:c>
      <x:c r="H43" s="12" t="n">
        <x:f>'全部组合'!AB323/$D43</x:f>
        <x:v>0.15742064346727105</x:v>
      </x:c>
      <x:c r="I43" s="12" t="n">
        <x:f>'全部组合'!AC323/$D43</x:f>
        <x:v>0.12385991913664018</x:v>
      </x:c>
      <x:c r="J43" s="12" t="n">
        <x:f>'全部组合'!AD323/$D43</x:f>
        <x:v>0.1222333982518832</x:v>
      </x:c>
      <x:c r="K43" s="12" t="n">
        <x:f>'全部组合'!AE323/$D43</x:f>
        <x:v>0.022839121099120598</x:v>
      </x:c>
      <x:c r="L43" s="12" t="n">
        <x:f>'全部组合'!AF323/$D43</x:f>
        <x:v>0.11987092446233151</x:v>
      </x:c>
      <x:c r="M43" s="12" t="n">
        <x:f>'全部组合'!AG323/$D43</x:f>
        <x:v>0.06847620642962804</x:v>
      </x:c>
      <x:c r="N43" s="13" t="n">
        <x:f>'全部组合'!AH323/$D43</x:f>
        <x:v>0.00004298673090942721</x:v>
      </x:c>
    </x:row>
    <x:row r="44" ht="23" customHeight="1">
      <x:c r="A44" s="10" t="str">
        <x:v>ALL</x:v>
      </x:c>
      <x:c r="B44" s="10" t="str">
        <x:v>NCG_HT</x:v>
      </x:c>
      <x:c r="C44" s="9" t="str">
        <x:v>节点</x:v>
      </x:c>
      <x:c r="D44" s="11" t="n">
        <x:f>'全部组合'!D324</x:f>
        <x:v>68972</x:v>
      </x:c>
      <x:c r="E44" s="12" t="n">
        <x:f>'全部组合'!O324/$D44</x:f>
        <x:v>0.01404917937713855</x:v>
      </x:c>
      <x:c r="F44" s="12" t="n">
        <x:f>'全部组合'!P324/$D44</x:f>
        <x:v>0.2400829322043728</x:v>
      </x:c>
      <x:c r="G44" s="12" t="n">
        <x:f>'全部组合'!Q324/$D44</x:f>
        <x:v>0.47023429797599026</x:v>
      </x:c>
      <x:c r="H44" s="12" t="n">
        <x:f>'全部组合'!R324/$D44</x:f>
        <x:v>0.1528881285159195</x:v>
      </x:c>
      <x:c r="I44" s="12" t="n">
        <x:f>'全部组合'!S324/$D44</x:f>
        <x:v>0.04311894681899901</x:v>
      </x:c>
      <x:c r="J44" s="12" t="n">
        <x:f>'全部组合'!T324/$D44</x:f>
        <x:v>0.015064083976106247</x:v>
      </x:c>
      <x:c r="K44" s="12" t="n">
        <x:f>'全部组合'!U324/$D44</x:f>
        <x:v>0.016470451777532914</x:v>
      </x:c>
      <x:c r="L44" s="12" t="n">
        <x:f>'全部组合'!V324/$D44</x:f>
        <x:v>0.01702139998840109</x:v>
      </x:c>
      <x:c r="M44" s="12" t="n">
        <x:f>'全部组合'!W324/$D44</x:f>
        <x:v>0.03105608072841153</x:v>
      </x:c>
      <x:c r="N44" s="13" t="n">
        <x:f>'全部组合'!X324/$D44</x:f>
        <x:v>0.000014498637128109957</x:v>
      </x:c>
    </x:row>
    <x:row r="45" ht="23" customHeight="1">
      <x:c r="A45" s="10" t="str">
        <x:v>ALL</x:v>
      </x:c>
      <x:c r="B45" s="10" t="str">
        <x:v>NCG_HT</x:v>
      </x:c>
      <x:c r="C45" s="9" t="str">
        <x:v>源三角形</x:v>
      </x:c>
      <x:c r="D45" s="11" t="n">
        <x:f>'全部组合'!I324</x:f>
        <x:v>298929454</x:v>
      </x:c>
      <x:c r="E45" s="12" t="n">
        <x:f>'全部组合'!Y324/$D45</x:f>
        <x:v>0.004819177169473571</x:v>
      </x:c>
      <x:c r="F45" s="12" t="n">
        <x:f>'全部组合'!Z324/$D45</x:f>
        <x:v>0.07112326910415459</x:v>
      </x:c>
      <x:c r="G45" s="12" t="n">
        <x:f>'全部组合'!AA324/$D45</x:f>
        <x:v>0.27714968495543435</x:v>
      </x:c>
      <x:c r="H45" s="12" t="n">
        <x:f>'全部组合'!AB324/$D45</x:f>
        <x:v>0.18315994047210885</x:v>
      </x:c>
      <x:c r="I45" s="12" t="n">
        <x:f>'全部组合'!AC324/$D45</x:f>
        <x:v>0.11931359229659584</x:v>
      </x:c>
      <x:c r="J45" s="12" t="n">
        <x:f>'全部组合'!AD324/$D45</x:f>
        <x:v>0.13304378831802904</x:v>
      </x:c>
      <x:c r="K45" s="12" t="n">
        <x:f>'全部组合'!AE324/$D45</x:f>
        <x:v>0.023000430061334804</x:v>
      </x:c>
      <x:c r="L45" s="12" t="n">
        <x:f>'全部组合'!AF324/$D45</x:f>
        <x:v>0.11987092446233151</x:v>
      </x:c>
      <x:c r="M45" s="12" t="n">
        <x:f>'全部组合'!AG324/$D45</x:f>
        <x:v>0.06847620642962804</x:v>
      </x:c>
      <x:c r="N45" s="13" t="n">
        <x:f>'全部组合'!AH324/$D45</x:f>
        <x:v>0.00004298673090942721</x:v>
      </x:c>
    </x:row>
    <x:row r="46" ht="23" customHeight="1">
      <x:c r="A46" s="10" t="str">
        <x:v>ALL</x:v>
      </x:c>
      <x:c r="B46" s="10" t="str">
        <x:v>NCG_H1</x:v>
      </x:c>
      <x:c r="C46" s="9" t="str">
        <x:v>节点</x:v>
      </x:c>
      <x:c r="D46" s="11" t="n">
        <x:f>'全部组合'!D325</x:f>
        <x:v>68972</x:v>
      </x:c>
      <x:c r="E46" s="12" t="n">
        <x:f>'全部组合'!O325/$D46</x:f>
        <x:v>0.01404917937713855</x:v>
      </x:c>
      <x:c r="F46" s="12" t="n">
        <x:f>'全部组合'!P325/$D46</x:f>
        <x:v>0.2366177579307545</x:v>
      </x:c>
      <x:c r="G46" s="12" t="n">
        <x:f>'全部组合'!Q325/$D46</x:f>
        <x:v>0.4605637070115409</x:v>
      </x:c>
      <x:c r="H46" s="12" t="n">
        <x:f>'全部组合'!R325/$D46</x:f>
        <x:v>0.15165574436003015</x:v>
      </x:c>
      <x:c r="I46" s="12" t="n">
        <x:f>'全部组合'!S325/$D46</x:f>
        <x:v>0.043017456359102244</x:v>
      </x:c>
      <x:c r="J46" s="12" t="n">
        <x:f>'全部组合'!T325/$D46</x:f>
        <x:v>0.022762860291132635</x:v>
      </x:c>
      <x:c r="K46" s="12" t="n">
        <x:f>'全部组合'!U325/$D46</x:f>
        <x:v>0.023241315316360263</x:v>
      </x:c>
      <x:c r="L46" s="12" t="n">
        <x:f>'全部组合'!V325/$D46</x:f>
        <x:v>0.01702139998840109</x:v>
      </x:c>
      <x:c r="M46" s="12" t="n">
        <x:f>'全部组合'!W325/$D46</x:f>
        <x:v>0.03105608072841153</x:v>
      </x:c>
      <x:c r="N46" s="13" t="n">
        <x:f>'全部组合'!X325/$D46</x:f>
        <x:v>0.000014498637128109957</x:v>
      </x:c>
    </x:row>
    <x:row r="47" ht="23" customHeight="1">
      <x:c r="A47" s="10" t="str">
        <x:v>ALL</x:v>
      </x:c>
      <x:c r="B47" s="10" t="str">
        <x:v>NCG_H1</x:v>
      </x:c>
      <x:c r="C47" s="9" t="str">
        <x:v>源三角形</x:v>
      </x:c>
      <x:c r="D47" s="11" t="n">
        <x:f>'全部组合'!I325</x:f>
        <x:v>298929454</x:v>
      </x:c>
      <x:c r="E47" s="12" t="n">
        <x:f>'全部组合'!Y325/$D47</x:f>
        <x:v>0.004819177169473571</x:v>
      </x:c>
      <x:c r="F47" s="12" t="n">
        <x:f>'全部组合'!Z325/$D47</x:f>
        <x:v>0.07074939828445276</x:v>
      </x:c>
      <x:c r="G47" s="12" t="n">
        <x:f>'全部组合'!AA325/$D47</x:f>
        <x:v>0.27418967553461626</x:v>
      </x:c>
      <x:c r="H47" s="12" t="n">
        <x:f>'全部组合'!AB325/$D47</x:f>
        <x:v>0.18210183798081</x:v>
      </x:c>
      <x:c r="I47" s="12" t="n">
        <x:f>'全部组合'!AC325/$D47</x:f>
        <x:v>0.11897252854849158</x:v>
      </x:c>
      <x:c r="J47" s="12" t="n">
        <x:f>'全部组合'!AD325/$D47</x:f>
        <x:v>0.136439853799084</x:v>
      </x:c>
      <x:c r="K47" s="12" t="n">
        <x:f>'全部组合'!AE325/$D47</x:f>
        <x:v>0.024337411060202853</x:v>
      </x:c>
      <x:c r="L47" s="12" t="n">
        <x:f>'全部组合'!AF325/$D47</x:f>
        <x:v>0.11987092446233151</x:v>
      </x:c>
      <x:c r="M47" s="12" t="n">
        <x:f>'全部组合'!AG325/$D47</x:f>
        <x:v>0.06847620642962804</x:v>
      </x:c>
      <x:c r="N47" s="13" t="n">
        <x:f>'全部组合'!AH325/$D47</x:f>
        <x:v>0.00004298673090942721</x:v>
      </x:c>
    </x:row>
    <x:row r="48" ht="23" customHeight="1">
      <x:c r="A48" s="10" t="str">
        <x:v>ALL</x:v>
      </x:c>
      <x:c r="B48" s="10" t="str">
        <x:v>NCG_H0_M1</x:v>
      </x:c>
      <x:c r="C48" s="9" t="str">
        <x:v>节点</x:v>
      </x:c>
      <x:c r="D48" s="11" t="n">
        <x:f>'全部组合'!D326</x:f>
        <x:v>68972</x:v>
      </x:c>
      <x:c r="E48" s="12" t="n">
        <x:f>'全部组合'!O326/$D48</x:f>
        <x:v>0.015716522646871196</x:v>
      </x:c>
      <x:c r="F48" s="12" t="n">
        <x:f>'全部组合'!P326/$D48</x:f>
        <x:v>0.323174621585571</x:v>
      </x:c>
      <x:c r="G48" s="12" t="n">
        <x:f>'全部组合'!Q326/$D48</x:f>
        <x:v>0.3790088731659224</x:v>
      </x:c>
      <x:c r="H48" s="12" t="n">
        <x:f>'全部组合'!R326/$D48</x:f>
        <x:v>0.11759844574609987</x:v>
      </x:c>
      <x:c r="I48" s="12" t="n">
        <x:f>'全部组合'!S326/$D48</x:f>
        <x:v>0.03337586266890912</x:v>
      </x:c>
      <x:c r="J48" s="12" t="n">
        <x:f>'全部组合'!T326/$D48</x:f>
        <x:v>0.013324247520733051</x:v>
      </x:c>
      <x:c r="K48" s="12" t="n">
        <x:f>'全部组合'!U326/$D48</x:f>
        <x:v>0.02034158789073827</x:v>
      </x:c>
      <x:c r="L48" s="12" t="n">
        <x:f>'全部组合'!V326/$D48</x:f>
        <x:v>0.029751203386881635</x:v>
      </x:c>
      <x:c r="M48" s="12" t="n">
        <x:f>'全部组合'!W326/$D48</x:f>
        <x:v>0.0663892594096155</x:v>
      </x:c>
      <x:c r="N48" s="13" t="n">
        <x:f>'全部组合'!X326/$D48</x:f>
        <x:v>0.0013193759786580062</x:v>
      </x:c>
    </x:row>
    <x:row r="49" ht="23" customHeight="1">
      <x:c r="A49" s="10" t="str">
        <x:v>ALL</x:v>
      </x:c>
      <x:c r="B49" s="10" t="str">
        <x:v>NCG_H0_M1</x:v>
      </x:c>
      <x:c r="C49" s="9" t="str">
        <x:v>源三角形</x:v>
      </x:c>
      <x:c r="D49" s="11" t="n">
        <x:f>'全部组合'!I326</x:f>
        <x:v>298929454</x:v>
      </x:c>
      <x:c r="E49" s="12" t="n">
        <x:f>'全部组合'!Y326/$D49</x:f>
        <x:v>0.005790423047439146</x:v>
      </x:c>
      <x:c r="F49" s="12" t="n">
        <x:f>'全部组合'!Z326/$D49</x:f>
        <x:v>0.1193291310798701</x:v>
      </x:c>
      <x:c r="G49" s="12" t="n">
        <x:f>'全部组合'!AA326/$D49</x:f>
        <x:v>0.2294724192685275</x:v>
      </x:c>
      <x:c r="H49" s="12" t="n">
        <x:f>'全部组合'!AB326/$D49</x:f>
        <x:v>0.13567510480248626</x:v>
      </x:c>
      <x:c r="I49" s="12" t="n">
        <x:f>'全部组合'!AC326/$D49</x:f>
        <x:v>0.09977833432231807</x:v>
      </x:c>
      <x:c r="J49" s="12" t="n">
        <x:f>'全部组合'!AD326/$D49</x:f>
        <x:v>0.11955886755809617</x:v>
      </x:c>
      <x:c r="K49" s="12" t="n">
        <x:f>'全部组合'!AE326/$D49</x:f>
        <x:v>0.03336368453006307</x:v>
      </x:c>
      <x:c r="L49" s="12" t="n">
        <x:f>'全部组合'!AF326/$D49</x:f>
        <x:v>0.1430386950092914</x:v>
      </x:c>
      <x:c r="M49" s="12" t="n">
        <x:f>'全部组合'!AG326/$D49</x:f>
        <x:v>0.10721087056212265</x:v>
      </x:c>
      <x:c r="N49" s="13" t="n">
        <x:f>'全部组合'!AH326/$D49</x:f>
        <x:v>0.006782469819785641</x:v>
      </x:c>
    </x:row>
    <x:row r="50" ht="23" customHeight="1">
      <x:c r="A50" s="10" t="str">
        <x:v>ALL</x:v>
      </x:c>
      <x:c r="B50" s="10" t="str">
        <x:v>NCG_H1_M1</x:v>
      </x:c>
      <x:c r="C50" s="9" t="str">
        <x:v>节点</x:v>
      </x:c>
      <x:c r="D50" s="11" t="n">
        <x:f>'全部组合'!D327</x:f>
        <x:v>68972</x:v>
      </x:c>
      <x:c r="E50" s="12" t="n">
        <x:f>'全部组合'!O327/$D50</x:f>
        <x:v>0.015716522646871196</x:v>
      </x:c>
      <x:c r="F50" s="12" t="n">
        <x:f>'全部组合'!P327/$D50</x:f>
        <x:v>0.22162616714028882</x:v>
      </x:c>
      <x:c r="G50" s="12" t="n">
        <x:f>'全部组合'!Q327/$D50</x:f>
        <x:v>0.424317114191266</x:v>
      </x:c>
      <x:c r="H50" s="12" t="n">
        <x:f>'全部组合'!R327/$D50</x:f>
        <x:v>0.14320303891434205</x:v>
      </x:c>
      <x:c r="I50" s="12" t="n">
        <x:f>'全部组合'!S327/$D50</x:f>
        <x:v>0.03927680798004988</x:v>
      </x:c>
      <x:c r="J50" s="12" t="n">
        <x:f>'全部组合'!T327/$D50</x:f>
        <x:v>0.028344835585454968</x:v>
      </x:c>
      <x:c r="K50" s="12" t="n">
        <x:f>'全部组合'!U327/$D50</x:f>
        <x:v>0.030055674766571942</x:v>
      </x:c>
      <x:c r="L50" s="12" t="n">
        <x:f>'全部组合'!V327/$D50</x:f>
        <x:v>0.029751203386881635</x:v>
      </x:c>
      <x:c r="M50" s="12" t="n">
        <x:f>'全部组合'!W327/$D50</x:f>
        <x:v>0.0663892594096155</x:v>
      </x:c>
      <x:c r="N50" s="13" t="n">
        <x:f>'全部组合'!X327/$D50</x:f>
        <x:v>0.0013193759786580062</x:v>
      </x:c>
    </x:row>
    <x:row r="51" ht="23" customHeight="1">
      <x:c r="A51" s="10" t="str">
        <x:v>ALL</x:v>
      </x:c>
      <x:c r="B51" s="10" t="str">
        <x:v>NCG_H1_M1</x:v>
      </x:c>
      <x:c r="C51" s="9" t="str">
        <x:v>源三角形</x:v>
      </x:c>
      <x:c r="D51" s="11" t="n">
        <x:f>'全部组合'!I327</x:f>
        <x:v>298929454</x:v>
      </x:c>
      <x:c r="E51" s="12" t="n">
        <x:f>'全部组合'!Y327/$D51</x:f>
        <x:v>0.005790423047439146</x:v>
      </x:c>
      <x:c r="F51" s="12" t="n">
        <x:f>'全部组合'!Z327/$D51</x:f>
        <x:v>0.06527167777853031</x:v>
      </x:c>
      <x:c r="G51" s="12" t="n">
        <x:f>'全部组合'!AA327/$D51</x:f>
        <x:v>0.2465177285607995</x:v>
      </x:c>
      <x:c r="H51" s="12" t="n">
        <x:f>'全部组合'!AB327/$D51</x:f>
        <x:v>0.15930455952995518</x:v>
      </x:c>
      <x:c r="I51" s="12" t="n">
        <x:f>'全部组合'!AC327/$D51</x:f>
        <x:v>0.09408380346488038</x:v>
      </x:c>
      <x:c r="J51" s="12" t="n">
        <x:f>'全部组合'!AD327/$D51</x:f>
        <x:v>0.1365024371268547</x:v>
      </x:c>
      <x:c r="K51" s="12" t="n">
        <x:f>'全部组合'!AE327/$D51</x:f>
        <x:v>0.0354973351003411</x:v>
      </x:c>
      <x:c r="L51" s="12" t="n">
        <x:f>'全部组合'!AF327/$D51</x:f>
        <x:v>0.1430386950092914</x:v>
      </x:c>
      <x:c r="M51" s="12" t="n">
        <x:f>'全部组合'!AG327/$D51</x:f>
        <x:v>0.10721087056212265</x:v>
      </x:c>
      <x:c r="N51" s="13" t="n">
        <x:f>'全部组合'!AH327/$D51</x:f>
        <x:v>0.006782469819785641</x:v>
      </x:c>
    </x:row>
    <x:row r="52" ht="23" customHeight="1">
      <x:c r="A52" s="10" t="str">
        <x:v>M1</x:v>
      </x:c>
      <x:c r="B52" s="10" t="str">
        <x:v>N_H0</x:v>
      </x:c>
      <x:c r="C52" s="9" t="str">
        <x:v>节点</x:v>
      </x:c>
      <x:c r="D52" s="11" t="n">
        <x:f>'全部组合'!D6</x:f>
        <x:v>1167</x:v>
      </x:c>
      <x:c r="E52" s="12" t="n">
        <x:f>'全部组合'!O6/$D52</x:f>
        <x:v>0</x:v>
      </x:c>
      <x:c r="F52" s="12" t="n">
        <x:f>'全部组合'!P6/$D52</x:f>
        <x:v>0.13367609254498714</x:v>
      </x:c>
      <x:c r="G52" s="12" t="n">
        <x:f>'全部组合'!Q6/$D52</x:f>
        <x:v>0.05312767780634105</x:v>
      </x:c>
      <x:c r="H52" s="12" t="n">
        <x:f>'全部组合'!R6/$D52</x:f>
        <x:v>0</x:v>
      </x:c>
      <x:c r="I52" s="12" t="n">
        <x:f>'全部组合'!S6/$D52</x:f>
        <x:v>0.792630676949443</x:v>
      </x:c>
      <x:c r="J52" s="12" t="n">
        <x:f>'全部组合'!T6/$D52</x:f>
        <x:v>0</x:v>
      </x:c>
      <x:c r="K52" s="12" t="n">
        <x:f>'全部组合'!U6/$D52</x:f>
        <x:v>0.003427592116538132</x:v>
      </x:c>
      <x:c r="L52" s="12" t="n">
        <x:f>'全部组合'!V6/$D52</x:f>
        <x:v>0.010282776349614395</x:v>
      </x:c>
      <x:c r="M52" s="12" t="n">
        <x:f>'全部组合'!W6/$D52</x:f>
        <x:v>0.006855184233076264</x:v>
      </x:c>
      <x:c r="N52" s="13" t="n">
        <x:f>'全部组合'!X6/$D52</x:f>
        <x:v>0</x:v>
      </x:c>
    </x:row>
    <x:row r="53" ht="23" customHeight="1">
      <x:c r="A53" s="10" t="str">
        <x:v>M1</x:v>
      </x:c>
      <x:c r="B53" s="10" t="str">
        <x:v>N_H0</x:v>
      </x:c>
      <x:c r="C53" s="9" t="str">
        <x:v>源三角形</x:v>
      </x:c>
      <x:c r="D53" s="11" t="n">
        <x:f>'全部组合'!I6</x:f>
        <x:v>1723934</x:v>
      </x:c>
      <x:c r="E53" s="12" t="n">
        <x:f>'全部组合'!Y6/$D53</x:f>
        <x:v>0</x:v>
      </x:c>
      <x:c r="F53" s="12" t="n">
        <x:f>'全部组合'!Z6/$D53</x:f>
        <x:v>0.06560111930039085</x:v>
      </x:c>
      <x:c r="G53" s="12" t="n">
        <x:f>'全部组合'!AA6/$D53</x:f>
        <x:v>0.07832782461509548</x:v>
      </x:c>
      <x:c r="H53" s="12" t="n">
        <x:f>'全部组合'!AB6/$D53</x:f>
        <x:v>0</x:v>
      </x:c>
      <x:c r="I53" s="12" t="n">
        <x:f>'全部组合'!AC6/$D53</x:f>
        <x:v>0.819421161134939</x:v>
      </x:c>
      <x:c r="J53" s="12" t="n">
        <x:f>'全部组合'!AD6/$D53</x:f>
        <x:v>0</x:v>
      </x:c>
      <x:c r="K53" s="12" t="n">
        <x:f>'全部组合'!AE6/$D53</x:f>
        <x:v>0.0035453793474692187</x:v>
      </x:c>
      <x:c r="L53" s="12" t="n">
        <x:f>'全部组合'!AF6/$D53</x:f>
        <x:v>0.025746925346329965</x:v>
      </x:c>
      <x:c r="M53" s="12" t="n">
        <x:f>'全部组合'!AG6/$D53</x:f>
        <x:v>0.007357590255775453</x:v>
      </x:c>
      <x:c r="N53" s="13" t="n">
        <x:f>'全部组合'!AH6/$D53</x:f>
        <x:v>0</x:v>
      </x:c>
    </x:row>
    <x:row r="54" ht="23" customHeight="1">
      <x:c r="A54" s="10" t="str">
        <x:v>M1</x:v>
      </x:c>
      <x:c r="B54" s="10" t="str">
        <x:v>N_HT</x:v>
      </x:c>
      <x:c r="C54" s="9" t="str">
        <x:v>节点</x:v>
      </x:c>
      <x:c r="D54" s="11" t="n">
        <x:f>'全部组合'!D7</x:f>
        <x:v>1167</x:v>
      </x:c>
      <x:c r="E54" s="12" t="n">
        <x:f>'全部组合'!O7/$D54</x:f>
        <x:v>0</x:v>
      </x:c>
      <x:c r="F54" s="12" t="n">
        <x:f>'全部组合'!P7/$D54</x:f>
        <x:v>0.13367609254498714</x:v>
      </x:c>
      <x:c r="G54" s="12" t="n">
        <x:f>'全部组合'!Q7/$D54</x:f>
        <x:v>0.05312767780634105</x:v>
      </x:c>
      <x:c r="H54" s="12" t="n">
        <x:f>'全部组合'!R7/$D54</x:f>
        <x:v>0</x:v>
      </x:c>
      <x:c r="I54" s="12" t="n">
        <x:f>'全部组合'!S7/$D54</x:f>
        <x:v>0.792630676949443</x:v>
      </x:c>
      <x:c r="J54" s="12" t="n">
        <x:f>'全部组合'!T7/$D54</x:f>
        <x:v>0</x:v>
      </x:c>
      <x:c r="K54" s="12" t="n">
        <x:f>'全部组合'!U7/$D54</x:f>
        <x:v>0.003427592116538132</x:v>
      </x:c>
      <x:c r="L54" s="12" t="n">
        <x:f>'全部组合'!V7/$D54</x:f>
        <x:v>0.010282776349614395</x:v>
      </x:c>
      <x:c r="M54" s="12" t="n">
        <x:f>'全部组合'!W7/$D54</x:f>
        <x:v>0.006855184233076264</x:v>
      </x:c>
      <x:c r="N54" s="13" t="n">
        <x:f>'全部组合'!X7/$D54</x:f>
        <x:v>0</x:v>
      </x:c>
    </x:row>
    <x:row r="55" ht="23" customHeight="1">
      <x:c r="A55" s="10" t="str">
        <x:v>M1</x:v>
      </x:c>
      <x:c r="B55" s="10" t="str">
        <x:v>N_HT</x:v>
      </x:c>
      <x:c r="C55" s="9" t="str">
        <x:v>源三角形</x:v>
      </x:c>
      <x:c r="D55" s="11" t="n">
        <x:f>'全部组合'!I7</x:f>
        <x:v>1723934</x:v>
      </x:c>
      <x:c r="E55" s="12" t="n">
        <x:f>'全部组合'!Y7/$D55</x:f>
        <x:v>0</x:v>
      </x:c>
      <x:c r="F55" s="12" t="n">
        <x:f>'全部组合'!Z7/$D55</x:f>
        <x:v>0.06560111930039085</x:v>
      </x:c>
      <x:c r="G55" s="12" t="n">
        <x:f>'全部组合'!AA7/$D55</x:f>
        <x:v>0.07832782461509548</x:v>
      </x:c>
      <x:c r="H55" s="12" t="n">
        <x:f>'全部组合'!AB7/$D55</x:f>
        <x:v>0</x:v>
      </x:c>
      <x:c r="I55" s="12" t="n">
        <x:f>'全部组合'!AC7/$D55</x:f>
        <x:v>0.819421161134939</x:v>
      </x:c>
      <x:c r="J55" s="12" t="n">
        <x:f>'全部组合'!AD7/$D55</x:f>
        <x:v>0</x:v>
      </x:c>
      <x:c r="K55" s="12" t="n">
        <x:f>'全部组合'!AE7/$D55</x:f>
        <x:v>0.0035453793474692187</x:v>
      </x:c>
      <x:c r="L55" s="12" t="n">
        <x:f>'全部组合'!AF7/$D55</x:f>
        <x:v>0.025746925346329965</x:v>
      </x:c>
      <x:c r="M55" s="12" t="n">
        <x:f>'全部组合'!AG7/$D55</x:f>
        <x:v>0.007357590255775453</x:v>
      </x:c>
      <x:c r="N55" s="13" t="n">
        <x:f>'全部组合'!AH7/$D55</x:f>
        <x:v>0</x:v>
      </x:c>
    </x:row>
    <x:row r="56" ht="23" customHeight="1">
      <x:c r="A56" s="10" t="str">
        <x:v>M1</x:v>
      </x:c>
      <x:c r="B56" s="10" t="str">
        <x:v>N_H1</x:v>
      </x:c>
      <x:c r="C56" s="9" t="str">
        <x:v>节点</x:v>
      </x:c>
      <x:c r="D56" s="11" t="n">
        <x:f>'全部组合'!D8</x:f>
        <x:v>1167</x:v>
      </x:c>
      <x:c r="E56" s="12" t="n">
        <x:f>'全部组合'!O8/$D56</x:f>
        <x:v>0</x:v>
      </x:c>
      <x:c r="F56" s="12" t="n">
        <x:f>'全部组合'!P8/$D56</x:f>
        <x:v>0.13367609254498714</x:v>
      </x:c>
      <x:c r="G56" s="12" t="n">
        <x:f>'全部组合'!Q8/$D56</x:f>
        <x:v>0.04284490145672665</x:v>
      </x:c>
      <x:c r="H56" s="12" t="n">
        <x:f>'全部组合'!R8/$D56</x:f>
        <x:v>0</x:v>
      </x:c>
      <x:c r="I56" s="12" t="n">
        <x:f>'全部组合'!S8/$D56</x:f>
        <x:v>0.792630676949443</x:v>
      </x:c>
      <x:c r="J56" s="12" t="n">
        <x:f>'全部组合'!T8/$D56</x:f>
        <x:v>0.009425878320479864</x:v>
      </x:c>
      <x:c r="K56" s="12" t="n">
        <x:f>'全部组合'!U8/$D56</x:f>
        <x:v>0.004284490145672665</x:v>
      </x:c>
      <x:c r="L56" s="12" t="n">
        <x:f>'全部组合'!V8/$D56</x:f>
        <x:v>0.010282776349614395</x:v>
      </x:c>
      <x:c r="M56" s="12" t="n">
        <x:f>'全部组合'!W8/$D56</x:f>
        <x:v>0.006855184233076264</x:v>
      </x:c>
      <x:c r="N56" s="13" t="n">
        <x:f>'全部组合'!X8/$D56</x:f>
        <x:v>0</x:v>
      </x:c>
    </x:row>
    <x:row r="57" ht="23" customHeight="1">
      <x:c r="A57" s="10" t="str">
        <x:v>M1</x:v>
      </x:c>
      <x:c r="B57" s="10" t="str">
        <x:v>N_H1</x:v>
      </x:c>
      <x:c r="C57" s="9" t="str">
        <x:v>源三角形</x:v>
      </x:c>
      <x:c r="D57" s="11" t="n">
        <x:f>'全部组合'!I8</x:f>
        <x:v>1723934</x:v>
      </x:c>
      <x:c r="E57" s="12" t="n">
        <x:f>'全部组合'!Y8/$D57</x:f>
        <x:v>0</x:v>
      </x:c>
      <x:c r="F57" s="12" t="n">
        <x:f>'全部组合'!Z8/$D57</x:f>
        <x:v>0.06560111930039085</x:v>
      </x:c>
      <x:c r="G57" s="12" t="n">
        <x:f>'全部组合'!AA8/$D57</x:f>
        <x:v>0.0745863820772721</x:v>
      </x:c>
      <x:c r="H57" s="12" t="n">
        <x:f>'全部组合'!AB8/$D57</x:f>
        <x:v>0</x:v>
      </x:c>
      <x:c r="I57" s="12" t="n">
        <x:f>'全部组合'!AC8/$D57</x:f>
        <x:v>0.819421161134939</x:v>
      </x:c>
      <x:c r="J57" s="12" t="n">
        <x:f>'全部组合'!AD8/$D57</x:f>
        <x:v>0.003224021337243769</x:v>
      </x:c>
      <x:c r="K57" s="12" t="n">
        <x:f>'全部组合'!AE8/$D57</x:f>
        <x:v>0.004062800548048823</x:v>
      </x:c>
      <x:c r="L57" s="12" t="n">
        <x:f>'全部组合'!AF8/$D57</x:f>
        <x:v>0.025746925346329965</x:v>
      </x:c>
      <x:c r="M57" s="12" t="n">
        <x:f>'全部组合'!AG8/$D57</x:f>
        <x:v>0.007357590255775453</x:v>
      </x:c>
      <x:c r="N57" s="13" t="n">
        <x:f>'全部组合'!AH8/$D57</x:f>
        <x:v>0</x:v>
      </x:c>
    </x:row>
    <x:row r="58" ht="23" customHeight="1">
      <x:c r="A58" s="10" t="str">
        <x:v>M1</x:v>
      </x:c>
      <x:c r="B58" s="10" t="str">
        <x:v>C_H0</x:v>
      </x:c>
      <x:c r="C58" s="9" t="str">
        <x:v>节点</x:v>
      </x:c>
      <x:c r="D58" s="11" t="n">
        <x:f>'全部组合'!D9</x:f>
        <x:v>1167</x:v>
      </x:c>
      <x:c r="E58" s="12" t="n">
        <x:f>'全部组合'!O9/$D58</x:f>
        <x:v>0</x:v>
      </x:c>
      <x:c r="F58" s="12" t="n">
        <x:f>'全部组合'!P9/$D58</x:f>
        <x:v>0.2579263067694944</x:v>
      </x:c>
      <x:c r="G58" s="12" t="n">
        <x:f>'全部组合'!Q9/$D58</x:f>
        <x:v>0</x:v>
      </x:c>
      <x:c r="H58" s="12" t="n">
        <x:f>'全部组合'!R9/$D58</x:f>
        <x:v>0</x:v>
      </x:c>
      <x:c r="I58" s="12" t="n">
        <x:f>'全部组合'!S9/$D58</x:f>
        <x:v>0.7420736932305055</x:v>
      </x:c>
      <x:c r="J58" s="12" t="n">
        <x:f>'全部组合'!T9/$D58</x:f>
        <x:v>0</x:v>
      </x:c>
      <x:c r="K58" s="12" t="n">
        <x:f>'全部组合'!U9/$D58</x:f>
        <x:v>0</x:v>
      </x:c>
      <x:c r="L58" s="12" t="n">
        <x:f>'全部组合'!V9/$D58</x:f>
        <x:v>0</x:v>
      </x:c>
      <x:c r="M58" s="12" t="n">
        <x:f>'全部组合'!W9/$D58</x:f>
        <x:v>0</x:v>
      </x:c>
      <x:c r="N58" s="13" t="n">
        <x:f>'全部组合'!X9/$D58</x:f>
        <x:v>0</x:v>
      </x:c>
    </x:row>
    <x:row r="59" ht="23" customHeight="1">
      <x:c r="A59" s="10" t="str">
        <x:v>M1</x:v>
      </x:c>
      <x:c r="B59" s="10" t="str">
        <x:v>C_H0</x:v>
      </x:c>
      <x:c r="C59" s="9" t="str">
        <x:v>源三角形</x:v>
      </x:c>
      <x:c r="D59" s="11" t="n">
        <x:f>'全部组合'!I9</x:f>
        <x:v>1723934</x:v>
      </x:c>
      <x:c r="E59" s="12" t="n">
        <x:f>'全部组合'!Y9/$D59</x:f>
        <x:v>0</x:v>
      </x:c>
      <x:c r="F59" s="12" t="n">
        <x:f>'全部组合'!Z9/$D59</x:f>
        <x:v>0.1513108970529034</x:v>
      </x:c>
      <x:c r="G59" s="12" t="n">
        <x:f>'全部组合'!AA9/$D59</x:f>
        <x:v>0</x:v>
      </x:c>
      <x:c r="H59" s="12" t="n">
        <x:f>'全部组合'!AB9/$D59</x:f>
        <x:v>0</x:v>
      </x:c>
      <x:c r="I59" s="12" t="n">
        <x:f>'全部组合'!AC9/$D59</x:f>
        <x:v>0.8486891029470965</x:v>
      </x:c>
      <x:c r="J59" s="12" t="n">
        <x:f>'全部组合'!AD9/$D59</x:f>
        <x:v>0</x:v>
      </x:c>
      <x:c r="K59" s="12" t="n">
        <x:f>'全部组合'!AE9/$D59</x:f>
        <x:v>0</x:v>
      </x:c>
      <x:c r="L59" s="12" t="n">
        <x:f>'全部组合'!AF9/$D59</x:f>
        <x:v>0</x:v>
      </x:c>
      <x:c r="M59" s="12" t="n">
        <x:f>'全部组合'!AG9/$D59</x:f>
        <x:v>0</x:v>
      </x:c>
      <x:c r="N59" s="13" t="n">
        <x:f>'全部组合'!AH9/$D59</x:f>
        <x:v>0</x:v>
      </x:c>
    </x:row>
    <x:row r="60" ht="23" customHeight="1">
      <x:c r="A60" s="10" t="str">
        <x:v>M1</x:v>
      </x:c>
      <x:c r="B60" s="10" t="str">
        <x:v>C_HT</x:v>
      </x:c>
      <x:c r="C60" s="9" t="str">
        <x:v>节点</x:v>
      </x:c>
      <x:c r="D60" s="11" t="n">
        <x:f>'全部组合'!D10</x:f>
        <x:v>1167</x:v>
      </x:c>
      <x:c r="E60" s="12" t="n">
        <x:f>'全部组合'!O10/$D60</x:f>
        <x:v>0</x:v>
      </x:c>
      <x:c r="F60" s="12" t="n">
        <x:f>'全部组合'!P10/$D60</x:f>
        <x:v>0.2579263067694944</x:v>
      </x:c>
      <x:c r="G60" s="12" t="n">
        <x:f>'全部组合'!Q10/$D60</x:f>
        <x:v>0</x:v>
      </x:c>
      <x:c r="H60" s="12" t="n">
        <x:f>'全部组合'!R10/$D60</x:f>
        <x:v>0</x:v>
      </x:c>
      <x:c r="I60" s="12" t="n">
        <x:f>'全部组合'!S10/$D60</x:f>
        <x:v>0.7420736932305055</x:v>
      </x:c>
      <x:c r="J60" s="12" t="n">
        <x:f>'全部组合'!T10/$D60</x:f>
        <x:v>0</x:v>
      </x:c>
      <x:c r="K60" s="12" t="n">
        <x:f>'全部组合'!U10/$D60</x:f>
        <x:v>0</x:v>
      </x:c>
      <x:c r="L60" s="12" t="n">
        <x:f>'全部组合'!V10/$D60</x:f>
        <x:v>0</x:v>
      </x:c>
      <x:c r="M60" s="12" t="n">
        <x:f>'全部组合'!W10/$D60</x:f>
        <x:v>0</x:v>
      </x:c>
      <x:c r="N60" s="13" t="n">
        <x:f>'全部组合'!X10/$D60</x:f>
        <x:v>0</x:v>
      </x:c>
    </x:row>
    <x:row r="61" ht="23" customHeight="1">
      <x:c r="A61" s="10" t="str">
        <x:v>M1</x:v>
      </x:c>
      <x:c r="B61" s="10" t="str">
        <x:v>C_HT</x:v>
      </x:c>
      <x:c r="C61" s="9" t="str">
        <x:v>源三角形</x:v>
      </x:c>
      <x:c r="D61" s="11" t="n">
        <x:f>'全部组合'!I10</x:f>
        <x:v>1723934</x:v>
      </x:c>
      <x:c r="E61" s="12" t="n">
        <x:f>'全部组合'!Y10/$D61</x:f>
        <x:v>0</x:v>
      </x:c>
      <x:c r="F61" s="12" t="n">
        <x:f>'全部组合'!Z10/$D61</x:f>
        <x:v>0.1513108970529034</x:v>
      </x:c>
      <x:c r="G61" s="12" t="n">
        <x:f>'全部组合'!AA10/$D61</x:f>
        <x:v>0</x:v>
      </x:c>
      <x:c r="H61" s="12" t="n">
        <x:f>'全部组合'!AB10/$D61</x:f>
        <x:v>0</x:v>
      </x:c>
      <x:c r="I61" s="12" t="n">
        <x:f>'全部组合'!AC10/$D61</x:f>
        <x:v>0.8486891029470965</x:v>
      </x:c>
      <x:c r="J61" s="12" t="n">
        <x:f>'全部组合'!AD10/$D61</x:f>
        <x:v>0</x:v>
      </x:c>
      <x:c r="K61" s="12" t="n">
        <x:f>'全部组合'!AE10/$D61</x:f>
        <x:v>0</x:v>
      </x:c>
      <x:c r="L61" s="12" t="n">
        <x:f>'全部组合'!AF10/$D61</x:f>
        <x:v>0</x:v>
      </x:c>
      <x:c r="M61" s="12" t="n">
        <x:f>'全部组合'!AG10/$D61</x:f>
        <x:v>0</x:v>
      </x:c>
      <x:c r="N61" s="13" t="n">
        <x:f>'全部组合'!AH10/$D61</x:f>
        <x:v>0</x:v>
      </x:c>
    </x:row>
    <x:row r="62" ht="23" customHeight="1">
      <x:c r="A62" s="10" t="str">
        <x:v>M1</x:v>
      </x:c>
      <x:c r="B62" s="10" t="str">
        <x:v>C_H1</x:v>
      </x:c>
      <x:c r="C62" s="9" t="str">
        <x:v>节点</x:v>
      </x:c>
      <x:c r="D62" s="11" t="n">
        <x:f>'全部组合'!D11</x:f>
        <x:v>1167</x:v>
      </x:c>
      <x:c r="E62" s="12" t="n">
        <x:f>'全部组合'!O11/$D62</x:f>
        <x:v>0</x:v>
      </x:c>
      <x:c r="F62" s="12" t="n">
        <x:f>'全部组合'!P11/$D62</x:f>
        <x:v>0.2579263067694944</x:v>
      </x:c>
      <x:c r="G62" s="12" t="n">
        <x:f>'全部组合'!Q11/$D62</x:f>
        <x:v>0</x:v>
      </x:c>
      <x:c r="H62" s="12" t="n">
        <x:f>'全部组合'!R11/$D62</x:f>
        <x:v>0</x:v>
      </x:c>
      <x:c r="I62" s="12" t="n">
        <x:f>'全部组合'!S11/$D62</x:f>
        <x:v>0.7420736932305055</x:v>
      </x:c>
      <x:c r="J62" s="12" t="n">
        <x:f>'全部组合'!T11/$D62</x:f>
        <x:v>0</x:v>
      </x:c>
      <x:c r="K62" s="12" t="n">
        <x:f>'全部组合'!U11/$D62</x:f>
        <x:v>0</x:v>
      </x:c>
      <x:c r="L62" s="12" t="n">
        <x:f>'全部组合'!V11/$D62</x:f>
        <x:v>0</x:v>
      </x:c>
      <x:c r="M62" s="12" t="n">
        <x:f>'全部组合'!W11/$D62</x:f>
        <x:v>0</x:v>
      </x:c>
      <x:c r="N62" s="13" t="n">
        <x:f>'全部组合'!X11/$D62</x:f>
        <x:v>0</x:v>
      </x:c>
    </x:row>
    <x:row r="63" ht="23" customHeight="1">
      <x:c r="A63" s="10" t="str">
        <x:v>M1</x:v>
      </x:c>
      <x:c r="B63" s="10" t="str">
        <x:v>C_H1</x:v>
      </x:c>
      <x:c r="C63" s="9" t="str">
        <x:v>源三角形</x:v>
      </x:c>
      <x:c r="D63" s="11" t="n">
        <x:f>'全部组合'!I11</x:f>
        <x:v>1723934</x:v>
      </x:c>
      <x:c r="E63" s="12" t="n">
        <x:f>'全部组合'!Y11/$D63</x:f>
        <x:v>0</x:v>
      </x:c>
      <x:c r="F63" s="12" t="n">
        <x:f>'全部组合'!Z11/$D63</x:f>
        <x:v>0.1513108970529034</x:v>
      </x:c>
      <x:c r="G63" s="12" t="n">
        <x:f>'全部组合'!AA11/$D63</x:f>
        <x:v>0</x:v>
      </x:c>
      <x:c r="H63" s="12" t="n">
        <x:f>'全部组合'!AB11/$D63</x:f>
        <x:v>0</x:v>
      </x:c>
      <x:c r="I63" s="12" t="n">
        <x:f>'全部组合'!AC11/$D63</x:f>
        <x:v>0.8486891029470965</x:v>
      </x:c>
      <x:c r="J63" s="12" t="n">
        <x:f>'全部组合'!AD11/$D63</x:f>
        <x:v>0</x:v>
      </x:c>
      <x:c r="K63" s="12" t="n">
        <x:f>'全部组合'!AE11/$D63</x:f>
        <x:v>0</x:v>
      </x:c>
      <x:c r="L63" s="12" t="n">
        <x:f>'全部组合'!AF11/$D63</x:f>
        <x:v>0</x:v>
      </x:c>
      <x:c r="M63" s="12" t="n">
        <x:f>'全部组合'!AG11/$D63</x:f>
        <x:v>0</x:v>
      </x:c>
      <x:c r="N63" s="13" t="n">
        <x:f>'全部组合'!AH11/$D63</x:f>
        <x:v>0</x:v>
      </x:c>
    </x:row>
    <x:row r="64" ht="23" customHeight="1">
      <x:c r="A64" s="10" t="str">
        <x:v>M1</x:v>
      </x:c>
      <x:c r="B64" s="10" t="str">
        <x:v>G_H0</x:v>
      </x:c>
      <x:c r="C64" s="9" t="str">
        <x:v>节点</x:v>
      </x:c>
      <x:c r="D64" s="11" t="n">
        <x:f>'全部组合'!D12</x:f>
        <x:v>1167</x:v>
      </x:c>
      <x:c r="E64" s="12" t="n">
        <x:f>'全部组合'!O12/$D64</x:f>
        <x:v>0</x:v>
      </x:c>
      <x:c r="F64" s="12" t="n">
        <x:f>'全部组合'!P12/$D64</x:f>
        <x:v>0.07626392459297343</x:v>
      </x:c>
      <x:c r="G64" s="12" t="n">
        <x:f>'全部组合'!Q12/$D64</x:f>
        <x:v>0.4644387317909169</x:v>
      </x:c>
      <x:c r="H64" s="12" t="n">
        <x:f>'全部组合'!R12/$D64</x:f>
        <x:v>0.2185089974293059</x:v>
      </x:c>
      <x:c r="I64" s="12" t="n">
        <x:f>'全部组合'!S12/$D64</x:f>
        <x:v>0.1790916880891174</x:v>
      </x:c>
      <x:c r="J64" s="12" t="n">
        <x:f>'全部组合'!T12/$D64</x:f>
        <x:v>0.061696658097686374</x:v>
      </x:c>
      <x:c r="K64" s="12" t="n">
        <x:f>'全部组合'!U12/$D64</x:f>
        <x:v>0</x:v>
      </x:c>
      <x:c r="L64" s="12" t="n">
        <x:f>'全部组合'!V12/$D64</x:f>
        <x:v>0</x:v>
      </x:c>
      <x:c r="M64" s="12" t="n">
        <x:f>'全部组合'!W12/$D64</x:f>
        <x:v>0</x:v>
      </x:c>
      <x:c r="N64" s="13" t="n">
        <x:f>'全部组合'!X12/$D64</x:f>
        <x:v>0</x:v>
      </x:c>
    </x:row>
    <x:row r="65" ht="23" customHeight="1">
      <x:c r="A65" s="10" t="str">
        <x:v>M1</x:v>
      </x:c>
      <x:c r="B65" s="10" t="str">
        <x:v>G_H0</x:v>
      </x:c>
      <x:c r="C65" s="9" t="str">
        <x:v>源三角形</x:v>
      </x:c>
      <x:c r="D65" s="11" t="n">
        <x:f>'全部组合'!I12</x:f>
        <x:v>1723934</x:v>
      </x:c>
      <x:c r="E65" s="12" t="n">
        <x:f>'全部组合'!Y12/$D65</x:f>
        <x:v>0</x:v>
      </x:c>
      <x:c r="F65" s="12" t="n">
        <x:f>'全部组合'!Z12/$D65</x:f>
        <x:v>0.02456358538087885</x:v>
      </x:c>
      <x:c r="G65" s="12" t="n">
        <x:f>'全部组合'!AA12/$D65</x:f>
        <x:v>0.3592109674732327</x:v>
      </x:c>
      <x:c r="H65" s="12" t="n">
        <x:f>'全部组合'!AB12/$D65</x:f>
        <x:v>0.3080059909486094</x:v>
      </x:c>
      <x:c r="I65" s="12" t="n">
        <x:f>'全部组合'!AC12/$D65</x:f>
        <x:v>0.22786835226870633</x:v>
      </x:c>
      <x:c r="J65" s="12" t="n">
        <x:f>'全部组合'!AD12/$D65</x:f>
        <x:v>0.08035110392857267</x:v>
      </x:c>
      <x:c r="K65" s="12" t="n">
        <x:f>'全部组合'!AE12/$D65</x:f>
        <x:v>0</x:v>
      </x:c>
      <x:c r="L65" s="12" t="n">
        <x:f>'全部组合'!AF12/$D65</x:f>
        <x:v>0</x:v>
      </x:c>
      <x:c r="M65" s="12" t="n">
        <x:f>'全部组合'!AG12/$D65</x:f>
        <x:v>0</x:v>
      </x:c>
      <x:c r="N65" s="13" t="n">
        <x:f>'全部组合'!AH12/$D65</x:f>
        <x:v>0</x:v>
      </x:c>
    </x:row>
    <x:row r="66" ht="23" customHeight="1">
      <x:c r="A66" s="10" t="str">
        <x:v>M1</x:v>
      </x:c>
      <x:c r="B66" s="10" t="str">
        <x:v>G_HT</x:v>
      </x:c>
      <x:c r="C66" s="9" t="str">
        <x:v>节点</x:v>
      </x:c>
      <x:c r="D66" s="11" t="n">
        <x:f>'全部组合'!D13</x:f>
        <x:v>1167</x:v>
      </x:c>
      <x:c r="E66" s="12" t="n">
        <x:f>'全部组合'!O13/$D66</x:f>
        <x:v>0</x:v>
      </x:c>
      <x:c r="F66" s="12" t="n">
        <x:f>'全部组合'!P13/$D66</x:f>
        <x:v>0.07626392459297343</x:v>
      </x:c>
      <x:c r="G66" s="12" t="n">
        <x:f>'全部组合'!Q13/$D66</x:f>
        <x:v>0.39845758354755784</x:v>
      </x:c>
      <x:c r="H66" s="12" t="n">
        <x:f>'全部组合'!R13/$D66</x:f>
        <x:v>0.2810625535561268</x:v>
      </x:c>
      <x:c r="I66" s="12" t="n">
        <x:f>'全部组合'!S13/$D66</x:f>
        <x:v>0.18251928020565553</x:v>
      </x:c>
      <x:c r="J66" s="12" t="n">
        <x:f>'全部组合'!T13/$D66</x:f>
        <x:v>0.061696658097686374</x:v>
      </x:c>
      <x:c r="K66" s="12" t="n">
        <x:f>'全部组合'!U13/$D66</x:f>
        <x:v>0</x:v>
      </x:c>
      <x:c r="L66" s="12" t="n">
        <x:f>'全部组合'!V13/$D66</x:f>
        <x:v>0</x:v>
      </x:c>
      <x:c r="M66" s="12" t="n">
        <x:f>'全部组合'!W13/$D66</x:f>
        <x:v>0</x:v>
      </x:c>
      <x:c r="N66" s="13" t="n">
        <x:f>'全部组合'!X13/$D66</x:f>
        <x:v>0</x:v>
      </x:c>
    </x:row>
    <x:row r="67" ht="23" customHeight="1">
      <x:c r="A67" s="10" t="str">
        <x:v>M1</x:v>
      </x:c>
      <x:c r="B67" s="10" t="str">
        <x:v>G_HT</x:v>
      </x:c>
      <x:c r="C67" s="9" t="str">
        <x:v>源三角形</x:v>
      </x:c>
      <x:c r="D67" s="11" t="n">
        <x:f>'全部组合'!I13</x:f>
        <x:v>1723934</x:v>
      </x:c>
      <x:c r="E67" s="12" t="n">
        <x:f>'全部组合'!Y13/$D67</x:f>
        <x:v>0</x:v>
      </x:c>
      <x:c r="F67" s="12" t="n">
        <x:f>'全部组合'!Z13/$D67</x:f>
        <x:v>0.02456358538087885</x:v>
      </x:c>
      <x:c r="G67" s="12" t="n">
        <x:f>'全部组合'!AA13/$D67</x:f>
        <x:v>0.3074131608286628</x:v>
      </x:c>
      <x:c r="H67" s="12" t="n">
        <x:f>'全部组合'!AB13/$D67</x:f>
        <x:v>0.35719116857141864</x:v>
      </x:c>
      <x:c r="I67" s="12" t="n">
        <x:f>'全部组合'!AC13/$D67</x:f>
        <x:v>0.23048098129046704</x:v>
      </x:c>
      <x:c r="J67" s="12" t="n">
        <x:f>'全部组合'!AD13/$D67</x:f>
        <x:v>0.08035110392857267</x:v>
      </x:c>
      <x:c r="K67" s="12" t="n">
        <x:f>'全部组合'!AE13/$D67</x:f>
        <x:v>0</x:v>
      </x:c>
      <x:c r="L67" s="12" t="n">
        <x:f>'全部组合'!AF13/$D67</x:f>
        <x:v>0</x:v>
      </x:c>
      <x:c r="M67" s="12" t="n">
        <x:f>'全部组合'!AG13/$D67</x:f>
        <x:v>0</x:v>
      </x:c>
      <x:c r="N67" s="13" t="n">
        <x:f>'全部组合'!AH13/$D67</x:f>
        <x:v>0</x:v>
      </x:c>
    </x:row>
    <x:row r="68" ht="23" customHeight="1">
      <x:c r="A68" s="10" t="str">
        <x:v>M1</x:v>
      </x:c>
      <x:c r="B68" s="10" t="str">
        <x:v>G_H1</x:v>
      </x:c>
      <x:c r="C68" s="9" t="str">
        <x:v>节点</x:v>
      </x:c>
      <x:c r="D68" s="11" t="n">
        <x:f>'全部组合'!D14</x:f>
        <x:v>1167</x:v>
      </x:c>
      <x:c r="E68" s="12" t="n">
        <x:f>'全部组合'!O14/$D68</x:f>
        <x:v>0</x:v>
      </x:c>
      <x:c r="F68" s="12" t="n">
        <x:f>'全部组合'!P14/$D68</x:f>
        <x:v>0.07626392459297343</x:v>
      </x:c>
      <x:c r="G68" s="12" t="n">
        <x:f>'全部组合'!Q14/$D68</x:f>
        <x:v>0.39845758354755784</x:v>
      </x:c>
      <x:c r="H68" s="12" t="n">
        <x:f>'全部组合'!R14/$D68</x:f>
        <x:v>0.2810625535561268</x:v>
      </x:c>
      <x:c r="I68" s="12" t="n">
        <x:f>'全部组合'!S14/$D68</x:f>
        <x:v>0.18251928020565553</x:v>
      </x:c>
      <x:c r="J68" s="12" t="n">
        <x:f>'全部组合'!T14/$D68</x:f>
        <x:v>0.061696658097686374</x:v>
      </x:c>
      <x:c r="K68" s="12" t="n">
        <x:f>'全部组合'!U14/$D68</x:f>
        <x:v>0</x:v>
      </x:c>
      <x:c r="L68" s="12" t="n">
        <x:f>'全部组合'!V14/$D68</x:f>
        <x:v>0</x:v>
      </x:c>
      <x:c r="M68" s="12" t="n">
        <x:f>'全部组合'!W14/$D68</x:f>
        <x:v>0</x:v>
      </x:c>
      <x:c r="N68" s="13" t="n">
        <x:f>'全部组合'!X14/$D68</x:f>
        <x:v>0</x:v>
      </x:c>
    </x:row>
    <x:row r="69" ht="23" customHeight="1">
      <x:c r="A69" s="10" t="str">
        <x:v>M1</x:v>
      </x:c>
      <x:c r="B69" s="10" t="str">
        <x:v>G_H1</x:v>
      </x:c>
      <x:c r="C69" s="9" t="str">
        <x:v>源三角形</x:v>
      </x:c>
      <x:c r="D69" s="11" t="n">
        <x:f>'全部组合'!I14</x:f>
        <x:v>1723934</x:v>
      </x:c>
      <x:c r="E69" s="12" t="n">
        <x:f>'全部组合'!Y14/$D69</x:f>
        <x:v>0</x:v>
      </x:c>
      <x:c r="F69" s="12" t="n">
        <x:f>'全部组合'!Z14/$D69</x:f>
        <x:v>0.02456358538087885</x:v>
      </x:c>
      <x:c r="G69" s="12" t="n">
        <x:f>'全部组合'!AA14/$D69</x:f>
        <x:v>0.3074131608286628</x:v>
      </x:c>
      <x:c r="H69" s="12" t="n">
        <x:f>'全部组合'!AB14/$D69</x:f>
        <x:v>0.35719116857141864</x:v>
      </x:c>
      <x:c r="I69" s="12" t="n">
        <x:f>'全部组合'!AC14/$D69</x:f>
        <x:v>0.23048098129046704</x:v>
      </x:c>
      <x:c r="J69" s="12" t="n">
        <x:f>'全部组合'!AD14/$D69</x:f>
        <x:v>0.08035110392857267</x:v>
      </x:c>
      <x:c r="K69" s="12" t="n">
        <x:f>'全部组合'!AE14/$D69</x:f>
        <x:v>0</x:v>
      </x:c>
      <x:c r="L69" s="12" t="n">
        <x:f>'全部组合'!AF14/$D69</x:f>
        <x:v>0</x:v>
      </x:c>
      <x:c r="M69" s="12" t="n">
        <x:f>'全部组合'!AG14/$D69</x:f>
        <x:v>0</x:v>
      </x:c>
      <x:c r="N69" s="13" t="n">
        <x:f>'全部组合'!AH14/$D69</x:f>
        <x:v>0</x:v>
      </x:c>
    </x:row>
    <x:row r="70" ht="23" customHeight="1">
      <x:c r="A70" s="10" t="str">
        <x:v>M1</x:v>
      </x:c>
      <x:c r="B70" s="10" t="str">
        <x:v>NC_H0</x:v>
      </x:c>
      <x:c r="C70" s="9" t="str">
        <x:v>节点</x:v>
      </x:c>
      <x:c r="D70" s="11" t="n">
        <x:f>'全部组合'!D15</x:f>
        <x:v>1167</x:v>
      </x:c>
      <x:c r="E70" s="12" t="n">
        <x:f>'全部组合'!O15/$D70</x:f>
        <x:v>0</x:v>
      </x:c>
      <x:c r="F70" s="12" t="n">
        <x:f>'全部组合'!P15/$D70</x:f>
        <x:v>0.2827763496143959</x:v>
      </x:c>
      <x:c r="G70" s="12" t="n">
        <x:f>'全部组合'!Q15/$D70</x:f>
        <x:v>0.04798628963153385</x:v>
      </x:c>
      <x:c r="H70" s="12" t="n">
        <x:f>'全部组合'!R15/$D70</x:f>
        <x:v>0</x:v>
      </x:c>
      <x:c r="I70" s="12" t="n">
        <x:f>'全部组合'!S15/$D70</x:f>
        <x:v>0.6486718080548415</x:v>
      </x:c>
      <x:c r="J70" s="12" t="n">
        <x:f>'全部组合'!T15/$D70</x:f>
        <x:v>0</x:v>
      </x:c>
      <x:c r="K70" s="12" t="n">
        <x:f>'全部组合'!U15/$D70</x:f>
        <x:v>0.003427592116538132</x:v>
      </x:c>
      <x:c r="L70" s="12" t="n">
        <x:f>'全部组合'!V15/$D70</x:f>
        <x:v>0.010282776349614395</x:v>
      </x:c>
      <x:c r="M70" s="12" t="n">
        <x:f>'全部组合'!W15/$D70</x:f>
        <x:v>0.006855184233076264</x:v>
      </x:c>
      <x:c r="N70" s="13" t="n">
        <x:f>'全部组合'!X15/$D70</x:f>
        <x:v>0</x:v>
      </x:c>
    </x:row>
    <x:row r="71" ht="23" customHeight="1">
      <x:c r="A71" s="10" t="str">
        <x:v>M1</x:v>
      </x:c>
      <x:c r="B71" s="10" t="str">
        <x:v>NC_H0</x:v>
      </x:c>
      <x:c r="C71" s="9" t="str">
        <x:v>源三角形</x:v>
      </x:c>
      <x:c r="D71" s="11" t="n">
        <x:f>'全部组合'!I15</x:f>
        <x:v>1723934</x:v>
      </x:c>
      <x:c r="E71" s="12" t="n">
        <x:f>'全部组合'!Y15/$D71</x:f>
        <x:v>0</x:v>
      </x:c>
      <x:c r="F71" s="12" t="n">
        <x:f>'全部组合'!Z15/$D71</x:f>
        <x:v>0.16585089684407872</x:v>
      </x:c>
      <x:c r="G71" s="12" t="n">
        <x:f>'全部组合'!AA15/$D71</x:f>
        <x:v>0.0761688092467577</x:v>
      </x:c>
      <x:c r="H71" s="12" t="n">
        <x:f>'全部组合'!AB15/$D71</x:f>
        <x:v>0</x:v>
      </x:c>
      <x:c r="I71" s="12" t="n">
        <x:f>'全部组合'!AC15/$D71</x:f>
        <x:v>0.721330398959589</x:v>
      </x:c>
      <x:c r="J71" s="12" t="n">
        <x:f>'全部组合'!AD15/$D71</x:f>
        <x:v>0</x:v>
      </x:c>
      <x:c r="K71" s="12" t="n">
        <x:f>'全部组合'!AE15/$D71</x:f>
        <x:v>0.0035453793474692187</x:v>
      </x:c>
      <x:c r="L71" s="12" t="n">
        <x:f>'全部组合'!AF15/$D71</x:f>
        <x:v>0.025746925346329965</x:v>
      </x:c>
      <x:c r="M71" s="12" t="n">
        <x:f>'全部组合'!AG15/$D71</x:f>
        <x:v>0.007357590255775453</x:v>
      </x:c>
      <x:c r="N71" s="13" t="n">
        <x:f>'全部组合'!AH15/$D71</x:f>
        <x:v>0</x:v>
      </x:c>
    </x:row>
    <x:row r="72" ht="23" customHeight="1">
      <x:c r="A72" s="10" t="str">
        <x:v>M1</x:v>
      </x:c>
      <x:c r="B72" s="10" t="str">
        <x:v>NC_HT</x:v>
      </x:c>
      <x:c r="C72" s="9" t="str">
        <x:v>节点</x:v>
      </x:c>
      <x:c r="D72" s="11" t="n">
        <x:f>'全部组合'!D16</x:f>
        <x:v>1167</x:v>
      </x:c>
      <x:c r="E72" s="12" t="n">
        <x:f>'全部组合'!O16/$D72</x:f>
        <x:v>0</x:v>
      </x:c>
      <x:c r="F72" s="12" t="n">
        <x:f>'全部组合'!P16/$D72</x:f>
        <x:v>0.2827763496143959</x:v>
      </x:c>
      <x:c r="G72" s="12" t="n">
        <x:f>'全部组合'!Q16/$D72</x:f>
        <x:v>0.04798628963153385</x:v>
      </x:c>
      <x:c r="H72" s="12" t="n">
        <x:f>'全部组合'!R16/$D72</x:f>
        <x:v>0</x:v>
      </x:c>
      <x:c r="I72" s="12" t="n">
        <x:f>'全部组合'!S16/$D72</x:f>
        <x:v>0.6486718080548415</x:v>
      </x:c>
      <x:c r="J72" s="12" t="n">
        <x:f>'全部组合'!T16/$D72</x:f>
        <x:v>0</x:v>
      </x:c>
      <x:c r="K72" s="12" t="n">
        <x:f>'全部组合'!U16/$D72</x:f>
        <x:v>0.003427592116538132</x:v>
      </x:c>
      <x:c r="L72" s="12" t="n">
        <x:f>'全部组合'!V16/$D72</x:f>
        <x:v>0.010282776349614395</x:v>
      </x:c>
      <x:c r="M72" s="12" t="n">
        <x:f>'全部组合'!W16/$D72</x:f>
        <x:v>0.006855184233076264</x:v>
      </x:c>
      <x:c r="N72" s="13" t="n">
        <x:f>'全部组合'!X16/$D72</x:f>
        <x:v>0</x:v>
      </x:c>
    </x:row>
    <x:row r="73" ht="23" customHeight="1">
      <x:c r="A73" s="10" t="str">
        <x:v>M1</x:v>
      </x:c>
      <x:c r="B73" s="10" t="str">
        <x:v>NC_HT</x:v>
      </x:c>
      <x:c r="C73" s="9" t="str">
        <x:v>源三角形</x:v>
      </x:c>
      <x:c r="D73" s="11" t="n">
        <x:f>'全部组合'!I16</x:f>
        <x:v>1723934</x:v>
      </x:c>
      <x:c r="E73" s="12" t="n">
        <x:f>'全部组合'!Y16/$D73</x:f>
        <x:v>0</x:v>
      </x:c>
      <x:c r="F73" s="12" t="n">
        <x:f>'全部组合'!Z16/$D73</x:f>
        <x:v>0.16585089684407872</x:v>
      </x:c>
      <x:c r="G73" s="12" t="n">
        <x:f>'全部组合'!AA16/$D73</x:f>
        <x:v>0.0761688092467577</x:v>
      </x:c>
      <x:c r="H73" s="12" t="n">
        <x:f>'全部组合'!AB16/$D73</x:f>
        <x:v>0</x:v>
      </x:c>
      <x:c r="I73" s="12" t="n">
        <x:f>'全部组合'!AC16/$D73</x:f>
        <x:v>0.721330398959589</x:v>
      </x:c>
      <x:c r="J73" s="12" t="n">
        <x:f>'全部组合'!AD16/$D73</x:f>
        <x:v>0</x:v>
      </x:c>
      <x:c r="K73" s="12" t="n">
        <x:f>'全部组合'!AE16/$D73</x:f>
        <x:v>0.0035453793474692187</x:v>
      </x:c>
      <x:c r="L73" s="12" t="n">
        <x:f>'全部组合'!AF16/$D73</x:f>
        <x:v>0.025746925346329965</x:v>
      </x:c>
      <x:c r="M73" s="12" t="n">
        <x:f>'全部组合'!AG16/$D73</x:f>
        <x:v>0.007357590255775453</x:v>
      </x:c>
      <x:c r="N73" s="13" t="n">
        <x:f>'全部组合'!AH16/$D73</x:f>
        <x:v>0</x:v>
      </x:c>
    </x:row>
    <x:row r="74" ht="23" customHeight="1">
      <x:c r="A74" s="10" t="str">
        <x:v>M1</x:v>
      </x:c>
      <x:c r="B74" s="10" t="str">
        <x:v>NC_H1</x:v>
      </x:c>
      <x:c r="C74" s="9" t="str">
        <x:v>节点</x:v>
      </x:c>
      <x:c r="D74" s="11" t="n">
        <x:f>'全部组合'!D17</x:f>
        <x:v>1167</x:v>
      </x:c>
      <x:c r="E74" s="12" t="n">
        <x:f>'全部组合'!O17/$D74</x:f>
        <x:v>0</x:v>
      </x:c>
      <x:c r="F74" s="12" t="n">
        <x:f>'全部组合'!P17/$D74</x:f>
        <x:v>0.2827763496143959</x:v>
      </x:c>
      <x:c r="G74" s="12" t="n">
        <x:f>'全部组合'!Q17/$D74</x:f>
        <x:v>0.04284490145672665</x:v>
      </x:c>
      <x:c r="H74" s="12" t="n">
        <x:f>'全部组合'!R17/$D74</x:f>
        <x:v>0</x:v>
      </x:c>
      <x:c r="I74" s="12" t="n">
        <x:f>'全部组合'!S17/$D74</x:f>
        <x:v>0.6486718080548415</x:v>
      </x:c>
      <x:c r="J74" s="12" t="n">
        <x:f>'全部组合'!T17/$D74</x:f>
        <x:v>0.004284490145672665</x:v>
      </x:c>
      <x:c r="K74" s="12" t="n">
        <x:f>'全部组合'!U17/$D74</x:f>
        <x:v>0.004284490145672665</x:v>
      </x:c>
      <x:c r="L74" s="12" t="n">
        <x:f>'全部组合'!V17/$D74</x:f>
        <x:v>0.010282776349614395</x:v>
      </x:c>
      <x:c r="M74" s="12" t="n">
        <x:f>'全部组合'!W17/$D74</x:f>
        <x:v>0.006855184233076264</x:v>
      </x:c>
      <x:c r="N74" s="13" t="n">
        <x:f>'全部组合'!X17/$D74</x:f>
        <x:v>0</x:v>
      </x:c>
    </x:row>
    <x:row r="75" ht="23" customHeight="1">
      <x:c r="A75" s="10" t="str">
        <x:v>M1</x:v>
      </x:c>
      <x:c r="B75" s="10" t="str">
        <x:v>NC_H1</x:v>
      </x:c>
      <x:c r="C75" s="9" t="str">
        <x:v>源三角形</x:v>
      </x:c>
      <x:c r="D75" s="11" t="n">
        <x:f>'全部组合'!I17</x:f>
        <x:v>1723934</x:v>
      </x:c>
      <x:c r="E75" s="12" t="n">
        <x:f>'全部组合'!Y17/$D75</x:f>
        <x:v>0</x:v>
      </x:c>
      <x:c r="F75" s="12" t="n">
        <x:f>'全部组合'!Z17/$D75</x:f>
        <x:v>0.16585089684407872</x:v>
      </x:c>
      <x:c r="G75" s="12" t="n">
        <x:f>'全部组合'!AA17/$D75</x:f>
        <x:v>0.0745863820772721</x:v>
      </x:c>
      <x:c r="H75" s="12" t="n">
        <x:f>'全部组合'!AB17/$D75</x:f>
        <x:v>0</x:v>
      </x:c>
      <x:c r="I75" s="12" t="n">
        <x:f>'全部组合'!AC17/$D75</x:f>
        <x:v>0.721330398959589</x:v>
      </x:c>
      <x:c r="J75" s="12" t="n">
        <x:f>'全部组合'!AD17/$D75</x:f>
        <x:v>0.0010650059689060022</x:v>
      </x:c>
      <x:c r="K75" s="12" t="n">
        <x:f>'全部组合'!AE17/$D75</x:f>
        <x:v>0.004062800548048823</x:v>
      </x:c>
      <x:c r="L75" s="12" t="n">
        <x:f>'全部组合'!AF17/$D75</x:f>
        <x:v>0.025746925346329965</x:v>
      </x:c>
      <x:c r="M75" s="12" t="n">
        <x:f>'全部组合'!AG17/$D75</x:f>
        <x:v>0.007357590255775453</x:v>
      </x:c>
      <x:c r="N75" s="13" t="n">
        <x:f>'全部组合'!AH17/$D75</x:f>
        <x:v>0</x:v>
      </x:c>
    </x:row>
    <x:row r="76" ht="23" customHeight="1">
      <x:c r="A76" s="10" t="str">
        <x:v>M1</x:v>
      </x:c>
      <x:c r="B76" s="10" t="str">
        <x:v>NG_H0</x:v>
      </x:c>
      <x:c r="C76" s="9" t="str">
        <x:v>节点</x:v>
      </x:c>
      <x:c r="D76" s="11" t="n">
        <x:f>'全部组合'!D18</x:f>
        <x:v>1167</x:v>
      </x:c>
      <x:c r="E76" s="12" t="n">
        <x:f>'全部组合'!O18/$D76</x:f>
        <x:v>0</x:v>
      </x:c>
      <x:c r="F76" s="12" t="n">
        <x:f>'全部组合'!P18/$D76</x:f>
        <x:v>0.09511568123393316</x:v>
      </x:c>
      <x:c r="G76" s="12" t="n">
        <x:f>'全部组合'!Q18/$D76</x:f>
        <x:v>0.4310197086546701</x:v>
      </x:c>
      <x:c r="H76" s="12" t="n">
        <x:f>'全部组合'!R18/$D76</x:f>
        <x:v>0.2125107112253642</x:v>
      </x:c>
      <x:c r="I76" s="12" t="n">
        <x:f>'全部组合'!S18/$D76</x:f>
        <x:v>0.1790916880891174</x:v>
      </x:c>
      <x:c r="J76" s="12" t="n">
        <x:f>'全部组合'!T18/$D76</x:f>
        <x:v>0.061696658097686374</x:v>
      </x:c>
      <x:c r="K76" s="12" t="n">
        <x:f>'全部组合'!U18/$D76</x:f>
        <x:v>0.003427592116538132</x:v>
      </x:c>
      <x:c r="L76" s="12" t="n">
        <x:f>'全部组合'!V18/$D76</x:f>
        <x:v>0.010282776349614395</x:v>
      </x:c>
      <x:c r="M76" s="12" t="n">
        <x:f>'全部组合'!W18/$D76</x:f>
        <x:v>0.006855184233076264</x:v>
      </x:c>
      <x:c r="N76" s="13" t="n">
        <x:f>'全部组合'!X18/$D76</x:f>
        <x:v>0</x:v>
      </x:c>
    </x:row>
    <x:row r="77" ht="23" customHeight="1">
      <x:c r="A77" s="10" t="str">
        <x:v>M1</x:v>
      </x:c>
      <x:c r="B77" s="10" t="str">
        <x:v>NG_H0</x:v>
      </x:c>
      <x:c r="C77" s="9" t="str">
        <x:v>源三角形</x:v>
      </x:c>
      <x:c r="D77" s="11" t="n">
        <x:f>'全部组合'!I18</x:f>
        <x:v>1723934</x:v>
      </x:c>
      <x:c r="E77" s="12" t="n">
        <x:f>'全部组合'!Y18/$D77</x:f>
        <x:v>0</x:v>
      </x:c>
      <x:c r="F77" s="12" t="n">
        <x:f>'全部组合'!Z18/$D77</x:f>
        <x:v>0.03524032822602258</x:v>
      </x:c>
      <x:c r="G77" s="12" t="n">
        <x:f>'全部组合'!AA18/$D77</x:f>
        <x:v>0.33166814970874753</x:v>
      </x:c>
      <x:c r="H77" s="12" t="n">
        <x:f>'全部组合'!AB18/$D77</x:f>
        <x:v>0.2882221709183762</x:v>
      </x:c>
      <x:c r="I77" s="12" t="n">
        <x:f>'全部组合'!AC18/$D77</x:f>
        <x:v>0.22786835226870633</x:v>
      </x:c>
      <x:c r="J77" s="12" t="n">
        <x:f>'全部组合'!AD18/$D77</x:f>
        <x:v>0.08035110392857267</x:v>
      </x:c>
      <x:c r="K77" s="12" t="n">
        <x:f>'全部组合'!AE18/$D77</x:f>
        <x:v>0.0035453793474692187</x:v>
      </x:c>
      <x:c r="L77" s="12" t="n">
        <x:f>'全部组合'!AF18/$D77</x:f>
        <x:v>0.025746925346329965</x:v>
      </x:c>
      <x:c r="M77" s="12" t="n">
        <x:f>'全部组合'!AG18/$D77</x:f>
        <x:v>0.007357590255775453</x:v>
      </x:c>
      <x:c r="N77" s="13" t="n">
        <x:f>'全部组合'!AH18/$D77</x:f>
        <x:v>0</x:v>
      </x:c>
    </x:row>
    <x:row r="78" ht="23" customHeight="1">
      <x:c r="A78" s="10" t="str">
        <x:v>M1</x:v>
      </x:c>
      <x:c r="B78" s="10" t="str">
        <x:v>NG_HT</x:v>
      </x:c>
      <x:c r="C78" s="9" t="str">
        <x:v>节点</x:v>
      </x:c>
      <x:c r="D78" s="11" t="n">
        <x:f>'全部组合'!D19</x:f>
        <x:v>1167</x:v>
      </x:c>
      <x:c r="E78" s="12" t="n">
        <x:f>'全部组合'!O19/$D78</x:f>
        <x:v>0</x:v>
      </x:c>
      <x:c r="F78" s="12" t="n">
        <x:f>'全部组合'!P19/$D78</x:f>
        <x:v>0.09511568123393316</x:v>
      </x:c>
      <x:c r="G78" s="12" t="n">
        <x:f>'全部组合'!Q19/$D78</x:f>
        <x:v>0.36503856041131105</x:v>
      </x:c>
      <x:c r="H78" s="12" t="n">
        <x:f>'全部组合'!R19/$D78</x:f>
        <x:v>0.2750642673521851</x:v>
      </x:c>
      <x:c r="I78" s="12" t="n">
        <x:f>'全部组合'!S19/$D78</x:f>
        <x:v>0.18251928020565553</x:v>
      </x:c>
      <x:c r="J78" s="12" t="n">
        <x:f>'全部组合'!T19/$D78</x:f>
        <x:v>0.061696658097686374</x:v>
      </x:c>
      <x:c r="K78" s="12" t="n">
        <x:f>'全部组合'!U19/$D78</x:f>
        <x:v>0.003427592116538132</x:v>
      </x:c>
      <x:c r="L78" s="12" t="n">
        <x:f>'全部组合'!V19/$D78</x:f>
        <x:v>0.010282776349614395</x:v>
      </x:c>
      <x:c r="M78" s="12" t="n">
        <x:f>'全部组合'!W19/$D78</x:f>
        <x:v>0.006855184233076264</x:v>
      </x:c>
      <x:c r="N78" s="13" t="n">
        <x:f>'全部组合'!X19/$D78</x:f>
        <x:v>0</x:v>
      </x:c>
    </x:row>
    <x:row r="79" ht="23" customHeight="1">
      <x:c r="A79" s="10" t="str">
        <x:v>M1</x:v>
      </x:c>
      <x:c r="B79" s="10" t="str">
        <x:v>NG_HT</x:v>
      </x:c>
      <x:c r="C79" s="9" t="str">
        <x:v>源三角形</x:v>
      </x:c>
      <x:c r="D79" s="11" t="n">
        <x:f>'全部组合'!I19</x:f>
        <x:v>1723934</x:v>
      </x:c>
      <x:c r="E79" s="12" t="n">
        <x:f>'全部组合'!Y19/$D79</x:f>
        <x:v>0</x:v>
      </x:c>
      <x:c r="F79" s="12" t="n">
        <x:f>'全部组合'!Z19/$D79</x:f>
        <x:v>0.03524032822602258</x:v>
      </x:c>
      <x:c r="G79" s="12" t="n">
        <x:f>'全部组合'!AA19/$D79</x:f>
        <x:v>0.27987034306417763</x:v>
      </x:c>
      <x:c r="H79" s="12" t="n">
        <x:f>'全部组合'!AB19/$D79</x:f>
        <x:v>0.3374073485411854</x:v>
      </x:c>
      <x:c r="I79" s="12" t="n">
        <x:f>'全部组合'!AC19/$D79</x:f>
        <x:v>0.23048098129046704</x:v>
      </x:c>
      <x:c r="J79" s="12" t="n">
        <x:f>'全部组合'!AD19/$D79</x:f>
        <x:v>0.08035110392857267</x:v>
      </x:c>
      <x:c r="K79" s="12" t="n">
        <x:f>'全部组合'!AE19/$D79</x:f>
        <x:v>0.0035453793474692187</x:v>
      </x:c>
      <x:c r="L79" s="12" t="n">
        <x:f>'全部组合'!AF19/$D79</x:f>
        <x:v>0.025746925346329965</x:v>
      </x:c>
      <x:c r="M79" s="12" t="n">
        <x:f>'全部组合'!AG19/$D79</x:f>
        <x:v>0.007357590255775453</x:v>
      </x:c>
      <x:c r="N79" s="13" t="n">
        <x:f>'全部组合'!AH19/$D79</x:f>
        <x:v>0</x:v>
      </x:c>
    </x:row>
    <x:row r="80" ht="23" customHeight="1">
      <x:c r="A80" s="10" t="str">
        <x:v>M1</x:v>
      </x:c>
      <x:c r="B80" s="10" t="str">
        <x:v>NG_H1</x:v>
      </x:c>
      <x:c r="C80" s="9" t="str">
        <x:v>节点</x:v>
      </x:c>
      <x:c r="D80" s="11" t="n">
        <x:f>'全部组合'!D20</x:f>
        <x:v>1167</x:v>
      </x:c>
      <x:c r="E80" s="12" t="n">
        <x:f>'全部组合'!O20/$D80</x:f>
        <x:v>0</x:v>
      </x:c>
      <x:c r="F80" s="12" t="n">
        <x:f>'全部组合'!P20/$D80</x:f>
        <x:v>0.09511568123393316</x:v>
      </x:c>
      <x:c r="G80" s="12" t="n">
        <x:f>'全部组合'!Q20/$D80</x:f>
        <x:v>0.35475578406169667</x:v>
      </x:c>
      <x:c r="H80" s="12" t="n">
        <x:f>'全部组合'!R20/$D80</x:f>
        <x:v>0.2750642673521851</x:v>
      </x:c>
      <x:c r="I80" s="12" t="n">
        <x:f>'全部组合'!S20/$D80</x:f>
        <x:v>0.18251928020565553</x:v>
      </x:c>
      <x:c r="J80" s="12" t="n">
        <x:f>'全部组合'!T20/$D80</x:f>
        <x:v>0.07112253641816624</x:v>
      </x:c>
      <x:c r="K80" s="12" t="n">
        <x:f>'全部组合'!U20/$D80</x:f>
        <x:v>0.004284490145672665</x:v>
      </x:c>
      <x:c r="L80" s="12" t="n">
        <x:f>'全部组合'!V20/$D80</x:f>
        <x:v>0.010282776349614395</x:v>
      </x:c>
      <x:c r="M80" s="12" t="n">
        <x:f>'全部组合'!W20/$D80</x:f>
        <x:v>0.006855184233076264</x:v>
      </x:c>
      <x:c r="N80" s="13" t="n">
        <x:f>'全部组合'!X20/$D80</x:f>
        <x:v>0</x:v>
      </x:c>
    </x:row>
    <x:row r="81" ht="23" customHeight="1">
      <x:c r="A81" s="10" t="str">
        <x:v>M1</x:v>
      </x:c>
      <x:c r="B81" s="10" t="str">
        <x:v>NG_H1</x:v>
      </x:c>
      <x:c r="C81" s="9" t="str">
        <x:v>源三角形</x:v>
      </x:c>
      <x:c r="D81" s="11" t="n">
        <x:f>'全部组合'!I20</x:f>
        <x:v>1723934</x:v>
      </x:c>
      <x:c r="E81" s="12" t="n">
        <x:f>'全部组合'!Y20/$D81</x:f>
        <x:v>0</x:v>
      </x:c>
      <x:c r="F81" s="12" t="n">
        <x:f>'全部组合'!Z20/$D81</x:f>
        <x:v>0.03524032822602258</x:v>
      </x:c>
      <x:c r="G81" s="12" t="n">
        <x:f>'全部组合'!AA20/$D81</x:f>
        <x:v>0.27612890052635425</x:v>
      </x:c>
      <x:c r="H81" s="12" t="n">
        <x:f>'全部组合'!AB20/$D81</x:f>
        <x:v>0.3374073485411854</x:v>
      </x:c>
      <x:c r="I81" s="12" t="n">
        <x:f>'全部组合'!AC20/$D81</x:f>
        <x:v>0.23048098129046704</x:v>
      </x:c>
      <x:c r="J81" s="12" t="n">
        <x:f>'全部组合'!AD20/$D81</x:f>
        <x:v>0.08357512526581644</x:v>
      </x:c>
      <x:c r="K81" s="12" t="n">
        <x:f>'全部组合'!AE20/$D81</x:f>
        <x:v>0.004062800548048823</x:v>
      </x:c>
      <x:c r="L81" s="12" t="n">
        <x:f>'全部组合'!AF20/$D81</x:f>
        <x:v>0.025746925346329965</x:v>
      </x:c>
      <x:c r="M81" s="12" t="n">
        <x:f>'全部组合'!AG20/$D81</x:f>
        <x:v>0.007357590255775453</x:v>
      </x:c>
      <x:c r="N81" s="13" t="n">
        <x:f>'全部组合'!AH20/$D81</x:f>
        <x:v>0</x:v>
      </x:c>
    </x:row>
    <x:row r="82" ht="23" customHeight="1">
      <x:c r="A82" s="10" t="str">
        <x:v>M1</x:v>
      </x:c>
      <x:c r="B82" s="10" t="str">
        <x:v>CG_H0</x:v>
      </x:c>
      <x:c r="C82" s="9" t="str">
        <x:v>节点</x:v>
      </x:c>
      <x:c r="D82" s="11" t="n">
        <x:f>'全部组合'!D21</x:f>
        <x:v>1167</x:v>
      </x:c>
      <x:c r="E82" s="12" t="n">
        <x:f>'全部组合'!O21/$D82</x:f>
        <x:v>0</x:v>
      </x:c>
      <x:c r="F82" s="12" t="n">
        <x:f>'全部组合'!P21/$D82</x:f>
        <x:v>0.10968294772922023</x:v>
      </x:c>
      <x:c r="G82" s="12" t="n">
        <x:f>'全部组合'!Q21/$D82</x:f>
        <x:v>0.4310197086546701</x:v>
      </x:c>
      <x:c r="H82" s="12" t="n">
        <x:f>'全部组合'!R21/$D82</x:f>
        <x:v>0.2185089974293059</x:v>
      </x:c>
      <x:c r="I82" s="12" t="n">
        <x:f>'全部组合'!S21/$D82</x:f>
        <x:v>0.1790916880891174</x:v>
      </x:c>
      <x:c r="J82" s="12" t="n">
        <x:f>'全部组合'!T21/$D82</x:f>
        <x:v>0.061696658097686374</x:v>
      </x:c>
      <x:c r="K82" s="12" t="n">
        <x:f>'全部组合'!U21/$D82</x:f>
        <x:v>0</x:v>
      </x:c>
      <x:c r="L82" s="12" t="n">
        <x:f>'全部组合'!V21/$D82</x:f>
        <x:v>0</x:v>
      </x:c>
      <x:c r="M82" s="12" t="n">
        <x:f>'全部组合'!W21/$D82</x:f>
        <x:v>0</x:v>
      </x:c>
      <x:c r="N82" s="13" t="n">
        <x:f>'全部组合'!X21/$D82</x:f>
        <x:v>0</x:v>
      </x:c>
    </x:row>
    <x:row r="83" ht="23" customHeight="1">
      <x:c r="A83" s="10" t="str">
        <x:v>M1</x:v>
      </x:c>
      <x:c r="B83" s="10" t="str">
        <x:v>CG_H0</x:v>
      </x:c>
      <x:c r="C83" s="9" t="str">
        <x:v>源三角形</x:v>
      </x:c>
      <x:c r="D83" s="11" t="n">
        <x:f>'全部组合'!I21</x:f>
        <x:v>1723934</x:v>
      </x:c>
      <x:c r="E83" s="12" t="n">
        <x:f>'全部组合'!Y21/$D83</x:f>
        <x:v>0</x:v>
      </x:c>
      <x:c r="F83" s="12" t="n">
        <x:f>'全部组合'!Z21/$D83</x:f>
        <x:v>0.032678745241987224</x:v>
      </x:c>
      <x:c r="G83" s="12" t="n">
        <x:f>'全部组合'!AA21/$D83</x:f>
        <x:v>0.3510958076121244</x:v>
      </x:c>
      <x:c r="H83" s="12" t="n">
        <x:f>'全部组合'!AB21/$D83</x:f>
        <x:v>0.3080059909486094</x:v>
      </x:c>
      <x:c r="I83" s="12" t="n">
        <x:f>'全部组合'!AC21/$D83</x:f>
        <x:v>0.22786835226870633</x:v>
      </x:c>
      <x:c r="J83" s="12" t="n">
        <x:f>'全部组合'!AD21/$D83</x:f>
        <x:v>0.08035110392857267</x:v>
      </x:c>
      <x:c r="K83" s="12" t="n">
        <x:f>'全部组合'!AE21/$D83</x:f>
        <x:v>0</x:v>
      </x:c>
      <x:c r="L83" s="12" t="n">
        <x:f>'全部组合'!AF21/$D83</x:f>
        <x:v>0</x:v>
      </x:c>
      <x:c r="M83" s="12" t="n">
        <x:f>'全部组合'!AG21/$D83</x:f>
        <x:v>0</x:v>
      </x:c>
      <x:c r="N83" s="13" t="n">
        <x:f>'全部组合'!AH21/$D83</x:f>
        <x:v>0</x:v>
      </x:c>
    </x:row>
    <x:row r="84" ht="23" customHeight="1">
      <x:c r="A84" s="10" t="str">
        <x:v>M1</x:v>
      </x:c>
      <x:c r="B84" s="10" t="str">
        <x:v>CG_HT</x:v>
      </x:c>
      <x:c r="C84" s="9" t="str">
        <x:v>节点</x:v>
      </x:c>
      <x:c r="D84" s="11" t="n">
        <x:f>'全部组合'!D22</x:f>
        <x:v>1167</x:v>
      </x:c>
      <x:c r="E84" s="12" t="n">
        <x:f>'全部组合'!O22/$D84</x:f>
        <x:v>0</x:v>
      </x:c>
      <x:c r="F84" s="12" t="n">
        <x:f>'全部组合'!P22/$D84</x:f>
        <x:v>0.10968294772922023</x:v>
      </x:c>
      <x:c r="G84" s="12" t="n">
        <x:f>'全部组合'!Q22/$D84</x:f>
        <x:v>0.36503856041131105</x:v>
      </x:c>
      <x:c r="H84" s="12" t="n">
        <x:f>'全部组合'!R22/$D84</x:f>
        <x:v>0.2810625535561268</x:v>
      </x:c>
      <x:c r="I84" s="12" t="n">
        <x:f>'全部组合'!S22/$D84</x:f>
        <x:v>0.1790916880891174</x:v>
      </x:c>
      <x:c r="J84" s="12" t="n">
        <x:f>'全部组合'!T22/$D84</x:f>
        <x:v>0.06512425021422451</x:v>
      </x:c>
      <x:c r="K84" s="12" t="n">
        <x:f>'全部组合'!U22/$D84</x:f>
        <x:v>0</x:v>
      </x:c>
      <x:c r="L84" s="12" t="n">
        <x:f>'全部组合'!V22/$D84</x:f>
        <x:v>0</x:v>
      </x:c>
      <x:c r="M84" s="12" t="n">
        <x:f>'全部组合'!W22/$D84</x:f>
        <x:v>0</x:v>
      </x:c>
      <x:c r="N84" s="13" t="n">
        <x:f>'全部组合'!X22/$D84</x:f>
        <x:v>0</x:v>
      </x:c>
    </x:row>
    <x:row r="85" ht="23" customHeight="1">
      <x:c r="A85" s="10" t="str">
        <x:v>M1</x:v>
      </x:c>
      <x:c r="B85" s="10" t="str">
        <x:v>CG_HT</x:v>
      </x:c>
      <x:c r="C85" s="9" t="str">
        <x:v>源三角形</x:v>
      </x:c>
      <x:c r="D85" s="11" t="n">
        <x:f>'全部组合'!I22</x:f>
        <x:v>1723934</x:v>
      </x:c>
      <x:c r="E85" s="12" t="n">
        <x:f>'全部组合'!Y22/$D85</x:f>
        <x:v>0</x:v>
      </x:c>
      <x:c r="F85" s="12" t="n">
        <x:f>'全部组合'!Z22/$D85</x:f>
        <x:v>0.032678745241987224</x:v>
      </x:c>
      <x:c r="G85" s="12" t="n">
        <x:f>'全部组合'!AA22/$D85</x:f>
        <x:v>0.29929800096755443</x:v>
      </x:c>
      <x:c r="H85" s="12" t="n">
        <x:f>'全部组合'!AB22/$D85</x:f>
        <x:v>0.35719116857141864</x:v>
      </x:c>
      <x:c r="I85" s="12" t="n">
        <x:f>'全部组合'!AC22/$D85</x:f>
        <x:v>0.22829528276604558</x:v>
      </x:c>
      <x:c r="J85" s="12" t="n">
        <x:f>'全部组合'!AD22/$D85</x:f>
        <x:v>0.08253680245299413</x:v>
      </x:c>
      <x:c r="K85" s="12" t="n">
        <x:f>'全部组合'!AE22/$D85</x:f>
        <x:v>0</x:v>
      </x:c>
      <x:c r="L85" s="12" t="n">
        <x:f>'全部组合'!AF22/$D85</x:f>
        <x:v>0</x:v>
      </x:c>
      <x:c r="M85" s="12" t="n">
        <x:f>'全部组合'!AG22/$D85</x:f>
        <x:v>0</x:v>
      </x:c>
      <x:c r="N85" s="13" t="n">
        <x:f>'全部组合'!AH22/$D85</x:f>
        <x:v>0</x:v>
      </x:c>
    </x:row>
    <x:row r="86" ht="23" customHeight="1">
      <x:c r="A86" s="10" t="str">
        <x:v>M1</x:v>
      </x:c>
      <x:c r="B86" s="10" t="str">
        <x:v>CG_H1</x:v>
      </x:c>
      <x:c r="C86" s="9" t="str">
        <x:v>节点</x:v>
      </x:c>
      <x:c r="D86" s="11" t="n">
        <x:f>'全部组合'!D23</x:f>
        <x:v>1167</x:v>
      </x:c>
      <x:c r="E86" s="12" t="n">
        <x:f>'全部组合'!O23/$D86</x:f>
        <x:v>0</x:v>
      </x:c>
      <x:c r="F86" s="12" t="n">
        <x:f>'全部组合'!P23/$D86</x:f>
        <x:v>0.10968294772922023</x:v>
      </x:c>
      <x:c r="G86" s="12" t="n">
        <x:f>'全部组合'!Q23/$D86</x:f>
        <x:v>0.36503856041131105</x:v>
      </x:c>
      <x:c r="H86" s="12" t="n">
        <x:f>'全部组合'!R23/$D86</x:f>
        <x:v>0.2810625535561268</x:v>
      </x:c>
      <x:c r="I86" s="12" t="n">
        <x:f>'全部组合'!S23/$D86</x:f>
        <x:v>0.1790916880891174</x:v>
      </x:c>
      <x:c r="J86" s="12" t="n">
        <x:f>'全部组合'!T23/$D86</x:f>
        <x:v>0.06512425021422451</x:v>
      </x:c>
      <x:c r="K86" s="12" t="n">
        <x:f>'全部组合'!U23/$D86</x:f>
        <x:v>0</x:v>
      </x:c>
      <x:c r="L86" s="12" t="n">
        <x:f>'全部组合'!V23/$D86</x:f>
        <x:v>0</x:v>
      </x:c>
      <x:c r="M86" s="12" t="n">
        <x:f>'全部组合'!W23/$D86</x:f>
        <x:v>0</x:v>
      </x:c>
      <x:c r="N86" s="13" t="n">
        <x:f>'全部组合'!X23/$D86</x:f>
        <x:v>0</x:v>
      </x:c>
    </x:row>
    <x:row r="87" ht="23" customHeight="1">
      <x:c r="A87" s="10" t="str">
        <x:v>M1</x:v>
      </x:c>
      <x:c r="B87" s="10" t="str">
        <x:v>CG_H1</x:v>
      </x:c>
      <x:c r="C87" s="9" t="str">
        <x:v>源三角形</x:v>
      </x:c>
      <x:c r="D87" s="11" t="n">
        <x:f>'全部组合'!I23</x:f>
        <x:v>1723934</x:v>
      </x:c>
      <x:c r="E87" s="12" t="n">
        <x:f>'全部组合'!Y23/$D87</x:f>
        <x:v>0</x:v>
      </x:c>
      <x:c r="F87" s="12" t="n">
        <x:f>'全部组合'!Z23/$D87</x:f>
        <x:v>0.032678745241987224</x:v>
      </x:c>
      <x:c r="G87" s="12" t="n">
        <x:f>'全部组合'!AA23/$D87</x:f>
        <x:v>0.29929800096755443</x:v>
      </x:c>
      <x:c r="H87" s="12" t="n">
        <x:f>'全部组合'!AB23/$D87</x:f>
        <x:v>0.35719116857141864</x:v>
      </x:c>
      <x:c r="I87" s="12" t="n">
        <x:f>'全部组合'!AC23/$D87</x:f>
        <x:v>0.22829528276604558</x:v>
      </x:c>
      <x:c r="J87" s="12" t="n">
        <x:f>'全部组合'!AD23/$D87</x:f>
        <x:v>0.08253680245299413</x:v>
      </x:c>
      <x:c r="K87" s="12" t="n">
        <x:f>'全部组合'!AE23/$D87</x:f>
        <x:v>0</x:v>
      </x:c>
      <x:c r="L87" s="12" t="n">
        <x:f>'全部组合'!AF23/$D87</x:f>
        <x:v>0</x:v>
      </x:c>
      <x:c r="M87" s="12" t="n">
        <x:f>'全部组合'!AG23/$D87</x:f>
        <x:v>0</x:v>
      </x:c>
      <x:c r="N87" s="13" t="n">
        <x:f>'全部组合'!AH23/$D87</x:f>
        <x:v>0</x:v>
      </x:c>
    </x:row>
    <x:row r="88" ht="23" customHeight="1">
      <x:c r="A88" s="10" t="str">
        <x:v>M1</x:v>
      </x:c>
      <x:c r="B88" s="10" t="str">
        <x:v>NCG_H0</x:v>
      </x:c>
      <x:c r="C88" s="9" t="str">
        <x:v>节点</x:v>
      </x:c>
      <x:c r="D88" s="11" t="n">
        <x:f>'全部组合'!D24</x:f>
        <x:v>1167</x:v>
      </x:c>
      <x:c r="E88" s="12" t="n">
        <x:f>'全部组合'!O24/$D88</x:f>
        <x:v>0</x:v>
      </x:c>
      <x:c r="F88" s="12" t="n">
        <x:f>'全部组合'!P24/$D88</x:f>
        <x:v>0.08140531276778064</x:v>
      </x:c>
      <x:c r="G88" s="12" t="n">
        <x:f>'全部组合'!Q24/$D88</x:f>
        <x:v>0.41645244215938304</x:v>
      </x:c>
      <x:c r="H88" s="12" t="n">
        <x:f>'全部组合'!R24/$D88</x:f>
        <x:v>0.23736075407026563</x:v>
      </x:c>
      <x:c r="I88" s="12" t="n">
        <x:f>'全部组合'!S24/$D88</x:f>
        <x:v>0.17737789203084833</x:v>
      </x:c>
      <x:c r="J88" s="12" t="n">
        <x:f>'全部组合'!T24/$D88</x:f>
        <x:v>0.06683804627249357</x:v>
      </x:c>
      <x:c r="K88" s="12" t="n">
        <x:f>'全部组合'!U24/$D88</x:f>
        <x:v>0.003427592116538132</x:v>
      </x:c>
      <x:c r="L88" s="12" t="n">
        <x:f>'全部组合'!V24/$D88</x:f>
        <x:v>0.010282776349614395</x:v>
      </x:c>
      <x:c r="M88" s="12" t="n">
        <x:f>'全部组合'!W24/$D88</x:f>
        <x:v>0.006855184233076264</x:v>
      </x:c>
      <x:c r="N88" s="13" t="n">
        <x:f>'全部组合'!X24/$D88</x:f>
        <x:v>0</x:v>
      </x:c>
    </x:row>
    <x:row r="89" ht="23" customHeight="1">
      <x:c r="A89" s="10" t="str">
        <x:v>M1</x:v>
      </x:c>
      <x:c r="B89" s="10" t="str">
        <x:v>NCG_H0</x:v>
      </x:c>
      <x:c r="C89" s="9" t="str">
        <x:v>源三角形</x:v>
      </x:c>
      <x:c r="D89" s="11" t="n">
        <x:f>'全部组合'!I24</x:f>
        <x:v>1723934</x:v>
      </x:c>
      <x:c r="E89" s="12" t="n">
        <x:f>'全部组合'!Y24/$D89</x:f>
        <x:v>0</x:v>
      </x:c>
      <x:c r="F89" s="12" t="n">
        <x:f>'全部组合'!Z24/$D89</x:f>
        <x:v>0.028473247815751647</x:v>
      </x:c>
      <x:c r="G89" s="12" t="n">
        <x:f>'全部组合'!AA24/$D89</x:f>
        <x:v>0.32055055471961225</x:v>
      </x:c>
      <x:c r="H89" s="12" t="n">
        <x:f>'全部组合'!AB24/$D89</x:f>
        <x:v>0.3021275756496478</x:v>
      </x:c>
      <x:c r="I89" s="12" t="n">
        <x:f>'全部组合'!AC24/$D89</x:f>
        <x:v>0.23038120948945842</x:v>
      </x:c>
      <x:c r="J89" s="12" t="n">
        <x:f>'全部组合'!AD24/$D89</x:f>
        <x:v>0.08181751737595523</x:v>
      </x:c>
      <x:c r="K89" s="12" t="n">
        <x:f>'全部组合'!AE24/$D89</x:f>
        <x:v>0.0035453793474692187</x:v>
      </x:c>
      <x:c r="L89" s="12" t="n">
        <x:f>'全部组合'!AF24/$D89</x:f>
        <x:v>0.025746925346329965</x:v>
      </x:c>
      <x:c r="M89" s="12" t="n">
        <x:f>'全部组合'!AG24/$D89</x:f>
        <x:v>0.007357590255775453</x:v>
      </x:c>
      <x:c r="N89" s="13" t="n">
        <x:f>'全部组合'!AH24/$D89</x:f>
        <x:v>0</x:v>
      </x:c>
    </x:row>
    <x:row r="90" ht="23" customHeight="1">
      <x:c r="A90" s="10" t="str">
        <x:v>M1</x:v>
      </x:c>
      <x:c r="B90" s="10" t="str">
        <x:v>NCG_HT</x:v>
      </x:c>
      <x:c r="C90" s="9" t="str">
        <x:v>节点</x:v>
      </x:c>
      <x:c r="D90" s="11" t="n">
        <x:f>'全部组合'!D25</x:f>
        <x:v>1167</x:v>
      </x:c>
      <x:c r="E90" s="12" t="n">
        <x:f>'全部组合'!O25/$D90</x:f>
        <x:v>0</x:v>
      </x:c>
      <x:c r="F90" s="12" t="n">
        <x:f>'全部组合'!P25/$D90</x:f>
        <x:v>0.08140531276778064</x:v>
      </x:c>
      <x:c r="G90" s="12" t="n">
        <x:f>'全部组合'!Q25/$D90</x:f>
        <x:v>0.35904027420736934</x:v>
      </x:c>
      <x:c r="H90" s="12" t="n">
        <x:f>'全部组合'!R25/$D90</x:f>
        <x:v>0.29220222793487577</x:v>
      </x:c>
      <x:c r="I90" s="12" t="n">
        <x:f>'全部组合'!S25/$D90</x:f>
        <x:v>0.17737789203084833</x:v>
      </x:c>
      <x:c r="J90" s="12" t="n">
        <x:f>'全部组合'!T25/$D90</x:f>
        <x:v>0.06940874035989718</x:v>
      </x:c>
      <x:c r="K90" s="12" t="n">
        <x:f>'全部组合'!U25/$D90</x:f>
        <x:v>0.003427592116538132</x:v>
      </x:c>
      <x:c r="L90" s="12" t="n">
        <x:f>'全部组合'!V25/$D90</x:f>
        <x:v>0.010282776349614395</x:v>
      </x:c>
      <x:c r="M90" s="12" t="n">
        <x:f>'全部组合'!W25/$D90</x:f>
        <x:v>0.006855184233076264</x:v>
      </x:c>
      <x:c r="N90" s="13" t="n">
        <x:f>'全部组合'!X25/$D90</x:f>
        <x:v>0</x:v>
      </x:c>
    </x:row>
    <x:row r="91" ht="23" customHeight="1">
      <x:c r="A91" s="10" t="str">
        <x:v>M1</x:v>
      </x:c>
      <x:c r="B91" s="10" t="str">
        <x:v>NCG_HT</x:v>
      </x:c>
      <x:c r="C91" s="9" t="str">
        <x:v>源三角形</x:v>
      </x:c>
      <x:c r="D91" s="11" t="n">
        <x:f>'全部组合'!I25</x:f>
        <x:v>1723934</x:v>
      </x:c>
      <x:c r="E91" s="12" t="n">
        <x:f>'全部组合'!Y25/$D91</x:f>
        <x:v>0</x:v>
      </x:c>
      <x:c r="F91" s="12" t="n">
        <x:f>'全部组合'!Z25/$D91</x:f>
        <x:v>0.028473247815751647</x:v>
      </x:c>
      <x:c r="G91" s="12" t="n">
        <x:f>'全部组合'!AA25/$D91</x:f>
        <x:v>0.2737796226537675</x:v>
      </x:c>
      <x:c r="H91" s="12" t="n">
        <x:f>'全部组合'!AB25/$D91</x:f>
        <x:v>0.34685434593203684</x:v>
      </x:c>
      <x:c r="I91" s="12" t="n">
        <x:f>'全部组合'!AC25/$D91</x:f>
        <x:v>0.2303928108616687</x:v>
      </x:c>
      <x:c r="J91" s="12" t="n">
        <x:f>'全部组合'!AD25/$D91</x:f>
        <x:v>0.08385007778720067</x:v>
      </x:c>
      <x:c r="K91" s="12" t="n">
        <x:f>'全部组合'!AE25/$D91</x:f>
        <x:v>0.0035453793474692187</x:v>
      </x:c>
      <x:c r="L91" s="12" t="n">
        <x:f>'全部组合'!AF25/$D91</x:f>
        <x:v>0.025746925346329965</x:v>
      </x:c>
      <x:c r="M91" s="12" t="n">
        <x:f>'全部组合'!AG25/$D91</x:f>
        <x:v>0.007357590255775453</x:v>
      </x:c>
      <x:c r="N91" s="13" t="n">
        <x:f>'全部组合'!AH25/$D91</x:f>
        <x:v>0</x:v>
      </x:c>
    </x:row>
    <x:row r="92" ht="23" customHeight="1">
      <x:c r="A92" s="10" t="str">
        <x:v>M1</x:v>
      </x:c>
      <x:c r="B92" s="10" t="str">
        <x:v>NCG_H1</x:v>
      </x:c>
      <x:c r="C92" s="9" t="str">
        <x:v>节点</x:v>
      </x:c>
      <x:c r="D92" s="11" t="n">
        <x:f>'全部组合'!D26</x:f>
        <x:v>1167</x:v>
      </x:c>
      <x:c r="E92" s="12" t="n">
        <x:f>'全部组合'!O26/$D92</x:f>
        <x:v>0</x:v>
      </x:c>
      <x:c r="F92" s="12" t="n">
        <x:f>'全部组合'!P26/$D92</x:f>
        <x:v>0.08140531276778064</x:v>
      </x:c>
      <x:c r="G92" s="12" t="n">
        <x:f>'全部组合'!Q26/$D92</x:f>
        <x:v>0.35389888603256214</x:v>
      </x:c>
      <x:c r="H92" s="12" t="n">
        <x:f>'全部组合'!R26/$D92</x:f>
        <x:v>0.29220222793487577</x:v>
      </x:c>
      <x:c r="I92" s="12" t="n">
        <x:f>'全部组合'!S26/$D92</x:f>
        <x:v>0.17737789203084833</x:v>
      </x:c>
      <x:c r="J92" s="12" t="n">
        <x:f>'全部组合'!T26/$D92</x:f>
        <x:v>0.07369323050556983</x:v>
      </x:c>
      <x:c r="K92" s="12" t="n">
        <x:f>'全部组合'!U26/$D92</x:f>
        <x:v>0.004284490145672665</x:v>
      </x:c>
      <x:c r="L92" s="12" t="n">
        <x:f>'全部组合'!V26/$D92</x:f>
        <x:v>0.010282776349614395</x:v>
      </x:c>
      <x:c r="M92" s="12" t="n">
        <x:f>'全部组合'!W26/$D92</x:f>
        <x:v>0.006855184233076264</x:v>
      </x:c>
      <x:c r="N92" s="13" t="n">
        <x:f>'全部组合'!X26/$D92</x:f>
        <x:v>0</x:v>
      </x:c>
    </x:row>
    <x:row r="93" ht="23" customHeight="1">
      <x:c r="A93" s="10" t="str">
        <x:v>M1</x:v>
      </x:c>
      <x:c r="B93" s="10" t="str">
        <x:v>NCG_H1</x:v>
      </x:c>
      <x:c r="C93" s="9" t="str">
        <x:v>源三角形</x:v>
      </x:c>
      <x:c r="D93" s="11" t="n">
        <x:f>'全部组合'!I26</x:f>
        <x:v>1723934</x:v>
      </x:c>
      <x:c r="E93" s="12" t="n">
        <x:f>'全部组合'!Y26/$D93</x:f>
        <x:v>0</x:v>
      </x:c>
      <x:c r="F93" s="12" t="n">
        <x:f>'全部组合'!Z26/$D93</x:f>
        <x:v>0.028473247815751647</x:v>
      </x:c>
      <x:c r="G93" s="12" t="n">
        <x:f>'全部组合'!AA26/$D93</x:f>
        <x:v>0.2721971954842819</x:v>
      </x:c>
      <x:c r="H93" s="12" t="n">
        <x:f>'全部组合'!AB26/$D93</x:f>
        <x:v>0.34685434593203684</x:v>
      </x:c>
      <x:c r="I93" s="12" t="n">
        <x:f>'全部组合'!AC26/$D93</x:f>
        <x:v>0.2303928108616687</x:v>
      </x:c>
      <x:c r="J93" s="12" t="n">
        <x:f>'全部组合'!AD26/$D93</x:f>
        <x:v>0.08491508375610667</x:v>
      </x:c>
      <x:c r="K93" s="12" t="n">
        <x:f>'全部组合'!AE26/$D93</x:f>
        <x:v>0.004062800548048823</x:v>
      </x:c>
      <x:c r="L93" s="12" t="n">
        <x:f>'全部组合'!AF26/$D93</x:f>
        <x:v>0.025746925346329965</x:v>
      </x:c>
      <x:c r="M93" s="12" t="n">
        <x:f>'全部组合'!AG26/$D93</x:f>
        <x:v>0.007357590255775453</x:v>
      </x:c>
      <x:c r="N93" s="13" t="n">
        <x:f>'全部组合'!AH26/$D93</x:f>
        <x:v>0</x:v>
      </x:c>
    </x:row>
    <x:row r="94" ht="23" customHeight="1">
      <x:c r="A94" s="10" t="str">
        <x:v>M1</x:v>
      </x:c>
      <x:c r="B94" s="10" t="str">
        <x:v>NCG_H0_M1</x:v>
      </x:c>
      <x:c r="C94" s="9" t="str">
        <x:v>节点</x:v>
      </x:c>
      <x:c r="D94" s="11" t="n">
        <x:f>'全部组合'!D27</x:f>
        <x:v>1167</x:v>
      </x:c>
      <x:c r="E94" s="12" t="n">
        <x:f>'全部组合'!O27/$D94</x:f>
        <x:v>0</x:v>
      </x:c>
      <x:c r="F94" s="12" t="n">
        <x:f>'全部组合'!P27/$D94</x:f>
        <x:v>0.0779777206512425</x:v>
      </x:c>
      <x:c r="G94" s="12" t="n">
        <x:f>'全部组合'!Q27/$D94</x:f>
        <x:v>0.37703513281919454</x:v>
      </x:c>
      <x:c r="H94" s="12" t="n">
        <x:f>'全部组合'!R27/$D94</x:f>
        <x:v>0.23307626392459296</x:v>
      </x:c>
      <x:c r="I94" s="12" t="n">
        <x:f>'全部组合'!S27/$D94</x:f>
        <x:v>0.17309340188517566</x:v>
      </x:c>
      <x:c r="J94" s="12" t="n">
        <x:f>'全部组合'!T27/$D94</x:f>
        <x:v>0.06426735218508997</x:v>
      </x:c>
      <x:c r="K94" s="12" t="n">
        <x:f>'全部组合'!U27/$D94</x:f>
        <x:v>0.006855184233076264</x:v>
      </x:c>
      <x:c r="L94" s="12" t="n">
        <x:f>'全部组合'!V27/$D94</x:f>
        <x:v>0.022279348757497857</x:v>
      </x:c>
      <x:c r="M94" s="12" t="n">
        <x:f>'全部组合'!W27/$D94</x:f>
        <x:v>0.04198800342759212</x:v>
      </x:c>
      <x:c r="N94" s="13" t="n">
        <x:f>'全部组合'!X27/$D94</x:f>
        <x:v>0.003427592116538132</x:v>
      </x:c>
    </x:row>
    <x:row r="95" ht="23" customHeight="1">
      <x:c r="A95" s="10" t="str">
        <x:v>M1</x:v>
      </x:c>
      <x:c r="B95" s="10" t="str">
        <x:v>NCG_H0_M1</x:v>
      </x:c>
      <x:c r="C95" s="9" t="str">
        <x:v>源三角形</x:v>
      </x:c>
      <x:c r="D95" s="11" t="n">
        <x:f>'全部组合'!I27</x:f>
        <x:v>1723934</x:v>
      </x:c>
      <x:c r="E95" s="12" t="n">
        <x:f>'全部组合'!Y27/$D95</x:f>
        <x:v>0</x:v>
      </x:c>
      <x:c r="F95" s="12" t="n">
        <x:f>'全部组合'!Z27/$D95</x:f>
        <x:v>0.02707644260163092</x:v>
      </x:c>
      <x:c r="G95" s="12" t="n">
        <x:f>'全部组合'!AA27/$D95</x:f>
        <x:v>0.27028180893236053</x:v>
      </x:c>
      <x:c r="H95" s="12" t="n">
        <x:f>'全部组合'!AB27/$D95</x:f>
        <x:v>0.29948478306014037</x:v>
      </x:c>
      <x:c r="I95" s="12" t="n">
        <x:f>'全部组合'!AC27/$D95</x:f>
        <x:v>0.22820247178836311</x:v>
      </x:c>
      <x:c r="J95" s="12" t="n">
        <x:f>'全部组合'!AD27/$D95</x:f>
        <x:v>0.07811899991530999</x:v>
      </x:c>
      <x:c r="K95" s="12" t="n">
        <x:f>'全部组合'!AE27/$D95</x:f>
        <x:v>0.0054015989011180245</x:v>
      </x:c>
      <x:c r="L95" s="12" t="n">
        <x:f>'全部组合'!AF27/$D95</x:f>
        <x:v>0.03690744541264341</x:v>
      </x:c>
      <x:c r="M95" s="12" t="n">
        <x:f>'全部组合'!AG27/$D95</x:f>
        <x:v>0.050674793814612394</x:v>
      </x:c>
      <x:c r="N95" s="13" t="n">
        <x:f>'全部组合'!AH27/$D95</x:f>
        <x:v>0.0038516555738212716</x:v>
      </x:c>
    </x:row>
    <x:row r="96" ht="23" customHeight="1">
      <x:c r="A96" s="10" t="str">
        <x:v>M1</x:v>
      </x:c>
      <x:c r="B96" s="10" t="str">
        <x:v>NCG_H1_M1</x:v>
      </x:c>
      <x:c r="C96" s="9" t="str">
        <x:v>节点</x:v>
      </x:c>
      <x:c r="D96" s="11" t="n">
        <x:f>'全部组合'!D28</x:f>
        <x:v>1167</x:v>
      </x:c>
      <x:c r="E96" s="12" t="n">
        <x:f>'全部组合'!O28/$D96</x:f>
        <x:v>0</x:v>
      </x:c>
      <x:c r="F96" s="12" t="n">
        <x:f>'全部组合'!P28/$D96</x:f>
        <x:v>0.0779777206512425</x:v>
      </x:c>
      <x:c r="G96" s="12" t="n">
        <x:f>'全部组合'!Q28/$D96</x:f>
        <x:v>0.3101970865467009</x:v>
      </x:c>
      <x:c r="H96" s="12" t="n">
        <x:f>'全部组合'!R28/$D96</x:f>
        <x:v>0.2707797772065124</x:v>
      </x:c>
      <x:c r="I96" s="12" t="n">
        <x:f>'全部组合'!S28/$D96</x:f>
        <x:v>0.17566409597257926</x:v>
      </x:c>
      <x:c r="J96" s="12" t="n">
        <x:f>'全部组合'!T28/$D96</x:f>
        <x:v>0.08740359897172237</x:v>
      </x:c>
      <x:c r="K96" s="12" t="n">
        <x:f>'全部组合'!U28/$D96</x:f>
        <x:v>0.010282776349614395</x:v>
      </x:c>
      <x:c r="L96" s="12" t="n">
        <x:f>'全部组合'!V28/$D96</x:f>
        <x:v>0.022279348757497857</x:v>
      </x:c>
      <x:c r="M96" s="12" t="n">
        <x:f>'全部组合'!W28/$D96</x:f>
        <x:v>0.04198800342759212</x:v>
      </x:c>
      <x:c r="N96" s="13" t="n">
        <x:f>'全部组合'!X28/$D96</x:f>
        <x:v>0.003427592116538132</x:v>
      </x:c>
    </x:row>
    <x:row r="97" ht="23" customHeight="1">
      <x:c r="A97" s="10" t="str">
        <x:v>M1</x:v>
      </x:c>
      <x:c r="B97" s="10" t="str">
        <x:v>NCG_H1_M1</x:v>
      </x:c>
      <x:c r="C97" s="9" t="str">
        <x:v>源三角形</x:v>
      </x:c>
      <x:c r="D97" s="11" t="n">
        <x:f>'全部组合'!I28</x:f>
        <x:v>1723934</x:v>
      </x:c>
      <x:c r="E97" s="12" t="n">
        <x:f>'全部组合'!Y28/$D97</x:f>
        <x:v>0</x:v>
      </x:c>
      <x:c r="F97" s="12" t="n">
        <x:f>'全部组合'!Z28/$D97</x:f>
        <x:v>0.02707644260163092</x:v>
      </x:c>
      <x:c r="G97" s="12" t="n">
        <x:f>'全部组合'!AA28/$D97</x:f>
        <x:v>0.2189863417044968</x:v>
      </x:c>
      <x:c r="H97" s="12" t="n">
        <x:f>'全部组合'!AB28/$D97</x:f>
        <x:v>0.3303873582167299</x:v>
      </x:c>
      <x:c r="I97" s="12" t="n">
        <x:f>'全部组合'!AC28/$D97</x:f>
        <x:v>0.23024663357181888</x:v>
      </x:c>
      <x:c r="J97" s="12" t="n">
        <x:f>'全部组合'!AD28/$D97</x:f>
        <x:v>0.09455814433731222</x:v>
      </x:c>
      <x:c r="K97" s="12" t="n">
        <x:f>'全部组合'!AE28/$D97</x:f>
        <x:v>0.007311184766934233</x:v>
      </x:c>
      <x:c r="L97" s="12" t="n">
        <x:f>'全部组合'!AF28/$D97</x:f>
        <x:v>0.03690744541264341</x:v>
      </x:c>
      <x:c r="M97" s="12" t="n">
        <x:f>'全部组合'!AG28/$D97</x:f>
        <x:v>0.050674793814612394</x:v>
      </x:c>
      <x:c r="N97" s="13" t="n">
        <x:f>'全部组合'!AH28/$D97</x:f>
        <x:v>0.0038516555738212716</x:v>
      </x:c>
    </x:row>
    <x:row r="98" ht="23" customHeight="1">
      <x:c r="A98" s="10" t="str">
        <x:v>M2</x:v>
      </x:c>
      <x:c r="B98" s="10" t="str">
        <x:v>N_H0</x:v>
      </x:c>
      <x:c r="C98" s="9" t="str">
        <x:v>节点</x:v>
      </x:c>
      <x:c r="D98" s="11" t="n">
        <x:f>'全部组合'!D29</x:f>
        <x:v>1480</x:v>
      </x:c>
      <x:c r="E98" s="12" t="n">
        <x:f>'全部组合'!O29/$D98</x:f>
        <x:v>0</x:v>
      </x:c>
      <x:c r="F98" s="12" t="n">
        <x:f>'全部组合'!P29/$D98</x:f>
        <x:v>0.17567567567567569</x:v>
      </x:c>
      <x:c r="G98" s="12" t="n">
        <x:f>'全部组合'!Q29/$D98</x:f>
        <x:v>0.043243243243243246</x:v>
      </x:c>
      <x:c r="H98" s="12" t="n">
        <x:f>'全部组合'!R29/$D98</x:f>
        <x:v>0</x:v>
      </x:c>
      <x:c r="I98" s="12" t="n">
        <x:f>'全部组合'!S29/$D98</x:f>
        <x:v>0.7006756756756757</x:v>
      </x:c>
      <x:c r="J98" s="12" t="n">
        <x:f>'全部组合'!T29/$D98</x:f>
        <x:v>0</x:v>
      </x:c>
      <x:c r="K98" s="12" t="n">
        <x:f>'全部组合'!U29/$D98</x:f>
        <x:v>0.004054054054054054</x:v>
      </x:c>
      <x:c r="L98" s="12" t="n">
        <x:f>'全部组合'!V29/$D98</x:f>
        <x:v>0.008108108108108109</x:v>
      </x:c>
      <x:c r="M98" s="12" t="n">
        <x:f>'全部组合'!W29/$D98</x:f>
        <x:v>0.06824324324324324</x:v>
      </x:c>
      <x:c r="N98" s="13" t="n">
        <x:f>'全部组合'!X29/$D98</x:f>
        <x:v>0</x:v>
      </x:c>
    </x:row>
    <x:row r="99" ht="23" customHeight="1">
      <x:c r="A99" s="10" t="str">
        <x:v>M2</x:v>
      </x:c>
      <x:c r="B99" s="10" t="str">
        <x:v>N_H0</x:v>
      </x:c>
      <x:c r="C99" s="9" t="str">
        <x:v>源三角形</x:v>
      </x:c>
      <x:c r="D99" s="11" t="n">
        <x:f>'全部组合'!I29</x:f>
        <x:v>2911273</x:v>
      </x:c>
      <x:c r="E99" s="12" t="n">
        <x:f>'全部组合'!Y29/$D99</x:f>
        <x:v>0</x:v>
      </x:c>
      <x:c r="F99" s="12" t="n">
        <x:f>'全部组合'!Z29/$D99</x:f>
        <x:v>0.026362350765455525</x:v>
      </x:c>
      <x:c r="G99" s="12" t="n">
        <x:f>'全部组合'!AA29/$D99</x:f>
        <x:v>0.01598166850034332</x:v>
      </x:c>
      <x:c r="H99" s="12" t="n">
        <x:f>'全部组合'!AB29/$D99</x:f>
        <x:v>0</x:v>
      </x:c>
      <x:c r="I99" s="12" t="n">
        <x:f>'全部组合'!AC29/$D99</x:f>
        <x:v>0.22361832778993931</x:v>
      </x:c>
      <x:c r="J99" s="12" t="n">
        <x:f>'全部组合'!AD29/$D99</x:f>
        <x:v>0</x:v>
      </x:c>
      <x:c r="K99" s="12" t="n">
        <x:f>'全部组合'!AE29/$D99</x:f>
        <x:v>0.001829440248303749</x:v>
      </x:c>
      <x:c r="L99" s="12" t="n">
        <x:f>'全部组合'!AF29/$D99</x:f>
        <x:v>0.0025871843691745843</x:v>
      </x:c>
      <x:c r="M99" s="12" t="n">
        <x:f>'全部组合'!AG29/$D99</x:f>
        <x:v>0.7296210283267835</x:v>
      </x:c>
      <x:c r="N99" s="13" t="n">
        <x:f>'全部组合'!AH29/$D99</x:f>
        <x:v>0</x:v>
      </x:c>
    </x:row>
    <x:row r="100" ht="23" customHeight="1">
      <x:c r="A100" s="10" t="str">
        <x:v>M2</x:v>
      </x:c>
      <x:c r="B100" s="10" t="str">
        <x:v>N_HT</x:v>
      </x:c>
      <x:c r="C100" s="9" t="str">
        <x:v>节点</x:v>
      </x:c>
      <x:c r="D100" s="11" t="n">
        <x:f>'全部组合'!D30</x:f>
        <x:v>1480</x:v>
      </x:c>
      <x:c r="E100" s="12" t="n">
        <x:f>'全部组合'!O30/$D100</x:f>
        <x:v>0</x:v>
      </x:c>
      <x:c r="F100" s="12" t="n">
        <x:f>'全部组合'!P30/$D100</x:f>
        <x:v>0.17567567567567569</x:v>
      </x:c>
      <x:c r="G100" s="12" t="n">
        <x:f>'全部组合'!Q30/$D100</x:f>
        <x:v>0.043243243243243246</x:v>
      </x:c>
      <x:c r="H100" s="12" t="n">
        <x:f>'全部组合'!R30/$D100</x:f>
        <x:v>0</x:v>
      </x:c>
      <x:c r="I100" s="12" t="n">
        <x:f>'全部组合'!S30/$D100</x:f>
        <x:v>0.7006756756756757</x:v>
      </x:c>
      <x:c r="J100" s="12" t="n">
        <x:f>'全部组合'!T30/$D100</x:f>
        <x:v>0</x:v>
      </x:c>
      <x:c r="K100" s="12" t="n">
        <x:f>'全部组合'!U30/$D100</x:f>
        <x:v>0.004054054054054054</x:v>
      </x:c>
      <x:c r="L100" s="12" t="n">
        <x:f>'全部组合'!V30/$D100</x:f>
        <x:v>0.008108108108108109</x:v>
      </x:c>
      <x:c r="M100" s="12" t="n">
        <x:f>'全部组合'!W30/$D100</x:f>
        <x:v>0.06824324324324324</x:v>
      </x:c>
      <x:c r="N100" s="13" t="n">
        <x:f>'全部组合'!X30/$D100</x:f>
        <x:v>0</x:v>
      </x:c>
    </x:row>
    <x:row r="101" ht="23" customHeight="1">
      <x:c r="A101" s="10" t="str">
        <x:v>M2</x:v>
      </x:c>
      <x:c r="B101" s="10" t="str">
        <x:v>N_HT</x:v>
      </x:c>
      <x:c r="C101" s="9" t="str">
        <x:v>源三角形</x:v>
      </x:c>
      <x:c r="D101" s="11" t="n">
        <x:f>'全部组合'!I30</x:f>
        <x:v>2911273</x:v>
      </x:c>
      <x:c r="E101" s="12" t="n">
        <x:f>'全部组合'!Y30/$D101</x:f>
        <x:v>0</x:v>
      </x:c>
      <x:c r="F101" s="12" t="n">
        <x:f>'全部组合'!Z30/$D101</x:f>
        <x:v>0.026362350765455525</x:v>
      </x:c>
      <x:c r="G101" s="12" t="n">
        <x:f>'全部组合'!AA30/$D101</x:f>
        <x:v>0.01598166850034332</x:v>
      </x:c>
      <x:c r="H101" s="12" t="n">
        <x:f>'全部组合'!AB30/$D101</x:f>
        <x:v>0</x:v>
      </x:c>
      <x:c r="I101" s="12" t="n">
        <x:f>'全部组合'!AC30/$D101</x:f>
        <x:v>0.22361832778993931</x:v>
      </x:c>
      <x:c r="J101" s="12" t="n">
        <x:f>'全部组合'!AD30/$D101</x:f>
        <x:v>0</x:v>
      </x:c>
      <x:c r="K101" s="12" t="n">
        <x:f>'全部组合'!AE30/$D101</x:f>
        <x:v>0.001829440248303749</x:v>
      </x:c>
      <x:c r="L101" s="12" t="n">
        <x:f>'全部组合'!AF30/$D101</x:f>
        <x:v>0.0025871843691745843</x:v>
      </x:c>
      <x:c r="M101" s="12" t="n">
        <x:f>'全部组合'!AG30/$D101</x:f>
        <x:v>0.7296210283267835</x:v>
      </x:c>
      <x:c r="N101" s="13" t="n">
        <x:f>'全部组合'!AH30/$D101</x:f>
        <x:v>0</x:v>
      </x:c>
    </x:row>
    <x:row r="102" ht="23" customHeight="1">
      <x:c r="A102" s="10" t="str">
        <x:v>M2</x:v>
      </x:c>
      <x:c r="B102" s="10" t="str">
        <x:v>N_H1</x:v>
      </x:c>
      <x:c r="C102" s="9" t="str">
        <x:v>节点</x:v>
      </x:c>
      <x:c r="D102" s="11" t="n">
        <x:f>'全部组合'!D31</x:f>
        <x:v>1480</x:v>
      </x:c>
      <x:c r="E102" s="12" t="n">
        <x:f>'全部组合'!O31/$D102</x:f>
        <x:v>0</x:v>
      </x:c>
      <x:c r="F102" s="12" t="n">
        <x:f>'全部组合'!P31/$D102</x:f>
        <x:v>0.1304054054054054</x:v>
      </x:c>
      <x:c r="G102" s="12" t="n">
        <x:f>'全部组合'!Q31/$D102</x:f>
        <x:v>0.00945945945945946</x:v>
      </x:c>
      <x:c r="H102" s="12" t="n">
        <x:f>'全部组合'!R31/$D102</x:f>
        <x:v>0</x:v>
      </x:c>
      <x:c r="I102" s="12" t="n">
        <x:f>'全部组合'!S31/$D102</x:f>
        <x:v>0.7006756756756757</x:v>
      </x:c>
      <x:c r="J102" s="12" t="n">
        <x:f>'全部组合'!T31/$D102</x:f>
        <x:v>0.03175675675675676</x:v>
      </x:c>
      <x:c r="K102" s="12" t="n">
        <x:f>'全部组合'!U31/$D102</x:f>
        <x:v>0.051351351351351354</x:v>
      </x:c>
      <x:c r="L102" s="12" t="n">
        <x:f>'全部组合'!V31/$D102</x:f>
        <x:v>0.008108108108108109</x:v>
      </x:c>
      <x:c r="M102" s="12" t="n">
        <x:f>'全部组合'!W31/$D102</x:f>
        <x:v>0.06824324324324324</x:v>
      </x:c>
      <x:c r="N102" s="13" t="n">
        <x:f>'全部组合'!X31/$D102</x:f>
        <x:v>0</x:v>
      </x:c>
    </x:row>
    <x:row r="103" ht="23" customHeight="1">
      <x:c r="A103" s="10" t="str">
        <x:v>M2</x:v>
      </x:c>
      <x:c r="B103" s="10" t="str">
        <x:v>N_H1</x:v>
      </x:c>
      <x:c r="C103" s="9" t="str">
        <x:v>源三角形</x:v>
      </x:c>
      <x:c r="D103" s="11" t="n">
        <x:f>'全部组合'!I31</x:f>
        <x:v>2911273</x:v>
      </x:c>
      <x:c r="E103" s="12" t="n">
        <x:f>'全部组合'!Y31/$D103</x:f>
        <x:v>0</x:v>
      </x:c>
      <x:c r="F103" s="12" t="n">
        <x:f>'全部组合'!Z31/$D103</x:f>
        <x:v>0.0223833354000123</x:v>
      </x:c>
      <x:c r="G103" s="12" t="n">
        <x:f>'全部组合'!AA31/$D103</x:f>
        <x:v>0.0033081748087520476</x:v>
      </x:c>
      <x:c r="H103" s="12" t="n">
        <x:f>'全部组合'!AB31/$D103</x:f>
        <x:v>0</x:v>
      </x:c>
      <x:c r="I103" s="12" t="n">
        <x:f>'全部组合'!AC31/$D103</x:f>
        <x:v>0.22361832778993931</x:v>
      </x:c>
      <x:c r="J103" s="12" t="n">
        <x:f>'全部组合'!AD31/$D103</x:f>
        <x:v>0.01174056847296698</x:v>
      </x:c>
      <x:c r="K103" s="12" t="n">
        <x:f>'全部组合'!AE31/$D103</x:f>
        <x:v>0.006741380832371268</x:v>
      </x:c>
      <x:c r="L103" s="12" t="n">
        <x:f>'全部组合'!AF31/$D103</x:f>
        <x:v>0.0025871843691745843</x:v>
      </x:c>
      <x:c r="M103" s="12" t="n">
        <x:f>'全部组合'!AG31/$D103</x:f>
        <x:v>0.7296210283267835</x:v>
      </x:c>
      <x:c r="N103" s="13" t="n">
        <x:f>'全部组合'!AH31/$D103</x:f>
        <x:v>0</x:v>
      </x:c>
    </x:row>
    <x:row r="104" ht="23" customHeight="1">
      <x:c r="A104" s="10" t="str">
        <x:v>M2</x:v>
      </x:c>
      <x:c r="B104" s="10" t="str">
        <x:v>C_H0</x:v>
      </x:c>
      <x:c r="C104" s="9" t="str">
        <x:v>节点</x:v>
      </x:c>
      <x:c r="D104" s="11" t="n">
        <x:f>'全部组合'!D32</x:f>
        <x:v>1480</x:v>
      </x:c>
      <x:c r="E104" s="12" t="n">
        <x:f>'全部组合'!O32/$D104</x:f>
        <x:v>0</x:v>
      </x:c>
      <x:c r="F104" s="12" t="n">
        <x:f>'全部组合'!P32/$D104</x:f>
        <x:v>0.37567567567567567</x:v>
      </x:c>
      <x:c r="G104" s="12" t="n">
        <x:f>'全部组合'!Q32/$D104</x:f>
        <x:v>0</x:v>
      </x:c>
      <x:c r="H104" s="12" t="n">
        <x:f>'全部组合'!R32/$D104</x:f>
        <x:v>0</x:v>
      </x:c>
      <x:c r="I104" s="12" t="n">
        <x:f>'全部组合'!S32/$D104</x:f>
        <x:v>0.6236486486486487</x:v>
      </x:c>
      <x:c r="J104" s="12" t="n">
        <x:f>'全部组合'!T32/$D104</x:f>
        <x:v>0</x:v>
      </x:c>
      <x:c r="K104" s="12" t="n">
        <x:f>'全部组合'!U32/$D104</x:f>
        <x:v>0</x:v>
      </x:c>
      <x:c r="L104" s="12" t="n">
        <x:f>'全部组合'!V32/$D104</x:f>
        <x:v>0</x:v>
      </x:c>
      <x:c r="M104" s="12" t="n">
        <x:f>'全部组合'!W32/$D104</x:f>
        <x:v>0.0006756756756756757</x:v>
      </x:c>
      <x:c r="N104" s="13" t="n">
        <x:f>'全部组合'!X32/$D104</x:f>
        <x:v>0</x:v>
      </x:c>
    </x:row>
    <x:row r="105" ht="23" customHeight="1">
      <x:c r="A105" s="10" t="str">
        <x:v>M2</x:v>
      </x:c>
      <x:c r="B105" s="10" t="str">
        <x:v>C_H0</x:v>
      </x:c>
      <x:c r="C105" s="9" t="str">
        <x:v>源三角形</x:v>
      </x:c>
      <x:c r="D105" s="11" t="n">
        <x:f>'全部组合'!I32</x:f>
        <x:v>2911273</x:v>
      </x:c>
      <x:c r="E105" s="12" t="n">
        <x:f>'全部组合'!Y32/$D105</x:f>
        <x:v>0</x:v>
      </x:c>
      <x:c r="F105" s="12" t="n">
        <x:f>'全部组合'!Z32/$D105</x:f>
        <x:v>0.772944344278259</x:v>
      </x:c>
      <x:c r="G105" s="12" t="n">
        <x:f>'全部组合'!AA32/$D105</x:f>
        <x:v>0</x:v>
      </x:c>
      <x:c r="H105" s="12" t="n">
        <x:f>'全部组合'!AB32/$D105</x:f>
        <x:v>0</x:v>
      </x:c>
      <x:c r="I105" s="12" t="n">
        <x:f>'全部组合'!AC32/$D105</x:f>
        <x:v>0.22676987008775887</x:v>
      </x:c>
      <x:c r="J105" s="12" t="n">
        <x:f>'全部组合'!AD32/$D105</x:f>
        <x:v>0</x:v>
      </x:c>
      <x:c r="K105" s="12" t="n">
        <x:f>'全部组合'!AE32/$D105</x:f>
        <x:v>0</x:v>
      </x:c>
      <x:c r="L105" s="12" t="n">
        <x:f>'全部组合'!AF32/$D105</x:f>
        <x:v>0</x:v>
      </x:c>
      <x:c r="M105" s="12" t="n">
        <x:f>'全部组合'!AG32/$D105</x:f>
        <x:v>0.00028578563398211023</x:v>
      </x:c>
      <x:c r="N105" s="13" t="n">
        <x:f>'全部组合'!AH32/$D105</x:f>
        <x:v>0</x:v>
      </x:c>
    </x:row>
    <x:row r="106" ht="23" customHeight="1">
      <x:c r="A106" s="10" t="str">
        <x:v>M2</x:v>
      </x:c>
      <x:c r="B106" s="10" t="str">
        <x:v>C_HT</x:v>
      </x:c>
      <x:c r="C106" s="9" t="str">
        <x:v>节点</x:v>
      </x:c>
      <x:c r="D106" s="11" t="n">
        <x:f>'全部组合'!D33</x:f>
        <x:v>1480</x:v>
      </x:c>
      <x:c r="E106" s="12" t="n">
        <x:f>'全部组合'!O33/$D106</x:f>
        <x:v>0</x:v>
      </x:c>
      <x:c r="F106" s="12" t="n">
        <x:f>'全部组合'!P33/$D106</x:f>
        <x:v>0.37567567567567567</x:v>
      </x:c>
      <x:c r="G106" s="12" t="n">
        <x:f>'全部组合'!Q33/$D106</x:f>
        <x:v>0</x:v>
      </x:c>
      <x:c r="H106" s="12" t="n">
        <x:f>'全部组合'!R33/$D106</x:f>
        <x:v>0</x:v>
      </x:c>
      <x:c r="I106" s="12" t="n">
        <x:f>'全部组合'!S33/$D106</x:f>
        <x:v>0.6236486486486487</x:v>
      </x:c>
      <x:c r="J106" s="12" t="n">
        <x:f>'全部组合'!T33/$D106</x:f>
        <x:v>0</x:v>
      </x:c>
      <x:c r="K106" s="12" t="n">
        <x:f>'全部组合'!U33/$D106</x:f>
        <x:v>0</x:v>
      </x:c>
      <x:c r="L106" s="12" t="n">
        <x:f>'全部组合'!V33/$D106</x:f>
        <x:v>0</x:v>
      </x:c>
      <x:c r="M106" s="12" t="n">
        <x:f>'全部组合'!W33/$D106</x:f>
        <x:v>0.0006756756756756757</x:v>
      </x:c>
      <x:c r="N106" s="13" t="n">
        <x:f>'全部组合'!X33/$D106</x:f>
        <x:v>0</x:v>
      </x:c>
    </x:row>
    <x:row r="107" ht="23" customHeight="1">
      <x:c r="A107" s="10" t="str">
        <x:v>M2</x:v>
      </x:c>
      <x:c r="B107" s="10" t="str">
        <x:v>C_HT</x:v>
      </x:c>
      <x:c r="C107" s="9" t="str">
        <x:v>源三角形</x:v>
      </x:c>
      <x:c r="D107" s="11" t="n">
        <x:f>'全部组合'!I33</x:f>
        <x:v>2911273</x:v>
      </x:c>
      <x:c r="E107" s="12" t="n">
        <x:f>'全部组合'!Y33/$D107</x:f>
        <x:v>0</x:v>
      </x:c>
      <x:c r="F107" s="12" t="n">
        <x:f>'全部组合'!Z33/$D107</x:f>
        <x:v>0.772944344278259</x:v>
      </x:c>
      <x:c r="G107" s="12" t="n">
        <x:f>'全部组合'!AA33/$D107</x:f>
        <x:v>0</x:v>
      </x:c>
      <x:c r="H107" s="12" t="n">
        <x:f>'全部组合'!AB33/$D107</x:f>
        <x:v>0</x:v>
      </x:c>
      <x:c r="I107" s="12" t="n">
        <x:f>'全部组合'!AC33/$D107</x:f>
        <x:v>0.22676987008775887</x:v>
      </x:c>
      <x:c r="J107" s="12" t="n">
        <x:f>'全部组合'!AD33/$D107</x:f>
        <x:v>0</x:v>
      </x:c>
      <x:c r="K107" s="12" t="n">
        <x:f>'全部组合'!AE33/$D107</x:f>
        <x:v>0</x:v>
      </x:c>
      <x:c r="L107" s="12" t="n">
        <x:f>'全部组合'!AF33/$D107</x:f>
        <x:v>0</x:v>
      </x:c>
      <x:c r="M107" s="12" t="n">
        <x:f>'全部组合'!AG33/$D107</x:f>
        <x:v>0.00028578563398211023</x:v>
      </x:c>
      <x:c r="N107" s="13" t="n">
        <x:f>'全部组合'!AH33/$D107</x:f>
        <x:v>0</x:v>
      </x:c>
    </x:row>
    <x:row r="108" ht="23" customHeight="1">
      <x:c r="A108" s="10" t="str">
        <x:v>M2</x:v>
      </x:c>
      <x:c r="B108" s="10" t="str">
        <x:v>C_H1</x:v>
      </x:c>
      <x:c r="C108" s="9" t="str">
        <x:v>节点</x:v>
      </x:c>
      <x:c r="D108" s="11" t="n">
        <x:f>'全部组合'!D34</x:f>
        <x:v>1480</x:v>
      </x:c>
      <x:c r="E108" s="12" t="n">
        <x:f>'全部组合'!O34/$D108</x:f>
        <x:v>0</x:v>
      </x:c>
      <x:c r="F108" s="12" t="n">
        <x:f>'全部组合'!P34/$D108</x:f>
        <x:v>0.3054054054054054</x:v>
      </x:c>
      <x:c r="G108" s="12" t="n">
        <x:f>'全部组合'!Q34/$D108</x:f>
        <x:v>0</x:v>
      </x:c>
      <x:c r="H108" s="12" t="n">
        <x:f>'全部组合'!R34/$D108</x:f>
        <x:v>0</x:v>
      </x:c>
      <x:c r="I108" s="12" t="n">
        <x:f>'全部组合'!S34/$D108</x:f>
        <x:v>0.6236486486486487</x:v>
      </x:c>
      <x:c r="J108" s="12" t="n">
        <x:f>'全部组合'!T34/$D108</x:f>
        <x:v>0</x:v>
      </x:c>
      <x:c r="K108" s="12" t="n">
        <x:f>'全部组合'!U34/$D108</x:f>
        <x:v>0.07027027027027027</x:v>
      </x:c>
      <x:c r="L108" s="12" t="n">
        <x:f>'全部组合'!V34/$D108</x:f>
        <x:v>0</x:v>
      </x:c>
      <x:c r="M108" s="12" t="n">
        <x:f>'全部组合'!W34/$D108</x:f>
        <x:v>0.0006756756756756757</x:v>
      </x:c>
      <x:c r="N108" s="13" t="n">
        <x:f>'全部组合'!X34/$D108</x:f>
        <x:v>0</x:v>
      </x:c>
    </x:row>
    <x:row r="109" ht="23" customHeight="1">
      <x:c r="A109" s="10" t="str">
        <x:v>M2</x:v>
      </x:c>
      <x:c r="B109" s="10" t="str">
        <x:v>C_H1</x:v>
      </x:c>
      <x:c r="C109" s="9" t="str">
        <x:v>源三角形</x:v>
      </x:c>
      <x:c r="D109" s="11" t="n">
        <x:f>'全部组合'!I34</x:f>
        <x:v>2911273</x:v>
      </x:c>
      <x:c r="E109" s="12" t="n">
        <x:f>'全部组合'!Y34/$D109</x:f>
        <x:v>0</x:v>
      </x:c>
      <x:c r="F109" s="12" t="n">
        <x:f>'全部组合'!Z34/$D109</x:f>
        <x:v>0.7636721118218731</x:v>
      </x:c>
      <x:c r="G109" s="12" t="n">
        <x:f>'全部组合'!AA34/$D109</x:f>
        <x:v>0</x:v>
      </x:c>
      <x:c r="H109" s="12" t="n">
        <x:f>'全部组合'!AB34/$D109</x:f>
        <x:v>0</x:v>
      </x:c>
      <x:c r="I109" s="12" t="n">
        <x:f>'全部组合'!AC34/$D109</x:f>
        <x:v>0.22676987008775887</x:v>
      </x:c>
      <x:c r="J109" s="12" t="n">
        <x:f>'全部组合'!AD34/$D109</x:f>
        <x:v>0</x:v>
      </x:c>
      <x:c r="K109" s="12" t="n">
        <x:f>'全部组合'!AE34/$D109</x:f>
        <x:v>0.009272232456385917</x:v>
      </x:c>
      <x:c r="L109" s="12" t="n">
        <x:f>'全部组合'!AF34/$D109</x:f>
        <x:v>0</x:v>
      </x:c>
      <x:c r="M109" s="12" t="n">
        <x:f>'全部组合'!AG34/$D109</x:f>
        <x:v>0.00028578563398211023</x:v>
      </x:c>
      <x:c r="N109" s="13" t="n">
        <x:f>'全部组合'!AH34/$D109</x:f>
        <x:v>0</x:v>
      </x:c>
    </x:row>
    <x:row r="110" ht="23" customHeight="1">
      <x:c r="A110" s="10" t="str">
        <x:v>M2</x:v>
      </x:c>
      <x:c r="B110" s="10" t="str">
        <x:v>G_H0</x:v>
      </x:c>
      <x:c r="C110" s="9" t="str">
        <x:v>节点</x:v>
      </x:c>
      <x:c r="D110" s="11" t="n">
        <x:f>'全部组合'!D35</x:f>
        <x:v>1480</x:v>
      </x:c>
      <x:c r="E110" s="12" t="n">
        <x:f>'全部组合'!O35/$D110</x:f>
        <x:v>0</x:v>
      </x:c>
      <x:c r="F110" s="12" t="n">
        <x:f>'全部组合'!P35/$D110</x:f>
        <x:v>0.057432432432432436</x:v>
      </x:c>
      <x:c r="G110" s="12" t="n">
        <x:f>'全部组合'!Q35/$D110</x:f>
        <x:v>0.5736486486486486</x:v>
      </x:c>
      <x:c r="H110" s="12" t="n">
        <x:f>'全部组合'!R35/$D110</x:f>
        <x:v>0.29121621621621624</x:v>
      </x:c>
      <x:c r="I110" s="12" t="n">
        <x:f>'全部组合'!S35/$D110</x:f>
        <x:v>0.06486486486486487</x:v>
      </x:c>
      <x:c r="J110" s="12" t="n">
        <x:f>'全部组合'!T35/$D110</x:f>
        <x:v>0.012837837837837839</x:v>
      </x:c>
      <x:c r="K110" s="12" t="n">
        <x:f>'全部组合'!U35/$D110</x:f>
        <x:v>0</x:v>
      </x:c>
      <x:c r="L110" s="12" t="n">
        <x:f>'全部组合'!V35/$D110</x:f>
        <x:v>0</x:v>
      </x:c>
      <x:c r="M110" s="12" t="n">
        <x:f>'全部组合'!W35/$D110</x:f>
        <x:v>0</x:v>
      </x:c>
      <x:c r="N110" s="13" t="n">
        <x:f>'全部组合'!X35/$D110</x:f>
        <x:v>0</x:v>
      </x:c>
    </x:row>
    <x:row r="111" ht="23" customHeight="1">
      <x:c r="A111" s="10" t="str">
        <x:v>M2</x:v>
      </x:c>
      <x:c r="B111" s="10" t="str">
        <x:v>G_H0</x:v>
      </x:c>
      <x:c r="C111" s="9" t="str">
        <x:v>源三角形</x:v>
      </x:c>
      <x:c r="D111" s="11" t="n">
        <x:f>'全部组合'!I35</x:f>
        <x:v>2911273</x:v>
      </x:c>
      <x:c r="E111" s="12" t="n">
        <x:f>'全部组合'!Y35/$D111</x:f>
        <x:v>0</x:v>
      </x:c>
      <x:c r="F111" s="12" t="n">
        <x:f>'全部组合'!Z35/$D111</x:f>
        <x:v>0.0064356726421740595</x:v>
      </x:c>
      <x:c r="G111" s="12" t="n">
        <x:f>'全部组合'!AA35/$D111</x:f>
        <x:v>0.1314765052951063</x:v>
      </x:c>
      <x:c r="H111" s="12" t="n">
        <x:f>'全部组合'!AB35/$D111</x:f>
        <x:v>0.8181530897308497</x:v>
      </x:c>
      <x:c r="I111" s="12" t="n">
        <x:f>'全部组合'!AC35/$D111</x:f>
        <x:v>0.03558237238486394</x:v>
      </x:c>
      <x:c r="J111" s="12" t="n">
        <x:f>'全部组合'!AD35/$D111</x:f>
        <x:v>0.008352359947006</x:v>
      </x:c>
      <x:c r="K111" s="12" t="n">
        <x:f>'全部组合'!AE35/$D111</x:f>
        <x:v>0</x:v>
      </x:c>
      <x:c r="L111" s="12" t="n">
        <x:f>'全部组合'!AF35/$D111</x:f>
        <x:v>0</x:v>
      </x:c>
      <x:c r="M111" s="12" t="n">
        <x:f>'全部组合'!AG35/$D111</x:f>
        <x:v>0</x:v>
      </x:c>
      <x:c r="N111" s="13" t="n">
        <x:f>'全部组合'!AH35/$D111</x:f>
        <x:v>0</x:v>
      </x:c>
    </x:row>
    <x:row r="112" ht="23" customHeight="1">
      <x:c r="A112" s="10" t="str">
        <x:v>M2</x:v>
      </x:c>
      <x:c r="B112" s="10" t="str">
        <x:v>G_HT</x:v>
      </x:c>
      <x:c r="C112" s="9" t="str">
        <x:v>节点</x:v>
      </x:c>
      <x:c r="D112" s="11" t="n">
        <x:f>'全部组合'!D36</x:f>
        <x:v>1480</x:v>
      </x:c>
      <x:c r="E112" s="12" t="n">
        <x:f>'全部组合'!O36/$D112</x:f>
        <x:v>0</x:v>
      </x:c>
      <x:c r="F112" s="12" t="n">
        <x:f>'全部组合'!P36/$D112</x:f>
        <x:v>0.02027027027027027</x:v>
      </x:c>
      <x:c r="G112" s="12" t="n">
        <x:f>'全部组合'!Q36/$D112</x:f>
        <x:v>0.5608108108108109</x:v>
      </x:c>
      <x:c r="H112" s="12" t="n">
        <x:f>'全部组合'!R36/$D112</x:f>
        <x:v>0.3222972972972973</x:v>
      </x:c>
      <x:c r="I112" s="12" t="n">
        <x:f>'全部组合'!S36/$D112</x:f>
        <x:v>0.08378378378378379</x:v>
      </x:c>
      <x:c r="J112" s="12" t="n">
        <x:f>'全部组合'!T36/$D112</x:f>
        <x:v>0.012837837837837839</x:v>
      </x:c>
      <x:c r="K112" s="12" t="n">
        <x:f>'全部组合'!U36/$D112</x:f>
        <x:v>0</x:v>
      </x:c>
      <x:c r="L112" s="12" t="n">
        <x:f>'全部组合'!V36/$D112</x:f>
        <x:v>0</x:v>
      </x:c>
      <x:c r="M112" s="12" t="n">
        <x:f>'全部组合'!W36/$D112</x:f>
        <x:v>0</x:v>
      </x:c>
      <x:c r="N112" s="13" t="n">
        <x:f>'全部组合'!X36/$D112</x:f>
        <x:v>0</x:v>
      </x:c>
    </x:row>
    <x:row r="113" ht="23" customHeight="1">
      <x:c r="A113" s="10" t="str">
        <x:v>M2</x:v>
      </x:c>
      <x:c r="B113" s="10" t="str">
        <x:v>G_HT</x:v>
      </x:c>
      <x:c r="C113" s="9" t="str">
        <x:v>源三角形</x:v>
      </x:c>
      <x:c r="D113" s="11" t="n">
        <x:f>'全部组合'!I36</x:f>
        <x:v>2911273</x:v>
      </x:c>
      <x:c r="E113" s="12" t="n">
        <x:f>'全部组合'!Y36/$D113</x:f>
        <x:v>0</x:v>
      </x:c>
      <x:c r="F113" s="12" t="n">
        <x:f>'全部组合'!Z36/$D113</x:f>
        <x:v>0.0022849111024627372</x:v>
      </x:c>
      <x:c r="G113" s="12" t="n">
        <x:f>'全部组合'!AA36/$D113</x:f>
        <x:v>0.12125211204857807</x:v>
      </x:c>
      <x:c r="H113" s="12" t="n">
        <x:f>'全部组合'!AB36/$D113</x:f>
        <x:v>0.6506586637529356</x:v>
      </x:c>
      <x:c r="I113" s="12" t="n">
        <x:f>'全部组合'!AC36/$D113</x:f>
        <x:v>0.21745195314901763</x:v>
      </x:c>
      <x:c r="J113" s="12" t="n">
        <x:f>'全部组合'!AD36/$D113</x:f>
        <x:v>0.008352359947006</x:v>
      </x:c>
      <x:c r="K113" s="12" t="n">
        <x:f>'全部组合'!AE36/$D113</x:f>
        <x:v>0</x:v>
      </x:c>
      <x:c r="L113" s="12" t="n">
        <x:f>'全部组合'!AF36/$D113</x:f>
        <x:v>0</x:v>
      </x:c>
      <x:c r="M113" s="12" t="n">
        <x:f>'全部组合'!AG36/$D113</x:f>
        <x:v>0</x:v>
      </x:c>
      <x:c r="N113" s="13" t="n">
        <x:f>'全部组合'!AH36/$D113</x:f>
        <x:v>0</x:v>
      </x:c>
    </x:row>
    <x:row r="114" ht="23" customHeight="1">
      <x:c r="A114" s="10" t="str">
        <x:v>M2</x:v>
      </x:c>
      <x:c r="B114" s="10" t="str">
        <x:v>G_H1</x:v>
      </x:c>
      <x:c r="C114" s="9" t="str">
        <x:v>节点</x:v>
      </x:c>
      <x:c r="D114" s="11" t="n">
        <x:f>'全部组合'!D37</x:f>
        <x:v>1480</x:v>
      </x:c>
      <x:c r="E114" s="12" t="n">
        <x:f>'全部组合'!O37/$D114</x:f>
        <x:v>0</x:v>
      </x:c>
      <x:c r="F114" s="12" t="n">
        <x:f>'全部组合'!P37/$D114</x:f>
        <x:v>0.02027027027027027</x:v>
      </x:c>
      <x:c r="G114" s="12" t="n">
        <x:f>'全部组合'!Q37/$D114</x:f>
        <x:v>0.5608108108108109</x:v>
      </x:c>
      <x:c r="H114" s="12" t="n">
        <x:f>'全部组合'!R37/$D114</x:f>
        <x:v>0.3222972972972973</x:v>
      </x:c>
      <x:c r="I114" s="12" t="n">
        <x:f>'全部组合'!S37/$D114</x:f>
        <x:v>0.08378378378378379</x:v>
      </x:c>
      <x:c r="J114" s="12" t="n">
        <x:f>'全部组合'!T37/$D114</x:f>
        <x:v>0.012837837837837839</x:v>
      </x:c>
      <x:c r="K114" s="12" t="n">
        <x:f>'全部组合'!U37/$D114</x:f>
        <x:v>0</x:v>
      </x:c>
      <x:c r="L114" s="12" t="n">
        <x:f>'全部组合'!V37/$D114</x:f>
        <x:v>0</x:v>
      </x:c>
      <x:c r="M114" s="12" t="n">
        <x:f>'全部组合'!W37/$D114</x:f>
        <x:v>0</x:v>
      </x:c>
      <x:c r="N114" s="13" t="n">
        <x:f>'全部组合'!X37/$D114</x:f>
        <x:v>0</x:v>
      </x:c>
    </x:row>
    <x:row r="115" ht="23" customHeight="1">
      <x:c r="A115" s="10" t="str">
        <x:v>M2</x:v>
      </x:c>
      <x:c r="B115" s="10" t="str">
        <x:v>G_H1</x:v>
      </x:c>
      <x:c r="C115" s="9" t="str">
        <x:v>源三角形</x:v>
      </x:c>
      <x:c r="D115" s="11" t="n">
        <x:f>'全部组合'!I37</x:f>
        <x:v>2911273</x:v>
      </x:c>
      <x:c r="E115" s="12" t="n">
        <x:f>'全部组合'!Y37/$D115</x:f>
        <x:v>0</x:v>
      </x:c>
      <x:c r="F115" s="12" t="n">
        <x:f>'全部组合'!Z37/$D115</x:f>
        <x:v>0.0022849111024627372</x:v>
      </x:c>
      <x:c r="G115" s="12" t="n">
        <x:f>'全部组合'!AA37/$D115</x:f>
        <x:v>0.12125211204857807</x:v>
      </x:c>
      <x:c r="H115" s="12" t="n">
        <x:f>'全部组合'!AB37/$D115</x:f>
        <x:v>0.6506586637529356</x:v>
      </x:c>
      <x:c r="I115" s="12" t="n">
        <x:f>'全部组合'!AC37/$D115</x:f>
        <x:v>0.21745195314901763</x:v>
      </x:c>
      <x:c r="J115" s="12" t="n">
        <x:f>'全部组合'!AD37/$D115</x:f>
        <x:v>0.008352359947006</x:v>
      </x:c>
      <x:c r="K115" s="12" t="n">
        <x:f>'全部组合'!AE37/$D115</x:f>
        <x:v>0</x:v>
      </x:c>
      <x:c r="L115" s="12" t="n">
        <x:f>'全部组合'!AF37/$D115</x:f>
        <x:v>0</x:v>
      </x:c>
      <x:c r="M115" s="12" t="n">
        <x:f>'全部组合'!AG37/$D115</x:f>
        <x:v>0</x:v>
      </x:c>
      <x:c r="N115" s="13" t="n">
        <x:f>'全部组合'!AH37/$D115</x:f>
        <x:v>0</x:v>
      </x:c>
    </x:row>
    <x:row r="116" ht="23" customHeight="1">
      <x:c r="A116" s="10" t="str">
        <x:v>M2</x:v>
      </x:c>
      <x:c r="B116" s="10" t="str">
        <x:v>NC_H0</x:v>
      </x:c>
      <x:c r="C116" s="9" t="str">
        <x:v>节点</x:v>
      </x:c>
      <x:c r="D116" s="11" t="n">
        <x:f>'全部组合'!D38</x:f>
        <x:v>1480</x:v>
      </x:c>
      <x:c r="E116" s="12" t="n">
        <x:f>'全部组合'!O38/$D116</x:f>
        <x:v>0</x:v>
      </x:c>
      <x:c r="F116" s="12" t="n">
        <x:f>'全部组合'!P38/$D116</x:f>
        <x:v>0.3027027027027027</x:v>
      </x:c>
      <x:c r="G116" s="12" t="n">
        <x:f>'全部组合'!Q38/$D116</x:f>
        <x:v>0.04256756756756757</x:v>
      </x:c>
      <x:c r="H116" s="12" t="n">
        <x:f>'全部组合'!R38/$D116</x:f>
        <x:v>0</x:v>
      </x:c>
      <x:c r="I116" s="12" t="n">
        <x:f>'全部组合'!S38/$D116</x:f>
        <x:v>0.6087837837837838</x:v>
      </x:c>
      <x:c r="J116" s="12" t="n">
        <x:f>'全部组合'!T38/$D116</x:f>
        <x:v>0</x:v>
      </x:c>
      <x:c r="K116" s="12" t="n">
        <x:f>'全部组合'!U38/$D116</x:f>
        <x:v>0.004054054054054054</x:v>
      </x:c>
      <x:c r="L116" s="12" t="n">
        <x:f>'全部组合'!V38/$D116</x:f>
        <x:v>0.006756756756756757</x:v>
      </x:c>
      <x:c r="M116" s="12" t="n">
        <x:f>'全部组合'!W38/$D116</x:f>
        <x:v>0.03513513513513514</x:v>
      </x:c>
      <x:c r="N116" s="13" t="n">
        <x:f>'全部组合'!X38/$D116</x:f>
        <x:v>0</x:v>
      </x:c>
    </x:row>
    <x:row r="117" ht="23" customHeight="1">
      <x:c r="A117" s="10" t="str">
        <x:v>M2</x:v>
      </x:c>
      <x:c r="B117" s="10" t="str">
        <x:v>NC_H0</x:v>
      </x:c>
      <x:c r="C117" s="9" t="str">
        <x:v>源三角形</x:v>
      </x:c>
      <x:c r="D117" s="11" t="n">
        <x:f>'全部组合'!I38</x:f>
        <x:v>2911273</x:v>
      </x:c>
      <x:c r="E117" s="12" t="n">
        <x:f>'全部组合'!Y38/$D117</x:f>
        <x:v>0</x:v>
      </x:c>
      <x:c r="F117" s="12" t="n">
        <x:f>'全部组合'!Z38/$D117</x:f>
        <x:v>0.07436265853459981</x:v>
      </x:c>
      <x:c r="G117" s="12" t="n">
        <x:f>'全部组合'!AA38/$D117</x:f>
        <x:v>0.015364756242372324</x:v>
      </x:c>
      <x:c r="H117" s="12" t="n">
        <x:f>'全部组合'!AB38/$D117</x:f>
        <x:v>0</x:v>
      </x:c>
      <x:c r="I117" s="12" t="n">
        <x:f>'全部组合'!AC38/$D117</x:f>
        <x:v>0.8728525287734953</x:v>
      </x:c>
      <x:c r="J117" s="12" t="n">
        <x:f>'全部组合'!AD38/$D117</x:f>
        <x:v>0</x:v>
      </x:c>
      <x:c r="K117" s="12" t="n">
        <x:f>'全部组合'!AE38/$D117</x:f>
        <x:v>0.001829440248303749</x:v>
      </x:c>
      <x:c r="L117" s="12" t="n">
        <x:f>'全部组合'!AF38/$D117</x:f>
        <x:v>0.0023673492661114228</x:v>
      </x:c>
      <x:c r="M117" s="12" t="n">
        <x:f>'全部组合'!AG38/$D117</x:f>
        <x:v>0.03322326693511739</x:v>
      </x:c>
      <x:c r="N117" s="13" t="n">
        <x:f>'全部组合'!AH38/$D117</x:f>
        <x:v>0</x:v>
      </x:c>
    </x:row>
    <x:row r="118" ht="23" customHeight="1">
      <x:c r="A118" s="10" t="str">
        <x:v>M2</x:v>
      </x:c>
      <x:c r="B118" s="10" t="str">
        <x:v>NC_HT</x:v>
      </x:c>
      <x:c r="C118" s="9" t="str">
        <x:v>节点</x:v>
      </x:c>
      <x:c r="D118" s="11" t="n">
        <x:f>'全部组合'!D39</x:f>
        <x:v>1480</x:v>
      </x:c>
      <x:c r="E118" s="12" t="n">
        <x:f>'全部组合'!O39/$D118</x:f>
        <x:v>0</x:v>
      </x:c>
      <x:c r="F118" s="12" t="n">
        <x:f>'全部组合'!P39/$D118</x:f>
        <x:v>0.3027027027027027</x:v>
      </x:c>
      <x:c r="G118" s="12" t="n">
        <x:f>'全部组合'!Q39/$D118</x:f>
        <x:v>0.04256756756756757</x:v>
      </x:c>
      <x:c r="H118" s="12" t="n">
        <x:f>'全部组合'!R39/$D118</x:f>
        <x:v>0</x:v>
      </x:c>
      <x:c r="I118" s="12" t="n">
        <x:f>'全部组合'!S39/$D118</x:f>
        <x:v>0.6087837837837838</x:v>
      </x:c>
      <x:c r="J118" s="12" t="n">
        <x:f>'全部组合'!T39/$D118</x:f>
        <x:v>0</x:v>
      </x:c>
      <x:c r="K118" s="12" t="n">
        <x:f>'全部组合'!U39/$D118</x:f>
        <x:v>0.004054054054054054</x:v>
      </x:c>
      <x:c r="L118" s="12" t="n">
        <x:f>'全部组合'!V39/$D118</x:f>
        <x:v>0.006756756756756757</x:v>
      </x:c>
      <x:c r="M118" s="12" t="n">
        <x:f>'全部组合'!W39/$D118</x:f>
        <x:v>0.03513513513513514</x:v>
      </x:c>
      <x:c r="N118" s="13" t="n">
        <x:f>'全部组合'!X39/$D118</x:f>
        <x:v>0</x:v>
      </x:c>
    </x:row>
    <x:row r="119" ht="23" customHeight="1">
      <x:c r="A119" s="10" t="str">
        <x:v>M2</x:v>
      </x:c>
      <x:c r="B119" s="10" t="str">
        <x:v>NC_HT</x:v>
      </x:c>
      <x:c r="C119" s="9" t="str">
        <x:v>源三角形</x:v>
      </x:c>
      <x:c r="D119" s="11" t="n">
        <x:f>'全部组合'!I39</x:f>
        <x:v>2911273</x:v>
      </x:c>
      <x:c r="E119" s="12" t="n">
        <x:f>'全部组合'!Y39/$D119</x:f>
        <x:v>0</x:v>
      </x:c>
      <x:c r="F119" s="12" t="n">
        <x:f>'全部组合'!Z39/$D119</x:f>
        <x:v>0.07436265853459981</x:v>
      </x:c>
      <x:c r="G119" s="12" t="n">
        <x:f>'全部组合'!AA39/$D119</x:f>
        <x:v>0.015364756242372324</x:v>
      </x:c>
      <x:c r="H119" s="12" t="n">
        <x:f>'全部组合'!AB39/$D119</x:f>
        <x:v>0</x:v>
      </x:c>
      <x:c r="I119" s="12" t="n">
        <x:f>'全部组合'!AC39/$D119</x:f>
        <x:v>0.8728525287734953</x:v>
      </x:c>
      <x:c r="J119" s="12" t="n">
        <x:f>'全部组合'!AD39/$D119</x:f>
        <x:v>0</x:v>
      </x:c>
      <x:c r="K119" s="12" t="n">
        <x:f>'全部组合'!AE39/$D119</x:f>
        <x:v>0.001829440248303749</x:v>
      </x:c>
      <x:c r="L119" s="12" t="n">
        <x:f>'全部组合'!AF39/$D119</x:f>
        <x:v>0.0023673492661114228</x:v>
      </x:c>
      <x:c r="M119" s="12" t="n">
        <x:f>'全部组合'!AG39/$D119</x:f>
        <x:v>0.03322326693511739</x:v>
      </x:c>
      <x:c r="N119" s="13" t="n">
        <x:f>'全部组合'!AH39/$D119</x:f>
        <x:v>0</x:v>
      </x:c>
    </x:row>
    <x:row r="120" ht="23" customHeight="1">
      <x:c r="A120" s="10" t="str">
        <x:v>M2</x:v>
      </x:c>
      <x:c r="B120" s="10" t="str">
        <x:v>NC_H1</x:v>
      </x:c>
      <x:c r="C120" s="9" t="str">
        <x:v>节点</x:v>
      </x:c>
      <x:c r="D120" s="11" t="n">
        <x:f>'全部组合'!D40</x:f>
        <x:v>1480</x:v>
      </x:c>
      <x:c r="E120" s="12" t="n">
        <x:f>'全部组合'!O40/$D120</x:f>
        <x:v>0</x:v>
      </x:c>
      <x:c r="F120" s="12" t="n">
        <x:f>'全部组合'!P40/$D120</x:f>
        <x:v>0.25472972972972974</x:v>
      </x:c>
      <x:c r="G120" s="12" t="n">
        <x:f>'全部组合'!Q40/$D120</x:f>
        <x:v>0.00945945945945946</x:v>
      </x:c>
      <x:c r="H120" s="12" t="n">
        <x:f>'全部组合'!R40/$D120</x:f>
        <x:v>0</x:v>
      </x:c>
      <x:c r="I120" s="12" t="n">
        <x:f>'全部组合'!S40/$D120</x:f>
        <x:v>0.6087837837837838</x:v>
      </x:c>
      <x:c r="J120" s="12" t="n">
        <x:f>'全部组合'!T40/$D120</x:f>
        <x:v>0.03175675675675676</x:v>
      </x:c>
      <x:c r="K120" s="12" t="n">
        <x:f>'全部组合'!U40/$D120</x:f>
        <x:v>0.05337837837837838</x:v>
      </x:c>
      <x:c r="L120" s="12" t="n">
        <x:f>'全部组合'!V40/$D120</x:f>
        <x:v>0.006756756756756757</x:v>
      </x:c>
      <x:c r="M120" s="12" t="n">
        <x:f>'全部组合'!W40/$D120</x:f>
        <x:v>0.03513513513513514</x:v>
      </x:c>
      <x:c r="N120" s="13" t="n">
        <x:f>'全部组合'!X40/$D120</x:f>
        <x:v>0</x:v>
      </x:c>
    </x:row>
    <x:row r="121" ht="23" customHeight="1">
      <x:c r="A121" s="10" t="str">
        <x:v>M2</x:v>
      </x:c>
      <x:c r="B121" s="10" t="str">
        <x:v>NC_H1</x:v>
      </x:c>
      <x:c r="C121" s="9" t="str">
        <x:v>源三角形</x:v>
      </x:c>
      <x:c r="D121" s="11" t="n">
        <x:f>'全部组合'!I40</x:f>
        <x:v>2911273</x:v>
      </x:c>
      <x:c r="E121" s="12" t="n">
        <x:f>'全部组合'!Y40/$D121</x:f>
        <x:v>0</x:v>
      </x:c>
      <x:c r="F121" s="12" t="n">
        <x:f>'全部组合'!Z40/$D121</x:f>
        <x:v>0.06646164753357037</x:v>
      </x:c>
      <x:c r="G121" s="12" t="n">
        <x:f>'全部组合'!AA40/$D121</x:f>
        <x:v>0.0033081748087520476</x:v>
      </x:c>
      <x:c r="H121" s="12" t="n">
        <x:f>'全部组合'!AB40/$D121</x:f>
        <x:v>0</x:v>
      </x:c>
      <x:c r="I121" s="12" t="n">
        <x:f>'全部组合'!AC40/$D121</x:f>
        <x:v>0.8728525287734953</x:v>
      </x:c>
      <x:c r="J121" s="12" t="n">
        <x:f>'全部组合'!AD40/$D121</x:f>
        <x:v>0.01174056847296698</x:v>
      </x:c>
      <x:c r="K121" s="12" t="n">
        <x:f>'全部组合'!AE40/$D121</x:f>
        <x:v>0.01004646420998649</x:v>
      </x:c>
      <x:c r="L121" s="12" t="n">
        <x:f>'全部组合'!AF40/$D121</x:f>
        <x:v>0.0023673492661114228</x:v>
      </x:c>
      <x:c r="M121" s="12" t="n">
        <x:f>'全部组合'!AG40/$D121</x:f>
        <x:v>0.03322326693511739</x:v>
      </x:c>
      <x:c r="N121" s="13" t="n">
        <x:f>'全部组合'!AH40/$D121</x:f>
        <x:v>0</x:v>
      </x:c>
    </x:row>
    <x:row r="122" ht="23" customHeight="1">
      <x:c r="A122" s="10" t="str">
        <x:v>M2</x:v>
      </x:c>
      <x:c r="B122" s="10" t="str">
        <x:v>NG_H0</x:v>
      </x:c>
      <x:c r="C122" s="9" t="str">
        <x:v>节点</x:v>
      </x:c>
      <x:c r="D122" s="11" t="n">
        <x:f>'全部组合'!D41</x:f>
        <x:v>1480</x:v>
      </x:c>
      <x:c r="E122" s="12" t="n">
        <x:f>'全部组合'!O41/$D122</x:f>
        <x:v>0</x:v>
      </x:c>
      <x:c r="F122" s="12" t="n">
        <x:f>'全部组合'!P41/$D122</x:f>
        <x:v>0.11689189189189189</x:v>
      </x:c>
      <x:c r="G122" s="12" t="n">
        <x:f>'全部组合'!Q41/$D122</x:f>
        <x:v>0.4648648648648649</x:v>
      </x:c>
      <x:c r="H122" s="12" t="n">
        <x:f>'全部组合'!R41/$D122</x:f>
        <x:v>0.26013513513513514</x:v>
      </x:c>
      <x:c r="I122" s="12" t="n">
        <x:f>'全部组合'!S41/$D122</x:f>
        <x:v>0.06486486486486487</x:v>
      </x:c>
      <x:c r="J122" s="12" t="n">
        <x:f>'全部组合'!T41/$D122</x:f>
        <x:v>0.012837837837837839</x:v>
      </x:c>
      <x:c r="K122" s="12" t="n">
        <x:f>'全部组合'!U41/$D122</x:f>
        <x:v>0.004054054054054054</x:v>
      </x:c>
      <x:c r="L122" s="12" t="n">
        <x:f>'全部组合'!V41/$D122</x:f>
        <x:v>0.008108108108108109</x:v>
      </x:c>
      <x:c r="M122" s="12" t="n">
        <x:f>'全部组合'!W41/$D122</x:f>
        <x:v>0.06824324324324324</x:v>
      </x:c>
      <x:c r="N122" s="13" t="n">
        <x:f>'全部组合'!X41/$D122</x:f>
        <x:v>0</x:v>
      </x:c>
    </x:row>
    <x:row r="123" ht="23" customHeight="1">
      <x:c r="A123" s="10" t="str">
        <x:v>M2</x:v>
      </x:c>
      <x:c r="B123" s="10" t="str">
        <x:v>NG_H0</x:v>
      </x:c>
      <x:c r="C123" s="9" t="str">
        <x:v>源三角形</x:v>
      </x:c>
      <x:c r="D123" s="11" t="n">
        <x:f>'全部组合'!I41</x:f>
        <x:v>2911273</x:v>
      </x:c>
      <x:c r="E123" s="12" t="n">
        <x:f>'全部组合'!Y41/$D123</x:f>
        <x:v>0</x:v>
      </x:c>
      <x:c r="F123" s="12" t="n">
        <x:f>'全部组合'!Z41/$D123</x:f>
        <x:v>0.012722956589780484</x:v>
      </x:c>
      <x:c r="G123" s="12" t="n">
        <x:f>'全部组合'!AA41/$D123</x:f>
        <x:v>0.10645240071954777</x:v>
      </x:c>
      <x:c r="H123" s="12" t="n">
        <x:f>'全部组合'!AB41/$D123</x:f>
        <x:v>0.10285225741453996</x:v>
      </x:c>
      <x:c r="I123" s="12" t="n">
        <x:f>'全部组合'!AC41/$D123</x:f>
        <x:v>0.03558237238486394</x:v>
      </x:c>
      <x:c r="J123" s="12" t="n">
        <x:f>'全部组合'!AD41/$D123</x:f>
        <x:v>0.008352359947006</x:v>
      </x:c>
      <x:c r="K123" s="12" t="n">
        <x:f>'全部组合'!AE41/$D123</x:f>
        <x:v>0.001829440248303749</x:v>
      </x:c>
      <x:c r="L123" s="12" t="n">
        <x:f>'全部组合'!AF41/$D123</x:f>
        <x:v>0.0025871843691745843</x:v>
      </x:c>
      <x:c r="M123" s="12" t="n">
        <x:f>'全部组合'!AG41/$D123</x:f>
        <x:v>0.7296210283267835</x:v>
      </x:c>
      <x:c r="N123" s="13" t="n">
        <x:f>'全部组合'!AH41/$D123</x:f>
        <x:v>0</x:v>
      </x:c>
    </x:row>
    <x:row r="124" ht="23" customHeight="1">
      <x:c r="A124" s="10" t="str">
        <x:v>M2</x:v>
      </x:c>
      <x:c r="B124" s="10" t="str">
        <x:v>NG_HT</x:v>
      </x:c>
      <x:c r="C124" s="9" t="str">
        <x:v>节点</x:v>
      </x:c>
      <x:c r="D124" s="11" t="n">
        <x:f>'全部组合'!D42</x:f>
        <x:v>1480</x:v>
      </x:c>
      <x:c r="E124" s="12" t="n">
        <x:f>'全部组合'!O42/$D124</x:f>
        <x:v>0</x:v>
      </x:c>
      <x:c r="F124" s="12" t="n">
        <x:f>'全部组合'!P42/$D124</x:f>
        <x:v>0.11351351351351352</x:v>
      </x:c>
      <x:c r="G124" s="12" t="n">
        <x:f>'全部组合'!Q42/$D124</x:f>
        <x:v>0.4189189189189189</x:v>
      </x:c>
      <x:c r="H124" s="12" t="n">
        <x:f>'全部组合'!R42/$D124</x:f>
        <x:v>0.2959459459459459</x:v>
      </x:c>
      <x:c r="I124" s="12" t="n">
        <x:f>'全部组合'!S42/$D124</x:f>
        <x:v>0.07837837837837838</x:v>
      </x:c>
      <x:c r="J124" s="12" t="n">
        <x:f>'全部组合'!T42/$D124</x:f>
        <x:v>0.012837837837837839</x:v>
      </x:c>
      <x:c r="K124" s="12" t="n">
        <x:f>'全部组合'!U42/$D124</x:f>
        <x:v>0.004054054054054054</x:v>
      </x:c>
      <x:c r="L124" s="12" t="n">
        <x:f>'全部组合'!V42/$D124</x:f>
        <x:v>0.008108108108108109</x:v>
      </x:c>
      <x:c r="M124" s="12" t="n">
        <x:f>'全部组合'!W42/$D124</x:f>
        <x:v>0.06824324324324324</x:v>
      </x:c>
      <x:c r="N124" s="13" t="n">
        <x:f>'全部组合'!X42/$D124</x:f>
        <x:v>0</x:v>
      </x:c>
    </x:row>
    <x:row r="125" ht="23" customHeight="1">
      <x:c r="A125" s="10" t="str">
        <x:v>M2</x:v>
      </x:c>
      <x:c r="B125" s="10" t="str">
        <x:v>NG_HT</x:v>
      </x:c>
      <x:c r="C125" s="9" t="str">
        <x:v>源三角形</x:v>
      </x:c>
      <x:c r="D125" s="11" t="n">
        <x:f>'全部组合'!I42</x:f>
        <x:v>2911273</x:v>
      </x:c>
      <x:c r="E125" s="12" t="n">
        <x:f>'全部组合'!Y42/$D125</x:f>
        <x:v>0</x:v>
      </x:c>
      <x:c r="F125" s="12" t="n">
        <x:f>'全部组合'!Z42/$D125</x:f>
        <x:v>0.012387708057609163</x:v>
      </x:c>
      <x:c r="G125" s="12" t="n">
        <x:f>'全部组合'!AA42/$D125</x:f>
        <x:v>0.09262339876748076</x:v>
      </x:c>
      <x:c r="H125" s="12" t="n">
        <x:f>'全部组合'!AB42/$D125</x:f>
        <x:v>0.11287536414482599</x:v>
      </x:c>
      <x:c r="I125" s="12" t="n">
        <x:f>'全部组合'!AC42/$D125</x:f>
        <x:v>0.03972351613881625</x:v>
      </x:c>
      <x:c r="J125" s="12" t="n">
        <x:f>'全部组合'!AD42/$D125</x:f>
        <x:v>0.008352359947006</x:v>
      </x:c>
      <x:c r="K125" s="12" t="n">
        <x:f>'全部组合'!AE42/$D125</x:f>
        <x:v>0.001829440248303749</x:v>
      </x:c>
      <x:c r="L125" s="12" t="n">
        <x:f>'全部组合'!AF42/$D125</x:f>
        <x:v>0.0025871843691745843</x:v>
      </x:c>
      <x:c r="M125" s="12" t="n">
        <x:f>'全部组合'!AG42/$D125</x:f>
        <x:v>0.7296210283267835</x:v>
      </x:c>
      <x:c r="N125" s="13" t="n">
        <x:f>'全部组合'!AH42/$D125</x:f>
        <x:v>0</x:v>
      </x:c>
    </x:row>
    <x:row r="126" ht="23" customHeight="1">
      <x:c r="A126" s="10" t="str">
        <x:v>M2</x:v>
      </x:c>
      <x:c r="B126" s="10" t="str">
        <x:v>NG_H1</x:v>
      </x:c>
      <x:c r="C126" s="9" t="str">
        <x:v>节点</x:v>
      </x:c>
      <x:c r="D126" s="11" t="n">
        <x:f>'全部组合'!D43</x:f>
        <x:v>1480</x:v>
      </x:c>
      <x:c r="E126" s="12" t="n">
        <x:f>'全部组合'!O43/$D126</x:f>
        <x:v>0</x:v>
      </x:c>
      <x:c r="F126" s="12" t="n">
        <x:f>'全部组合'!P43/$D126</x:f>
        <x:v>0.07027027027027027</x:v>
      </x:c>
      <x:c r="G126" s="12" t="n">
        <x:f>'全部组合'!Q43/$D126</x:f>
        <x:v>0.3952702702702703</x:v>
      </x:c>
      <x:c r="H126" s="12" t="n">
        <x:f>'全部组合'!R43/$D126</x:f>
        <x:v>0.28378378378378377</x:v>
      </x:c>
      <x:c r="I126" s="12" t="n">
        <x:f>'全部组合'!S43/$D126</x:f>
        <x:v>0.07837837837837838</x:v>
      </x:c>
      <x:c r="J126" s="12" t="n">
        <x:f>'全部组合'!T43/$D126</x:f>
        <x:v>0.0445945945945946</x:v>
      </x:c>
      <x:c r="K126" s="12" t="n">
        <x:f>'全部组合'!U43/$D126</x:f>
        <x:v>0.051351351351351354</x:v>
      </x:c>
      <x:c r="L126" s="12" t="n">
        <x:f>'全部组合'!V43/$D126</x:f>
        <x:v>0.008108108108108109</x:v>
      </x:c>
      <x:c r="M126" s="12" t="n">
        <x:f>'全部组合'!W43/$D126</x:f>
        <x:v>0.06824324324324324</x:v>
      </x:c>
      <x:c r="N126" s="13" t="n">
        <x:f>'全部组合'!X43/$D126</x:f>
        <x:v>0</x:v>
      </x:c>
    </x:row>
    <x:row r="127" ht="23" customHeight="1">
      <x:c r="A127" s="10" t="str">
        <x:v>M2</x:v>
      </x:c>
      <x:c r="B127" s="10" t="str">
        <x:v>NG_H1</x:v>
      </x:c>
      <x:c r="C127" s="9" t="str">
        <x:v>源三角形</x:v>
      </x:c>
      <x:c r="D127" s="11" t="n">
        <x:f>'全部组合'!I43</x:f>
        <x:v>2911273</x:v>
      </x:c>
      <x:c r="E127" s="12" t="n">
        <x:f>'全部组合'!Y43/$D127</x:f>
        <x:v>0</x:v>
      </x:c>
      <x:c r="F127" s="12" t="n">
        <x:f>'全部组合'!Z43/$D127</x:f>
        <x:v>0.008783786336767456</x:v>
      </x:c>
      <x:c r="G127" s="12" t="n">
        <x:f>'全部组合'!AA43/$D127</x:f>
        <x:v>0.08690356417965611</x:v>
      </x:c>
      <x:c r="H127" s="12" t="n">
        <x:f>'全部组合'!AB43/$D127</x:f>
        <x:v>0.10554661139645784</x:v>
      </x:c>
      <x:c r="I127" s="12" t="n">
        <x:f>'全部组合'!AC43/$D127</x:f>
        <x:v>0.03972351613881625</x:v>
      </x:c>
      <x:c r="J127" s="12" t="n">
        <x:f>'全部组合'!AD43/$D127</x:f>
        <x:v>0.02009292841997298</x:v>
      </x:c>
      <x:c r="K127" s="12" t="n">
        <x:f>'全部组合'!AE43/$D127</x:f>
        <x:v>0.006741380832371268</x:v>
      </x:c>
      <x:c r="L127" s="12" t="n">
        <x:f>'全部组合'!AF43/$D127</x:f>
        <x:v>0.0025871843691745843</x:v>
      </x:c>
      <x:c r="M127" s="12" t="n">
        <x:f>'全部组合'!AG43/$D127</x:f>
        <x:v>0.7296210283267835</x:v>
      </x:c>
      <x:c r="N127" s="13" t="n">
        <x:f>'全部组合'!AH43/$D127</x:f>
        <x:v>0</x:v>
      </x:c>
    </x:row>
    <x:row r="128" ht="23" customHeight="1">
      <x:c r="A128" s="10" t="str">
        <x:v>M2</x:v>
      </x:c>
      <x:c r="B128" s="10" t="str">
        <x:v>CG_H0</x:v>
      </x:c>
      <x:c r="C128" s="9" t="str">
        <x:v>节点</x:v>
      </x:c>
      <x:c r="D128" s="11" t="n">
        <x:f>'全部组合'!D44</x:f>
        <x:v>1480</x:v>
      </x:c>
      <x:c r="E128" s="12" t="n">
        <x:f>'全部组合'!O44/$D128</x:f>
        <x:v>0</x:v>
      </x:c>
      <x:c r="F128" s="12" t="n">
        <x:f>'全部组合'!P44/$D128</x:f>
        <x:v>0.11756756756756757</x:v>
      </x:c>
      <x:c r="G128" s="12" t="n">
        <x:f>'全部组合'!Q44/$D128</x:f>
        <x:v>0.5141891891891892</x:v>
      </x:c>
      <x:c r="H128" s="12" t="n">
        <x:f>'全部组合'!R44/$D128</x:f>
        <x:v>0.28986486486486485</x:v>
      </x:c>
      <x:c r="I128" s="12" t="n">
        <x:f>'全部组合'!S44/$D128</x:f>
        <x:v>0.06486486486486487</x:v>
      </x:c>
      <x:c r="J128" s="12" t="n">
        <x:f>'全部组合'!T44/$D128</x:f>
        <x:v>0.012837837837837839</x:v>
      </x:c>
      <x:c r="K128" s="12" t="n">
        <x:f>'全部组合'!U44/$D128</x:f>
        <x:v>0</x:v>
      </x:c>
      <x:c r="L128" s="12" t="n">
        <x:f>'全部组合'!V44/$D128</x:f>
        <x:v>0</x:v>
      </x:c>
      <x:c r="M128" s="12" t="n">
        <x:f>'全部组合'!W44/$D128</x:f>
        <x:v>0.0006756756756756757</x:v>
      </x:c>
      <x:c r="N128" s="13" t="n">
        <x:f>'全部组合'!X44/$D128</x:f>
        <x:v>0</x:v>
      </x:c>
    </x:row>
    <x:row r="129" ht="23" customHeight="1">
      <x:c r="A129" s="10" t="str">
        <x:v>M2</x:v>
      </x:c>
      <x:c r="B129" s="10" t="str">
        <x:v>CG_H0</x:v>
      </x:c>
      <x:c r="C129" s="9" t="str">
        <x:v>源三角形</x:v>
      </x:c>
      <x:c r="D129" s="11" t="n">
        <x:f>'全部组合'!I44</x:f>
        <x:v>2911273</x:v>
      </x:c>
      <x:c r="E129" s="12" t="n">
        <x:f>'全部组合'!Y44/$D129</x:f>
        <x:v>0</x:v>
      </x:c>
      <x:c r="F129" s="12" t="n">
        <x:f>'全部组合'!Z44/$D129</x:f>
        <x:v>0.014657505496736308</x:v>
      </x:c>
      <x:c r="G129" s="12" t="n">
        <x:f>'全部组合'!AA44/$D129</x:f>
        <x:v>0.12335085029813418</x:v>
      </x:c>
      <x:c r="H129" s="12" t="n">
        <x:f>'全部组合'!AB44/$D129</x:f>
        <x:v>0.8177711262392775</x:v>
      </x:c>
      <x:c r="I129" s="12" t="n">
        <x:f>'全部组合'!AC44/$D129</x:f>
        <x:v>0.03558237238486394</x:v>
      </x:c>
      <x:c r="J129" s="12" t="n">
        <x:f>'全部组合'!AD44/$D129</x:f>
        <x:v>0.008352359947006</x:v>
      </x:c>
      <x:c r="K129" s="12" t="n">
        <x:f>'全部组合'!AE44/$D129</x:f>
        <x:v>0</x:v>
      </x:c>
      <x:c r="L129" s="12" t="n">
        <x:f>'全部组合'!AF44/$D129</x:f>
        <x:v>0</x:v>
      </x:c>
      <x:c r="M129" s="12" t="n">
        <x:f>'全部组合'!AG44/$D129</x:f>
        <x:v>0.00028578563398211023</x:v>
      </x:c>
      <x:c r="N129" s="13" t="n">
        <x:f>'全部组合'!AH44/$D129</x:f>
        <x:v>0</x:v>
      </x:c>
    </x:row>
    <x:row r="130" ht="23" customHeight="1">
      <x:c r="A130" s="10" t="str">
        <x:v>M2</x:v>
      </x:c>
      <x:c r="B130" s="10" t="str">
        <x:v>CG_HT</x:v>
      </x:c>
      <x:c r="C130" s="9" t="str">
        <x:v>节点</x:v>
      </x:c>
      <x:c r="D130" s="11" t="n">
        <x:f>'全部组合'!D45</x:f>
        <x:v>1480</x:v>
      </x:c>
      <x:c r="E130" s="12" t="n">
        <x:f>'全部组合'!O45/$D130</x:f>
        <x:v>0</x:v>
      </x:c>
      <x:c r="F130" s="12" t="n">
        <x:f>'全部组合'!P45/$D130</x:f>
        <x:v>0.08513513513513514</x:v>
      </x:c>
      <x:c r="G130" s="12" t="n">
        <x:f>'全部组合'!Q45/$D130</x:f>
        <x:v>0.4966216216216216</x:v>
      </x:c>
      <x:c r="H130" s="12" t="n">
        <x:f>'全部组合'!R45/$D130</x:f>
        <x:v>0.32094594594594594</x:v>
      </x:c>
      <x:c r="I130" s="12" t="n">
        <x:f>'全部组合'!S45/$D130</x:f>
        <x:v>0.0777027027027027</x:v>
      </x:c>
      <x:c r="J130" s="12" t="n">
        <x:f>'全部组合'!T45/$D130</x:f>
        <x:v>0.01891891891891892</x:v>
      </x:c>
      <x:c r="K130" s="12" t="n">
        <x:f>'全部组合'!U45/$D130</x:f>
        <x:v>0</x:v>
      </x:c>
      <x:c r="L130" s="12" t="n">
        <x:f>'全部组合'!V45/$D130</x:f>
        <x:v>0</x:v>
      </x:c>
      <x:c r="M130" s="12" t="n">
        <x:f>'全部组合'!W45/$D130</x:f>
        <x:v>0.0006756756756756757</x:v>
      </x:c>
      <x:c r="N130" s="13" t="n">
        <x:f>'全部组合'!X45/$D130</x:f>
        <x:v>0</x:v>
      </x:c>
    </x:row>
    <x:row r="131" ht="23" customHeight="1">
      <x:c r="A131" s="10" t="str">
        <x:v>M2</x:v>
      </x:c>
      <x:c r="B131" s="10" t="str">
        <x:v>CG_HT</x:v>
      </x:c>
      <x:c r="C131" s="9" t="str">
        <x:v>源三角形</x:v>
      </x:c>
      <x:c r="D131" s="11" t="n">
        <x:f>'全部组合'!I45</x:f>
        <x:v>2911273</x:v>
      </x:c>
      <x:c r="E131" s="12" t="n">
        <x:f>'全部组合'!Y45/$D131</x:f>
        <x:v>0</x:v>
      </x:c>
      <x:c r="F131" s="12" t="n">
        <x:f>'全部组合'!Z45/$D131</x:f>
        <x:v>0.011061827592259469</x:v>
      </x:c>
      <x:c r="G131" s="12" t="n">
        <x:f>'全部组合'!AA45/$D131</x:f>
        <x:v>0.11257137341637147</x:v>
      </x:c>
      <x:c r="H131" s="12" t="n">
        <x:f>'全部组合'!AB45/$D131</x:f>
        <x:v>0.6502767002613633</x:v>
      </x:c>
      <x:c r="I131" s="12" t="n">
        <x:f>'全部组合'!AC45/$D131</x:f>
        <x:v>0.2158086857536205</x:v>
      </x:c>
      <x:c r="J131" s="12" t="n">
        <x:f>'全部组合'!AD45/$D131</x:f>
        <x:v>0.009995627342403134</x:v>
      </x:c>
      <x:c r="K131" s="12" t="n">
        <x:f>'全部组合'!AE45/$D131</x:f>
        <x:v>0</x:v>
      </x:c>
      <x:c r="L131" s="12" t="n">
        <x:f>'全部组合'!AF45/$D131</x:f>
        <x:v>0</x:v>
      </x:c>
      <x:c r="M131" s="12" t="n">
        <x:f>'全部组合'!AG45/$D131</x:f>
        <x:v>0.00028578563398211023</x:v>
      </x:c>
      <x:c r="N131" s="13" t="n">
        <x:f>'全部组合'!AH45/$D131</x:f>
        <x:v>0</x:v>
      </x:c>
    </x:row>
    <x:row r="132" ht="23" customHeight="1">
      <x:c r="A132" s="10" t="str">
        <x:v>M2</x:v>
      </x:c>
      <x:c r="B132" s="10" t="str">
        <x:v>CG_H1</x:v>
      </x:c>
      <x:c r="C132" s="9" t="str">
        <x:v>节点</x:v>
      </x:c>
      <x:c r="D132" s="11" t="n">
        <x:f>'全部组合'!D46</x:f>
        <x:v>1480</x:v>
      </x:c>
      <x:c r="E132" s="12" t="n">
        <x:f>'全部组合'!O46/$D132</x:f>
        <x:v>0</x:v>
      </x:c>
      <x:c r="F132" s="12" t="n">
        <x:f>'全部组合'!P46/$D132</x:f>
        <x:v>0.04121621621621622</x:v>
      </x:c>
      <x:c r="G132" s="12" t="n">
        <x:f>'全部组合'!Q46/$D132</x:f>
        <x:v>0.4918918918918919</x:v>
      </x:c>
      <x:c r="H132" s="12" t="n">
        <x:f>'全部组合'!R46/$D132</x:f>
        <x:v>0.2993243243243243</x:v>
      </x:c>
      <x:c r="I132" s="12" t="n">
        <x:f>'全部组合'!S46/$D132</x:f>
        <x:v>0.0777027027027027</x:v>
      </x:c>
      <x:c r="J132" s="12" t="n">
        <x:f>'全部组合'!T46/$D132</x:f>
        <x:v>0.01891891891891892</x:v>
      </x:c>
      <x:c r="K132" s="12" t="n">
        <x:f>'全部组合'!U46/$D132</x:f>
        <x:v>0.07027027027027027</x:v>
      </x:c>
      <x:c r="L132" s="12" t="n">
        <x:f>'全部组合'!V46/$D132</x:f>
        <x:v>0</x:v>
      </x:c>
      <x:c r="M132" s="12" t="n">
        <x:f>'全部组合'!W46/$D132</x:f>
        <x:v>0.0006756756756756757</x:v>
      </x:c>
      <x:c r="N132" s="13" t="n">
        <x:f>'全部组合'!X46/$D132</x:f>
        <x:v>0</x:v>
      </x:c>
    </x:row>
    <x:row r="133" ht="23" customHeight="1">
      <x:c r="A133" s="10" t="str">
        <x:v>M2</x:v>
      </x:c>
      <x:c r="B133" s="10" t="str">
        <x:v>CG_H1</x:v>
      </x:c>
      <x:c r="C133" s="9" t="str">
        <x:v>源三角形</x:v>
      </x:c>
      <x:c r="D133" s="11" t="n">
        <x:f>'全部组合'!I46</x:f>
        <x:v>2911273</x:v>
      </x:c>
      <x:c r="E133" s="12" t="n">
        <x:f>'全部组合'!Y46/$D133</x:f>
        <x:v>0</x:v>
      </x:c>
      <x:c r="F133" s="12" t="n">
        <x:f>'全部组合'!Z46/$D133</x:f>
        <x:v>0.006757181480403933</x:v>
      </x:c>
      <x:c r="G133" s="12" t="n">
        <x:f>'全部组合'!AA46/$D133</x:f>
        <x:v>0.11204445615371694</x:v>
      </x:c>
      <x:c r="H133" s="12" t="n">
        <x:f>'全部组合'!AB46/$D133</x:f>
        <x:v>0.6458360311794875</x:v>
      </x:c>
      <x:c r="I133" s="12" t="n">
        <x:f>'全部组合'!AC46/$D133</x:f>
        <x:v>0.2158086857536205</x:v>
      </x:c>
      <x:c r="J133" s="12" t="n">
        <x:f>'全部组合'!AD46/$D133</x:f>
        <x:v>0.009995627342403134</x:v>
      </x:c>
      <x:c r="K133" s="12" t="n">
        <x:f>'全部组合'!AE46/$D133</x:f>
        <x:v>0.009272232456385917</x:v>
      </x:c>
      <x:c r="L133" s="12" t="n">
        <x:f>'全部组合'!AF46/$D133</x:f>
        <x:v>0</x:v>
      </x:c>
      <x:c r="M133" s="12" t="n">
        <x:f>'全部组合'!AG46/$D133</x:f>
        <x:v>0.00028578563398211023</x:v>
      </x:c>
      <x:c r="N133" s="13" t="n">
        <x:f>'全部组合'!AH46/$D133</x:f>
        <x:v>0</x:v>
      </x:c>
    </x:row>
    <x:row r="134" ht="23" customHeight="1">
      <x:c r="A134" s="10" t="str">
        <x:v>M2</x:v>
      </x:c>
      <x:c r="B134" s="10" t="str">
        <x:v>NCG_H0</x:v>
      </x:c>
      <x:c r="C134" s="9" t="str">
        <x:v>节点</x:v>
      </x:c>
      <x:c r="D134" s="11" t="n">
        <x:f>'全部组合'!D47</x:f>
        <x:v>1480</x:v>
      </x:c>
      <x:c r="E134" s="12" t="n">
        <x:f>'全部组合'!O47/$D134</x:f>
        <x:v>0</x:v>
      </x:c>
      <x:c r="F134" s="12" t="n">
        <x:f>'全部组合'!P47/$D134</x:f>
        <x:v>0.06554054054054054</x:v>
      </x:c>
      <x:c r="G134" s="12" t="n">
        <x:f>'全部组合'!Q47/$D134</x:f>
        <x:v>0.49864864864864866</x:v>
      </x:c>
      <x:c r="H134" s="12" t="n">
        <x:f>'全部组合'!R47/$D134</x:f>
        <x:v>0.2993243243243243</x:v>
      </x:c>
      <x:c r="I134" s="12" t="n">
        <x:f>'全部组合'!S47/$D134</x:f>
        <x:v>0.0777027027027027</x:v>
      </x:c>
      <x:c r="J134" s="12" t="n">
        <x:f>'全部组合'!T47/$D134</x:f>
        <x:v>0.012837837837837839</x:v>
      </x:c>
      <x:c r="K134" s="12" t="n">
        <x:f>'全部组合'!U47/$D134</x:f>
        <x:v>0.004054054054054054</x:v>
      </x:c>
      <x:c r="L134" s="12" t="n">
        <x:f>'全部组合'!V47/$D134</x:f>
        <x:v>0.006756756756756757</x:v>
      </x:c>
      <x:c r="M134" s="12" t="n">
        <x:f>'全部组合'!W47/$D134</x:f>
        <x:v>0.03513513513513514</x:v>
      </x:c>
      <x:c r="N134" s="13" t="n">
        <x:f>'全部组合'!X47/$D134</x:f>
        <x:v>0</x:v>
      </x:c>
    </x:row>
    <x:row r="135" ht="23" customHeight="1">
      <x:c r="A135" s="10" t="str">
        <x:v>M2</x:v>
      </x:c>
      <x:c r="B135" s="10" t="str">
        <x:v>NCG_H0</x:v>
      </x:c>
      <x:c r="C135" s="9" t="str">
        <x:v>源三角形</x:v>
      </x:c>
      <x:c r="D135" s="11" t="n">
        <x:f>'全部组合'!I47</x:f>
        <x:v>2911273</x:v>
      </x:c>
      <x:c r="E135" s="12" t="n">
        <x:f>'全部组合'!Y47/$D135</x:f>
        <x:v>0</x:v>
      </x:c>
      <x:c r="F135" s="12" t="n">
        <x:f>'全部组合'!Z47/$D135</x:f>
        <x:v>0.009375967145643847</x:v>
      </x:c>
      <x:c r="G135" s="12" t="n">
        <x:f>'全部组合'!AA47/$D135</x:f>
        <x:v>0.1079816286552309</x:v>
      </x:c>
      <x:c r="H135" s="12" t="n">
        <x:f>'全部组合'!AB47/$D135</x:f>
        <x:v>0.621685771138605</x:v>
      </x:c>
      <x:c r="I135" s="12" t="n">
        <x:f>'全部组合'!AC47/$D135</x:f>
        <x:v>0.21518421666398171</x:v>
      </x:c>
      <x:c r="J135" s="12" t="n">
        <x:f>'全部组合'!AD47/$D135</x:f>
        <x:v>0.008352359947006</x:v>
      </x:c>
      <x:c r="K135" s="12" t="n">
        <x:f>'全部组合'!AE47/$D135</x:f>
        <x:v>0.001829440248303749</x:v>
      </x:c>
      <x:c r="L135" s="12" t="n">
        <x:f>'全部组合'!AF47/$D135</x:f>
        <x:v>0.0023673492661114228</x:v>
      </x:c>
      <x:c r="M135" s="12" t="n">
        <x:f>'全部组合'!AG47/$D135</x:f>
        <x:v>0.03322326693511739</x:v>
      </x:c>
      <x:c r="N135" s="13" t="n">
        <x:f>'全部组合'!AH47/$D135</x:f>
        <x:v>0</x:v>
      </x:c>
    </x:row>
    <x:row r="136" ht="23" customHeight="1">
      <x:c r="A136" s="10" t="str">
        <x:v>M2</x:v>
      </x:c>
      <x:c r="B136" s="10" t="str">
        <x:v>NCG_HT</x:v>
      </x:c>
      <x:c r="C136" s="9" t="str">
        <x:v>节点</x:v>
      </x:c>
      <x:c r="D136" s="11" t="n">
        <x:f>'全部组合'!D48</x:f>
        <x:v>1480</x:v>
      </x:c>
      <x:c r="E136" s="12" t="n">
        <x:f>'全部组合'!O48/$D136</x:f>
        <x:v>0</x:v>
      </x:c>
      <x:c r="F136" s="12" t="n">
        <x:f>'全部组合'!P48/$D136</x:f>
        <x:v>0.043243243243243246</x:v>
      </x:c>
      <x:c r="G136" s="12" t="n">
        <x:f>'全部组合'!Q48/$D136</x:f>
        <x:v>0.4486486486486487</x:v>
      </x:c>
      <x:c r="H136" s="12" t="n">
        <x:f>'全部组合'!R48/$D136</x:f>
        <x:v>0.3567567567567568</x:v>
      </x:c>
      <x:c r="I136" s="12" t="n">
        <x:f>'全部组合'!S48/$D136</x:f>
        <x:v>0.08648648648648649</x:v>
      </x:c>
      <x:c r="J136" s="12" t="n">
        <x:f>'全部组合'!T48/$D136</x:f>
        <x:v>0.01891891891891892</x:v>
      </x:c>
      <x:c r="K136" s="12" t="n">
        <x:f>'全部组合'!U48/$D136</x:f>
        <x:v>0.004054054054054054</x:v>
      </x:c>
      <x:c r="L136" s="12" t="n">
        <x:f>'全部组合'!V48/$D136</x:f>
        <x:v>0.006756756756756757</x:v>
      </x:c>
      <x:c r="M136" s="12" t="n">
        <x:f>'全部组合'!W48/$D136</x:f>
        <x:v>0.03513513513513514</x:v>
      </x:c>
      <x:c r="N136" s="13" t="n">
        <x:f>'全部组合'!X48/$D136</x:f>
        <x:v>0</x:v>
      </x:c>
    </x:row>
    <x:row r="137" ht="23" customHeight="1">
      <x:c r="A137" s="10" t="str">
        <x:v>M2</x:v>
      </x:c>
      <x:c r="B137" s="10" t="str">
        <x:v>NCG_HT</x:v>
      </x:c>
      <x:c r="C137" s="9" t="str">
        <x:v>源三角形</x:v>
      </x:c>
      <x:c r="D137" s="11" t="n">
        <x:f>'全部组合'!I48</x:f>
        <x:v>2911273</x:v>
      </x:c>
      <x:c r="E137" s="12" t="n">
        <x:f>'全部组合'!Y48/$D137</x:f>
        <x:v>0</x:v>
      </x:c>
      <x:c r="F137" s="12" t="n">
        <x:f>'全部组合'!Z48/$D137</x:f>
        <x:v>0.0069344235322486075</x:v>
      </x:c>
      <x:c r="G137" s="12" t="n">
        <x:f>'全部组合'!AA48/$D137</x:f>
        <x:v>0.09514463260573638</x:v>
      </x:c>
      <x:c r="H137" s="12" t="n">
        <x:f>'全部组合'!AB48/$D137</x:f>
        <x:v>0.6327627123942</x:v>
      </x:c>
      <x:c r="I137" s="12" t="n">
        <x:f>'全部组合'!AC48/$D137</x:f>
        <x:v>0.21774254767587925</x:v>
      </x:c>
      <x:c r="J137" s="12" t="n">
        <x:f>'全部组合'!AD48/$D137</x:f>
        <x:v>0.009995627342403134</x:v>
      </x:c>
      <x:c r="K137" s="12" t="n">
        <x:f>'全部组合'!AE48/$D137</x:f>
        <x:v>0.001829440248303749</x:v>
      </x:c>
      <x:c r="L137" s="12" t="n">
        <x:f>'全部组合'!AF48/$D137</x:f>
        <x:v>0.0023673492661114228</x:v>
      </x:c>
      <x:c r="M137" s="12" t="n">
        <x:f>'全部组合'!AG48/$D137</x:f>
        <x:v>0.03322326693511739</x:v>
      </x:c>
      <x:c r="N137" s="13" t="n">
        <x:f>'全部组合'!AH48/$D137</x:f>
        <x:v>0</x:v>
      </x:c>
    </x:row>
    <x:row r="138" ht="23" customHeight="1">
      <x:c r="A138" s="10" t="str">
        <x:v>M2</x:v>
      </x:c>
      <x:c r="B138" s="10" t="str">
        <x:v>NCG_H1</x:v>
      </x:c>
      <x:c r="C138" s="9" t="str">
        <x:v>节点</x:v>
      </x:c>
      <x:c r="D138" s="11" t="n">
        <x:f>'全部组合'!D49</x:f>
        <x:v>1480</x:v>
      </x:c>
      <x:c r="E138" s="12" t="n">
        <x:f>'全部组合'!O49/$D138</x:f>
        <x:v>0</x:v>
      </x:c>
      <x:c r="F138" s="12" t="n">
        <x:f>'全部组合'!P49/$D138</x:f>
        <x:v>0.032432432432432434</x:v>
      </x:c>
      <x:c r="G138" s="12" t="n">
        <x:f>'全部组合'!Q49/$D138</x:f>
        <x:v>0.4135135135135135</x:v>
      </x:c>
      <x:c r="H138" s="12" t="n">
        <x:f>'全部组合'!R49/$D138</x:f>
        <x:v>0.3216216216216216</x:v>
      </x:c>
      <x:c r="I138" s="12" t="n">
        <x:f>'全部组合'!S49/$D138</x:f>
        <x:v>0.08648648648648649</x:v>
      </x:c>
      <x:c r="J138" s="12" t="n">
        <x:f>'全部组合'!T49/$D138</x:f>
        <x:v>0.05067567567567568</x:v>
      </x:c>
      <x:c r="K138" s="12" t="n">
        <x:f>'全部组合'!U49/$D138</x:f>
        <x:v>0.05337837837837838</x:v>
      </x:c>
      <x:c r="L138" s="12" t="n">
        <x:f>'全部组合'!V49/$D138</x:f>
        <x:v>0.006756756756756757</x:v>
      </x:c>
      <x:c r="M138" s="12" t="n">
        <x:f>'全部组合'!W49/$D138</x:f>
        <x:v>0.03513513513513514</x:v>
      </x:c>
      <x:c r="N138" s="13" t="n">
        <x:f>'全部组合'!X49/$D138</x:f>
        <x:v>0</x:v>
      </x:c>
    </x:row>
    <x:row r="139" ht="23" customHeight="1">
      <x:c r="A139" s="10" t="str">
        <x:v>M2</x:v>
      </x:c>
      <x:c r="B139" s="10" t="str">
        <x:v>NCG_H1</x:v>
      </x:c>
      <x:c r="C139" s="9" t="str">
        <x:v>源三角形</x:v>
      </x:c>
      <x:c r="D139" s="11" t="n">
        <x:f>'全部组合'!I49</x:f>
        <x:v>2911273</x:v>
      </x:c>
      <x:c r="E139" s="12" t="n">
        <x:f>'全部组合'!Y49/$D139</x:f>
        <x:v>0</x:v>
      </x:c>
      <x:c r="F139" s="12" t="n">
        <x:f>'全部组合'!Z49/$D139</x:f>
        <x:v>0.005703346955094901</x:v>
      </x:c>
      <x:c r="G139" s="12" t="n">
        <x:f>'全部组合'!AA49/$D139</x:f>
        <x:v>0.08833043139547544</x:v>
      </x:c>
      <x:c r="H139" s="12" t="n">
        <x:f>'全部组合'!AB49/$D139</x:f>
        <x:v>0.6208503977469649</x:v>
      </x:c>
      <x:c r="I139" s="12" t="n">
        <x:f>'全部组合'!AC49/$D139</x:f>
        <x:v>0.21774254767587925</x:v>
      </x:c>
      <x:c r="J139" s="12" t="n">
        <x:f>'全部组合'!AD49/$D139</x:f>
        <x:v>0.021736195815370115</x:v>
      </x:c>
      <x:c r="K139" s="12" t="n">
        <x:f>'全部组合'!AE49/$D139</x:f>
        <x:v>0.01004646420998649</x:v>
      </x:c>
      <x:c r="L139" s="12" t="n">
        <x:f>'全部组合'!AF49/$D139</x:f>
        <x:v>0.0023673492661114228</x:v>
      </x:c>
      <x:c r="M139" s="12" t="n">
        <x:f>'全部组合'!AG49/$D139</x:f>
        <x:v>0.03322326693511739</x:v>
      </x:c>
      <x:c r="N139" s="13" t="n">
        <x:f>'全部组合'!AH49/$D139</x:f>
        <x:v>0</x:v>
      </x:c>
    </x:row>
    <x:row r="140" ht="23" customHeight="1">
      <x:c r="A140" s="10" t="str">
        <x:v>M2</x:v>
      </x:c>
      <x:c r="B140" s="10" t="str">
        <x:v>NCG_H0_M1</x:v>
      </x:c>
      <x:c r="C140" s="9" t="str">
        <x:v>节点</x:v>
      </x:c>
      <x:c r="D140" s="11" t="n">
        <x:f>'全部组合'!D50</x:f>
        <x:v>1480</x:v>
      </x:c>
      <x:c r="E140" s="12" t="n">
        <x:f>'全部组合'!O50/$D140</x:f>
        <x:v>0</x:v>
      </x:c>
      <x:c r="F140" s="12" t="n">
        <x:f>'全部组合'!P50/$D140</x:f>
        <x:v>0.06689189189189189</x:v>
      </x:c>
      <x:c r="G140" s="12" t="n">
        <x:f>'全部组合'!Q50/$D140</x:f>
        <x:v>0.40675675675675677</x:v>
      </x:c>
      <x:c r="H140" s="12" t="n">
        <x:f>'全部组合'!R50/$D140</x:f>
        <x:v>0.2560810810810811</x:v>
      </x:c>
      <x:c r="I140" s="12" t="n">
        <x:f>'全部组合'!S50/$D140</x:f>
        <x:v>0.07094594594594594</x:v>
      </x:c>
      <x:c r="J140" s="12" t="n">
        <x:f>'全部组合'!T50/$D140</x:f>
        <x:v>0.012837837837837839</x:v>
      </x:c>
      <x:c r="K140" s="12" t="n">
        <x:f>'全部组合'!U50/$D140</x:f>
        <x:v>0.006756756756756757</x:v>
      </x:c>
      <x:c r="L140" s="12" t="n">
        <x:f>'全部组合'!V50/$D140</x:f>
        <x:v>0.02027027027027027</x:v>
      </x:c>
      <x:c r="M140" s="12" t="n">
        <x:f>'全部组合'!W50/$D140</x:f>
        <x:v>0.15878378378378377</x:v>
      </x:c>
      <x:c r="N140" s="13" t="n">
        <x:f>'全部组合'!X50/$D140</x:f>
        <x:v>0.0006756756756756757</x:v>
      </x:c>
    </x:row>
    <x:row r="141" ht="23" customHeight="1">
      <x:c r="A141" s="10" t="str">
        <x:v>M2</x:v>
      </x:c>
      <x:c r="B141" s="10" t="str">
        <x:v>NCG_H0_M1</x:v>
      </x:c>
      <x:c r="C141" s="9" t="str">
        <x:v>源三角形</x:v>
      </x:c>
      <x:c r="D141" s="11" t="n">
        <x:f>'全部组合'!I50</x:f>
        <x:v>2911273</x:v>
      </x:c>
      <x:c r="E141" s="12" t="n">
        <x:f>'全部组合'!Y50/$D141</x:f>
        <x:v>0</x:v>
      </x:c>
      <x:c r="F141" s="12" t="n">
        <x:f>'全部组合'!Z50/$D141</x:f>
        <x:v>0.009606794003860167</x:v>
      </x:c>
      <x:c r="G141" s="12" t="n">
        <x:f>'全部组合'!AA50/$D141</x:f>
        <x:v>0.09239325889396151</x:v>
      </x:c>
      <x:c r="H141" s="12" t="n">
        <x:f>'全部组合'!AB50/$D141</x:f>
        <x:v>0.10586399832650528</x:v>
      </x:c>
      <x:c r="I141" s="12" t="n">
        <x:f>'全部组合'!AC50/$D141</x:f>
        <x:v>0.037306016989818544</x:v>
      </x:c>
      <x:c r="J141" s="12" t="n">
        <x:f>'全部组合'!AD50/$D141</x:f>
        <x:v>0.008352359947006</x:v>
      </x:c>
      <x:c r="K141" s="12" t="n">
        <x:f>'全部组合'!AE50/$D141</x:f>
        <x:v>0.002337121939440238</x:v>
      </x:c>
      <x:c r="L141" s="12" t="n">
        <x:f>'全部组合'!AF50/$D141</x:f>
        <x:v>0.0033133271939800907</x:v>
      </x:c>
      <x:c r="M141" s="12" t="n">
        <x:f>'全部组合'!AG50/$D141</x:f>
        <x:v>0.7407529283581443</x:v>
      </x:c>
      <x:c r="N141" s="13" t="n">
        <x:f>'全部组合'!AH50/$D141</x:f>
        <x:v>0.00007419434728381708</x:v>
      </x:c>
    </x:row>
    <x:row r="142" ht="23" customHeight="1">
      <x:c r="A142" s="10" t="str">
        <x:v>M2</x:v>
      </x:c>
      <x:c r="B142" s="10" t="str">
        <x:v>NCG_H1_M1</x:v>
      </x:c>
      <x:c r="C142" s="9" t="str">
        <x:v>节点</x:v>
      </x:c>
      <x:c r="D142" s="11" t="n">
        <x:f>'全部组合'!D51</x:f>
        <x:v>1480</x:v>
      </x:c>
      <x:c r="E142" s="12" t="n">
        <x:f>'全部组合'!O51/$D142</x:f>
        <x:v>0</x:v>
      </x:c>
      <x:c r="F142" s="12" t="n">
        <x:f>'全部组合'!P51/$D142</x:f>
        <x:v>0.03445945945945946</x:v>
      </x:c>
      <x:c r="G142" s="12" t="n">
        <x:f>'全部组合'!Q51/$D142</x:f>
        <x:v>0.3277027027027027</x:v>
      </x:c>
      <x:c r="H142" s="12" t="n">
        <x:f>'全部组合'!R51/$D142</x:f>
        <x:v>0.2527027027027027</x:v>
      </x:c>
      <x:c r="I142" s="12" t="n">
        <x:f>'全部组合'!S51/$D142</x:f>
        <x:v>0.07837837837837838</x:v>
      </x:c>
      <x:c r="J142" s="12" t="n">
        <x:f>'全部组合'!T51/$D142</x:f>
        <x:v>0.06891891891891892</x:v>
      </x:c>
      <x:c r="K142" s="12" t="n">
        <x:f>'全部组合'!U51/$D142</x:f>
        <x:v>0.05810810810810811</x:v>
      </x:c>
      <x:c r="L142" s="12" t="n">
        <x:f>'全部组合'!V51/$D142</x:f>
        <x:v>0.02027027027027027</x:v>
      </x:c>
      <x:c r="M142" s="12" t="n">
        <x:f>'全部组合'!W51/$D142</x:f>
        <x:v>0.15878378378378377</x:v>
      </x:c>
      <x:c r="N142" s="13" t="n">
        <x:f>'全部组合'!X51/$D142</x:f>
        <x:v>0.0006756756756756757</x:v>
      </x:c>
    </x:row>
    <x:row r="143" ht="23" customHeight="1">
      <x:c r="A143" s="10" t="str">
        <x:v>M2</x:v>
      </x:c>
      <x:c r="B143" s="10" t="str">
        <x:v>NCG_H1_M1</x:v>
      </x:c>
      <x:c r="C143" s="9" t="str">
        <x:v>源三角形</x:v>
      </x:c>
      <x:c r="D143" s="11" t="n">
        <x:f>'全部组合'!I51</x:f>
        <x:v>2911273</x:v>
      </x:c>
      <x:c r="E143" s="12" t="n">
        <x:f>'全部组合'!Y51/$D143</x:f>
        <x:v>0</x:v>
      </x:c>
      <x:c r="F143" s="12" t="n">
        <x:f>'全部组合'!Z51/$D143</x:f>
        <x:v>0.00600287228301846</x:v>
      </x:c>
      <x:c r="G143" s="12" t="n">
        <x:f>'全部组合'!AA51/$D143</x:f>
        <x:v>0.07344622094870526</x:v>
      </x:c>
      <x:c r="H143" s="12" t="n">
        <x:f>'全部组合'!AB51/$D143</x:f>
        <x:v>0.09649284007374094</x:v>
      </x:c>
      <x:c r="I143" s="12" t="n">
        <x:f>'全部组合'!AC51/$D143</x:f>
        <x:v>0.03922407826404463</x:v>
      </x:c>
      <x:c r="J143" s="12" t="n">
        <x:f>'全部组合'!AD51/$D143</x:f>
        <x:v>0.029349360228326234</x:v>
      </x:c>
      <x:c r="K143" s="12" t="n">
        <x:f>'全部组合'!AE51/$D143</x:f>
        <x:v>0.011344178302756218</x:v>
      </x:c>
      <x:c r="L143" s="12" t="n">
        <x:f>'全部组合'!AF51/$D143</x:f>
        <x:v>0.0033133271939800907</x:v>
      </x:c>
      <x:c r="M143" s="12" t="n">
        <x:f>'全部组合'!AG51/$D143</x:f>
        <x:v>0.7407529283581443</x:v>
      </x:c>
      <x:c r="N143" s="13" t="n">
        <x:f>'全部组合'!AH51/$D143</x:f>
        <x:v>0.00007419434728381708</x:v>
      </x:c>
    </x:row>
    <x:row r="144" ht="23" customHeight="1">
      <x:c r="A144" s="10" t="str">
        <x:v>M3</x:v>
      </x:c>
      <x:c r="B144" s="10" t="str">
        <x:v>N_H0</x:v>
      </x:c>
      <x:c r="C144" s="9" t="str">
        <x:v>节点</x:v>
      </x:c>
      <x:c r="D144" s="11" t="n">
        <x:f>'全部组合'!D52</x:f>
        <x:v>1481</x:v>
      </x:c>
      <x:c r="E144" s="12" t="n">
        <x:f>'全部组合'!O52/$D144</x:f>
        <x:v>0</x:v>
      </x:c>
      <x:c r="F144" s="12" t="n">
        <x:f>'全部组合'!P52/$D144</x:f>
        <x:v>0.08305199189736664</x:v>
      </x:c>
      <x:c r="G144" s="12" t="n">
        <x:f>'全部组合'!Q52/$D144</x:f>
        <x:v>0.01688048615800135</x:v>
      </x:c>
      <x:c r="H144" s="12" t="n">
        <x:f>'全部组合'!R52/$D144</x:f>
        <x:v>0</x:v>
      </x:c>
      <x:c r="I144" s="12" t="n">
        <x:f>'全部组合'!S52/$D144</x:f>
        <x:v>0.7927076299797434</x:v>
      </x:c>
      <x:c r="J144" s="12" t="n">
        <x:f>'全部组合'!T52/$D144</x:f>
        <x:v>0.004051316677920324</x:v>
      </x:c>
      <x:c r="K144" s="12" t="n">
        <x:f>'全部组合'!U52/$D144</x:f>
        <x:v>0.004051316677920324</x:v>
      </x:c>
      <x:c r="L144" s="12" t="n">
        <x:f>'全部组合'!V52/$D144</x:f>
        <x:v>0.027683997299122215</x:v>
      </x:c>
      <x:c r="M144" s="12" t="n">
        <x:f>'全部组合'!W52/$D144</x:f>
        <x:v>0.07157326130992572</x:v>
      </x:c>
      <x:c r="N144" s="13" t="n">
        <x:f>'全部组合'!X52/$D144</x:f>
        <x:v>0</x:v>
      </x:c>
    </x:row>
    <x:row r="145" ht="23" customHeight="1">
      <x:c r="A145" s="10" t="str">
        <x:v>M3</x:v>
      </x:c>
      <x:c r="B145" s="10" t="str">
        <x:v>N_H0</x:v>
      </x:c>
      <x:c r="C145" s="9" t="str">
        <x:v>源三角形</x:v>
      </x:c>
      <x:c r="D145" s="11" t="n">
        <x:f>'全部组合'!I52</x:f>
        <x:v>3433060</x:v>
      </x:c>
      <x:c r="E145" s="12" t="n">
        <x:f>'全部组合'!Y52/$D145</x:f>
        <x:v>0</x:v>
      </x:c>
      <x:c r="F145" s="12" t="n">
        <x:f>'全部组合'!Z52/$D145</x:f>
        <x:v>0.023387881365312578</x:v>
      </x:c>
      <x:c r="G145" s="12" t="n">
        <x:f>'全部组合'!AA52/$D145</x:f>
        <x:v>0.008436788171485497</x:v>
      </x:c>
      <x:c r="H145" s="12" t="n">
        <x:f>'全部组合'!AB52/$D145</x:f>
        <x:v>0</x:v>
      </x:c>
      <x:c r="I145" s="12" t="n">
        <x:f>'全部组合'!AC52/$D145</x:f>
        <x:v>0.6914694179536623</x:v>
      </x:c>
      <x:c r="J145" s="12" t="n">
        <x:f>'全部组合'!AD52/$D145</x:f>
        <x:v>0.019422322942214815</x:v>
      </x:c>
      <x:c r="K145" s="12" t="n">
        <x:f>'全部组合'!AE52/$D145</x:f>
        <x:v>0.00976271897374354</x:v>
      </x:c>
      <x:c r="L145" s="12" t="n">
        <x:f>'全部组合'!AF52/$D145</x:f>
        <x:v>0.07250441297268326</x:v>
      </x:c>
      <x:c r="M145" s="12" t="n">
        <x:f>'全部组合'!AG52/$D145</x:f>
        <x:v>0.17501645762089799</x:v>
      </x:c>
      <x:c r="N145" s="13" t="n">
        <x:f>'全部组合'!AH52/$D145</x:f>
        <x:v>0</x:v>
      </x:c>
    </x:row>
    <x:row r="146" ht="23" customHeight="1">
      <x:c r="A146" s="10" t="str">
        <x:v>M3</x:v>
      </x:c>
      <x:c r="B146" s="10" t="str">
        <x:v>N_HT</x:v>
      </x:c>
      <x:c r="C146" s="9" t="str">
        <x:v>节点</x:v>
      </x:c>
      <x:c r="D146" s="11" t="n">
        <x:f>'全部组合'!D53</x:f>
        <x:v>1481</x:v>
      </x:c>
      <x:c r="E146" s="12" t="n">
        <x:f>'全部组合'!O53/$D146</x:f>
        <x:v>0</x:v>
      </x:c>
      <x:c r="F146" s="12" t="n">
        <x:f>'全部组合'!P53/$D146</x:f>
        <x:v>0.08305199189736664</x:v>
      </x:c>
      <x:c r="G146" s="12" t="n">
        <x:f>'全部组合'!Q53/$D146</x:f>
        <x:v>0.01688048615800135</x:v>
      </x:c>
      <x:c r="H146" s="12" t="n">
        <x:f>'全部组合'!R53/$D146</x:f>
        <x:v>0</x:v>
      </x:c>
      <x:c r="I146" s="12" t="n">
        <x:f>'全部组合'!S53/$D146</x:f>
        <x:v>0.7927076299797434</x:v>
      </x:c>
      <x:c r="J146" s="12" t="n">
        <x:f>'全部组合'!T53/$D146</x:f>
        <x:v>0.004051316677920324</x:v>
      </x:c>
      <x:c r="K146" s="12" t="n">
        <x:f>'全部组合'!U53/$D146</x:f>
        <x:v>0.004051316677920324</x:v>
      </x:c>
      <x:c r="L146" s="12" t="n">
        <x:f>'全部组合'!V53/$D146</x:f>
        <x:v>0.027683997299122215</x:v>
      </x:c>
      <x:c r="M146" s="12" t="n">
        <x:f>'全部组合'!W53/$D146</x:f>
        <x:v>0.07157326130992572</x:v>
      </x:c>
      <x:c r="N146" s="13" t="n">
        <x:f>'全部组合'!X53/$D146</x:f>
        <x:v>0</x:v>
      </x:c>
    </x:row>
    <x:row r="147" ht="23" customHeight="1">
      <x:c r="A147" s="10" t="str">
        <x:v>M3</x:v>
      </x:c>
      <x:c r="B147" s="10" t="str">
        <x:v>N_HT</x:v>
      </x:c>
      <x:c r="C147" s="9" t="str">
        <x:v>源三角形</x:v>
      </x:c>
      <x:c r="D147" s="11" t="n">
        <x:f>'全部组合'!I53</x:f>
        <x:v>3433060</x:v>
      </x:c>
      <x:c r="E147" s="12" t="n">
        <x:f>'全部组合'!Y53/$D147</x:f>
        <x:v>0</x:v>
      </x:c>
      <x:c r="F147" s="12" t="n">
        <x:f>'全部组合'!Z53/$D147</x:f>
        <x:v>0.023387881365312578</x:v>
      </x:c>
      <x:c r="G147" s="12" t="n">
        <x:f>'全部组合'!AA53/$D147</x:f>
        <x:v>0.008436788171485497</x:v>
      </x:c>
      <x:c r="H147" s="12" t="n">
        <x:f>'全部组合'!AB53/$D147</x:f>
        <x:v>0</x:v>
      </x:c>
      <x:c r="I147" s="12" t="n">
        <x:f>'全部组合'!AC53/$D147</x:f>
        <x:v>0.6914694179536623</x:v>
      </x:c>
      <x:c r="J147" s="12" t="n">
        <x:f>'全部组合'!AD53/$D147</x:f>
        <x:v>0.019422322942214815</x:v>
      </x:c>
      <x:c r="K147" s="12" t="n">
        <x:f>'全部组合'!AE53/$D147</x:f>
        <x:v>0.00976271897374354</x:v>
      </x:c>
      <x:c r="L147" s="12" t="n">
        <x:f>'全部组合'!AF53/$D147</x:f>
        <x:v>0.07250441297268326</x:v>
      </x:c>
      <x:c r="M147" s="12" t="n">
        <x:f>'全部组合'!AG53/$D147</x:f>
        <x:v>0.17501645762089799</x:v>
      </x:c>
      <x:c r="N147" s="13" t="n">
        <x:f>'全部组合'!AH53/$D147</x:f>
        <x:v>0</x:v>
      </x:c>
    </x:row>
    <x:row r="148" ht="23" customHeight="1">
      <x:c r="A148" s="10" t="str">
        <x:v>M3</x:v>
      </x:c>
      <x:c r="B148" s="10" t="str">
        <x:v>N_H1</x:v>
      </x:c>
      <x:c r="C148" s="9" t="str">
        <x:v>节点</x:v>
      </x:c>
      <x:c r="D148" s="11" t="n">
        <x:f>'全部组合'!D54</x:f>
        <x:v>1481</x:v>
      </x:c>
      <x:c r="E148" s="12" t="n">
        <x:f>'全部组合'!O54/$D148</x:f>
        <x:v>0</x:v>
      </x:c>
      <x:c r="F148" s="12" t="n">
        <x:f>'全部组合'!P54/$D148</x:f>
        <x:v>0.07629979743416611</x:v>
      </x:c>
      <x:c r="G148" s="12" t="n">
        <x:f>'全部组合'!Q54/$D148</x:f>
        <x:v>0.007427413909520594</x:v>
      </x:c>
      <x:c r="H148" s="12" t="n">
        <x:f>'全部组合'!R54/$D148</x:f>
        <x:v>0</x:v>
      </x:c>
      <x:c r="I148" s="12" t="n">
        <x:f>'全部组合'!S54/$D148</x:f>
        <x:v>0.7927076299797434</x:v>
      </x:c>
      <x:c r="J148" s="12" t="n">
        <x:f>'全部组合'!T54/$D148</x:f>
        <x:v>0.01350438892640108</x:v>
      </x:c>
      <x:c r="K148" s="12" t="n">
        <x:f>'全部组合'!U54/$D148</x:f>
        <x:v>0.010803511141120865</x:v>
      </x:c>
      <x:c r="L148" s="12" t="n">
        <x:f>'全部组合'!V54/$D148</x:f>
        <x:v>0.027683997299122215</x:v>
      </x:c>
      <x:c r="M148" s="12" t="n">
        <x:f>'全部组合'!W54/$D148</x:f>
        <x:v>0.07157326130992572</x:v>
      </x:c>
      <x:c r="N148" s="13" t="n">
        <x:f>'全部组合'!X54/$D148</x:f>
        <x:v>0</x:v>
      </x:c>
    </x:row>
    <x:row r="149" ht="23" customHeight="1">
      <x:c r="A149" s="10" t="str">
        <x:v>M3</x:v>
      </x:c>
      <x:c r="B149" s="10" t="str">
        <x:v>N_H1</x:v>
      </x:c>
      <x:c r="C149" s="9" t="str">
        <x:v>源三角形</x:v>
      </x:c>
      <x:c r="D149" s="11" t="n">
        <x:f>'全部组合'!I54</x:f>
        <x:v>3433060</x:v>
      </x:c>
      <x:c r="E149" s="12" t="n">
        <x:f>'全部组合'!Y54/$D149</x:f>
        <x:v>0</x:v>
      </x:c>
      <x:c r="F149" s="12" t="n">
        <x:f>'全部组合'!Z54/$D149</x:f>
        <x:v>0.0220176751935591</x:v>
      </x:c>
      <x:c r="G149" s="12" t="n">
        <x:f>'全部组合'!AA54/$D149</x:f>
        <x:v>0.004294710841057249</x:v>
      </x:c>
      <x:c r="H149" s="12" t="n">
        <x:f>'全部组合'!AB54/$D149</x:f>
        <x:v>0</x:v>
      </x:c>
      <x:c r="I149" s="12" t="n">
        <x:f>'全部组合'!AC54/$D149</x:f>
        <x:v>0.6914694179536623</x:v>
      </x:c>
      <x:c r="J149" s="12" t="n">
        <x:f>'全部组合'!AD54/$D149</x:f>
        <x:v>0.023564400272643064</x:v>
      </x:c>
      <x:c r="K149" s="12" t="n">
        <x:f>'全部组合'!AE54/$D149</x:f>
        <x:v>0.01113292514549702</x:v>
      </x:c>
      <x:c r="L149" s="12" t="n">
        <x:f>'全部组合'!AF54/$D149</x:f>
        <x:v>0.07250441297268326</x:v>
      </x:c>
      <x:c r="M149" s="12" t="n">
        <x:f>'全部组合'!AG54/$D149</x:f>
        <x:v>0.17501645762089799</x:v>
      </x:c>
      <x:c r="N149" s="13" t="n">
        <x:f>'全部组合'!AH54/$D149</x:f>
        <x:v>0</x:v>
      </x:c>
    </x:row>
    <x:row r="150" ht="23" customHeight="1">
      <x:c r="A150" s="10" t="str">
        <x:v>M3</x:v>
      </x:c>
      <x:c r="B150" s="10" t="str">
        <x:v>C_H0</x:v>
      </x:c>
      <x:c r="C150" s="9" t="str">
        <x:v>节点</x:v>
      </x:c>
      <x:c r="D150" s="11" t="n">
        <x:f>'全部组合'!D55</x:f>
        <x:v>1481</x:v>
      </x:c>
      <x:c r="E150" s="12" t="n">
        <x:f>'全部组合'!O55/$D150</x:f>
        <x:v>0</x:v>
      </x:c>
      <x:c r="F150" s="12" t="n">
        <x:f>'全部组合'!P55/$D150</x:f>
        <x:v>0.23835246455097908</x:v>
      </x:c>
      <x:c r="G150" s="12" t="n">
        <x:f>'全部组合'!Q55/$D150</x:f>
        <x:v>0</x:v>
      </x:c>
      <x:c r="H150" s="12" t="n">
        <x:f>'全部组合'!R55/$D150</x:f>
        <x:v>0</x:v>
      </x:c>
      <x:c r="I150" s="12" t="n">
        <x:f>'全部组合'!S55/$D150</x:f>
        <x:v>0.761647535449021</x:v>
      </x:c>
      <x:c r="J150" s="12" t="n">
        <x:f>'全部组合'!T55/$D150</x:f>
        <x:v>0</x:v>
      </x:c>
      <x:c r="K150" s="12" t="n">
        <x:f>'全部组合'!U55/$D150</x:f>
        <x:v>0</x:v>
      </x:c>
      <x:c r="L150" s="12" t="n">
        <x:f>'全部组合'!V55/$D150</x:f>
        <x:v>0</x:v>
      </x:c>
      <x:c r="M150" s="12" t="n">
        <x:f>'全部组合'!W55/$D150</x:f>
        <x:v>0</x:v>
      </x:c>
      <x:c r="N150" s="13" t="n">
        <x:f>'全部组合'!X55/$D150</x:f>
        <x:v>0</x:v>
      </x:c>
    </x:row>
    <x:row r="151" ht="23" customHeight="1">
      <x:c r="A151" s="10" t="str">
        <x:v>M3</x:v>
      </x:c>
      <x:c r="B151" s="10" t="str">
        <x:v>C_H0</x:v>
      </x:c>
      <x:c r="C151" s="9" t="str">
        <x:v>源三角形</x:v>
      </x:c>
      <x:c r="D151" s="11" t="n">
        <x:f>'全部组合'!I55</x:f>
        <x:v>3433060</x:v>
      </x:c>
      <x:c r="E151" s="12" t="n">
        <x:f>'全部组合'!Y55/$D151</x:f>
        <x:v>0</x:v>
      </x:c>
      <x:c r="F151" s="12" t="n">
        <x:f>'全部组合'!Z55/$D151</x:f>
        <x:v>0.21595602756724322</x:v>
      </x:c>
      <x:c r="G151" s="12" t="n">
        <x:f>'全部组合'!AA55/$D151</x:f>
        <x:v>0</x:v>
      </x:c>
      <x:c r="H151" s="12" t="n">
        <x:f>'全部组合'!AB55/$D151</x:f>
        <x:v>0</x:v>
      </x:c>
      <x:c r="I151" s="12" t="n">
        <x:f>'全部组合'!AC55/$D151</x:f>
        <x:v>0.7840439724327568</x:v>
      </x:c>
      <x:c r="J151" s="12" t="n">
        <x:f>'全部组合'!AD55/$D151</x:f>
        <x:v>0</x:v>
      </x:c>
      <x:c r="K151" s="12" t="n">
        <x:f>'全部组合'!AE55/$D151</x:f>
        <x:v>0</x:v>
      </x:c>
      <x:c r="L151" s="12" t="n">
        <x:f>'全部组合'!AF55/$D151</x:f>
        <x:v>0</x:v>
      </x:c>
      <x:c r="M151" s="12" t="n">
        <x:f>'全部组合'!AG55/$D151</x:f>
        <x:v>0</x:v>
      </x:c>
      <x:c r="N151" s="13" t="n">
        <x:f>'全部组合'!AH55/$D151</x:f>
        <x:v>0</x:v>
      </x:c>
    </x:row>
    <x:row r="152" ht="23" customHeight="1">
      <x:c r="A152" s="10" t="str">
        <x:v>M3</x:v>
      </x:c>
      <x:c r="B152" s="10" t="str">
        <x:v>C_HT</x:v>
      </x:c>
      <x:c r="C152" s="9" t="str">
        <x:v>节点</x:v>
      </x:c>
      <x:c r="D152" s="11" t="n">
        <x:f>'全部组合'!D56</x:f>
        <x:v>1481</x:v>
      </x:c>
      <x:c r="E152" s="12" t="n">
        <x:f>'全部组合'!O56/$D152</x:f>
        <x:v>0</x:v>
      </x:c>
      <x:c r="F152" s="12" t="n">
        <x:f>'全部组合'!P56/$D152</x:f>
        <x:v>0.23835246455097908</x:v>
      </x:c>
      <x:c r="G152" s="12" t="n">
        <x:f>'全部组合'!Q56/$D152</x:f>
        <x:v>0</x:v>
      </x:c>
      <x:c r="H152" s="12" t="n">
        <x:f>'全部组合'!R56/$D152</x:f>
        <x:v>0</x:v>
      </x:c>
      <x:c r="I152" s="12" t="n">
        <x:f>'全部组合'!S56/$D152</x:f>
        <x:v>0.761647535449021</x:v>
      </x:c>
      <x:c r="J152" s="12" t="n">
        <x:f>'全部组合'!T56/$D152</x:f>
        <x:v>0</x:v>
      </x:c>
      <x:c r="K152" s="12" t="n">
        <x:f>'全部组合'!U56/$D152</x:f>
        <x:v>0</x:v>
      </x:c>
      <x:c r="L152" s="12" t="n">
        <x:f>'全部组合'!V56/$D152</x:f>
        <x:v>0</x:v>
      </x:c>
      <x:c r="M152" s="12" t="n">
        <x:f>'全部组合'!W56/$D152</x:f>
        <x:v>0</x:v>
      </x:c>
      <x:c r="N152" s="13" t="n">
        <x:f>'全部组合'!X56/$D152</x:f>
        <x:v>0</x:v>
      </x:c>
    </x:row>
    <x:row r="153" ht="23" customHeight="1">
      <x:c r="A153" s="10" t="str">
        <x:v>M3</x:v>
      </x:c>
      <x:c r="B153" s="10" t="str">
        <x:v>C_HT</x:v>
      </x:c>
      <x:c r="C153" s="9" t="str">
        <x:v>源三角形</x:v>
      </x:c>
      <x:c r="D153" s="11" t="n">
        <x:f>'全部组合'!I56</x:f>
        <x:v>3433060</x:v>
      </x:c>
      <x:c r="E153" s="12" t="n">
        <x:f>'全部组合'!Y56/$D153</x:f>
        <x:v>0</x:v>
      </x:c>
      <x:c r="F153" s="12" t="n">
        <x:f>'全部组合'!Z56/$D153</x:f>
        <x:v>0.21595602756724322</x:v>
      </x:c>
      <x:c r="G153" s="12" t="n">
        <x:f>'全部组合'!AA56/$D153</x:f>
        <x:v>0</x:v>
      </x:c>
      <x:c r="H153" s="12" t="n">
        <x:f>'全部组合'!AB56/$D153</x:f>
        <x:v>0</x:v>
      </x:c>
      <x:c r="I153" s="12" t="n">
        <x:f>'全部组合'!AC56/$D153</x:f>
        <x:v>0.7840439724327568</x:v>
      </x:c>
      <x:c r="J153" s="12" t="n">
        <x:f>'全部组合'!AD56/$D153</x:f>
        <x:v>0</x:v>
      </x:c>
      <x:c r="K153" s="12" t="n">
        <x:f>'全部组合'!AE56/$D153</x:f>
        <x:v>0</x:v>
      </x:c>
      <x:c r="L153" s="12" t="n">
        <x:f>'全部组合'!AF56/$D153</x:f>
        <x:v>0</x:v>
      </x:c>
      <x:c r="M153" s="12" t="n">
        <x:f>'全部组合'!AG56/$D153</x:f>
        <x:v>0</x:v>
      </x:c>
      <x:c r="N153" s="13" t="n">
        <x:f>'全部组合'!AH56/$D153</x:f>
        <x:v>0</x:v>
      </x:c>
    </x:row>
    <x:row r="154" ht="23" customHeight="1">
      <x:c r="A154" s="10" t="str">
        <x:v>M3</x:v>
      </x:c>
      <x:c r="B154" s="10" t="str">
        <x:v>C_H1</x:v>
      </x:c>
      <x:c r="C154" s="9" t="str">
        <x:v>节点</x:v>
      </x:c>
      <x:c r="D154" s="11" t="n">
        <x:f>'全部组合'!D57</x:f>
        <x:v>1481</x:v>
      </x:c>
      <x:c r="E154" s="12" t="n">
        <x:f>'全部组合'!O57/$D154</x:f>
        <x:v>0</x:v>
      </x:c>
      <x:c r="F154" s="12" t="n">
        <x:f>'全部组合'!P57/$D154</x:f>
        <x:v>0.21809588116137746</x:v>
      </x:c>
      <x:c r="G154" s="12" t="n">
        <x:f>'全部组合'!Q57/$D154</x:f>
        <x:v>0</x:v>
      </x:c>
      <x:c r="H154" s="12" t="n">
        <x:f>'全部组合'!R57/$D154</x:f>
        <x:v>0</x:v>
      </x:c>
      <x:c r="I154" s="12" t="n">
        <x:f>'全部组合'!S57/$D154</x:f>
        <x:v>0.761647535449021</x:v>
      </x:c>
      <x:c r="J154" s="12" t="n">
        <x:f>'全部组合'!T57/$D154</x:f>
        <x:v>0</x:v>
      </x:c>
      <x:c r="K154" s="12" t="n">
        <x:f>'全部组合'!U57/$D154</x:f>
        <x:v>0.02025658338960162</x:v>
      </x:c>
      <x:c r="L154" s="12" t="n">
        <x:f>'全部组合'!V57/$D154</x:f>
        <x:v>0</x:v>
      </x:c>
      <x:c r="M154" s="12" t="n">
        <x:f>'全部组合'!W57/$D154</x:f>
        <x:v>0</x:v>
      </x:c>
      <x:c r="N154" s="13" t="n">
        <x:f>'全部组合'!X57/$D154</x:f>
        <x:v>0</x:v>
      </x:c>
    </x:row>
    <x:row r="155" ht="23" customHeight="1">
      <x:c r="A155" s="10" t="str">
        <x:v>M3</x:v>
      </x:c>
      <x:c r="B155" s="10" t="str">
        <x:v>C_H1</x:v>
      </x:c>
      <x:c r="C155" s="9" t="str">
        <x:v>源三角形</x:v>
      </x:c>
      <x:c r="D155" s="11" t="n">
        <x:f>'全部组合'!I57</x:f>
        <x:v>3433060</x:v>
      </x:c>
      <x:c r="E155" s="12" t="n">
        <x:f>'全部组合'!Y57/$D155</x:f>
        <x:v>0</x:v>
      </x:c>
      <x:c r="F155" s="12" t="n">
        <x:f>'全部组合'!Z57/$D155</x:f>
        <x:v>0.21104495697715742</x:v>
      </x:c>
      <x:c r="G155" s="12" t="n">
        <x:f>'全部组合'!AA57/$D155</x:f>
        <x:v>0</x:v>
      </x:c>
      <x:c r="H155" s="12" t="n">
        <x:f>'全部组合'!AB57/$D155</x:f>
        <x:v>0</x:v>
      </x:c>
      <x:c r="I155" s="12" t="n">
        <x:f>'全部组合'!AC57/$D155</x:f>
        <x:v>0.7840439724327568</x:v>
      </x:c>
      <x:c r="J155" s="12" t="n">
        <x:f>'全部组合'!AD57/$D155</x:f>
        <x:v>0</x:v>
      </x:c>
      <x:c r="K155" s="12" t="n">
        <x:f>'全部组合'!AE57/$D155</x:f>
        <x:v>0.004911070590085813</x:v>
      </x:c>
      <x:c r="L155" s="12" t="n">
        <x:f>'全部组合'!AF57/$D155</x:f>
        <x:v>0</x:v>
      </x:c>
      <x:c r="M155" s="12" t="n">
        <x:f>'全部组合'!AG57/$D155</x:f>
        <x:v>0</x:v>
      </x:c>
      <x:c r="N155" s="13" t="n">
        <x:f>'全部组合'!AH57/$D155</x:f>
        <x:v>0</x:v>
      </x:c>
    </x:row>
    <x:row r="156" ht="23" customHeight="1">
      <x:c r="A156" s="10" t="str">
        <x:v>M3</x:v>
      </x:c>
      <x:c r="B156" s="10" t="str">
        <x:v>G_H0</x:v>
      </x:c>
      <x:c r="C156" s="9" t="str">
        <x:v>节点</x:v>
      </x:c>
      <x:c r="D156" s="11" t="n">
        <x:f>'全部组合'!D58</x:f>
        <x:v>1481</x:v>
      </x:c>
      <x:c r="E156" s="12" t="n">
        <x:f>'全部组合'!O58/$D156</x:f>
        <x:v>0</x:v>
      </x:c>
      <x:c r="F156" s="12" t="n">
        <x:f>'全部组合'!P58/$D156</x:f>
        <x:v>0.15057393652937204</x:v>
      </x:c>
      <x:c r="G156" s="12" t="n">
        <x:f>'全部组合'!Q58/$D156</x:f>
        <x:v>0.4922349763673194</x:v>
      </x:c>
      <x:c r="H156" s="12" t="n">
        <x:f>'全部组合'!R58/$D156</x:f>
        <x:v>0.2889939230249831</x:v>
      </x:c>
      <x:c r="I156" s="12" t="n">
        <x:f>'全部组合'!S58/$D156</x:f>
        <x:v>0.06414584740040513</x:v>
      </x:c>
      <x:c r="J156" s="12" t="n">
        <x:f>'全部组合'!T58/$D156</x:f>
        <x:v>0.004051316677920324</x:v>
      </x:c>
      <x:c r="K156" s="12" t="n">
        <x:f>'全部组合'!U58/$D156</x:f>
        <x:v>0</x:v>
      </x:c>
      <x:c r="L156" s="12" t="n">
        <x:f>'全部组合'!V58/$D156</x:f>
        <x:v>0</x:v>
      </x:c>
      <x:c r="M156" s="12" t="n">
        <x:f>'全部组合'!W58/$D156</x:f>
        <x:v>0</x:v>
      </x:c>
      <x:c r="N156" s="13" t="n">
        <x:f>'全部组合'!X58/$D156</x:f>
        <x:v>0</x:v>
      </x:c>
    </x:row>
    <x:row r="157" ht="23" customHeight="1">
      <x:c r="A157" s="10" t="str">
        <x:v>M3</x:v>
      </x:c>
      <x:c r="B157" s="10" t="str">
        <x:v>G_H0</x:v>
      </x:c>
      <x:c r="C157" s="9" t="str">
        <x:v>源三角形</x:v>
      </x:c>
      <x:c r="D157" s="11" t="n">
        <x:f>'全部组合'!I58</x:f>
        <x:v>3433060</x:v>
      </x:c>
      <x:c r="E157" s="12" t="n">
        <x:f>'全部组合'!Y58/$D157</x:f>
        <x:v>0</x:v>
      </x:c>
      <x:c r="F157" s="12" t="n">
        <x:f>'全部组合'!Z58/$D157</x:f>
        <x:v>0.12753228897834584</x:v>
      </x:c>
      <x:c r="G157" s="12" t="n">
        <x:f>'全部组合'!AA58/$D157</x:f>
        <x:v>0.3879110764157923</x:v>
      </x:c>
      <x:c r="H157" s="12" t="n">
        <x:f>'全部组合'!AB58/$D157</x:f>
        <x:v>0.29957006285937327</x:v>
      </x:c>
      <x:c r="I157" s="12" t="n">
        <x:f>'全部组合'!AC58/$D157</x:f>
        <x:v>0.15188723762474293</x:v>
      </x:c>
      <x:c r="J157" s="12" t="n">
        <x:f>'全部组合'!AD58/$D157</x:f>
        <x:v>0.033099334121745615</x:v>
      </x:c>
      <x:c r="K157" s="12" t="n">
        <x:f>'全部组合'!AE58/$D157</x:f>
        <x:v>0</x:v>
      </x:c>
      <x:c r="L157" s="12" t="n">
        <x:f>'全部组合'!AF58/$D157</x:f>
        <x:v>0</x:v>
      </x:c>
      <x:c r="M157" s="12" t="n">
        <x:f>'全部组合'!AG58/$D157</x:f>
        <x:v>0</x:v>
      </x:c>
      <x:c r="N157" s="13" t="n">
        <x:f>'全部组合'!AH58/$D157</x:f>
        <x:v>0</x:v>
      </x:c>
    </x:row>
    <x:row r="158" ht="23" customHeight="1">
      <x:c r="A158" s="10" t="str">
        <x:v>M3</x:v>
      </x:c>
      <x:c r="B158" s="10" t="str">
        <x:v>G_HT</x:v>
      </x:c>
      <x:c r="C158" s="9" t="str">
        <x:v>节点</x:v>
      </x:c>
      <x:c r="D158" s="11" t="n">
        <x:f>'全部组合'!D59</x:f>
        <x:v>1481</x:v>
      </x:c>
      <x:c r="E158" s="12" t="n">
        <x:f>'全部组合'!O59/$D158</x:f>
        <x:v>0</x:v>
      </x:c>
      <x:c r="F158" s="12" t="n">
        <x:f>'全部组合'!P59/$D158</x:f>
        <x:v>0.11276164753544902</x:v>
      </x:c>
      <x:c r="G158" s="12" t="n">
        <x:f>'全部组合'!Q59/$D158</x:f>
        <x:v>0.4665766374071573</x:v>
      </x:c>
      <x:c r="H158" s="12" t="n">
        <x:f>'全部组合'!R59/$D158</x:f>
        <x:v>0.34233625928426736</x:v>
      </x:c>
      <x:c r="I158" s="12" t="n">
        <x:f>'全部组合'!S59/$D158</x:f>
        <x:v>0.07292370020256583</x:v>
      </x:c>
      <x:c r="J158" s="12" t="n">
        <x:f>'全部组合'!T59/$D158</x:f>
        <x:v>0.0054017555705604325</x:v>
      </x:c>
      <x:c r="K158" s="12" t="n">
        <x:f>'全部组合'!U59/$D158</x:f>
        <x:v>0</x:v>
      </x:c>
      <x:c r="L158" s="12" t="n">
        <x:f>'全部组合'!V59/$D158</x:f>
        <x:v>0</x:v>
      </x:c>
      <x:c r="M158" s="12" t="n">
        <x:f>'全部组合'!W59/$D158</x:f>
        <x:v>0</x:v>
      </x:c>
      <x:c r="N158" s="13" t="n">
        <x:f>'全部组合'!X59/$D158</x:f>
        <x:v>0</x:v>
      </x:c>
    </x:row>
    <x:row r="159" ht="23" customHeight="1">
      <x:c r="A159" s="10" t="str">
        <x:v>M3</x:v>
      </x:c>
      <x:c r="B159" s="10" t="str">
        <x:v>G_HT</x:v>
      </x:c>
      <x:c r="C159" s="9" t="str">
        <x:v>源三角形</x:v>
      </x:c>
      <x:c r="D159" s="11" t="n">
        <x:f>'全部组合'!I59</x:f>
        <x:v>3433060</x:v>
      </x:c>
      <x:c r="E159" s="12" t="n">
        <x:f>'全部组合'!Y59/$D159</x:f>
        <x:v>0</x:v>
      </x:c>
      <x:c r="F159" s="12" t="n">
        <x:f>'全部组合'!Z59/$D159</x:f>
        <x:v>0.1191712349915236</x:v>
      </x:c>
      <x:c r="G159" s="12" t="n">
        <x:f>'全部组合'!AA59/$D159</x:f>
        <x:v>0.3339126027508986</x:v>
      </x:c>
      <x:c r="H159" s="12" t="n">
        <x:f>'全部组合'!AB59/$D159</x:f>
        <x:v>0.33208449604725815</x:v>
      </x:c>
      <x:c r="I159" s="12" t="n">
        <x:f>'全部组合'!AC59/$D159</x:f>
        <x:v>0.1799799595695968</x:v>
      </x:c>
      <x:c r="J159" s="12" t="n">
        <x:f>'全部组合'!AD59/$D159</x:f>
        <x:v>0.03485170664072285</x:v>
      </x:c>
      <x:c r="K159" s="12" t="n">
        <x:f>'全部组合'!AE59/$D159</x:f>
        <x:v>0</x:v>
      </x:c>
      <x:c r="L159" s="12" t="n">
        <x:f>'全部组合'!AF59/$D159</x:f>
        <x:v>0</x:v>
      </x:c>
      <x:c r="M159" s="12" t="n">
        <x:f>'全部组合'!AG59/$D159</x:f>
        <x:v>0</x:v>
      </x:c>
      <x:c r="N159" s="13" t="n">
        <x:f>'全部组合'!AH59/$D159</x:f>
        <x:v>0</x:v>
      </x:c>
    </x:row>
    <x:row r="160" ht="23" customHeight="1">
      <x:c r="A160" s="10" t="str">
        <x:v>M3</x:v>
      </x:c>
      <x:c r="B160" s="10" t="str">
        <x:v>G_H1</x:v>
      </x:c>
      <x:c r="C160" s="9" t="str">
        <x:v>节点</x:v>
      </x:c>
      <x:c r="D160" s="11" t="n">
        <x:f>'全部组合'!D60</x:f>
        <x:v>1481</x:v>
      </x:c>
      <x:c r="E160" s="12" t="n">
        <x:f>'全部组合'!O60/$D160</x:f>
        <x:v>0</x:v>
      </x:c>
      <x:c r="F160" s="12" t="n">
        <x:f>'全部组合'!P60/$D160</x:f>
        <x:v>0.11276164753544902</x:v>
      </x:c>
      <x:c r="G160" s="12" t="n">
        <x:f>'全部组合'!Q60/$D160</x:f>
        <x:v>0.4665766374071573</x:v>
      </x:c>
      <x:c r="H160" s="12" t="n">
        <x:f>'全部组合'!R60/$D160</x:f>
        <x:v>0.34233625928426736</x:v>
      </x:c>
      <x:c r="I160" s="12" t="n">
        <x:f>'全部组合'!S60/$D160</x:f>
        <x:v>0.07292370020256583</x:v>
      </x:c>
      <x:c r="J160" s="12" t="n">
        <x:f>'全部组合'!T60/$D160</x:f>
        <x:v>0.0054017555705604325</x:v>
      </x:c>
      <x:c r="K160" s="12" t="n">
        <x:f>'全部组合'!U60/$D160</x:f>
        <x:v>0</x:v>
      </x:c>
      <x:c r="L160" s="12" t="n">
        <x:f>'全部组合'!V60/$D160</x:f>
        <x:v>0</x:v>
      </x:c>
      <x:c r="M160" s="12" t="n">
        <x:f>'全部组合'!W60/$D160</x:f>
        <x:v>0</x:v>
      </x:c>
      <x:c r="N160" s="13" t="n">
        <x:f>'全部组合'!X60/$D160</x:f>
        <x:v>0</x:v>
      </x:c>
    </x:row>
    <x:row r="161" ht="23" customHeight="1">
      <x:c r="A161" s="10" t="str">
        <x:v>M3</x:v>
      </x:c>
      <x:c r="B161" s="10" t="str">
        <x:v>G_H1</x:v>
      </x:c>
      <x:c r="C161" s="9" t="str">
        <x:v>源三角形</x:v>
      </x:c>
      <x:c r="D161" s="11" t="n">
        <x:f>'全部组合'!I60</x:f>
        <x:v>3433060</x:v>
      </x:c>
      <x:c r="E161" s="12" t="n">
        <x:f>'全部组合'!Y60/$D161</x:f>
        <x:v>0</x:v>
      </x:c>
      <x:c r="F161" s="12" t="n">
        <x:f>'全部组合'!Z60/$D161</x:f>
        <x:v>0.1191712349915236</x:v>
      </x:c>
      <x:c r="G161" s="12" t="n">
        <x:f>'全部组合'!AA60/$D161</x:f>
        <x:v>0.3339126027508986</x:v>
      </x:c>
      <x:c r="H161" s="12" t="n">
        <x:f>'全部组合'!AB60/$D161</x:f>
        <x:v>0.33208449604725815</x:v>
      </x:c>
      <x:c r="I161" s="12" t="n">
        <x:f>'全部组合'!AC60/$D161</x:f>
        <x:v>0.1799799595695968</x:v>
      </x:c>
      <x:c r="J161" s="12" t="n">
        <x:f>'全部组合'!AD60/$D161</x:f>
        <x:v>0.03485170664072285</x:v>
      </x:c>
      <x:c r="K161" s="12" t="n">
        <x:f>'全部组合'!AE60/$D161</x:f>
        <x:v>0</x:v>
      </x:c>
      <x:c r="L161" s="12" t="n">
        <x:f>'全部组合'!AF60/$D161</x:f>
        <x:v>0</x:v>
      </x:c>
      <x:c r="M161" s="12" t="n">
        <x:f>'全部组合'!AG60/$D161</x:f>
        <x:v>0</x:v>
      </x:c>
      <x:c r="N161" s="13" t="n">
        <x:f>'全部组合'!AH60/$D161</x:f>
        <x:v>0</x:v>
      </x:c>
    </x:row>
    <x:row r="162" ht="23" customHeight="1">
      <x:c r="A162" s="10" t="str">
        <x:v>M3</x:v>
      </x:c>
      <x:c r="B162" s="10" t="str">
        <x:v>NC_H0</x:v>
      </x:c>
      <x:c r="C162" s="9" t="str">
        <x:v>节点</x:v>
      </x:c>
      <x:c r="D162" s="11" t="n">
        <x:f>'全部组合'!D61</x:f>
        <x:v>1481</x:v>
      </x:c>
      <x:c r="E162" s="12" t="n">
        <x:f>'全部组合'!O61/$D162</x:f>
        <x:v>0</x:v>
      </x:c>
      <x:c r="F162" s="12" t="n">
        <x:f>'全部组合'!P61/$D162</x:f>
        <x:v>0.21269412559081702</x:v>
      </x:c>
      <x:c r="G162" s="12" t="n">
        <x:f>'全部组合'!Q61/$D162</x:f>
        <x:v>0.01350438892640108</x:v>
      </x:c>
      <x:c r="H162" s="12" t="n">
        <x:f>'全部组合'!R61/$D162</x:f>
        <x:v>0</x:v>
      </x:c>
      <x:c r="I162" s="12" t="n">
        <x:f>'全部组合'!S61/$D162</x:f>
        <x:v>0.7157326130992573</x:v>
      </x:c>
      <x:c r="J162" s="12" t="n">
        <x:f>'全部组合'!T61/$D162</x:f>
        <x:v>0.004051316677920324</x:v>
      </x:c>
      <x:c r="K162" s="12" t="n">
        <x:f>'全部组合'!U61/$D162</x:f>
        <x:v>0.004051316677920324</x:v>
      </x:c>
      <x:c r="L162" s="12" t="n">
        <x:f>'全部组合'!V61/$D162</x:f>
        <x:v>0.02363268062120189</x:v>
      </x:c>
      <x:c r="M162" s="12" t="n">
        <x:f>'全部组合'!W61/$D162</x:f>
        <x:v>0.02633355840648211</x:v>
      </x:c>
      <x:c r="N162" s="13" t="n">
        <x:f>'全部组合'!X61/$D162</x:f>
        <x:v>0</x:v>
      </x:c>
    </x:row>
    <x:row r="163" ht="23" customHeight="1">
      <x:c r="A163" s="10" t="str">
        <x:v>M3</x:v>
      </x:c>
      <x:c r="B163" s="10" t="str">
        <x:v>NC_H0</x:v>
      </x:c>
      <x:c r="C163" s="9" t="str">
        <x:v>源三角形</x:v>
      </x:c>
      <x:c r="D163" s="11" t="n">
        <x:f>'全部组合'!I61</x:f>
        <x:v>3433060</x:v>
      </x:c>
      <x:c r="E163" s="12" t="n">
        <x:f>'全部组合'!Y61/$D163</x:f>
        <x:v>0</x:v>
      </x:c>
      <x:c r="F163" s="12" t="n">
        <x:f>'全部组合'!Z61/$D163</x:f>
        <x:v>0.17073747618742463</x:v>
      </x:c>
      <x:c r="G163" s="12" t="n">
        <x:f>'全部组合'!AA61/$D163</x:f>
        <x:v>0.0071207610702988</x:v>
      </x:c>
      <x:c r="H163" s="12" t="n">
        <x:f>'全部组合'!AB61/$D163</x:f>
        <x:v>0</x:v>
      </x:c>
      <x:c r="I163" s="12" t="n">
        <x:f>'全部组合'!AC61/$D163</x:f>
        <x:v>0.6247610003903223</x:v>
      </x:c>
      <x:c r="J163" s="12" t="n">
        <x:f>'全部组合'!AD61/$D163</x:f>
        <x:v>0.019422322942214815</x:v>
      </x:c>
      <x:c r="K163" s="12" t="n">
        <x:f>'全部组合'!AE61/$D163</x:f>
        <x:v>0.00976271897374354</x:v>
      </x:c>
      <x:c r="L163" s="12" t="n">
        <x:f>'全部组合'!AF61/$D163</x:f>
        <x:v>0.05855592386966729</x:v>
      </x:c>
      <x:c r="M163" s="12" t="n">
        <x:f>'全部组合'!AG61/$D163</x:f>
        <x:v>0.10963979656632858</x:v>
      </x:c>
      <x:c r="N163" s="13" t="n">
        <x:f>'全部组合'!AH61/$D163</x:f>
        <x:v>0</x:v>
      </x:c>
    </x:row>
    <x:row r="164" ht="23" customHeight="1">
      <x:c r="A164" s="10" t="str">
        <x:v>M3</x:v>
      </x:c>
      <x:c r="B164" s="10" t="str">
        <x:v>NC_HT</x:v>
      </x:c>
      <x:c r="C164" s="9" t="str">
        <x:v>节点</x:v>
      </x:c>
      <x:c r="D164" s="11" t="n">
        <x:f>'全部组合'!D62</x:f>
        <x:v>1481</x:v>
      </x:c>
      <x:c r="E164" s="12" t="n">
        <x:f>'全部组合'!O62/$D164</x:f>
        <x:v>0</x:v>
      </x:c>
      <x:c r="F164" s="12" t="n">
        <x:f>'全部组合'!P62/$D164</x:f>
        <x:v>0.21269412559081702</x:v>
      </x:c>
      <x:c r="G164" s="12" t="n">
        <x:f>'全部组合'!Q62/$D164</x:f>
        <x:v>0.01350438892640108</x:v>
      </x:c>
      <x:c r="H164" s="12" t="n">
        <x:f>'全部组合'!R62/$D164</x:f>
        <x:v>0</x:v>
      </x:c>
      <x:c r="I164" s="12" t="n">
        <x:f>'全部组合'!S62/$D164</x:f>
        <x:v>0.7157326130992573</x:v>
      </x:c>
      <x:c r="J164" s="12" t="n">
        <x:f>'全部组合'!T62/$D164</x:f>
        <x:v>0.004051316677920324</x:v>
      </x:c>
      <x:c r="K164" s="12" t="n">
        <x:f>'全部组合'!U62/$D164</x:f>
        <x:v>0.004051316677920324</x:v>
      </x:c>
      <x:c r="L164" s="12" t="n">
        <x:f>'全部组合'!V62/$D164</x:f>
        <x:v>0.02363268062120189</x:v>
      </x:c>
      <x:c r="M164" s="12" t="n">
        <x:f>'全部组合'!W62/$D164</x:f>
        <x:v>0.02633355840648211</x:v>
      </x:c>
      <x:c r="N164" s="13" t="n">
        <x:f>'全部组合'!X62/$D164</x:f>
        <x:v>0</x:v>
      </x:c>
    </x:row>
    <x:row r="165" ht="23" customHeight="1">
      <x:c r="A165" s="10" t="str">
        <x:v>M3</x:v>
      </x:c>
      <x:c r="B165" s="10" t="str">
        <x:v>NC_HT</x:v>
      </x:c>
      <x:c r="C165" s="9" t="str">
        <x:v>源三角形</x:v>
      </x:c>
      <x:c r="D165" s="11" t="n">
        <x:f>'全部组合'!I62</x:f>
        <x:v>3433060</x:v>
      </x:c>
      <x:c r="E165" s="12" t="n">
        <x:f>'全部组合'!Y62/$D165</x:f>
        <x:v>0</x:v>
      </x:c>
      <x:c r="F165" s="12" t="n">
        <x:f>'全部组合'!Z62/$D165</x:f>
        <x:v>0.17073747618742463</x:v>
      </x:c>
      <x:c r="G165" s="12" t="n">
        <x:f>'全部组合'!AA62/$D165</x:f>
        <x:v>0.0071207610702988</x:v>
      </x:c>
      <x:c r="H165" s="12" t="n">
        <x:f>'全部组合'!AB62/$D165</x:f>
        <x:v>0</x:v>
      </x:c>
      <x:c r="I165" s="12" t="n">
        <x:f>'全部组合'!AC62/$D165</x:f>
        <x:v>0.6247610003903223</x:v>
      </x:c>
      <x:c r="J165" s="12" t="n">
        <x:f>'全部组合'!AD62/$D165</x:f>
        <x:v>0.019422322942214815</x:v>
      </x:c>
      <x:c r="K165" s="12" t="n">
        <x:f>'全部组合'!AE62/$D165</x:f>
        <x:v>0.00976271897374354</x:v>
      </x:c>
      <x:c r="L165" s="12" t="n">
        <x:f>'全部组合'!AF62/$D165</x:f>
        <x:v>0.05855592386966729</x:v>
      </x:c>
      <x:c r="M165" s="12" t="n">
        <x:f>'全部组合'!AG62/$D165</x:f>
        <x:v>0.10963979656632858</x:v>
      </x:c>
      <x:c r="N165" s="13" t="n">
        <x:f>'全部组合'!AH62/$D165</x:f>
        <x:v>0</x:v>
      </x:c>
    </x:row>
    <x:row r="166" ht="23" customHeight="1">
      <x:c r="A166" s="10" t="str">
        <x:v>M3</x:v>
      </x:c>
      <x:c r="B166" s="10" t="str">
        <x:v>NC_H1</x:v>
      </x:c>
      <x:c r="C166" s="9" t="str">
        <x:v>节点</x:v>
      </x:c>
      <x:c r="D166" s="11" t="n">
        <x:f>'全部组合'!D63</x:f>
        <x:v>1481</x:v>
      </x:c>
      <x:c r="E166" s="12" t="n">
        <x:f>'全部组合'!O63/$D166</x:f>
        <x:v>0</x:v>
      </x:c>
      <x:c r="F166" s="12" t="n">
        <x:f>'全部组合'!P63/$D166</x:f>
        <x:v>0.19513841998649561</x:v>
      </x:c>
      <x:c r="G166" s="12" t="n">
        <x:f>'全部组合'!Q63/$D166</x:f>
        <x:v>0.007427413909520594</x:v>
      </x:c>
      <x:c r="H166" s="12" t="n">
        <x:f>'全部组合'!R63/$D166</x:f>
        <x:v>0</x:v>
      </x:c>
      <x:c r="I166" s="12" t="n">
        <x:f>'全部组合'!S63/$D166</x:f>
        <x:v>0.7157326130992573</x:v>
      </x:c>
      <x:c r="J166" s="12" t="n">
        <x:f>'全部组合'!T63/$D166</x:f>
        <x:v>0.01012829169480081</x:v>
      </x:c>
      <x:c r="K166" s="12" t="n">
        <x:f>'全部组合'!U63/$D166</x:f>
        <x:v>0.02160702228224173</x:v>
      </x:c>
      <x:c r="L166" s="12" t="n">
        <x:f>'全部组合'!V63/$D166</x:f>
        <x:v>0.02363268062120189</x:v>
      </x:c>
      <x:c r="M166" s="12" t="n">
        <x:f>'全部组合'!W63/$D166</x:f>
        <x:v>0.02633355840648211</x:v>
      </x:c>
      <x:c r="N166" s="13" t="n">
        <x:f>'全部组合'!X63/$D166</x:f>
        <x:v>0</x:v>
      </x:c>
    </x:row>
    <x:row r="167" ht="23" customHeight="1">
      <x:c r="A167" s="10" t="str">
        <x:v>M3</x:v>
      </x:c>
      <x:c r="B167" s="10" t="str">
        <x:v>NC_H1</x:v>
      </x:c>
      <x:c r="C167" s="9" t="str">
        <x:v>源三角形</x:v>
      </x:c>
      <x:c r="D167" s="11" t="n">
        <x:f>'全部组合'!I63</x:f>
        <x:v>3433060</x:v>
      </x:c>
      <x:c r="E167" s="12" t="n">
        <x:f>'全部组合'!Y63/$D167</x:f>
        <x:v>0</x:v>
      </x:c>
      <x:c r="F167" s="12" t="n">
        <x:f>'全部组合'!Z63/$D167</x:f>
        <x:v>0.1663845082812418</x:v>
      </x:c>
      <x:c r="G167" s="12" t="n">
        <x:f>'全部组合'!AA63/$D167</x:f>
        <x:v>0.004294710841057249</x:v>
      </x:c>
      <x:c r="H167" s="12" t="n">
        <x:f>'全部组合'!AB63/$D167</x:f>
        <x:v>0</x:v>
      </x:c>
      <x:c r="I167" s="12" t="n">
        <x:f>'全部组合'!AC63/$D167</x:f>
        <x:v>0.6247610003903223</x:v>
      </x:c>
      <x:c r="J167" s="12" t="n">
        <x:f>'全部组合'!AD63/$D167</x:f>
        <x:v>0.02224837317145637</x:v>
      </x:c>
      <x:c r="K167" s="12" t="n">
        <x:f>'全部组合'!AE63/$D167</x:f>
        <x:v>0.014115686879926363</x:v>
      </x:c>
      <x:c r="L167" s="12" t="n">
        <x:f>'全部组合'!AF63/$D167</x:f>
        <x:v>0.05855592386966729</x:v>
      </x:c>
      <x:c r="M167" s="12" t="n">
        <x:f>'全部组合'!AG63/$D167</x:f>
        <x:v>0.10963979656632858</x:v>
      </x:c>
      <x:c r="N167" s="13" t="n">
        <x:f>'全部组合'!AH63/$D167</x:f>
        <x:v>0</x:v>
      </x:c>
    </x:row>
    <x:row r="168" ht="23" customHeight="1">
      <x:c r="A168" s="10" t="str">
        <x:v>M3</x:v>
      </x:c>
      <x:c r="B168" s="10" t="str">
        <x:v>NG_H0</x:v>
      </x:c>
      <x:c r="C168" s="9" t="str">
        <x:v>节点</x:v>
      </x:c>
      <x:c r="D168" s="11" t="n">
        <x:f>'全部组合'!D64</x:f>
        <x:v>1481</x:v>
      </x:c>
      <x:c r="E168" s="12" t="n">
        <x:f>'全部组合'!O64/$D168</x:f>
        <x:v>0</x:v>
      </x:c>
      <x:c r="F168" s="12" t="n">
        <x:f>'全部组合'!P64/$D168</x:f>
        <x:v>0.12829169480081026</x:v>
      </x:c>
      <x:c r="G168" s="12" t="n">
        <x:f>'全部组合'!Q64/$D168</x:f>
        <x:v>0.437542201215395</x:v>
      </x:c>
      <x:c r="H168" s="12" t="n">
        <x:f>'全部组合'!R64/$D168</x:f>
        <x:v>0.26333558406482105</x:v>
      </x:c>
      <x:c r="I168" s="12" t="n">
        <x:f>'全部组合'!S64/$D168</x:f>
        <x:v>0.05941931127616475</x:v>
      </x:c>
      <x:c r="J168" s="12" t="n">
        <x:f>'全部组合'!T64/$D168</x:f>
        <x:v>0.008102633355840648</x:v>
      </x:c>
      <x:c r="K168" s="12" t="n">
        <x:f>'全部组合'!U64/$D168</x:f>
        <x:v>0.004051316677920324</x:v>
      </x:c>
      <x:c r="L168" s="12" t="n">
        <x:f>'全部组合'!V64/$D168</x:f>
        <x:v>0.027683997299122215</x:v>
      </x:c>
      <x:c r="M168" s="12" t="n">
        <x:f>'全部组合'!W64/$D168</x:f>
        <x:v>0.07157326130992572</x:v>
      </x:c>
      <x:c r="N168" s="13" t="n">
        <x:f>'全部组合'!X64/$D168</x:f>
        <x:v>0</x:v>
      </x:c>
    </x:row>
    <x:row r="169" ht="23" customHeight="1">
      <x:c r="A169" s="10" t="str">
        <x:v>M3</x:v>
      </x:c>
      <x:c r="B169" s="10" t="str">
        <x:v>NG_H0</x:v>
      </x:c>
      <x:c r="C169" s="9" t="str">
        <x:v>源三角形</x:v>
      </x:c>
      <x:c r="D169" s="11" t="n">
        <x:f>'全部组合'!I64</x:f>
        <x:v>3433060</x:v>
      </x:c>
      <x:c r="E169" s="12" t="n">
        <x:f>'全部组合'!Y64/$D169</x:f>
        <x:v>0</x:v>
      </x:c>
      <x:c r="F169" s="12" t="n">
        <x:f>'全部组合'!Z64/$D169</x:f>
        <x:v>0.08499938830081619</x:v>
      </x:c>
      <x:c r="G169" s="12" t="n">
        <x:f>'全部组合'!AA64/$D169</x:f>
        <x:v>0.24366774830617582</x:v>
      </x:c>
      <x:c r="H169" s="12" t="n">
        <x:f>'全部组合'!AB64/$D169</x:f>
        <x:v>0.2243747560485398</x:v>
      </x:c>
      <x:c r="I169" s="12" t="n">
        <x:f>'全部组合'!AC64/$D169</x:f>
        <x:v>0.137152860713183</x:v>
      </x:c>
      <x:c r="J169" s="12" t="n">
        <x:f>'全部组合'!AD64/$D169</x:f>
        <x:v>0.052521657063960434</x:v>
      </x:c>
      <x:c r="K169" s="12" t="n">
        <x:f>'全部组合'!AE64/$D169</x:f>
        <x:v>0.00976271897374354</x:v>
      </x:c>
      <x:c r="L169" s="12" t="n">
        <x:f>'全部组合'!AF64/$D169</x:f>
        <x:v>0.07250441297268326</x:v>
      </x:c>
      <x:c r="M169" s="12" t="n">
        <x:f>'全部组合'!AG64/$D169</x:f>
        <x:v>0.17501645762089799</x:v>
      </x:c>
      <x:c r="N169" s="13" t="n">
        <x:f>'全部组合'!AH64/$D169</x:f>
        <x:v>0</x:v>
      </x:c>
    </x:row>
    <x:row r="170" ht="23" customHeight="1">
      <x:c r="A170" s="10" t="str">
        <x:v>M3</x:v>
      </x:c>
      <x:c r="B170" s="10" t="str">
        <x:v>NG_HT</x:v>
      </x:c>
      <x:c r="C170" s="9" t="str">
        <x:v>节点</x:v>
      </x:c>
      <x:c r="D170" s="11" t="n">
        <x:f>'全部组合'!D65</x:f>
        <x:v>1481</x:v>
      </x:c>
      <x:c r="E170" s="12" t="n">
        <x:f>'全部组合'!O65/$D170</x:f>
        <x:v>0</x:v>
      </x:c>
      <x:c r="F170" s="12" t="n">
        <x:f>'全部组合'!P65/$D170</x:f>
        <x:v>0.10803511141120864</x:v>
      </x:c>
      <x:c r="G170" s="12" t="n">
        <x:f>'全部组合'!Q65/$D170</x:f>
        <x:v>0.3950033760972316</x:v>
      </x:c>
      <x:c r="H170" s="12" t="n">
        <x:f>'全部组合'!R65/$D170</x:f>
        <x:v>0.3214044564483457</x:v>
      </x:c>
      <x:c r="I170" s="12" t="n">
        <x:f>'全部组合'!S65/$D170</x:f>
        <x:v>0.06279540850776502</x:v>
      </x:c>
      <x:c r="J170" s="12" t="n">
        <x:f>'全部组合'!T65/$D170</x:f>
        <x:v>0.009453072248480757</x:v>
      </x:c>
      <x:c r="K170" s="12" t="n">
        <x:f>'全部组合'!U65/$D170</x:f>
        <x:v>0.004051316677920324</x:v>
      </x:c>
      <x:c r="L170" s="12" t="n">
        <x:f>'全部组合'!V65/$D170</x:f>
        <x:v>0.027683997299122215</x:v>
      </x:c>
      <x:c r="M170" s="12" t="n">
        <x:f>'全部组合'!W65/$D170</x:f>
        <x:v>0.07157326130992572</x:v>
      </x:c>
      <x:c r="N170" s="13" t="n">
        <x:f>'全部组合'!X65/$D170</x:f>
        <x:v>0</x:v>
      </x:c>
    </x:row>
    <x:row r="171" ht="23" customHeight="1">
      <x:c r="A171" s="10" t="str">
        <x:v>M3</x:v>
      </x:c>
      <x:c r="B171" s="10" t="str">
        <x:v>NG_HT</x:v>
      </x:c>
      <x:c r="C171" s="9" t="str">
        <x:v>源三角形</x:v>
      </x:c>
      <x:c r="D171" s="11" t="n">
        <x:f>'全部组合'!I65</x:f>
        <x:v>3433060</x:v>
      </x:c>
      <x:c r="E171" s="12" t="n">
        <x:f>'全部组合'!Y65/$D171</x:f>
        <x:v>0</x:v>
      </x:c>
      <x:c r="F171" s="12" t="n">
        <x:f>'全部组合'!Z65/$D171</x:f>
        <x:v>0.0814340559151311</x:v>
      </x:c>
      <x:c r="G171" s="12" t="n">
        <x:f>'全部组合'!AA65/$D171</x:f>
        <x:v>0.18562332146831106</x:v>
      </x:c>
      <x:c r="H171" s="12" t="n">
        <x:f>'全部组合'!AB65/$D171</x:f>
        <x:v>0.28050427315572696</x:v>
      </x:c>
      <x:c r="I171" s="12" t="n">
        <x:f>'全部组合'!AC65/$D171</x:f>
        <x:v>0.14088073031056841</x:v>
      </x:c>
      <x:c r="J171" s="12" t="n">
        <x:f>'全部组合'!AD65/$D171</x:f>
        <x:v>0.05427402958293767</x:v>
      </x:c>
      <x:c r="K171" s="12" t="n">
        <x:f>'全部组合'!AE65/$D171</x:f>
        <x:v>0.00976271897374354</x:v>
      </x:c>
      <x:c r="L171" s="12" t="n">
        <x:f>'全部组合'!AF65/$D171</x:f>
        <x:v>0.07250441297268326</x:v>
      </x:c>
      <x:c r="M171" s="12" t="n">
        <x:f>'全部组合'!AG65/$D171</x:f>
        <x:v>0.17501645762089799</x:v>
      </x:c>
      <x:c r="N171" s="13" t="n">
        <x:f>'全部组合'!AH65/$D171</x:f>
        <x:v>0</x:v>
      </x:c>
    </x:row>
    <x:row r="172" ht="23" customHeight="1">
      <x:c r="A172" s="10" t="str">
        <x:v>M3</x:v>
      </x:c>
      <x:c r="B172" s="10" t="str">
        <x:v>NG_H1</x:v>
      </x:c>
      <x:c r="C172" s="9" t="str">
        <x:v>节点</x:v>
      </x:c>
      <x:c r="D172" s="11" t="n">
        <x:f>'全部组合'!D66</x:f>
        <x:v>1481</x:v>
      </x:c>
      <x:c r="E172" s="12" t="n">
        <x:f>'全部组合'!O66/$D172</x:f>
        <x:v>0</x:v>
      </x:c>
      <x:c r="F172" s="12" t="n">
        <x:f>'全部组合'!P66/$D172</x:f>
        <x:v>0.10398379473328832</x:v>
      </x:c>
      <x:c r="G172" s="12" t="n">
        <x:f>'全部组合'!Q66/$D172</x:f>
        <x:v>0.38622552329507087</x:v>
      </x:c>
      <x:c r="H172" s="12" t="n">
        <x:f>'全部组合'!R66/$D172</x:f>
        <x:v>0.31802835921674544</x:v>
      </x:c>
      <x:c r="I172" s="12" t="n">
        <x:f>'全部组合'!S66/$D172</x:f>
        <x:v>0.06279540850776502</x:v>
      </x:c>
      <x:c r="J172" s="12" t="n">
        <x:f>'全部组合'!T66/$D172</x:f>
        <x:v>0.018906144496961513</x:v>
      </x:c>
      <x:c r="K172" s="12" t="n">
        <x:f>'全部组合'!U66/$D172</x:f>
        <x:v>0.010803511141120865</x:v>
      </x:c>
      <x:c r="L172" s="12" t="n">
        <x:f>'全部组合'!V66/$D172</x:f>
        <x:v>0.027683997299122215</x:v>
      </x:c>
      <x:c r="M172" s="12" t="n">
        <x:f>'全部组合'!W66/$D172</x:f>
        <x:v>0.07157326130992572</x:v>
      </x:c>
      <x:c r="N172" s="13" t="n">
        <x:f>'全部组合'!X66/$D172</x:f>
        <x:v>0</x:v>
      </x:c>
    </x:row>
    <x:row r="173" ht="23" customHeight="1">
      <x:c r="A173" s="10" t="str">
        <x:v>M3</x:v>
      </x:c>
      <x:c r="B173" s="10" t="str">
        <x:v>NG_H1</x:v>
      </x:c>
      <x:c r="C173" s="9" t="str">
        <x:v>源三角形</x:v>
      </x:c>
      <x:c r="D173" s="11" t="n">
        <x:f>'全部组合'!I66</x:f>
        <x:v>3433060</x:v>
      </x:c>
      <x:c r="E173" s="12" t="n">
        <x:f>'全部组合'!Y66/$D173</x:f>
        <x:v>0</x:v>
      </x:c>
      <x:c r="F173" s="12" t="n">
        <x:f>'全部组合'!Z66/$D173</x:f>
        <x:v>0.08093887086156373</x:v>
      </x:c>
      <x:c r="G173" s="12" t="n">
        <x:f>'全部组合'!AA66/$D173</x:f>
        <x:v>0.18212148928361288</x:v>
      </x:c>
      <x:c r="H173" s="12" t="n">
        <x:f>'全部组合'!AB66/$D173</x:f>
        <x:v>0.27898900689181083</x:v>
      </x:c>
      <x:c r="I173" s="12" t="n">
        <x:f>'全部组合'!AC66/$D173</x:f>
        <x:v>0.14088073031056841</x:v>
      </x:c>
      <x:c r="J173" s="12" t="n">
        <x:f>'全部组合'!AD66/$D173</x:f>
        <x:v>0.05841610691336592</x:v>
      </x:c>
      <x:c r="K173" s="12" t="n">
        <x:f>'全部组合'!AE66/$D173</x:f>
        <x:v>0.01113292514549702</x:v>
      </x:c>
      <x:c r="L173" s="12" t="n">
        <x:f>'全部组合'!AF66/$D173</x:f>
        <x:v>0.07250441297268326</x:v>
      </x:c>
      <x:c r="M173" s="12" t="n">
        <x:f>'全部组合'!AG66/$D173</x:f>
        <x:v>0.17501645762089799</x:v>
      </x:c>
      <x:c r="N173" s="13" t="n">
        <x:f>'全部组合'!AH66/$D173</x:f>
        <x:v>0</x:v>
      </x:c>
    </x:row>
    <x:row r="174" ht="23" customHeight="1">
      <x:c r="A174" s="10" t="str">
        <x:v>M3</x:v>
      </x:c>
      <x:c r="B174" s="10" t="str">
        <x:v>CG_H0</x:v>
      </x:c>
      <x:c r="C174" s="9" t="str">
        <x:v>节点</x:v>
      </x:c>
      <x:c r="D174" s="11" t="n">
        <x:f>'全部组合'!D67</x:f>
        <x:v>1481</x:v>
      </x:c>
      <x:c r="E174" s="12" t="n">
        <x:f>'全部组合'!O67/$D174</x:f>
        <x:v>0</x:v>
      </x:c>
      <x:c r="F174" s="12" t="n">
        <x:f>'全部组合'!P67/$D174</x:f>
        <x:v>0.17150573936529373</x:v>
      </x:c>
      <x:c r="G174" s="12" t="n">
        <x:f>'全部组合'!Q67/$D174</x:f>
        <x:v>0.4713031735313977</x:v>
      </x:c>
      <x:c r="H174" s="12" t="n">
        <x:f>'全部组合'!R67/$D174</x:f>
        <x:v>0.2889939230249831</x:v>
      </x:c>
      <x:c r="I174" s="12" t="n">
        <x:f>'全部组合'!S67/$D174</x:f>
        <x:v>0.06414584740040513</x:v>
      </x:c>
      <x:c r="J174" s="12" t="n">
        <x:f>'全部组合'!T67/$D174</x:f>
        <x:v>0.004051316677920324</x:v>
      </x:c>
      <x:c r="K174" s="12" t="n">
        <x:f>'全部组合'!U67/$D174</x:f>
        <x:v>0</x:v>
      </x:c>
      <x:c r="L174" s="12" t="n">
        <x:f>'全部组合'!V67/$D174</x:f>
        <x:v>0</x:v>
      </x:c>
      <x:c r="M174" s="12" t="n">
        <x:f>'全部组合'!W67/$D174</x:f>
        <x:v>0</x:v>
      </x:c>
      <x:c r="N174" s="13" t="n">
        <x:f>'全部组合'!X67/$D174</x:f>
        <x:v>0</x:v>
      </x:c>
    </x:row>
    <x:row r="175" ht="23" customHeight="1">
      <x:c r="A175" s="10" t="str">
        <x:v>M3</x:v>
      </x:c>
      <x:c r="B175" s="10" t="str">
        <x:v>CG_H0</x:v>
      </x:c>
      <x:c r="C175" s="9" t="str">
        <x:v>源三角形</x:v>
      </x:c>
      <x:c r="D175" s="11" t="n">
        <x:f>'全部组合'!I67</x:f>
        <x:v>3433060</x:v>
      </x:c>
      <x:c r="E175" s="12" t="n">
        <x:f>'全部组合'!Y67/$D175</x:f>
        <x:v>0</x:v>
      </x:c>
      <x:c r="F175" s="12" t="n">
        <x:f>'全部组合'!Z67/$D175</x:f>
        <x:v>0.13253074516612</x:v>
      </x:c>
      <x:c r="G175" s="12" t="n">
        <x:f>'全部组合'!AA67/$D175</x:f>
        <x:v>0.38291262022801814</x:v>
      </x:c>
      <x:c r="H175" s="12" t="n">
        <x:f>'全部组合'!AB67/$D175</x:f>
        <x:v>0.29957006285937327</x:v>
      </x:c>
      <x:c r="I175" s="12" t="n">
        <x:f>'全部组合'!AC67/$D175</x:f>
        <x:v>0.15188723762474293</x:v>
      </x:c>
      <x:c r="J175" s="12" t="n">
        <x:f>'全部组合'!AD67/$D175</x:f>
        <x:v>0.033099334121745615</x:v>
      </x:c>
      <x:c r="K175" s="12" t="n">
        <x:f>'全部组合'!AE67/$D175</x:f>
        <x:v>0</x:v>
      </x:c>
      <x:c r="L175" s="12" t="n">
        <x:f>'全部组合'!AF67/$D175</x:f>
        <x:v>0</x:v>
      </x:c>
      <x:c r="M175" s="12" t="n">
        <x:f>'全部组合'!AG67/$D175</x:f>
        <x:v>0</x:v>
      </x:c>
      <x:c r="N175" s="13" t="n">
        <x:f>'全部组合'!AH67/$D175</x:f>
        <x:v>0</x:v>
      </x:c>
    </x:row>
    <x:row r="176" ht="23" customHeight="1">
      <x:c r="A176" s="10" t="str">
        <x:v>M3</x:v>
      </x:c>
      <x:c r="B176" s="10" t="str">
        <x:v>CG_HT</x:v>
      </x:c>
      <x:c r="C176" s="9" t="str">
        <x:v>节点</x:v>
      </x:c>
      <x:c r="D176" s="11" t="n">
        <x:f>'全部组合'!D68</x:f>
        <x:v>1481</x:v>
      </x:c>
      <x:c r="E176" s="12" t="n">
        <x:f>'全部组合'!O68/$D176</x:f>
        <x:v>0</x:v>
      </x:c>
      <x:c r="F176" s="12" t="n">
        <x:f>'全部组合'!P68/$D176</x:f>
        <x:v>0.1350438892640108</x:v>
      </x:c>
      <x:c r="G176" s="12" t="n">
        <x:f>'全部组合'!Q68/$D176</x:f>
        <x:v>0.4442943956785955</x:v>
      </x:c>
      <x:c r="H176" s="12" t="n">
        <x:f>'全部组合'!R68/$D176</x:f>
        <x:v>0.3416610398379473</x:v>
      </x:c>
      <x:c r="I176" s="12" t="n">
        <x:f>'全部组合'!S68/$D176</x:f>
        <x:v>0.07292370020256583</x:v>
      </x:c>
      <x:c r="J176" s="12" t="n">
        <x:f>'全部组合'!T68/$D176</x:f>
        <x:v>0.006076975016880486</x:v>
      </x:c>
      <x:c r="K176" s="12" t="n">
        <x:f>'全部组合'!U68/$D176</x:f>
        <x:v>0</x:v>
      </x:c>
      <x:c r="L176" s="12" t="n">
        <x:f>'全部组合'!V68/$D176</x:f>
        <x:v>0</x:v>
      </x:c>
      <x:c r="M176" s="12" t="n">
        <x:f>'全部组合'!W68/$D176</x:f>
        <x:v>0</x:v>
      </x:c>
      <x:c r="N176" s="13" t="n">
        <x:f>'全部组合'!X68/$D176</x:f>
        <x:v>0</x:v>
      </x:c>
    </x:row>
    <x:row r="177" ht="23" customHeight="1">
      <x:c r="A177" s="10" t="str">
        <x:v>M3</x:v>
      </x:c>
      <x:c r="B177" s="10" t="str">
        <x:v>CG_HT</x:v>
      </x:c>
      <x:c r="C177" s="9" t="str">
        <x:v>源三角形</x:v>
      </x:c>
      <x:c r="D177" s="11" t="n">
        <x:f>'全部组合'!I68</x:f>
        <x:v>3433060</x:v>
      </x:c>
      <x:c r="E177" s="12" t="n">
        <x:f>'全部组合'!Y68/$D177</x:f>
        <x:v>0</x:v>
      </x:c>
      <x:c r="F177" s="12" t="n">
        <x:f>'全部组合'!Z68/$D177</x:f>
        <x:v>0.1248338217217293</x:v>
      </x:c>
      <x:c r="G177" s="12" t="n">
        <x:f>'全部组合'!AA68/$D177</x:f>
        <x:v>0.3282500160206929</x:v>
      </x:c>
      <x:c r="H177" s="12" t="n">
        <x:f>'全部组合'!AB68/$D177</x:f>
        <x:v>0.3319493396561668</x:v>
      </x:c>
      <x:c r="I177" s="12" t="n">
        <x:f>'全部组合'!AC68/$D177</x:f>
        <x:v>0.17937408609229083</x:v>
      </x:c>
      <x:c r="J177" s="12" t="n">
        <x:f>'全部组合'!AD68/$D177</x:f>
        <x:v>0.03559273650912014</x:v>
      </x:c>
      <x:c r="K177" s="12" t="n">
        <x:f>'全部组合'!AE68/$D177</x:f>
        <x:v>0</x:v>
      </x:c>
      <x:c r="L177" s="12" t="n">
        <x:f>'全部组合'!AF68/$D177</x:f>
        <x:v>0</x:v>
      </x:c>
      <x:c r="M177" s="12" t="n">
        <x:f>'全部组合'!AG68/$D177</x:f>
        <x:v>0</x:v>
      </x:c>
      <x:c r="N177" s="13" t="n">
        <x:f>'全部组合'!AH68/$D177</x:f>
        <x:v>0</x:v>
      </x:c>
    </x:row>
    <x:row r="178" ht="23" customHeight="1">
      <x:c r="A178" s="10" t="str">
        <x:v>M3</x:v>
      </x:c>
      <x:c r="B178" s="10" t="str">
        <x:v>CG_H1</x:v>
      </x:c>
      <x:c r="C178" s="9" t="str">
        <x:v>节点</x:v>
      </x:c>
      <x:c r="D178" s="11" t="n">
        <x:f>'全部组合'!D69</x:f>
        <x:v>1481</x:v>
      </x:c>
      <x:c r="E178" s="12" t="n">
        <x:f>'全部组合'!O69/$D178</x:f>
        <x:v>0</x:v>
      </x:c>
      <x:c r="F178" s="12" t="n">
        <x:f>'全部组合'!P69/$D178</x:f>
        <x:v>0.12694125590817015</x:v>
      </x:c>
      <x:c r="G178" s="12" t="n">
        <x:f>'全部组合'!Q69/$D178</x:f>
        <x:v>0.4442943956785955</x:v>
      </x:c>
      <x:c r="H178" s="12" t="n">
        <x:f>'全部组合'!R69/$D178</x:f>
        <x:v>0.33085752869682644</x:v>
      </x:c>
      <x:c r="I178" s="12" t="n">
        <x:f>'全部组合'!S69/$D178</x:f>
        <x:v>0.07157326130992572</x:v>
      </x:c>
      <x:c r="J178" s="12" t="n">
        <x:f>'全部组合'!T69/$D178</x:f>
        <x:v>0.006076975016880486</x:v>
      </x:c>
      <x:c r="K178" s="12" t="n">
        <x:f>'全部组合'!U69/$D178</x:f>
        <x:v>0.02025658338960162</x:v>
      </x:c>
      <x:c r="L178" s="12" t="n">
        <x:f>'全部组合'!V69/$D178</x:f>
        <x:v>0</x:v>
      </x:c>
      <x:c r="M178" s="12" t="n">
        <x:f>'全部组合'!W69/$D178</x:f>
        <x:v>0</x:v>
      </x:c>
      <x:c r="N178" s="13" t="n">
        <x:f>'全部组合'!X69/$D178</x:f>
        <x:v>0</x:v>
      </x:c>
    </x:row>
    <x:row r="179" ht="23" customHeight="1">
      <x:c r="A179" s="10" t="str">
        <x:v>M3</x:v>
      </x:c>
      <x:c r="B179" s="10" t="str">
        <x:v>CG_H1</x:v>
      </x:c>
      <x:c r="C179" s="9" t="str">
        <x:v>源三角形</x:v>
      </x:c>
      <x:c r="D179" s="11" t="n">
        <x:f>'全部组合'!I69</x:f>
        <x:v>3433060</x:v>
      </x:c>
      <x:c r="E179" s="12" t="n">
        <x:f>'全部组合'!Y69/$D179</x:f>
        <x:v>0</x:v>
      </x:c>
      <x:c r="F179" s="12" t="n">
        <x:f>'全部组合'!Z69/$D179</x:f>
        <x:v>0.12351488176728632</x:v>
      </x:c>
      <x:c r="G179" s="12" t="n">
        <x:f>'全部组合'!AA69/$D179</x:f>
        <x:v>0.3282500160206929</x:v>
      </x:c>
      <x:c r="H179" s="12" t="n">
        <x:f>'全部组合'!AB69/$D179</x:f>
        <x:v>0.32955613942080825</x:v>
      </x:c>
      <x:c r="I179" s="12" t="n">
        <x:f>'全部组合'!AC69/$D179</x:f>
        <x:v>0.17817515569200654</x:v>
      </x:c>
      <x:c r="J179" s="12" t="n">
        <x:f>'全部组合'!AD69/$D179</x:f>
        <x:v>0.03559273650912014</x:v>
      </x:c>
      <x:c r="K179" s="12" t="n">
        <x:f>'全部组合'!AE69/$D179</x:f>
        <x:v>0.004911070590085813</x:v>
      </x:c>
      <x:c r="L179" s="12" t="n">
        <x:f>'全部组合'!AF69/$D179</x:f>
        <x:v>0</x:v>
      </x:c>
      <x:c r="M179" s="12" t="n">
        <x:f>'全部组合'!AG69/$D179</x:f>
        <x:v>0</x:v>
      </x:c>
      <x:c r="N179" s="13" t="n">
        <x:f>'全部组合'!AH69/$D179</x:f>
        <x:v>0</x:v>
      </x:c>
    </x:row>
    <x:row r="180" ht="23" customHeight="1">
      <x:c r="A180" s="10" t="str">
        <x:v>M3</x:v>
      </x:c>
      <x:c r="B180" s="10" t="str">
        <x:v>NCG_H0</x:v>
      </x:c>
      <x:c r="C180" s="9" t="str">
        <x:v>节点</x:v>
      </x:c>
      <x:c r="D180" s="11" t="n">
        <x:f>'全部组合'!D70</x:f>
        <x:v>1481</x:v>
      </x:c>
      <x:c r="E180" s="12" t="n">
        <x:f>'全部组合'!O70/$D180</x:f>
        <x:v>0</x:v>
      </x:c>
      <x:c r="F180" s="12" t="n">
        <x:f>'全部组合'!P70/$D180</x:f>
        <x:v>0.137744767049291</x:v>
      </x:c>
      <x:c r="G180" s="12" t="n">
        <x:f>'全部组合'!Q70/$D180</x:f>
        <x:v>0.46927751519243754</x:v>
      </x:c>
      <x:c r="H180" s="12" t="n">
        <x:f>'全部组合'!R70/$D180</x:f>
        <x:v>0.25928426738690075</x:v>
      </x:c>
      <x:c r="I180" s="12" t="n">
        <x:f>'全部组合'!S70/$D180</x:f>
        <x:v>0.0688723835246455</x:v>
      </x:c>
      <x:c r="J180" s="12" t="n">
        <x:f>'全部组合'!T70/$D180</x:f>
        <x:v>0.010803511141120865</x:v>
      </x:c>
      <x:c r="K180" s="12" t="n">
        <x:f>'全部组合'!U70/$D180</x:f>
        <x:v>0.004051316677920324</x:v>
      </x:c>
      <x:c r="L180" s="12" t="n">
        <x:f>'全部组合'!V70/$D180</x:f>
        <x:v>0.02363268062120189</x:v>
      </x:c>
      <x:c r="M180" s="12" t="n">
        <x:f>'全部组合'!W70/$D180</x:f>
        <x:v>0.02633355840648211</x:v>
      </x:c>
      <x:c r="N180" s="13" t="n">
        <x:f>'全部组合'!X70/$D180</x:f>
        <x:v>0</x:v>
      </x:c>
    </x:row>
    <x:row r="181" ht="23" customHeight="1">
      <x:c r="A181" s="10" t="str">
        <x:v>M3</x:v>
      </x:c>
      <x:c r="B181" s="10" t="str">
        <x:v>NCG_H0</x:v>
      </x:c>
      <x:c r="C181" s="9" t="str">
        <x:v>源三角形</x:v>
      </x:c>
      <x:c r="D181" s="11" t="n">
        <x:f>'全部组合'!I70</x:f>
        <x:v>3433060</x:v>
      </x:c>
      <x:c r="E181" s="12" t="n">
        <x:f>'全部组合'!Y70/$D181</x:f>
        <x:v>0</x:v>
      </x:c>
      <x:c r="F181" s="12" t="n">
        <x:f>'全部组合'!Z70/$D181</x:f>
        <x:v>0.08456129517107187</x:v>
      </x:c>
      <x:c r="G181" s="12" t="n">
        <x:f>'全部组合'!AA70/$D181</x:f>
        <x:v>0.28984521097796134</x:v>
      </x:c>
      <x:c r="H181" s="12" t="n">
        <x:f>'全部组合'!AB70/$D181</x:f>
        <x:v>0.23857083767833945</x:v>
      </x:c>
      <x:c r="I181" s="12" t="n">
        <x:f>'全部组合'!AC70/$D181</x:f>
        <x:v>0.1504651826650277</x:v>
      </x:c>
      <x:c r="J181" s="12" t="n">
        <x:f>'全部组合'!AD70/$D181</x:f>
        <x:v>0.05859903409786022</x:v>
      </x:c>
      <x:c r="K181" s="12" t="n">
        <x:f>'全部组合'!AE70/$D181</x:f>
        <x:v>0.00976271897374354</x:v>
      </x:c>
      <x:c r="L181" s="12" t="n">
        <x:f>'全部组合'!AF70/$D181</x:f>
        <x:v>0.05855592386966729</x:v>
      </x:c>
      <x:c r="M181" s="12" t="n">
        <x:f>'全部组合'!AG70/$D181</x:f>
        <x:v>0.10963979656632858</x:v>
      </x:c>
      <x:c r="N181" s="13" t="n">
        <x:f>'全部组合'!AH70/$D181</x:f>
        <x:v>0</x:v>
      </x:c>
    </x:row>
    <x:row r="182" ht="23" customHeight="1">
      <x:c r="A182" s="10" t="str">
        <x:v>M3</x:v>
      </x:c>
      <x:c r="B182" s="10" t="str">
        <x:v>NCG_HT</x:v>
      </x:c>
      <x:c r="C182" s="9" t="str">
        <x:v>节点</x:v>
      </x:c>
      <x:c r="D182" s="11" t="n">
        <x:f>'全部组合'!D71</x:f>
        <x:v>1481</x:v>
      </x:c>
      <x:c r="E182" s="12" t="n">
        <x:f>'全部组合'!O71/$D182</x:f>
        <x:v>0</x:v>
      </x:c>
      <x:c r="F182" s="12" t="n">
        <x:f>'全部组合'!P71/$D182</x:f>
        <x:v>0.10195813639432816</x:v>
      </x:c>
      <x:c r="G182" s="12" t="n">
        <x:f>'全部组合'!Q71/$D182</x:f>
        <x:v>0.4402430790006752</x:v>
      </x:c>
      <x:c r="H182" s="12" t="n">
        <x:f>'全部组合'!R71/$D182</x:f>
        <x:v>0.3193787981093856</x:v>
      </x:c>
      <x:c r="I182" s="12" t="n">
        <x:f>'全部组合'!S71/$D182</x:f>
        <x:v>0.07157326130992572</x:v>
      </x:c>
      <x:c r="J182" s="12" t="n">
        <x:f>'全部组合'!T71/$D182</x:f>
        <x:v>0.012829169480081027</x:v>
      </x:c>
      <x:c r="K182" s="12" t="n">
        <x:f>'全部组合'!U71/$D182</x:f>
        <x:v>0.004051316677920324</x:v>
      </x:c>
      <x:c r="L182" s="12" t="n">
        <x:f>'全部组合'!V71/$D182</x:f>
        <x:v>0.02363268062120189</x:v>
      </x:c>
      <x:c r="M182" s="12" t="n">
        <x:f>'全部组合'!W71/$D182</x:f>
        <x:v>0.02633355840648211</x:v>
      </x:c>
      <x:c r="N182" s="13" t="n">
        <x:f>'全部组合'!X71/$D182</x:f>
        <x:v>0</x:v>
      </x:c>
    </x:row>
    <x:row r="183" ht="23" customHeight="1">
      <x:c r="A183" s="10" t="str">
        <x:v>M3</x:v>
      </x:c>
      <x:c r="B183" s="10" t="str">
        <x:v>NCG_HT</x:v>
      </x:c>
      <x:c r="C183" s="9" t="str">
        <x:v>源三角形</x:v>
      </x:c>
      <x:c r="D183" s="11" t="n">
        <x:f>'全部组合'!I71</x:f>
        <x:v>3433060</x:v>
      </x:c>
      <x:c r="E183" s="12" t="n">
        <x:f>'全部组合'!Y71/$D183</x:f>
        <x:v>0</x:v>
      </x:c>
      <x:c r="F183" s="12" t="n">
        <x:f>'全部组合'!Z71/$D183</x:f>
        <x:v>0.07719643699789693</x:v>
      </x:c>
      <x:c r="G183" s="12" t="n">
        <x:f>'全部组合'!AA71/$D183</x:f>
        <x:v>0.23567953953615725</x:v>
      </x:c>
      <x:c r="H183" s="12" t="n">
        <x:f>'全部组合'!AB71/$D183</x:f>
        <x:v>0.2946211251769558</x:v>
      </x:c>
      <x:c r="I183" s="12" t="n">
        <x:f>'全部组合'!AC71/$D183</x:f>
        <x:v>0.15345202239401584</x:v>
      </x:c>
      <x:c r="J183" s="12" t="n">
        <x:f>'全部组合'!AD71/$D183</x:f>
        <x:v>0.06109243648523475</x:v>
      </x:c>
      <x:c r="K183" s="12" t="n">
        <x:f>'全部组合'!AE71/$D183</x:f>
        <x:v>0.00976271897374354</x:v>
      </x:c>
      <x:c r="L183" s="12" t="n">
        <x:f>'全部组合'!AF71/$D183</x:f>
        <x:v>0.05855592386966729</x:v>
      </x:c>
      <x:c r="M183" s="12" t="n">
        <x:f>'全部组合'!AG71/$D183</x:f>
        <x:v>0.10963979656632858</x:v>
      </x:c>
      <x:c r="N183" s="13" t="n">
        <x:f>'全部组合'!AH71/$D183</x:f>
        <x:v>0</x:v>
      </x:c>
    </x:row>
    <x:row r="184" ht="23" customHeight="1">
      <x:c r="A184" s="10" t="str">
        <x:v>M3</x:v>
      </x:c>
      <x:c r="B184" s="10" t="str">
        <x:v>NCG_H1</x:v>
      </x:c>
      <x:c r="C184" s="9" t="str">
        <x:v>节点</x:v>
      </x:c>
      <x:c r="D184" s="11" t="n">
        <x:f>'全部组合'!D72</x:f>
        <x:v>1481</x:v>
      </x:c>
      <x:c r="E184" s="12" t="n">
        <x:f>'全部组合'!O72/$D184</x:f>
        <x:v>0</x:v>
      </x:c>
      <x:c r="F184" s="12" t="n">
        <x:f>'全部组合'!P72/$D184</x:f>
        <x:v>0.09723160027008777</x:v>
      </x:c>
      <x:c r="G184" s="12" t="n">
        <x:f>'全部组合'!Q72/$D184</x:f>
        <x:v>0.43416610398379474</x:v>
      </x:c>
      <x:c r="H184" s="12" t="n">
        <x:f>'全部组合'!R72/$D184</x:f>
        <x:v>0.30790006752194465</x:v>
      </x:c>
      <x:c r="I184" s="12" t="n">
        <x:f>'全部组合'!S72/$D184</x:f>
        <x:v>0.07022282241728561</x:v>
      </x:c>
      <x:c r="J184" s="12" t="n">
        <x:f>'全部组合'!T72/$D184</x:f>
        <x:v>0.018906144496961513</x:v>
      </x:c>
      <x:c r="K184" s="12" t="n">
        <x:f>'全部组合'!U72/$D184</x:f>
        <x:v>0.02160702228224173</x:v>
      </x:c>
      <x:c r="L184" s="12" t="n">
        <x:f>'全部组合'!V72/$D184</x:f>
        <x:v>0.02363268062120189</x:v>
      </x:c>
      <x:c r="M184" s="12" t="n">
        <x:f>'全部组合'!W72/$D184</x:f>
        <x:v>0.02633355840648211</x:v>
      </x:c>
      <x:c r="N184" s="13" t="n">
        <x:f>'全部组合'!X72/$D184</x:f>
        <x:v>0</x:v>
      </x:c>
    </x:row>
    <x:row r="185" ht="23" customHeight="1">
      <x:c r="A185" s="10" t="str">
        <x:v>M3</x:v>
      </x:c>
      <x:c r="B185" s="10" t="str">
        <x:v>NCG_H1</x:v>
      </x:c>
      <x:c r="C185" s="9" t="str">
        <x:v>源三角形</x:v>
      </x:c>
      <x:c r="D185" s="11" t="n">
        <x:f>'全部组合'!I72</x:f>
        <x:v>3433060</x:v>
      </x:c>
      <x:c r="E185" s="12" t="n">
        <x:f>'全部组合'!Y72/$D185</x:f>
        <x:v>0</x:v>
      </x:c>
      <x:c r="F185" s="12" t="n">
        <x:f>'全部组合'!Z72/$D185</x:f>
        <x:v>0.07649851735769256</x:v>
      </x:c>
      <x:c r="G185" s="12" t="n">
        <x:f>'全部组合'!AA72/$D185</x:f>
        <x:v>0.23285348930691568</x:v>
      </x:c>
      <x:c r="H185" s="12" t="n">
        <x:f>'全部组合'!AB72/$D185</x:f>
        <x:v>0.29216500731126166</x:v>
      </x:c>
      <x:c r="I185" s="12" t="n">
        <x:f>'全部组合'!AC72/$D185</x:f>
        <x:v>0.15225309199373155</x:v>
      </x:c>
      <x:c r="J185" s="12" t="n">
        <x:f>'全部组合'!AD72/$D185</x:f>
        <x:v>0.0639184867144763</x:v>
      </x:c>
      <x:c r="K185" s="12" t="n">
        <x:f>'全部组合'!AE72/$D185</x:f>
        <x:v>0.014115686879926363</x:v>
      </x:c>
      <x:c r="L185" s="12" t="n">
        <x:f>'全部组合'!AF72/$D185</x:f>
        <x:v>0.05855592386966729</x:v>
      </x:c>
      <x:c r="M185" s="12" t="n">
        <x:f>'全部组合'!AG72/$D185</x:f>
        <x:v>0.10963979656632858</x:v>
      </x:c>
      <x:c r="N185" s="13" t="n">
        <x:f>'全部组合'!AH72/$D185</x:f>
        <x:v>0</x:v>
      </x:c>
    </x:row>
    <x:row r="186" ht="23" customHeight="1">
      <x:c r="A186" s="10" t="str">
        <x:v>M3</x:v>
      </x:c>
      <x:c r="B186" s="10" t="str">
        <x:v>NCG_H0_M1</x:v>
      </x:c>
      <x:c r="C186" s="9" t="str">
        <x:v>节点</x:v>
      </x:c>
      <x:c r="D186" s="11" t="n">
        <x:f>'全部组合'!D73</x:f>
        <x:v>1481</x:v>
      </x:c>
      <x:c r="E186" s="12" t="n">
        <x:f>'全部组合'!O73/$D186</x:f>
        <x:v>0</x:v>
      </x:c>
      <x:c r="F186" s="12" t="n">
        <x:f>'全部组合'!P73/$D186</x:f>
        <x:v>0.137744767049291</x:v>
      </x:c>
      <x:c r="G186" s="12" t="n">
        <x:f>'全部组合'!Q73/$D186</x:f>
        <x:v>0.4186360567184335</x:v>
      </x:c>
      <x:c r="H186" s="12" t="n">
        <x:f>'全部组合'!R73/$D186</x:f>
        <x:v>0.23970290344361916</x:v>
      </x:c>
      <x:c r="I186" s="12" t="n">
        <x:f>'全部组合'!S73/$D186</x:f>
        <x:v>0.05199189736664416</x:v>
      </x:c>
      <x:c r="J186" s="12" t="n">
        <x:f>'全部组合'!T73/$D186</x:f>
        <x:v>0.007427413909520594</x:v>
      </x:c>
      <x:c r="K186" s="12" t="n">
        <x:f>'全部组合'!U73/$D186</x:f>
        <x:v>0.004051316677920324</x:v>
      </x:c>
      <x:c r="L186" s="12" t="n">
        <x:f>'全部组合'!V73/$D186</x:f>
        <x:v>0.048615800135043886</x:v>
      </x:c>
      <x:c r="M186" s="12" t="n">
        <x:f>'全部组合'!W73/$D186</x:f>
        <x:v>0.08710330857528698</x:v>
      </x:c>
      <x:c r="N186" s="13" t="n">
        <x:f>'全部组合'!X73/$D186</x:f>
        <x:v>0.004726536124240378</x:v>
      </x:c>
    </x:row>
    <x:row r="187" ht="23" customHeight="1">
      <x:c r="A187" s="10" t="str">
        <x:v>M3</x:v>
      </x:c>
      <x:c r="B187" s="10" t="str">
        <x:v>NCG_H0_M1</x:v>
      </x:c>
      <x:c r="C187" s="9" t="str">
        <x:v>源三角形</x:v>
      </x:c>
      <x:c r="D187" s="11" t="n">
        <x:f>'全部组合'!I73</x:f>
        <x:v>3433060</x:v>
      </x:c>
      <x:c r="E187" s="12" t="n">
        <x:f>'全部组合'!Y73/$D187</x:f>
        <x:v>0</x:v>
      </x:c>
      <x:c r="F187" s="12" t="n">
        <x:f>'全部组合'!Z73/$D187</x:f>
        <x:v>0.08456129517107187</x:v>
      </x:c>
      <x:c r="G187" s="12" t="n">
        <x:f>'全部组合'!AA73/$D187</x:f>
        <x:v>0.20580240368650707</x:v>
      </x:c>
      <x:c r="H187" s="12" t="n">
        <x:f>'全部组合'!AB73/$D187</x:f>
        <x:v>0.17998170728155058</x:v>
      </x:c>
      <x:c r="I187" s="12" t="n">
        <x:f>'全部组合'!AC73/$D187</x:f>
        <x:v>0.11417510908635445</x:v>
      </x:c>
      <x:c r="J187" s="12" t="n">
        <x:f>'全部组合'!AD73/$D187</x:f>
        <x:v>0.051210873098635035</x:v>
      </x:c>
      <x:c r="K187" s="12" t="n">
        <x:f>'全部组合'!AE73/$D187</x:f>
        <x:v>0.00976271897374354</x:v>
      </x:c>
      <x:c r="L187" s="12" t="n">
        <x:f>'全部组合'!AF73/$D187</x:f>
        <x:v>0.1420388807652648</x:v>
      </x:c>
      <x:c r="M187" s="12" t="n">
        <x:f>'全部组合'!AG73/$D187</x:f>
        <x:v>0.20751632654250143</x:v>
      </x:c>
      <x:c r="N187" s="13" t="n">
        <x:f>'全部组合'!AH73/$D187</x:f>
        <x:v>0.004950685394371202</x:v>
      </x:c>
    </x:row>
    <x:row r="188" ht="23" customHeight="1">
      <x:c r="A188" s="10" t="str">
        <x:v>M3</x:v>
      </x:c>
      <x:c r="B188" s="10" t="str">
        <x:v>NCG_H1_M1</x:v>
      </x:c>
      <x:c r="C188" s="9" t="str">
        <x:v>节点</x:v>
      </x:c>
      <x:c r="D188" s="11" t="n">
        <x:f>'全部组合'!D74</x:f>
        <x:v>1481</x:v>
      </x:c>
      <x:c r="E188" s="12" t="n">
        <x:f>'全部组合'!O74/$D188</x:f>
        <x:v>0</x:v>
      </x:c>
      <x:c r="F188" s="12" t="n">
        <x:f>'全部组合'!P74/$D188</x:f>
        <x:v>0.09723160027008777</x:v>
      </x:c>
      <x:c r="G188" s="12" t="n">
        <x:f>'全部组合'!Q74/$D188</x:f>
        <x:v>0.3551654287643484</x:v>
      </x:c>
      <x:c r="H188" s="12" t="n">
        <x:f>'全部组合'!R74/$D188</x:f>
        <x:v>0.28089128966914245</x:v>
      </x:c>
      <x:c r="I188" s="12" t="n">
        <x:f>'全部组合'!S74/$D188</x:f>
        <x:v>0.05401755570560432</x:v>
      </x:c>
      <x:c r="J188" s="12" t="n">
        <x:f>'全部组合'!T74/$D188</x:f>
        <x:v>0.014179608372721135</x:v>
      </x:c>
      <x:c r="K188" s="12" t="n">
        <x:f>'全部组合'!U74/$D188</x:f>
        <x:v>0.05806887238352464</x:v>
      </x:c>
      <x:c r="L188" s="12" t="n">
        <x:f>'全部组合'!V74/$D188</x:f>
        <x:v>0.048615800135043886</x:v>
      </x:c>
      <x:c r="M188" s="12" t="n">
        <x:f>'全部组合'!W74/$D188</x:f>
        <x:v>0.08710330857528698</x:v>
      </x:c>
      <x:c r="N188" s="13" t="n">
        <x:f>'全部组合'!X74/$D188</x:f>
        <x:v>0.004726536124240378</x:v>
      </x:c>
    </x:row>
    <x:row r="189" ht="23" customHeight="1">
      <x:c r="A189" s="10" t="str">
        <x:v>M3</x:v>
      </x:c>
      <x:c r="B189" s="10" t="str">
        <x:v>NCG_H1_M1</x:v>
      </x:c>
      <x:c r="C189" s="9" t="str">
        <x:v>源三角形</x:v>
      </x:c>
      <x:c r="D189" s="11" t="n">
        <x:f>'全部组合'!I74</x:f>
        <x:v>3433060</x:v>
      </x:c>
      <x:c r="E189" s="12" t="n">
        <x:f>'全部组合'!Y74/$D189</x:f>
        <x:v>0</x:v>
      </x:c>
      <x:c r="F189" s="12" t="n">
        <x:f>'全部组合'!Z74/$D189</x:f>
        <x:v>0.07649851735769256</x:v>
      </x:c>
      <x:c r="G189" s="12" t="n">
        <x:f>'全部组合'!AA74/$D189</x:f>
        <x:v>0.12468293592305407</x:v>
      </x:c>
      <x:c r="H189" s="12" t="n">
        <x:f>'全部组合'!AB74/$D189</x:f>
        <x:v>0.2211979982872423</x:v>
      </x:c>
      <x:c r="I189" s="12" t="n">
        <x:f>'全部组合'!AC74/$D189</x:f>
        <x:v>0.11559541633411592</x:v>
      </x:c>
      <x:c r="J189" s="12" t="n">
        <x:f>'全部组合'!AD74/$D189</x:f>
        <x:v>0.054777953196273876</x:v>
      </x:c>
      <x:c r="K189" s="12" t="n">
        <x:f>'全部组合'!AE74/$D189</x:f>
        <x:v>0.052741286199483844</x:v>
      </x:c>
      <x:c r="L189" s="12" t="n">
        <x:f>'全部组合'!AF74/$D189</x:f>
        <x:v>0.1420388807652648</x:v>
      </x:c>
      <x:c r="M189" s="12" t="n">
        <x:f>'全部组合'!AG74/$D189</x:f>
        <x:v>0.20751632654250143</x:v>
      </x:c>
      <x:c r="N189" s="13" t="n">
        <x:f>'全部组合'!AH74/$D189</x:f>
        <x:v>0.004950685394371202</x:v>
      </x:c>
    </x:row>
    <x:row r="190" ht="23" customHeight="1">
      <x:c r="A190" s="10" t="str">
        <x:v>M4</x:v>
      </x:c>
      <x:c r="B190" s="10" t="str">
        <x:v>N_H0</x:v>
      </x:c>
      <x:c r="C190" s="9" t="str">
        <x:v>节点</x:v>
      </x:c>
      <x:c r="D190" s="11" t="n">
        <x:f>'全部组合'!D75</x:f>
        <x:v>5451</x:v>
      </x:c>
      <x:c r="E190" s="12" t="n">
        <x:f>'全部组合'!O75/$D190</x:f>
        <x:v>0</x:v>
      </x:c>
      <x:c r="F190" s="12" t="n">
        <x:f>'全部组合'!P75/$D190</x:f>
        <x:v>0.11594202898550725</x:v>
      </x:c>
      <x:c r="G190" s="12" t="n">
        <x:f>'全部组合'!Q75/$D190</x:f>
        <x:v>0.012658227848101266</x:v>
      </x:c>
      <x:c r="H190" s="12" t="n">
        <x:f>'全部组合'!R75/$D190</x:f>
        <x:v>0</x:v>
      </x:c>
      <x:c r="I190" s="12" t="n">
        <x:f>'全部组合'!S75/$D190</x:f>
        <x:v>0.8161805173362686</x:v>
      </x:c>
      <x:c r="J190" s="12" t="n">
        <x:f>'全部组合'!T75/$D190</x:f>
        <x:v>0</x:v>
      </x:c>
      <x:c r="K190" s="12" t="n">
        <x:f>'全部组合'!U75/$D190</x:f>
        <x:v>0.0056870299027701335</x:v>
      </x:c>
      <x:c r="L190" s="12" t="n">
        <x:f>'全部组合'!V75/$D190</x:f>
        <x:v>0.010823702073014125</x:v>
      </x:c>
      <x:c r="M190" s="12" t="n">
        <x:f>'全部组合'!W75/$D190</x:f>
        <x:v>0.03870849385433865</x:v>
      </x:c>
      <x:c r="N190" s="13" t="n">
        <x:f>'全部组合'!X75/$D190</x:f>
        <x:v>0</x:v>
      </x:c>
    </x:row>
    <x:row r="191" ht="23" customHeight="1">
      <x:c r="A191" s="10" t="str">
        <x:v>M4</x:v>
      </x:c>
      <x:c r="B191" s="10" t="str">
        <x:v>N_H0</x:v>
      </x:c>
      <x:c r="C191" s="9" t="str">
        <x:v>源三角形</x:v>
      </x:c>
      <x:c r="D191" s="11" t="n">
        <x:f>'全部组合'!I75</x:f>
        <x:v>10553614</x:v>
      </x:c>
      <x:c r="E191" s="12" t="n">
        <x:f>'全部组合'!Y75/$D191</x:f>
        <x:v>0</x:v>
      </x:c>
      <x:c r="F191" s="12" t="n">
        <x:f>'全部组合'!Z75/$D191</x:f>
        <x:v>0.09395852453955583</x:v>
      </x:c>
      <x:c r="G191" s="12" t="n">
        <x:f>'全部组合'!AA75/$D191</x:f>
        <x:v>0.010040162545266485</x:v>
      </x:c>
      <x:c r="H191" s="12" t="n">
        <x:f>'全部组合'!AB75/$D191</x:f>
        <x:v>0</x:v>
      </x:c>
      <x:c r="I191" s="12" t="n">
        <x:f>'全部组合'!AC75/$D191</x:f>
        <x:v>0.6563013390484056</x:v>
      </x:c>
      <x:c r="J191" s="12" t="n">
        <x:f>'全部组合'!AD75/$D191</x:f>
        <x:v>0</x:v>
      </x:c>
      <x:c r="K191" s="12" t="n">
        <x:f>'全部组合'!AE75/$D191</x:f>
        <x:v>0.007871995318380983</x:v>
      </x:c>
      <x:c r="L191" s="12" t="n">
        <x:f>'全部组合'!AF75/$D191</x:f>
        <x:v>0.10704010967238332</x:v>
      </x:c>
      <x:c r="M191" s="12" t="n">
        <x:f>'全部组合'!AG75/$D191</x:f>
        <x:v>0.12478786887600778</x:v>
      </x:c>
      <x:c r="N191" s="13" t="n">
        <x:f>'全部组合'!AH75/$D191</x:f>
        <x:v>0</x:v>
      </x:c>
    </x:row>
    <x:row r="192" ht="23" customHeight="1">
      <x:c r="A192" s="10" t="str">
        <x:v>M4</x:v>
      </x:c>
      <x:c r="B192" s="10" t="str">
        <x:v>N_HT</x:v>
      </x:c>
      <x:c r="C192" s="9" t="str">
        <x:v>节点</x:v>
      </x:c>
      <x:c r="D192" s="11" t="n">
        <x:f>'全部组合'!D76</x:f>
        <x:v>5451</x:v>
      </x:c>
      <x:c r="E192" s="12" t="n">
        <x:f>'全部组合'!O76/$D192</x:f>
        <x:v>0</x:v>
      </x:c>
      <x:c r="F192" s="12" t="n">
        <x:f>'全部组合'!P76/$D192</x:f>
        <x:v>0.11594202898550725</x:v>
      </x:c>
      <x:c r="G192" s="12" t="n">
        <x:f>'全部组合'!Q76/$D192</x:f>
        <x:v>0.012658227848101266</x:v>
      </x:c>
      <x:c r="H192" s="12" t="n">
        <x:f>'全部组合'!R76/$D192</x:f>
        <x:v>0</x:v>
      </x:c>
      <x:c r="I192" s="12" t="n">
        <x:f>'全部组合'!S76/$D192</x:f>
        <x:v>0.8161805173362686</x:v>
      </x:c>
      <x:c r="J192" s="12" t="n">
        <x:f>'全部组合'!T76/$D192</x:f>
        <x:v>0</x:v>
      </x:c>
      <x:c r="K192" s="12" t="n">
        <x:f>'全部组合'!U76/$D192</x:f>
        <x:v>0.0056870299027701335</x:v>
      </x:c>
      <x:c r="L192" s="12" t="n">
        <x:f>'全部组合'!V76/$D192</x:f>
        <x:v>0.010823702073014125</x:v>
      </x:c>
      <x:c r="M192" s="12" t="n">
        <x:f>'全部组合'!W76/$D192</x:f>
        <x:v>0.03870849385433865</x:v>
      </x:c>
      <x:c r="N192" s="13" t="n">
        <x:f>'全部组合'!X76/$D192</x:f>
        <x:v>0</x:v>
      </x:c>
    </x:row>
    <x:row r="193" ht="23" customHeight="1">
      <x:c r="A193" s="10" t="str">
        <x:v>M4</x:v>
      </x:c>
      <x:c r="B193" s="10" t="str">
        <x:v>N_HT</x:v>
      </x:c>
      <x:c r="C193" s="9" t="str">
        <x:v>源三角形</x:v>
      </x:c>
      <x:c r="D193" s="11" t="n">
        <x:f>'全部组合'!I76</x:f>
        <x:v>10553614</x:v>
      </x:c>
      <x:c r="E193" s="12" t="n">
        <x:f>'全部组合'!Y76/$D193</x:f>
        <x:v>0</x:v>
      </x:c>
      <x:c r="F193" s="12" t="n">
        <x:f>'全部组合'!Z76/$D193</x:f>
        <x:v>0.09395852453955583</x:v>
      </x:c>
      <x:c r="G193" s="12" t="n">
        <x:f>'全部组合'!AA76/$D193</x:f>
        <x:v>0.010040162545266485</x:v>
      </x:c>
      <x:c r="H193" s="12" t="n">
        <x:f>'全部组合'!AB76/$D193</x:f>
        <x:v>0</x:v>
      </x:c>
      <x:c r="I193" s="12" t="n">
        <x:f>'全部组合'!AC76/$D193</x:f>
        <x:v>0.6563013390484056</x:v>
      </x:c>
      <x:c r="J193" s="12" t="n">
        <x:f>'全部组合'!AD76/$D193</x:f>
        <x:v>0</x:v>
      </x:c>
      <x:c r="K193" s="12" t="n">
        <x:f>'全部组合'!AE76/$D193</x:f>
        <x:v>0.007871995318380983</x:v>
      </x:c>
      <x:c r="L193" s="12" t="n">
        <x:f>'全部组合'!AF76/$D193</x:f>
        <x:v>0.10704010967238332</x:v>
      </x:c>
      <x:c r="M193" s="12" t="n">
        <x:f>'全部组合'!AG76/$D193</x:f>
        <x:v>0.12478786887600778</x:v>
      </x:c>
      <x:c r="N193" s="13" t="n">
        <x:f>'全部组合'!AH76/$D193</x:f>
        <x:v>0</x:v>
      </x:c>
    </x:row>
    <x:row r="194" ht="23" customHeight="1">
      <x:c r="A194" s="10" t="str">
        <x:v>M4</x:v>
      </x:c>
      <x:c r="B194" s="10" t="str">
        <x:v>N_H1</x:v>
      </x:c>
      <x:c r="C194" s="9" t="str">
        <x:v>节点</x:v>
      </x:c>
      <x:c r="D194" s="11" t="n">
        <x:f>'全部组合'!D77</x:f>
        <x:v>5451</x:v>
      </x:c>
      <x:c r="E194" s="12" t="n">
        <x:f>'全部组合'!O77/$D194</x:f>
        <x:v>0</x:v>
      </x:c>
      <x:c r="F194" s="12" t="n">
        <x:f>'全部组合'!P77/$D194</x:f>
        <x:v>0.11594202898550725</x:v>
      </x:c>
      <x:c r="G194" s="12" t="n">
        <x:f>'全部组合'!Q77/$D194</x:f>
        <x:v>0.012658227848101266</x:v>
      </x:c>
      <x:c r="H194" s="12" t="n">
        <x:f>'全部组合'!R77/$D194</x:f>
        <x:v>0</x:v>
      </x:c>
      <x:c r="I194" s="12" t="n">
        <x:f>'全部组合'!S77/$D194</x:f>
        <x:v>0.8161805173362686</x:v>
      </x:c>
      <x:c r="J194" s="12" t="n">
        <x:f>'全部组合'!T77/$D194</x:f>
        <x:v>0</x:v>
      </x:c>
      <x:c r="K194" s="12" t="n">
        <x:f>'全部组合'!U77/$D194</x:f>
        <x:v>0.0056870299027701335</x:v>
      </x:c>
      <x:c r="L194" s="12" t="n">
        <x:f>'全部组合'!V77/$D194</x:f>
        <x:v>0.010823702073014125</x:v>
      </x:c>
      <x:c r="M194" s="12" t="n">
        <x:f>'全部组合'!W77/$D194</x:f>
        <x:v>0.03870849385433865</x:v>
      </x:c>
      <x:c r="N194" s="13" t="n">
        <x:f>'全部组合'!X77/$D194</x:f>
        <x:v>0</x:v>
      </x:c>
    </x:row>
    <x:row r="195" ht="23" customHeight="1">
      <x:c r="A195" s="10" t="str">
        <x:v>M4</x:v>
      </x:c>
      <x:c r="B195" s="10" t="str">
        <x:v>N_H1</x:v>
      </x:c>
      <x:c r="C195" s="9" t="str">
        <x:v>源三角形</x:v>
      </x:c>
      <x:c r="D195" s="11" t="n">
        <x:f>'全部组合'!I77</x:f>
        <x:v>10553614</x:v>
      </x:c>
      <x:c r="E195" s="12" t="n">
        <x:f>'全部组合'!Y77/$D195</x:f>
        <x:v>0</x:v>
      </x:c>
      <x:c r="F195" s="12" t="n">
        <x:f>'全部组合'!Z77/$D195</x:f>
        <x:v>0.09395852453955583</x:v>
      </x:c>
      <x:c r="G195" s="12" t="n">
        <x:f>'全部组合'!AA77/$D195</x:f>
        <x:v>0.010040162545266485</x:v>
      </x:c>
      <x:c r="H195" s="12" t="n">
        <x:f>'全部组合'!AB77/$D195</x:f>
        <x:v>0</x:v>
      </x:c>
      <x:c r="I195" s="12" t="n">
        <x:f>'全部组合'!AC77/$D195</x:f>
        <x:v>0.6563013390484056</x:v>
      </x:c>
      <x:c r="J195" s="12" t="n">
        <x:f>'全部组合'!AD77/$D195</x:f>
        <x:v>0</x:v>
      </x:c>
      <x:c r="K195" s="12" t="n">
        <x:f>'全部组合'!AE77/$D195</x:f>
        <x:v>0.007871995318380983</x:v>
      </x:c>
      <x:c r="L195" s="12" t="n">
        <x:f>'全部组合'!AF77/$D195</x:f>
        <x:v>0.10704010967238332</x:v>
      </x:c>
      <x:c r="M195" s="12" t="n">
        <x:f>'全部组合'!AG77/$D195</x:f>
        <x:v>0.12478786887600778</x:v>
      </x:c>
      <x:c r="N195" s="13" t="n">
        <x:f>'全部组合'!AH77/$D195</x:f>
        <x:v>0</x:v>
      </x:c>
    </x:row>
    <x:row r="196" ht="23" customHeight="1">
      <x:c r="A196" s="10" t="str">
        <x:v>M4</x:v>
      </x:c>
      <x:c r="B196" s="10" t="str">
        <x:v>C_H0</x:v>
      </x:c>
      <x:c r="C196" s="9" t="str">
        <x:v>节点</x:v>
      </x:c>
      <x:c r="D196" s="11" t="n">
        <x:f>'全部组合'!D78</x:f>
        <x:v>5451</x:v>
      </x:c>
      <x:c r="E196" s="12" t="n">
        <x:f>'全部组合'!O78/$D196</x:f>
        <x:v>0</x:v>
      </x:c>
      <x:c r="F196" s="12" t="n">
        <x:f>'全部组合'!P78/$D196</x:f>
        <x:v>0.1729957805907173</x:v>
      </x:c>
      <x:c r="G196" s="12" t="n">
        <x:f>'全部组合'!Q78/$D196</x:f>
        <x:v>0</x:v>
      </x:c>
      <x:c r="H196" s="12" t="n">
        <x:f>'全部组合'!R78/$D196</x:f>
        <x:v>0</x:v>
      </x:c>
      <x:c r="I196" s="12" t="n">
        <x:f>'全部组合'!S78/$D196</x:f>
        <x:v>0.8270042194092827</x:v>
      </x:c>
      <x:c r="J196" s="12" t="n">
        <x:f>'全部组合'!T78/$D196</x:f>
        <x:v>0</x:v>
      </x:c>
      <x:c r="K196" s="12" t="n">
        <x:f>'全部组合'!U78/$D196</x:f>
        <x:v>0</x:v>
      </x:c>
      <x:c r="L196" s="12" t="n">
        <x:f>'全部组合'!V78/$D196</x:f>
        <x:v>0</x:v>
      </x:c>
      <x:c r="M196" s="12" t="n">
        <x:f>'全部组合'!W78/$D196</x:f>
        <x:v>0</x:v>
      </x:c>
      <x:c r="N196" s="13" t="n">
        <x:f>'全部组合'!X78/$D196</x:f>
        <x:v>0</x:v>
      </x:c>
    </x:row>
    <x:row r="197" ht="23" customHeight="1">
      <x:c r="A197" s="10" t="str">
        <x:v>M4</x:v>
      </x:c>
      <x:c r="B197" s="10" t="str">
        <x:v>C_H0</x:v>
      </x:c>
      <x:c r="C197" s="9" t="str">
        <x:v>源三角形</x:v>
      </x:c>
      <x:c r="D197" s="11" t="n">
        <x:f>'全部组合'!I78</x:f>
        <x:v>10553614</x:v>
      </x:c>
      <x:c r="E197" s="12" t="n">
        <x:f>'全部组合'!Y78/$D197</x:f>
        <x:v>0</x:v>
      </x:c>
      <x:c r="F197" s="12" t="n">
        <x:f>'全部组合'!Z78/$D197</x:f>
        <x:v>0.14870981637190825</x:v>
      </x:c>
      <x:c r="G197" s="12" t="n">
        <x:f>'全部组合'!AA78/$D197</x:f>
        <x:v>0</x:v>
      </x:c>
      <x:c r="H197" s="12" t="n">
        <x:f>'全部组合'!AB78/$D197</x:f>
        <x:v>0</x:v>
      </x:c>
      <x:c r="I197" s="12" t="n">
        <x:f>'全部组合'!AC78/$D197</x:f>
        <x:v>0.8512901836280917</x:v>
      </x:c>
      <x:c r="J197" s="12" t="n">
        <x:f>'全部组合'!AD78/$D197</x:f>
        <x:v>0</x:v>
      </x:c>
      <x:c r="K197" s="12" t="n">
        <x:f>'全部组合'!AE78/$D197</x:f>
        <x:v>0</x:v>
      </x:c>
      <x:c r="L197" s="12" t="n">
        <x:f>'全部组合'!AF78/$D197</x:f>
        <x:v>0</x:v>
      </x:c>
      <x:c r="M197" s="12" t="n">
        <x:f>'全部组合'!AG78/$D197</x:f>
        <x:v>0</x:v>
      </x:c>
      <x:c r="N197" s="13" t="n">
        <x:f>'全部组合'!AH78/$D197</x:f>
        <x:v>0</x:v>
      </x:c>
    </x:row>
    <x:row r="198" ht="23" customHeight="1">
      <x:c r="A198" s="10" t="str">
        <x:v>M4</x:v>
      </x:c>
      <x:c r="B198" s="10" t="str">
        <x:v>C_HT</x:v>
      </x:c>
      <x:c r="C198" s="9" t="str">
        <x:v>节点</x:v>
      </x:c>
      <x:c r="D198" s="11" t="n">
        <x:f>'全部组合'!D79</x:f>
        <x:v>5451</x:v>
      </x:c>
      <x:c r="E198" s="12" t="n">
        <x:f>'全部组合'!O79/$D198</x:f>
        <x:v>0</x:v>
      </x:c>
      <x:c r="F198" s="12" t="n">
        <x:f>'全部组合'!P79/$D198</x:f>
        <x:v>0.1729957805907173</x:v>
      </x:c>
      <x:c r="G198" s="12" t="n">
        <x:f>'全部组合'!Q79/$D198</x:f>
        <x:v>0</x:v>
      </x:c>
      <x:c r="H198" s="12" t="n">
        <x:f>'全部组合'!R79/$D198</x:f>
        <x:v>0</x:v>
      </x:c>
      <x:c r="I198" s="12" t="n">
        <x:f>'全部组合'!S79/$D198</x:f>
        <x:v>0.8270042194092827</x:v>
      </x:c>
      <x:c r="J198" s="12" t="n">
        <x:f>'全部组合'!T79/$D198</x:f>
        <x:v>0</x:v>
      </x:c>
      <x:c r="K198" s="12" t="n">
        <x:f>'全部组合'!U79/$D198</x:f>
        <x:v>0</x:v>
      </x:c>
      <x:c r="L198" s="12" t="n">
        <x:f>'全部组合'!V79/$D198</x:f>
        <x:v>0</x:v>
      </x:c>
      <x:c r="M198" s="12" t="n">
        <x:f>'全部组合'!W79/$D198</x:f>
        <x:v>0</x:v>
      </x:c>
      <x:c r="N198" s="13" t="n">
        <x:f>'全部组合'!X79/$D198</x:f>
        <x:v>0</x:v>
      </x:c>
    </x:row>
    <x:row r="199" ht="23" customHeight="1">
      <x:c r="A199" s="10" t="str">
        <x:v>M4</x:v>
      </x:c>
      <x:c r="B199" s="10" t="str">
        <x:v>C_HT</x:v>
      </x:c>
      <x:c r="C199" s="9" t="str">
        <x:v>源三角形</x:v>
      </x:c>
      <x:c r="D199" s="11" t="n">
        <x:f>'全部组合'!I79</x:f>
        <x:v>10553614</x:v>
      </x:c>
      <x:c r="E199" s="12" t="n">
        <x:f>'全部组合'!Y79/$D199</x:f>
        <x:v>0</x:v>
      </x:c>
      <x:c r="F199" s="12" t="n">
        <x:f>'全部组合'!Z79/$D199</x:f>
        <x:v>0.14870981637190825</x:v>
      </x:c>
      <x:c r="G199" s="12" t="n">
        <x:f>'全部组合'!AA79/$D199</x:f>
        <x:v>0</x:v>
      </x:c>
      <x:c r="H199" s="12" t="n">
        <x:f>'全部组合'!AB79/$D199</x:f>
        <x:v>0</x:v>
      </x:c>
      <x:c r="I199" s="12" t="n">
        <x:f>'全部组合'!AC79/$D199</x:f>
        <x:v>0.8512901836280917</x:v>
      </x:c>
      <x:c r="J199" s="12" t="n">
        <x:f>'全部组合'!AD79/$D199</x:f>
        <x:v>0</x:v>
      </x:c>
      <x:c r="K199" s="12" t="n">
        <x:f>'全部组合'!AE79/$D199</x:f>
        <x:v>0</x:v>
      </x:c>
      <x:c r="L199" s="12" t="n">
        <x:f>'全部组合'!AF79/$D199</x:f>
        <x:v>0</x:v>
      </x:c>
      <x:c r="M199" s="12" t="n">
        <x:f>'全部组合'!AG79/$D199</x:f>
        <x:v>0</x:v>
      </x:c>
      <x:c r="N199" s="13" t="n">
        <x:f>'全部组合'!AH79/$D199</x:f>
        <x:v>0</x:v>
      </x:c>
    </x:row>
    <x:row r="200" ht="23" customHeight="1">
      <x:c r="A200" s="10" t="str">
        <x:v>M4</x:v>
      </x:c>
      <x:c r="B200" s="10" t="str">
        <x:v>C_H1</x:v>
      </x:c>
      <x:c r="C200" s="9" t="str">
        <x:v>节点</x:v>
      </x:c>
      <x:c r="D200" s="11" t="n">
        <x:f>'全部组合'!D80</x:f>
        <x:v>5451</x:v>
      </x:c>
      <x:c r="E200" s="12" t="n">
        <x:f>'全部组合'!O80/$D200</x:f>
        <x:v>0</x:v>
      </x:c>
      <x:c r="F200" s="12" t="n">
        <x:f>'全部组合'!P80/$D200</x:f>
        <x:v>0.1728123280132086</x:v>
      </x:c>
      <x:c r="G200" s="12" t="n">
        <x:f>'全部组合'!Q80/$D200</x:f>
        <x:v>0</x:v>
      </x:c>
      <x:c r="H200" s="12" t="n">
        <x:f>'全部组合'!R80/$D200</x:f>
        <x:v>0</x:v>
      </x:c>
      <x:c r="I200" s="12" t="n">
        <x:f>'全部组合'!S80/$D200</x:f>
        <x:v>0.8270042194092827</x:v>
      </x:c>
      <x:c r="J200" s="12" t="n">
        <x:f>'全部组合'!T80/$D200</x:f>
        <x:v>0</x:v>
      </x:c>
      <x:c r="K200" s="12" t="n">
        <x:f>'全部组合'!U80/$D200</x:f>
        <x:v>0.000183452577508714</x:v>
      </x:c>
      <x:c r="L200" s="12" t="n">
        <x:f>'全部组合'!V80/$D200</x:f>
        <x:v>0</x:v>
      </x:c>
      <x:c r="M200" s="12" t="n">
        <x:f>'全部组合'!W80/$D200</x:f>
        <x:v>0</x:v>
      </x:c>
      <x:c r="N200" s="13" t="n">
        <x:f>'全部组合'!X80/$D200</x:f>
        <x:v>0</x:v>
      </x:c>
    </x:row>
    <x:row r="201" ht="23" customHeight="1">
      <x:c r="A201" s="10" t="str">
        <x:v>M4</x:v>
      </x:c>
      <x:c r="B201" s="10" t="str">
        <x:v>C_H1</x:v>
      </x:c>
      <x:c r="C201" s="9" t="str">
        <x:v>源三角形</x:v>
      </x:c>
      <x:c r="D201" s="11" t="n">
        <x:f>'全部组合'!I80</x:f>
        <x:v>10553614</x:v>
      </x:c>
      <x:c r="E201" s="12" t="n">
        <x:f>'全部组合'!Y80/$D201</x:f>
        <x:v>0</x:v>
      </x:c>
      <x:c r="F201" s="12" t="n">
        <x:f>'全部组合'!Z80/$D201</x:f>
        <x:v>0.14862368473965412</x:v>
      </x:c>
      <x:c r="G201" s="12" t="n">
        <x:f>'全部组合'!AA80/$D201</x:f>
        <x:v>0</x:v>
      </x:c>
      <x:c r="H201" s="12" t="n">
        <x:f>'全部组合'!AB80/$D201</x:f>
        <x:v>0</x:v>
      </x:c>
      <x:c r="I201" s="12" t="n">
        <x:f>'全部组合'!AC80/$D201</x:f>
        <x:v>0.8512901836280917</x:v>
      </x:c>
      <x:c r="J201" s="12" t="n">
        <x:f>'全部组合'!AD80/$D201</x:f>
        <x:v>0</x:v>
      </x:c>
      <x:c r="K201" s="12" t="n">
        <x:f>'全部组合'!AE80/$D201</x:f>
        <x:v>0.0000861316322541264</x:v>
      </x:c>
      <x:c r="L201" s="12" t="n">
        <x:f>'全部组合'!AF80/$D201</x:f>
        <x:v>0</x:v>
      </x:c>
      <x:c r="M201" s="12" t="n">
        <x:f>'全部组合'!AG80/$D201</x:f>
        <x:v>0</x:v>
      </x:c>
      <x:c r="N201" s="13" t="n">
        <x:f>'全部组合'!AH80/$D201</x:f>
        <x:v>0</x:v>
      </x:c>
    </x:row>
    <x:row r="202" ht="23" customHeight="1">
      <x:c r="A202" s="10" t="str">
        <x:v>M4</x:v>
      </x:c>
      <x:c r="B202" s="10" t="str">
        <x:v>G_H0</x:v>
      </x:c>
      <x:c r="C202" s="9" t="str">
        <x:v>节点</x:v>
      </x:c>
      <x:c r="D202" s="11" t="n">
        <x:f>'全部组合'!D81</x:f>
        <x:v>5451</x:v>
      </x:c>
      <x:c r="E202" s="12" t="n">
        <x:f>'全部组合'!O81/$D202</x:f>
        <x:v>0</x:v>
      </x:c>
      <x:c r="F202" s="12" t="n">
        <x:f>'全部组合'!P81/$D202</x:f>
        <x:v>0.14786277747202348</x:v>
      </x:c>
      <x:c r="G202" s="12" t="n">
        <x:f>'全部组合'!Q81/$D202</x:f>
        <x:v>0.7213355347642635</x:v>
      </x:c>
      <x:c r="H202" s="12" t="n">
        <x:f>'全部组合'!R81/$D202</x:f>
        <x:v>0.11612548156301596</x:v>
      </x:c>
      <x:c r="I202" s="12" t="n">
        <x:f>'全部组合'!S81/$D202</x:f>
        <x:v>0.014125848468170978</x:v>
      </x:c>
      <x:c r="J202" s="12" t="n">
        <x:f>'全部组合'!T81/$D202</x:f>
        <x:v>0.000550357732526142</x:v>
      </x:c>
      <x:c r="K202" s="12" t="n">
        <x:f>'全部组合'!U81/$D202</x:f>
        <x:v>0</x:v>
      </x:c>
      <x:c r="L202" s="12" t="n">
        <x:f>'全部组合'!V81/$D202</x:f>
        <x:v>0</x:v>
      </x:c>
      <x:c r="M202" s="12" t="n">
        <x:f>'全部组合'!W81/$D202</x:f>
        <x:v>0</x:v>
      </x:c>
      <x:c r="N202" s="13" t="n">
        <x:f>'全部组合'!X81/$D202</x:f>
        <x:v>0</x:v>
      </x:c>
    </x:row>
    <x:row r="203" ht="23" customHeight="1">
      <x:c r="A203" s="10" t="str">
        <x:v>M4</x:v>
      </x:c>
      <x:c r="B203" s="10" t="str">
        <x:v>G_H0</x:v>
      </x:c>
      <x:c r="C203" s="9" t="str">
        <x:v>源三角形</x:v>
      </x:c>
      <x:c r="D203" s="11" t="n">
        <x:f>'全部组合'!I81</x:f>
        <x:v>10553614</x:v>
      </x:c>
      <x:c r="E203" s="12" t="n">
        <x:f>'全部组合'!Y81/$D203</x:f>
        <x:v>0</x:v>
      </x:c>
      <x:c r="F203" s="12" t="n">
        <x:f>'全部组合'!Z81/$D203</x:f>
        <x:v>0.14890453639862136</x:v>
      </x:c>
      <x:c r="G203" s="12" t="n">
        <x:f>'全部组合'!AA81/$D203</x:f>
        <x:v>0.563284292944578</x:v>
      </x:c>
      <x:c r="H203" s="12" t="n">
        <x:f>'全部组合'!AB81/$D203</x:f>
        <x:v>0.2420895818247664</x:v>
      </x:c>
      <x:c r="I203" s="12" t="n">
        <x:f>'全部组合'!AC81/$D203</x:f>
        <x:v>0.04536569179050892</x:v>
      </x:c>
      <x:c r="J203" s="12" t="n">
        <x:f>'全部组合'!AD81/$D203</x:f>
        <x:v>0.0003558970415253012</x:v>
      </x:c>
      <x:c r="K203" s="12" t="n">
        <x:f>'全部组合'!AE81/$D203</x:f>
        <x:v>0</x:v>
      </x:c>
      <x:c r="L203" s="12" t="n">
        <x:f>'全部组合'!AF81/$D203</x:f>
        <x:v>0</x:v>
      </x:c>
      <x:c r="M203" s="12" t="n">
        <x:f>'全部组合'!AG81/$D203</x:f>
        <x:v>0</x:v>
      </x:c>
      <x:c r="N203" s="13" t="n">
        <x:f>'全部组合'!AH81/$D203</x:f>
        <x:v>0</x:v>
      </x:c>
    </x:row>
    <x:row r="204" ht="23" customHeight="1">
      <x:c r="A204" s="10" t="str">
        <x:v>M4</x:v>
      </x:c>
      <x:c r="B204" s="10" t="str">
        <x:v>G_HT</x:v>
      </x:c>
      <x:c r="C204" s="9" t="str">
        <x:v>节点</x:v>
      </x:c>
      <x:c r="D204" s="11" t="n">
        <x:f>'全部组合'!D82</x:f>
        <x:v>5451</x:v>
      </x:c>
      <x:c r="E204" s="12" t="n">
        <x:f>'全部组合'!O82/$D204</x:f>
        <x:v>0</x:v>
      </x:c>
      <x:c r="F204" s="12" t="n">
        <x:f>'全部组合'!P82/$D204</x:f>
        <x:v>0.10438451660245826</x:v>
      </x:c>
      <x:c r="G204" s="12" t="n">
        <x:f>'全部组合'!Q82/$D204</x:f>
        <x:v>0.7387635296275913</x:v>
      </x:c>
      <x:c r="H204" s="12" t="n">
        <x:f>'全部组合'!R82/$D204</x:f>
        <x:v>0.1388736011740965</x:v>
      </x:c>
      <x:c r="I204" s="12" t="n">
        <x:f>'全部组合'!S82/$D204</x:f>
        <x:v>0.017427994863327828</x:v>
      </x:c>
      <x:c r="J204" s="12" t="n">
        <x:f>'全部组合'!T82/$D204</x:f>
        <x:v>0.000550357732526142</x:v>
      </x:c>
      <x:c r="K204" s="12" t="n">
        <x:f>'全部组合'!U82/$D204</x:f>
        <x:v>0</x:v>
      </x:c>
      <x:c r="L204" s="12" t="n">
        <x:f>'全部组合'!V82/$D204</x:f>
        <x:v>0</x:v>
      </x:c>
      <x:c r="M204" s="12" t="n">
        <x:f>'全部组合'!W82/$D204</x:f>
        <x:v>0</x:v>
      </x:c>
      <x:c r="N204" s="13" t="n">
        <x:f>'全部组合'!X82/$D204</x:f>
        <x:v>0</x:v>
      </x:c>
    </x:row>
    <x:row r="205" ht="23" customHeight="1">
      <x:c r="A205" s="10" t="str">
        <x:v>M4</x:v>
      </x:c>
      <x:c r="B205" s="10" t="str">
        <x:v>G_HT</x:v>
      </x:c>
      <x:c r="C205" s="9" t="str">
        <x:v>源三角形</x:v>
      </x:c>
      <x:c r="D205" s="11" t="n">
        <x:f>'全部组合'!I82</x:f>
        <x:v>10553614</x:v>
      </x:c>
      <x:c r="E205" s="12" t="n">
        <x:f>'全部组合'!Y82/$D205</x:f>
        <x:v>0</x:v>
      </x:c>
      <x:c r="F205" s="12" t="n">
        <x:f>'全部组合'!Z82/$D205</x:f>
        <x:v>0.08750841181039974</x:v>
      </x:c>
      <x:c r="G205" s="12" t="n">
        <x:f>'全部组合'!AA82/$D205</x:f>
        <x:v>0.5754778410504686</x:v>
      </x:c>
      <x:c r="H205" s="12" t="n">
        <x:f>'全部组合'!AB82/$D205</x:f>
        <x:v>0.2901454421205854</x:v>
      </x:c>
      <x:c r="I205" s="12" t="n">
        <x:f>'全部组合'!AC82/$D205</x:f>
        <x:v>0.04651240797702095</x:v>
      </x:c>
      <x:c r="J205" s="12" t="n">
        <x:f>'全部组合'!AD82/$D205</x:f>
        <x:v>0.0003558970415253012</x:v>
      </x:c>
      <x:c r="K205" s="12" t="n">
        <x:f>'全部组合'!AE82/$D205</x:f>
        <x:v>0</x:v>
      </x:c>
      <x:c r="L205" s="12" t="n">
        <x:f>'全部组合'!AF82/$D205</x:f>
        <x:v>0</x:v>
      </x:c>
      <x:c r="M205" s="12" t="n">
        <x:f>'全部组合'!AG82/$D205</x:f>
        <x:v>0</x:v>
      </x:c>
      <x:c r="N205" s="13" t="n">
        <x:f>'全部组合'!AH82/$D205</x:f>
        <x:v>0</x:v>
      </x:c>
    </x:row>
    <x:row r="206" ht="23" customHeight="1">
      <x:c r="A206" s="10" t="str">
        <x:v>M4</x:v>
      </x:c>
      <x:c r="B206" s="10" t="str">
        <x:v>G_H1</x:v>
      </x:c>
      <x:c r="C206" s="9" t="str">
        <x:v>节点</x:v>
      </x:c>
      <x:c r="D206" s="11" t="n">
        <x:f>'全部组合'!D83</x:f>
        <x:v>5451</x:v>
      </x:c>
      <x:c r="E206" s="12" t="n">
        <x:f>'全部组合'!O83/$D206</x:f>
        <x:v>0</x:v>
      </x:c>
      <x:c r="F206" s="12" t="n">
        <x:f>'全部组合'!P83/$D206</x:f>
        <x:v>0.10438451660245826</x:v>
      </x:c>
      <x:c r="G206" s="12" t="n">
        <x:f>'全部组合'!Q83/$D206</x:f>
        <x:v>0.7387635296275913</x:v>
      </x:c>
      <x:c r="H206" s="12" t="n">
        <x:f>'全部组合'!R83/$D206</x:f>
        <x:v>0.1388736011740965</x:v>
      </x:c>
      <x:c r="I206" s="12" t="n">
        <x:f>'全部组合'!S83/$D206</x:f>
        <x:v>0.017427994863327828</x:v>
      </x:c>
      <x:c r="J206" s="12" t="n">
        <x:f>'全部组合'!T83/$D206</x:f>
        <x:v>0.000550357732526142</x:v>
      </x:c>
      <x:c r="K206" s="12" t="n">
        <x:f>'全部组合'!U83/$D206</x:f>
        <x:v>0</x:v>
      </x:c>
      <x:c r="L206" s="12" t="n">
        <x:f>'全部组合'!V83/$D206</x:f>
        <x:v>0</x:v>
      </x:c>
      <x:c r="M206" s="12" t="n">
        <x:f>'全部组合'!W83/$D206</x:f>
        <x:v>0</x:v>
      </x:c>
      <x:c r="N206" s="13" t="n">
        <x:f>'全部组合'!X83/$D206</x:f>
        <x:v>0</x:v>
      </x:c>
    </x:row>
    <x:row r="207" ht="23" customHeight="1">
      <x:c r="A207" s="10" t="str">
        <x:v>M4</x:v>
      </x:c>
      <x:c r="B207" s="10" t="str">
        <x:v>G_H1</x:v>
      </x:c>
      <x:c r="C207" s="9" t="str">
        <x:v>源三角形</x:v>
      </x:c>
      <x:c r="D207" s="11" t="n">
        <x:f>'全部组合'!I83</x:f>
        <x:v>10553614</x:v>
      </x:c>
      <x:c r="E207" s="12" t="n">
        <x:f>'全部组合'!Y83/$D207</x:f>
        <x:v>0</x:v>
      </x:c>
      <x:c r="F207" s="12" t="n">
        <x:f>'全部组合'!Z83/$D207</x:f>
        <x:v>0.08750841181039974</x:v>
      </x:c>
      <x:c r="G207" s="12" t="n">
        <x:f>'全部组合'!AA83/$D207</x:f>
        <x:v>0.5754778410504686</x:v>
      </x:c>
      <x:c r="H207" s="12" t="n">
        <x:f>'全部组合'!AB83/$D207</x:f>
        <x:v>0.2901454421205854</x:v>
      </x:c>
      <x:c r="I207" s="12" t="n">
        <x:f>'全部组合'!AC83/$D207</x:f>
        <x:v>0.04651240797702095</x:v>
      </x:c>
      <x:c r="J207" s="12" t="n">
        <x:f>'全部组合'!AD83/$D207</x:f>
        <x:v>0.0003558970415253012</x:v>
      </x:c>
      <x:c r="K207" s="12" t="n">
        <x:f>'全部组合'!AE83/$D207</x:f>
        <x:v>0</x:v>
      </x:c>
      <x:c r="L207" s="12" t="n">
        <x:f>'全部组合'!AF83/$D207</x:f>
        <x:v>0</x:v>
      </x:c>
      <x:c r="M207" s="12" t="n">
        <x:f>'全部组合'!AG83/$D207</x:f>
        <x:v>0</x:v>
      </x:c>
      <x:c r="N207" s="13" t="n">
        <x:f>'全部组合'!AH83/$D207</x:f>
        <x:v>0</x:v>
      </x:c>
    </x:row>
    <x:row r="208" ht="23" customHeight="1">
      <x:c r="A208" s="10" t="str">
        <x:v>M4</x:v>
      </x:c>
      <x:c r="B208" s="10" t="str">
        <x:v>NC_H0</x:v>
      </x:c>
      <x:c r="C208" s="9" t="str">
        <x:v>节点</x:v>
      </x:c>
      <x:c r="D208" s="11" t="n">
        <x:f>'全部组合'!D84</x:f>
        <x:v>5451</x:v>
      </x:c>
      <x:c r="E208" s="12" t="n">
        <x:f>'全部组合'!O84/$D208</x:f>
        <x:v>0</x:v>
      </x:c>
      <x:c r="F208" s="12" t="n">
        <x:f>'全部组合'!P84/$D208</x:f>
        <x:v>0.2003302146395157</x:v>
      </x:c>
      <x:c r="G208" s="12" t="n">
        <x:f>'全部组合'!Q84/$D208</x:f>
        <x:v>0.012107870115575124</x:v>
      </x:c>
      <x:c r="H208" s="12" t="n">
        <x:f>'全部组合'!R84/$D208</x:f>
        <x:v>0</x:v>
      </x:c>
      <x:c r="I208" s="12" t="n">
        <x:f>'全部组合'!S84/$D208</x:f>
        <x:v>0.7461016327279398</x:v>
      </x:c>
      <x:c r="J208" s="12" t="n">
        <x:f>'全部组合'!T84/$D208</x:f>
        <x:v>0</x:v>
      </x:c>
      <x:c r="K208" s="12" t="n">
        <x:f>'全部组合'!U84/$D208</x:f>
        <x:v>0.004769767015226564</x:v>
      </x:c>
      <x:c r="L208" s="12" t="n">
        <x:f>'全部组合'!V84/$D208</x:f>
        <x:v>0.010456796917996699</x:v>
      </x:c>
      <x:c r="M208" s="12" t="n">
        <x:f>'全部组合'!W84/$D208</x:f>
        <x:v>0.026233718583746103</x:v>
      </x:c>
      <x:c r="N208" s="13" t="n">
        <x:f>'全部组合'!X84/$D208</x:f>
        <x:v>0</x:v>
      </x:c>
    </x:row>
    <x:row r="209" ht="23" customHeight="1">
      <x:c r="A209" s="10" t="str">
        <x:v>M4</x:v>
      </x:c>
      <x:c r="B209" s="10" t="str">
        <x:v>NC_H0</x:v>
      </x:c>
      <x:c r="C209" s="9" t="str">
        <x:v>源三角形</x:v>
      </x:c>
      <x:c r="D209" s="11" t="n">
        <x:f>'全部组合'!I84</x:f>
        <x:v>10553614</x:v>
      </x:c>
      <x:c r="E209" s="12" t="n">
        <x:f>'全部组合'!Y84/$D209</x:f>
        <x:v>0</x:v>
      </x:c>
      <x:c r="F209" s="12" t="n">
        <x:f>'全部组合'!Z84/$D209</x:f>
        <x:v>0.18870701543566024</x:v>
      </x:c>
      <x:c r="G209" s="12" t="n">
        <x:f>'全部组合'!AA84/$D209</x:f>
        <x:v>0.009236456819436452</x:v>
      </x:c>
      <x:c r="H209" s="12" t="n">
        <x:f>'全部组合'!AB84/$D209</x:f>
        <x:v>0</x:v>
      </x:c>
      <x:c r="I209" s="12" t="n">
        <x:f>'全部组合'!AC84/$D209</x:f>
        <x:v>0.6052082253529455</x:v>
      </x:c>
      <x:c r="J209" s="12" t="n">
        <x:f>'全部组合'!AD84/$D209</x:f>
        <x:v>0</x:v>
      </x:c>
      <x:c r="K209" s="12" t="n">
        <x:f>'全部组合'!AE84/$D209</x:f>
        <x:v>0.00665781409098343</x:v>
      </x:c>
      <x:c r="L209" s="12" t="n">
        <x:f>'全部组合'!AF84/$D209</x:f>
        <x:v>0.10616893890566777</x:v>
      </x:c>
      <x:c r="M209" s="12" t="n">
        <x:f>'全部组合'!AG84/$D209</x:f>
        <x:v>0.08402154939530666</x:v>
      </x:c>
      <x:c r="N209" s="13" t="n">
        <x:f>'全部组合'!AH84/$D209</x:f>
        <x:v>0</x:v>
      </x:c>
    </x:row>
    <x:row r="210" ht="23" customHeight="1">
      <x:c r="A210" s="10" t="str">
        <x:v>M4</x:v>
      </x:c>
      <x:c r="B210" s="10" t="str">
        <x:v>NC_HT</x:v>
      </x:c>
      <x:c r="C210" s="9" t="str">
        <x:v>节点</x:v>
      </x:c>
      <x:c r="D210" s="11" t="n">
        <x:f>'全部组合'!D85</x:f>
        <x:v>5451</x:v>
      </x:c>
      <x:c r="E210" s="12" t="n">
        <x:f>'全部组合'!O85/$D210</x:f>
        <x:v>0</x:v>
      </x:c>
      <x:c r="F210" s="12" t="n">
        <x:f>'全部组合'!P85/$D210</x:f>
        <x:v>0.2003302146395157</x:v>
      </x:c>
      <x:c r="G210" s="12" t="n">
        <x:f>'全部组合'!Q85/$D210</x:f>
        <x:v>0.012107870115575124</x:v>
      </x:c>
      <x:c r="H210" s="12" t="n">
        <x:f>'全部组合'!R85/$D210</x:f>
        <x:v>0</x:v>
      </x:c>
      <x:c r="I210" s="12" t="n">
        <x:f>'全部组合'!S85/$D210</x:f>
        <x:v>0.7461016327279398</x:v>
      </x:c>
      <x:c r="J210" s="12" t="n">
        <x:f>'全部组合'!T85/$D210</x:f>
        <x:v>0</x:v>
      </x:c>
      <x:c r="K210" s="12" t="n">
        <x:f>'全部组合'!U85/$D210</x:f>
        <x:v>0.004769767015226564</x:v>
      </x:c>
      <x:c r="L210" s="12" t="n">
        <x:f>'全部组合'!V85/$D210</x:f>
        <x:v>0.010456796917996699</x:v>
      </x:c>
      <x:c r="M210" s="12" t="n">
        <x:f>'全部组合'!W85/$D210</x:f>
        <x:v>0.026233718583746103</x:v>
      </x:c>
      <x:c r="N210" s="13" t="n">
        <x:f>'全部组合'!X85/$D210</x:f>
        <x:v>0</x:v>
      </x:c>
    </x:row>
    <x:row r="211" ht="23" customHeight="1">
      <x:c r="A211" s="10" t="str">
        <x:v>M4</x:v>
      </x:c>
      <x:c r="B211" s="10" t="str">
        <x:v>NC_HT</x:v>
      </x:c>
      <x:c r="C211" s="9" t="str">
        <x:v>源三角形</x:v>
      </x:c>
      <x:c r="D211" s="11" t="n">
        <x:f>'全部组合'!I85</x:f>
        <x:v>10553614</x:v>
      </x:c>
      <x:c r="E211" s="12" t="n">
        <x:f>'全部组合'!Y85/$D211</x:f>
        <x:v>0</x:v>
      </x:c>
      <x:c r="F211" s="12" t="n">
        <x:f>'全部组合'!Z85/$D211</x:f>
        <x:v>0.18870701543566024</x:v>
      </x:c>
      <x:c r="G211" s="12" t="n">
        <x:f>'全部组合'!AA85/$D211</x:f>
        <x:v>0.009236456819436452</x:v>
      </x:c>
      <x:c r="H211" s="12" t="n">
        <x:f>'全部组合'!AB85/$D211</x:f>
        <x:v>0</x:v>
      </x:c>
      <x:c r="I211" s="12" t="n">
        <x:f>'全部组合'!AC85/$D211</x:f>
        <x:v>0.6052082253529455</x:v>
      </x:c>
      <x:c r="J211" s="12" t="n">
        <x:f>'全部组合'!AD85/$D211</x:f>
        <x:v>0</x:v>
      </x:c>
      <x:c r="K211" s="12" t="n">
        <x:f>'全部组合'!AE85/$D211</x:f>
        <x:v>0.00665781409098343</x:v>
      </x:c>
      <x:c r="L211" s="12" t="n">
        <x:f>'全部组合'!AF85/$D211</x:f>
        <x:v>0.10616893890566777</x:v>
      </x:c>
      <x:c r="M211" s="12" t="n">
        <x:f>'全部组合'!AG85/$D211</x:f>
        <x:v>0.08402154939530666</x:v>
      </x:c>
      <x:c r="N211" s="13" t="n">
        <x:f>'全部组合'!AH85/$D211</x:f>
        <x:v>0</x:v>
      </x:c>
    </x:row>
    <x:row r="212" ht="23" customHeight="1">
      <x:c r="A212" s="10" t="str">
        <x:v>M4</x:v>
      </x:c>
      <x:c r="B212" s="10" t="str">
        <x:v>NC_H1</x:v>
      </x:c>
      <x:c r="C212" s="9" t="str">
        <x:v>节点</x:v>
      </x:c>
      <x:c r="D212" s="11" t="n">
        <x:f>'全部组合'!D86</x:f>
        <x:v>5451</x:v>
      </x:c>
      <x:c r="E212" s="12" t="n">
        <x:f>'全部组合'!O86/$D212</x:f>
        <x:v>0</x:v>
      </x:c>
      <x:c r="F212" s="12" t="n">
        <x:f>'全部组合'!P86/$D212</x:f>
        <x:v>0.20014676206200696</x:v>
      </x:c>
      <x:c r="G212" s="12" t="n">
        <x:f>'全部组合'!Q86/$D212</x:f>
        <x:v>0.012107870115575124</x:v>
      </x:c>
      <x:c r="H212" s="12" t="n">
        <x:f>'全部组合'!R86/$D212</x:f>
        <x:v>0</x:v>
      </x:c>
      <x:c r="I212" s="12" t="n">
        <x:f>'全部组合'!S86/$D212</x:f>
        <x:v>0.7461016327279398</x:v>
      </x:c>
      <x:c r="J212" s="12" t="n">
        <x:f>'全部组合'!T86/$D212</x:f>
        <x:v>0</x:v>
      </x:c>
      <x:c r="K212" s="12" t="n">
        <x:f>'全部组合'!U86/$D212</x:f>
        <x:v>0.0049532195927352776</x:v>
      </x:c>
      <x:c r="L212" s="12" t="n">
        <x:f>'全部组合'!V86/$D212</x:f>
        <x:v>0.010456796917996699</x:v>
      </x:c>
      <x:c r="M212" s="12" t="n">
        <x:f>'全部组合'!W86/$D212</x:f>
        <x:v>0.026233718583746103</x:v>
      </x:c>
      <x:c r="N212" s="13" t="n">
        <x:f>'全部组合'!X86/$D212</x:f>
        <x:v>0</x:v>
      </x:c>
    </x:row>
    <x:row r="213" ht="23" customHeight="1">
      <x:c r="A213" s="10" t="str">
        <x:v>M4</x:v>
      </x:c>
      <x:c r="B213" s="10" t="str">
        <x:v>NC_H1</x:v>
      </x:c>
      <x:c r="C213" s="9" t="str">
        <x:v>源三角形</x:v>
      </x:c>
      <x:c r="D213" s="11" t="n">
        <x:f>'全部组合'!I86</x:f>
        <x:v>10553614</x:v>
      </x:c>
      <x:c r="E213" s="12" t="n">
        <x:f>'全部组合'!Y86/$D213</x:f>
        <x:v>0</x:v>
      </x:c>
      <x:c r="F213" s="12" t="n">
        <x:f>'全部组合'!Z86/$D213</x:f>
        <x:v>0.1886208838034061</x:v>
      </x:c>
      <x:c r="G213" s="12" t="n">
        <x:f>'全部组合'!AA86/$D213</x:f>
        <x:v>0.009236456819436452</x:v>
      </x:c>
      <x:c r="H213" s="12" t="n">
        <x:f>'全部组合'!AB86/$D213</x:f>
        <x:v>0</x:v>
      </x:c>
      <x:c r="I213" s="12" t="n">
        <x:f>'全部组合'!AC86/$D213</x:f>
        <x:v>0.6052082253529455</x:v>
      </x:c>
      <x:c r="J213" s="12" t="n">
        <x:f>'全部组合'!AD86/$D213</x:f>
        <x:v>0</x:v>
      </x:c>
      <x:c r="K213" s="12" t="n">
        <x:f>'全部组合'!AE86/$D213</x:f>
        <x:v>0.006743945723237556</x:v>
      </x:c>
      <x:c r="L213" s="12" t="n">
        <x:f>'全部组合'!AF86/$D213</x:f>
        <x:v>0.10616893890566777</x:v>
      </x:c>
      <x:c r="M213" s="12" t="n">
        <x:f>'全部组合'!AG86/$D213</x:f>
        <x:v>0.08402154939530666</x:v>
      </x:c>
      <x:c r="N213" s="13" t="n">
        <x:f>'全部组合'!AH86/$D213</x:f>
        <x:v>0</x:v>
      </x:c>
    </x:row>
    <x:row r="214" ht="23" customHeight="1">
      <x:c r="A214" s="10" t="str">
        <x:v>M4</x:v>
      </x:c>
      <x:c r="B214" s="10" t="str">
        <x:v>NG_H0</x:v>
      </x:c>
      <x:c r="C214" s="9" t="str">
        <x:v>节点</x:v>
      </x:c>
      <x:c r="D214" s="11" t="n">
        <x:f>'全部组合'!D87</x:f>
        <x:v>5451</x:v>
      </x:c>
      <x:c r="E214" s="12" t="n">
        <x:f>'全部组合'!O87/$D214</x:f>
        <x:v>0</x:v>
      </x:c>
      <x:c r="F214" s="12" t="n">
        <x:f>'全部组合'!P87/$D214</x:f>
        <x:v>0.1520821867547239</x:v>
      </x:c>
      <x:c r="G214" s="12" t="n">
        <x:f>'全部组合'!Q87/$D214</x:f>
        <x:v>0.6703357182168409</x:v>
      </x:c>
      <x:c r="H214" s="12" t="n">
        <x:f>'全部组合'!R87/$D214</x:f>
        <x:v>0.10787011557512383</x:v>
      </x:c>
      <x:c r="I214" s="12" t="n">
        <x:f>'全部组合'!S87/$D214</x:f>
        <x:v>0.013942395890662264</x:v>
      </x:c>
      <x:c r="J214" s="12" t="n">
        <x:f>'全部组合'!T87/$D214</x:f>
        <x:v>0.000550357732526142</x:v>
      </x:c>
      <x:c r="K214" s="12" t="n">
        <x:f>'全部组合'!U87/$D214</x:f>
        <x:v>0.0056870299027701335</x:v>
      </x:c>
      <x:c r="L214" s="12" t="n">
        <x:f>'全部组合'!V87/$D214</x:f>
        <x:v>0.010823702073014125</x:v>
      </x:c>
      <x:c r="M214" s="12" t="n">
        <x:f>'全部组合'!W87/$D214</x:f>
        <x:v>0.03870849385433865</x:v>
      </x:c>
      <x:c r="N214" s="13" t="n">
        <x:f>'全部组合'!X87/$D214</x:f>
        <x:v>0</x:v>
      </x:c>
    </x:row>
    <x:row r="215" ht="23" customHeight="1">
      <x:c r="A215" s="10" t="str">
        <x:v>M4</x:v>
      </x:c>
      <x:c r="B215" s="10" t="str">
        <x:v>NG_H0</x:v>
      </x:c>
      <x:c r="C215" s="9" t="str">
        <x:v>源三角形</x:v>
      </x:c>
      <x:c r="D215" s="11" t="n">
        <x:f>'全部组合'!I87</x:f>
        <x:v>10553614</x:v>
      </x:c>
      <x:c r="E215" s="12" t="n">
        <x:f>'全部组合'!Y87/$D215</x:f>
        <x:v>0</x:v>
      </x:c>
      <x:c r="F215" s="12" t="n">
        <x:f>'全部组合'!Z87/$D215</x:f>
        <x:v>0.13443915989347346</x:v>
      </x:c>
      <x:c r="G215" s="12" t="n">
        <x:f>'全部组合'!AA87/$D215</x:f>
        <x:v>0.4381852510429129</x:v>
      </x:c>
      <x:c r="H215" s="12" t="n">
        <x:f>'全部组合'!AB87/$D215</x:f>
        <x:v>0.15976233354754116</x:v>
      </x:c>
      <x:c r="I215" s="12" t="n">
        <x:f>'全部组合'!AC87/$D215</x:f>
        <x:v>0.02755738460777512</x:v>
      </x:c>
      <x:c r="J215" s="12" t="n">
        <x:f>'全部组合'!AD87/$D215</x:f>
        <x:v>0.0003558970415253012</x:v>
      </x:c>
      <x:c r="K215" s="12" t="n">
        <x:f>'全部组合'!AE87/$D215</x:f>
        <x:v>0.007871995318380983</x:v>
      </x:c>
      <x:c r="L215" s="12" t="n">
        <x:f>'全部组合'!AF87/$D215</x:f>
        <x:v>0.10704010967238332</x:v>
      </x:c>
      <x:c r="M215" s="12" t="n">
        <x:f>'全部组合'!AG87/$D215</x:f>
        <x:v>0.12478786887600778</x:v>
      </x:c>
      <x:c r="N215" s="13" t="n">
        <x:f>'全部组合'!AH87/$D215</x:f>
        <x:v>0</x:v>
      </x:c>
    </x:row>
    <x:row r="216" ht="23" customHeight="1">
      <x:c r="A216" s="10" t="str">
        <x:v>M4</x:v>
      </x:c>
      <x:c r="B216" s="10" t="str">
        <x:v>NG_HT</x:v>
      </x:c>
      <x:c r="C216" s="9" t="str">
        <x:v>节点</x:v>
      </x:c>
      <x:c r="D216" s="11" t="n">
        <x:f>'全部组合'!D88</x:f>
        <x:v>5451</x:v>
      </x:c>
      <x:c r="E216" s="12" t="n">
        <x:f>'全部组合'!O88/$D216</x:f>
        <x:v>0</x:v>
      </x:c>
      <x:c r="F216" s="12" t="n">
        <x:f>'全部组合'!P88/$D216</x:f>
        <x:v>0.12768299394606494</x:v>
      </x:c>
      <x:c r="G216" s="12" t="n">
        <x:f>'全部组合'!Q88/$D216</x:f>
        <x:v>0.6719867914144194</x:v>
      </x:c>
      <x:c r="H216" s="12" t="n">
        <x:f>'全部组合'!R88/$D216</x:f>
        <x:v>0.12731608879104753</x:v>
      </x:c>
      <x:c r="I216" s="12" t="n">
        <x:f>'全部组合'!S88/$D216</x:f>
        <x:v>0.017244542285819116</x:v>
      </x:c>
      <x:c r="J216" s="12" t="n">
        <x:f>'全部组合'!T88/$D216</x:f>
        <x:v>0.000550357732526142</x:v>
      </x:c>
      <x:c r="K216" s="12" t="n">
        <x:f>'全部组合'!U88/$D216</x:f>
        <x:v>0.0056870299027701335</x:v>
      </x:c>
      <x:c r="L216" s="12" t="n">
        <x:f>'全部组合'!V88/$D216</x:f>
        <x:v>0.010823702073014125</x:v>
      </x:c>
      <x:c r="M216" s="12" t="n">
        <x:f>'全部组合'!W88/$D216</x:f>
        <x:v>0.03870849385433865</x:v>
      </x:c>
      <x:c r="N216" s="13" t="n">
        <x:f>'全部组合'!X88/$D216</x:f>
        <x:v>0</x:v>
      </x:c>
    </x:row>
    <x:row r="217" ht="23" customHeight="1">
      <x:c r="A217" s="10" t="str">
        <x:v>M4</x:v>
      </x:c>
      <x:c r="B217" s="10" t="str">
        <x:v>NG_HT</x:v>
      </x:c>
      <x:c r="C217" s="9" t="str">
        <x:v>源三角形</x:v>
      </x:c>
      <x:c r="D217" s="11" t="n">
        <x:f>'全部组合'!I88</x:f>
        <x:v>10553614</x:v>
      </x:c>
      <x:c r="E217" s="12" t="n">
        <x:f>'全部组合'!Y88/$D217</x:f>
        <x:v>0</x:v>
      </x:c>
      <x:c r="F217" s="12" t="n">
        <x:f>'全部组合'!Z88/$D217</x:f>
        <x:v>0.10567640620549511</x:v>
      </x:c>
      <x:c r="G217" s="12" t="n">
        <x:f>'全部组合'!AA88/$D217</x:f>
        <x:v>0.42491055670597766</x:v>
      </x:c>
      <x:c r="H217" s="12" t="n">
        <x:f>'全部组合'!AB88/$D217</x:f>
        <x:v>0.20065306538594269</x:v>
      </x:c>
      <x:c r="I217" s="12" t="n">
        <x:f>'全部组合'!AC88/$D217</x:f>
        <x:v>0.02870410079428715</x:v>
      </x:c>
      <x:c r="J217" s="12" t="n">
        <x:f>'全部组合'!AD88/$D217</x:f>
        <x:v>0.0003558970415253012</x:v>
      </x:c>
      <x:c r="K217" s="12" t="n">
        <x:f>'全部组合'!AE88/$D217</x:f>
        <x:v>0.007871995318380983</x:v>
      </x:c>
      <x:c r="L217" s="12" t="n">
        <x:f>'全部组合'!AF88/$D217</x:f>
        <x:v>0.10704010967238332</x:v>
      </x:c>
      <x:c r="M217" s="12" t="n">
        <x:f>'全部组合'!AG88/$D217</x:f>
        <x:v>0.12478786887600778</x:v>
      </x:c>
      <x:c r="N217" s="13" t="n">
        <x:f>'全部组合'!AH88/$D217</x:f>
        <x:v>0</x:v>
      </x:c>
    </x:row>
    <x:row r="218" ht="23" customHeight="1">
      <x:c r="A218" s="10" t="str">
        <x:v>M4</x:v>
      </x:c>
      <x:c r="B218" s="10" t="str">
        <x:v>NG_H1</x:v>
      </x:c>
      <x:c r="C218" s="9" t="str">
        <x:v>节点</x:v>
      </x:c>
      <x:c r="D218" s="11" t="n">
        <x:f>'全部组合'!D89</x:f>
        <x:v>5451</x:v>
      </x:c>
      <x:c r="E218" s="12" t="n">
        <x:f>'全部组合'!O89/$D218</x:f>
        <x:v>0</x:v>
      </x:c>
      <x:c r="F218" s="12" t="n">
        <x:f>'全部组合'!P89/$D218</x:f>
        <x:v>0.12768299394606494</x:v>
      </x:c>
      <x:c r="G218" s="12" t="n">
        <x:f>'全部组合'!Q89/$D218</x:f>
        <x:v>0.6719867914144194</x:v>
      </x:c>
      <x:c r="H218" s="12" t="n">
        <x:f>'全部组合'!R89/$D218</x:f>
        <x:v>0.12731608879104753</x:v>
      </x:c>
      <x:c r="I218" s="12" t="n">
        <x:f>'全部组合'!S89/$D218</x:f>
        <x:v>0.017244542285819116</x:v>
      </x:c>
      <x:c r="J218" s="12" t="n">
        <x:f>'全部组合'!T89/$D218</x:f>
        <x:v>0.000550357732526142</x:v>
      </x:c>
      <x:c r="K218" s="12" t="n">
        <x:f>'全部组合'!U89/$D218</x:f>
        <x:v>0.0056870299027701335</x:v>
      </x:c>
      <x:c r="L218" s="12" t="n">
        <x:f>'全部组合'!V89/$D218</x:f>
        <x:v>0.010823702073014125</x:v>
      </x:c>
      <x:c r="M218" s="12" t="n">
        <x:f>'全部组合'!W89/$D218</x:f>
        <x:v>0.03870849385433865</x:v>
      </x:c>
      <x:c r="N218" s="13" t="n">
        <x:f>'全部组合'!X89/$D218</x:f>
        <x:v>0</x:v>
      </x:c>
    </x:row>
    <x:row r="219" ht="23" customHeight="1">
      <x:c r="A219" s="10" t="str">
        <x:v>M4</x:v>
      </x:c>
      <x:c r="B219" s="10" t="str">
        <x:v>NG_H1</x:v>
      </x:c>
      <x:c r="C219" s="9" t="str">
        <x:v>源三角形</x:v>
      </x:c>
      <x:c r="D219" s="11" t="n">
        <x:f>'全部组合'!I89</x:f>
        <x:v>10553614</x:v>
      </x:c>
      <x:c r="E219" s="12" t="n">
        <x:f>'全部组合'!Y89/$D219</x:f>
        <x:v>0</x:v>
      </x:c>
      <x:c r="F219" s="12" t="n">
        <x:f>'全部组合'!Z89/$D219</x:f>
        <x:v>0.10567640620549511</x:v>
      </x:c>
      <x:c r="G219" s="12" t="n">
        <x:f>'全部组合'!AA89/$D219</x:f>
        <x:v>0.42491055670597766</x:v>
      </x:c>
      <x:c r="H219" s="12" t="n">
        <x:f>'全部组合'!AB89/$D219</x:f>
        <x:v>0.20065306538594269</x:v>
      </x:c>
      <x:c r="I219" s="12" t="n">
        <x:f>'全部组合'!AC89/$D219</x:f>
        <x:v>0.02870410079428715</x:v>
      </x:c>
      <x:c r="J219" s="12" t="n">
        <x:f>'全部组合'!AD89/$D219</x:f>
        <x:v>0.0003558970415253012</x:v>
      </x:c>
      <x:c r="K219" s="12" t="n">
        <x:f>'全部组合'!AE89/$D219</x:f>
        <x:v>0.007871995318380983</x:v>
      </x:c>
      <x:c r="L219" s="12" t="n">
        <x:f>'全部组合'!AF89/$D219</x:f>
        <x:v>0.10704010967238332</x:v>
      </x:c>
      <x:c r="M219" s="12" t="n">
        <x:f>'全部组合'!AG89/$D219</x:f>
        <x:v>0.12478786887600778</x:v>
      </x:c>
      <x:c r="N219" s="13" t="n">
        <x:f>'全部组合'!AH89/$D219</x:f>
        <x:v>0</x:v>
      </x:c>
    </x:row>
    <x:row r="220" ht="23" customHeight="1">
      <x:c r="A220" s="10" t="str">
        <x:v>M4</x:v>
      </x:c>
      <x:c r="B220" s="10" t="str">
        <x:v>CG_H0</x:v>
      </x:c>
      <x:c r="C220" s="9" t="str">
        <x:v>节点</x:v>
      </x:c>
      <x:c r="D220" s="11" t="n">
        <x:f>'全部组合'!D90</x:f>
        <x:v>5451</x:v>
      </x:c>
      <x:c r="E220" s="12" t="n">
        <x:f>'全部组合'!O90/$D220</x:f>
        <x:v>0</x:v>
      </x:c>
      <x:c r="F220" s="12" t="n">
        <x:f>'全部组合'!P90/$D220</x:f>
        <x:v>0.20895248578242526</x:v>
      </x:c>
      <x:c r="G220" s="12" t="n">
        <x:f>'全部组合'!Q90/$D220</x:f>
        <x:v>0.6604292790313704</x:v>
      </x:c>
      <x:c r="H220" s="12" t="n">
        <x:f>'全部组合'!R90/$D220</x:f>
        <x:v>0.11594202898550725</x:v>
      </x:c>
      <x:c r="I220" s="12" t="n">
        <x:f>'全部组合'!S90/$D220</x:f>
        <x:v>0.014125848468170978</x:v>
      </x:c>
      <x:c r="J220" s="12" t="n">
        <x:f>'全部组合'!T90/$D220</x:f>
        <x:v>0.000550357732526142</x:v>
      </x:c>
      <x:c r="K220" s="12" t="n">
        <x:f>'全部组合'!U90/$D220</x:f>
        <x:v>0</x:v>
      </x:c>
      <x:c r="L220" s="12" t="n">
        <x:f>'全部组合'!V90/$D220</x:f>
        <x:v>0</x:v>
      </x:c>
      <x:c r="M220" s="12" t="n">
        <x:f>'全部组合'!W90/$D220</x:f>
        <x:v>0</x:v>
      </x:c>
      <x:c r="N220" s="13" t="n">
        <x:f>'全部组合'!X90/$D220</x:f>
        <x:v>0</x:v>
      </x:c>
    </x:row>
    <x:row r="221" ht="23" customHeight="1">
      <x:c r="A221" s="10" t="str">
        <x:v>M4</x:v>
      </x:c>
      <x:c r="B221" s="10" t="str">
        <x:v>CG_H0</x:v>
      </x:c>
      <x:c r="C221" s="9" t="str">
        <x:v>源三角形</x:v>
      </x:c>
      <x:c r="D221" s="11" t="n">
        <x:f>'全部组合'!I90</x:f>
        <x:v>10553614</x:v>
      </x:c>
      <x:c r="E221" s="12" t="n">
        <x:f>'全部组合'!Y90/$D221</x:f>
        <x:v>0</x:v>
      </x:c>
      <x:c r="F221" s="12" t="n">
        <x:f>'全部组合'!Z90/$D221</x:f>
        <x:v>0.19963265664254917</x:v>
      </x:c>
      <x:c r="G221" s="12" t="n">
        <x:f>'全部组合'!AA90/$D221</x:f>
        <x:v>0.5125607209056537</x:v>
      </x:c>
      <x:c r="H221" s="12" t="n">
        <x:f>'全部组合'!AB90/$D221</x:f>
        <x:v>0.24208503361976286</x:v>
      </x:c>
      <x:c r="I221" s="12" t="n">
        <x:f>'全部组合'!AC90/$D221</x:f>
        <x:v>0.04536569179050892</x:v>
      </x:c>
      <x:c r="J221" s="12" t="n">
        <x:f>'全部组合'!AD90/$D221</x:f>
        <x:v>0.0003558970415253012</x:v>
      </x:c>
      <x:c r="K221" s="12" t="n">
        <x:f>'全部组合'!AE90/$D221</x:f>
        <x:v>0</x:v>
      </x:c>
      <x:c r="L221" s="12" t="n">
        <x:f>'全部组合'!AF90/$D221</x:f>
        <x:v>0</x:v>
      </x:c>
      <x:c r="M221" s="12" t="n">
        <x:f>'全部组合'!AG90/$D221</x:f>
        <x:v>0</x:v>
      </x:c>
      <x:c r="N221" s="13" t="n">
        <x:f>'全部组合'!AH90/$D221</x:f>
        <x:v>0</x:v>
      </x:c>
    </x:row>
    <x:row r="222" ht="23" customHeight="1">
      <x:c r="A222" s="10" t="str">
        <x:v>M4</x:v>
      </x:c>
      <x:c r="B222" s="10" t="str">
        <x:v>CG_HT</x:v>
      </x:c>
      <x:c r="C222" s="9" t="str">
        <x:v>节点</x:v>
      </x:c>
      <x:c r="D222" s="11" t="n">
        <x:f>'全部组合'!D91</x:f>
        <x:v>5451</x:v>
      </x:c>
      <x:c r="E222" s="12" t="n">
        <x:f>'全部组合'!O91/$D222</x:f>
        <x:v>0</x:v>
      </x:c>
      <x:c r="F222" s="12" t="n">
        <x:f>'全部组合'!P91/$D222</x:f>
        <x:v>0.1649238671803339</x:v>
      </x:c>
      <x:c r="G222" s="12" t="n">
        <x:f>'全部组合'!Q91/$D222</x:f>
        <x:v>0.6826270409099248</x:v>
      </x:c>
      <x:c r="H222" s="12" t="n">
        <x:f>'全部组合'!R91/$D222</x:f>
        <x:v>0.13447073931388737</x:v>
      </x:c>
      <x:c r="I222" s="12" t="n">
        <x:f>'全部组合'!S91/$D222</x:f>
        <x:v>0.017427994863327828</x:v>
      </x:c>
      <x:c r="J222" s="12" t="n">
        <x:f>'全部组合'!T91/$D222</x:f>
        <x:v>0.000550357732526142</x:v>
      </x:c>
      <x:c r="K222" s="12" t="n">
        <x:f>'全部组合'!U91/$D222</x:f>
        <x:v>0</x:v>
      </x:c>
      <x:c r="L222" s="12" t="n">
        <x:f>'全部组合'!V91/$D222</x:f>
        <x:v>0</x:v>
      </x:c>
      <x:c r="M222" s="12" t="n">
        <x:f>'全部组合'!W91/$D222</x:f>
        <x:v>0</x:v>
      </x:c>
      <x:c r="N222" s="13" t="n">
        <x:f>'全部组合'!X91/$D222</x:f>
        <x:v>0</x:v>
      </x:c>
    </x:row>
    <x:row r="223" ht="23" customHeight="1">
      <x:c r="A223" s="10" t="str">
        <x:v>M4</x:v>
      </x:c>
      <x:c r="B223" s="10" t="str">
        <x:v>CG_HT</x:v>
      </x:c>
      <x:c r="C223" s="9" t="str">
        <x:v>源三角形</x:v>
      </x:c>
      <x:c r="D223" s="11" t="n">
        <x:f>'全部组合'!I91</x:f>
        <x:v>10553614</x:v>
      </x:c>
      <x:c r="E223" s="12" t="n">
        <x:f>'全部组合'!Y91/$D223</x:f>
        <x:v>0</x:v>
      </x:c>
      <x:c r="F223" s="12" t="n">
        <x:f>'全部组合'!Z91/$D223</x:f>
        <x:v>0.13757088330120848</x:v>
      </x:c>
      <x:c r="G223" s="12" t="n">
        <x:f>'全部组合'!AA91/$D223</x:f>
        <x:v>0.529170102298606</x:v>
      </x:c>
      <x:c r="H223" s="12" t="n">
        <x:f>'全部组合'!AB91/$D223</x:f>
        <x:v>0.2863907093816393</x:v>
      </x:c>
      <x:c r="I223" s="12" t="n">
        <x:f>'全部组合'!AC91/$D223</x:f>
        <x:v>0.04651240797702095</x:v>
      </x:c>
      <x:c r="J223" s="12" t="n">
        <x:f>'全部组合'!AD91/$D223</x:f>
        <x:v>0.0003558970415253012</x:v>
      </x:c>
      <x:c r="K223" s="12" t="n">
        <x:f>'全部组合'!AE91/$D223</x:f>
        <x:v>0</x:v>
      </x:c>
      <x:c r="L223" s="12" t="n">
        <x:f>'全部组合'!AF91/$D223</x:f>
        <x:v>0</x:v>
      </x:c>
      <x:c r="M223" s="12" t="n">
        <x:f>'全部组合'!AG91/$D223</x:f>
        <x:v>0</x:v>
      </x:c>
      <x:c r="N223" s="13" t="n">
        <x:f>'全部组合'!AH91/$D223</x:f>
        <x:v>0</x:v>
      </x:c>
    </x:row>
    <x:row r="224" ht="23" customHeight="1">
      <x:c r="A224" s="10" t="str">
        <x:v>M4</x:v>
      </x:c>
      <x:c r="B224" s="10" t="str">
        <x:v>CG_H1</x:v>
      </x:c>
      <x:c r="C224" s="9" t="str">
        <x:v>节点</x:v>
      </x:c>
      <x:c r="D224" s="11" t="n">
        <x:f>'全部组合'!D92</x:f>
        <x:v>5451</x:v>
      </x:c>
      <x:c r="E224" s="12" t="n">
        <x:f>'全部组合'!O92/$D224</x:f>
        <x:v>0</x:v>
      </x:c>
      <x:c r="F224" s="12" t="n">
        <x:f>'全部组合'!P92/$D224</x:f>
        <x:v>0.16474041460282518</x:v>
      </x:c>
      <x:c r="G224" s="12" t="n">
        <x:f>'全部组合'!Q92/$D224</x:f>
        <x:v>0.6826270409099248</x:v>
      </x:c>
      <x:c r="H224" s="12" t="n">
        <x:f>'全部组合'!R92/$D224</x:f>
        <x:v>0.13447073931388737</x:v>
      </x:c>
      <x:c r="I224" s="12" t="n">
        <x:f>'全部组合'!S92/$D224</x:f>
        <x:v>0.017427994863327828</x:v>
      </x:c>
      <x:c r="J224" s="12" t="n">
        <x:f>'全部组合'!T92/$D224</x:f>
        <x:v>0.000550357732526142</x:v>
      </x:c>
      <x:c r="K224" s="12" t="n">
        <x:f>'全部组合'!U92/$D224</x:f>
        <x:v>0.000183452577508714</x:v>
      </x:c>
      <x:c r="L224" s="12" t="n">
        <x:f>'全部组合'!V92/$D224</x:f>
        <x:v>0</x:v>
      </x:c>
      <x:c r="M224" s="12" t="n">
        <x:f>'全部组合'!W92/$D224</x:f>
        <x:v>0</x:v>
      </x:c>
      <x:c r="N224" s="13" t="n">
        <x:f>'全部组合'!X92/$D224</x:f>
        <x:v>0</x:v>
      </x:c>
    </x:row>
    <x:row r="225" ht="23" customHeight="1">
      <x:c r="A225" s="10" t="str">
        <x:v>M4</x:v>
      </x:c>
      <x:c r="B225" s="10" t="str">
        <x:v>CG_H1</x:v>
      </x:c>
      <x:c r="C225" s="9" t="str">
        <x:v>源三角形</x:v>
      </x:c>
      <x:c r="D225" s="11" t="n">
        <x:f>'全部组合'!I92</x:f>
        <x:v>10553614</x:v>
      </x:c>
      <x:c r="E225" s="12" t="n">
        <x:f>'全部组合'!Y92/$D225</x:f>
        <x:v>0</x:v>
      </x:c>
      <x:c r="F225" s="12" t="n">
        <x:f>'全部组合'!Z92/$D225</x:f>
        <x:v>0.13748475166895435</x:v>
      </x:c>
      <x:c r="G225" s="12" t="n">
        <x:f>'全部组合'!AA92/$D225</x:f>
        <x:v>0.529170102298606</x:v>
      </x:c>
      <x:c r="H225" s="12" t="n">
        <x:f>'全部组合'!AB92/$D225</x:f>
        <x:v>0.2863907093816393</x:v>
      </x:c>
      <x:c r="I225" s="12" t="n">
        <x:f>'全部组合'!AC92/$D225</x:f>
        <x:v>0.04651240797702095</x:v>
      </x:c>
      <x:c r="J225" s="12" t="n">
        <x:f>'全部组合'!AD92/$D225</x:f>
        <x:v>0.0003558970415253012</x:v>
      </x:c>
      <x:c r="K225" s="12" t="n">
        <x:f>'全部组合'!AE92/$D225</x:f>
        <x:v>0.0000861316322541264</x:v>
      </x:c>
      <x:c r="L225" s="12" t="n">
        <x:f>'全部组合'!AF92/$D225</x:f>
        <x:v>0</x:v>
      </x:c>
      <x:c r="M225" s="12" t="n">
        <x:f>'全部组合'!AG92/$D225</x:f>
        <x:v>0</x:v>
      </x:c>
      <x:c r="N225" s="13" t="n">
        <x:f>'全部组合'!AH92/$D225</x:f>
        <x:v>0</x:v>
      </x:c>
    </x:row>
    <x:row r="226" ht="23" customHeight="1">
      <x:c r="A226" s="10" t="str">
        <x:v>M4</x:v>
      </x:c>
      <x:c r="B226" s="10" t="str">
        <x:v>NCG_H0</x:v>
      </x:c>
      <x:c r="C226" s="9" t="str">
        <x:v>节点</x:v>
      </x:c>
      <x:c r="D226" s="11" t="n">
        <x:f>'全部组合'!D93</x:f>
        <x:v>5451</x:v>
      </x:c>
      <x:c r="E226" s="12" t="n">
        <x:f>'全部组合'!O93/$D226</x:f>
        <x:v>0</x:v>
      </x:c>
      <x:c r="F226" s="12" t="n">
        <x:f>'全部组合'!P93/$D226</x:f>
        <x:v>0.15685195376995048</x:v>
      </x:c>
      <x:c r="G226" s="12" t="n">
        <x:f>'全部组合'!Q93/$D226</x:f>
        <x:v>0.6637314254265272</x:v>
      </x:c>
      <x:c r="H226" s="12" t="n">
        <x:f>'全部组合'!R93/$D226</x:f>
        <x:v>0.11942762795817281</x:v>
      </x:c>
      <x:c r="I226" s="12" t="n">
        <x:f>'全部组合'!S93/$D226</x:f>
        <x:v>0.017978352595853973</x:v>
      </x:c>
      <x:c r="J226" s="12" t="n">
        <x:f>'全部组合'!T93/$D226</x:f>
        <x:v>0.000550357732526142</x:v>
      </x:c>
      <x:c r="K226" s="12" t="n">
        <x:f>'全部组合'!U93/$D226</x:f>
        <x:v>0.004769767015226564</x:v>
      </x:c>
      <x:c r="L226" s="12" t="n">
        <x:f>'全部组合'!V93/$D226</x:f>
        <x:v>0.010456796917996699</x:v>
      </x:c>
      <x:c r="M226" s="12" t="n">
        <x:f>'全部组合'!W93/$D226</x:f>
        <x:v>0.026233718583746103</x:v>
      </x:c>
      <x:c r="N226" s="13" t="n">
        <x:f>'全部组合'!X93/$D226</x:f>
        <x:v>0</x:v>
      </x:c>
    </x:row>
    <x:row r="227" ht="23" customHeight="1">
      <x:c r="A227" s="10" t="str">
        <x:v>M4</x:v>
      </x:c>
      <x:c r="B227" s="10" t="str">
        <x:v>NCG_H0</x:v>
      </x:c>
      <x:c r="C227" s="9" t="str">
        <x:v>源三角形</x:v>
      </x:c>
      <x:c r="D227" s="11" t="n">
        <x:f>'全部组合'!I93</x:f>
        <x:v>10553614</x:v>
      </x:c>
      <x:c r="E227" s="12" t="n">
        <x:f>'全部组合'!Y93/$D227</x:f>
        <x:v>0</x:v>
      </x:c>
      <x:c r="F227" s="12" t="n">
        <x:f>'全部组合'!Z93/$D227</x:f>
        <x:v>0.13247935730831165</x:v>
      </x:c>
      <x:c r="G227" s="12" t="n">
        <x:f>'全部组合'!AA93/$D227</x:f>
        <x:v>0.4672121796381789</x:v>
      </x:c>
      <x:c r="H227" s="12" t="n">
        <x:f>'全部组合'!AB93/$D227</x:f>
        <x:v>0.17275428114009098</x:v>
      </x:c>
      <x:c r="I227" s="12" t="n">
        <x:f>'全部组合'!AC93/$D227</x:f>
        <x:v>0.030349982479935308</x:v>
      </x:c>
      <x:c r="J227" s="12" t="n">
        <x:f>'全部组合'!AD93/$D227</x:f>
        <x:v>0.0003558970415253012</x:v>
      </x:c>
      <x:c r="K227" s="12" t="n">
        <x:f>'全部组合'!AE93/$D227</x:f>
        <x:v>0.00665781409098343</x:v>
      </x:c>
      <x:c r="L227" s="12" t="n">
        <x:f>'全部组合'!AF93/$D227</x:f>
        <x:v>0.10616893890566777</x:v>
      </x:c>
      <x:c r="M227" s="12" t="n">
        <x:f>'全部组合'!AG93/$D227</x:f>
        <x:v>0.08402154939530666</x:v>
      </x:c>
      <x:c r="N227" s="13" t="n">
        <x:f>'全部组合'!AH93/$D227</x:f>
        <x:v>0</x:v>
      </x:c>
    </x:row>
    <x:row r="228" ht="23" customHeight="1">
      <x:c r="A228" s="10" t="str">
        <x:v>M4</x:v>
      </x:c>
      <x:c r="B228" s="10" t="str">
        <x:v>NCG_HT</x:v>
      </x:c>
      <x:c r="C228" s="9" t="str">
        <x:v>节点</x:v>
      </x:c>
      <x:c r="D228" s="11" t="n">
        <x:f>'全部组合'!D94</x:f>
        <x:v>5451</x:v>
      </x:c>
      <x:c r="E228" s="12" t="n">
        <x:f>'全部组合'!O94/$D228</x:f>
        <x:v>0</x:v>
      </x:c>
      <x:c r="F228" s="12" t="n">
        <x:f>'全部组合'!P94/$D228</x:f>
        <x:v>0.13520454962392223</x:v>
      </x:c>
      <x:c r="G228" s="12" t="n">
        <x:f>'全部组合'!Q94/$D228</x:f>
        <x:v>0.6556595120161438</x:v>
      </x:c>
      <x:c r="H228" s="12" t="n">
        <x:f>'全部组合'!R94/$D228</x:f>
        <x:v>0.14456063107686662</x:v>
      </x:c>
      <x:c r="I228" s="12" t="n">
        <x:f>'全部组合'!S94/$D228</x:f>
        <x:v>0.022564667033571822</x:v>
      </x:c>
      <x:c r="J228" s="12" t="n">
        <x:f>'全部组合'!T94/$D228</x:f>
        <x:v>0.000550357732526142</x:v>
      </x:c>
      <x:c r="K228" s="12" t="n">
        <x:f>'全部组合'!U94/$D228</x:f>
        <x:v>0.004769767015226564</x:v>
      </x:c>
      <x:c r="L228" s="12" t="n">
        <x:f>'全部组合'!V94/$D228</x:f>
        <x:v>0.010456796917996699</x:v>
      </x:c>
      <x:c r="M228" s="12" t="n">
        <x:f>'全部组合'!W94/$D228</x:f>
        <x:v>0.026233718583746103</x:v>
      </x:c>
      <x:c r="N228" s="13" t="n">
        <x:f>'全部组合'!X94/$D228</x:f>
        <x:v>0</x:v>
      </x:c>
    </x:row>
    <x:row r="229" ht="23" customHeight="1">
      <x:c r="A229" s="10" t="str">
        <x:v>M4</x:v>
      </x:c>
      <x:c r="B229" s="10" t="str">
        <x:v>NCG_HT</x:v>
      </x:c>
      <x:c r="C229" s="9" t="str">
        <x:v>源三角形</x:v>
      </x:c>
      <x:c r="D229" s="11" t="n">
        <x:f>'全部组合'!I94</x:f>
        <x:v>10553614</x:v>
      </x:c>
      <x:c r="E229" s="12" t="n">
        <x:f>'全部组合'!Y94/$D229</x:f>
        <x:v>0</x:v>
      </x:c>
      <x:c r="F229" s="12" t="n">
        <x:f>'全部组合'!Z94/$D229</x:f>
        <x:v>0.11069914059771373</x:v>
      </x:c>
      <x:c r="G229" s="12" t="n">
        <x:f>'全部组合'!AA94/$D229</x:f>
        <x:v>0.4323817414584236</x:v>
      </x:c>
      <x:c r="H229" s="12" t="n">
        <x:f>'全部组合'!AB94/$D229</x:f>
        <x:v>0.2277889829967251</x:v>
      </x:c>
      <x:c r="I229" s="12" t="n">
        <x:f>'全部组合'!AC94/$D229</x:f>
        <x:v>0.03192593551365437</x:v>
      </x:c>
      <x:c r="J229" s="12" t="n">
        <x:f>'全部组合'!AD94/$D229</x:f>
        <x:v>0.0003558970415253012</x:v>
      </x:c>
      <x:c r="K229" s="12" t="n">
        <x:f>'全部组合'!AE94/$D229</x:f>
        <x:v>0.00665781409098343</x:v>
      </x:c>
      <x:c r="L229" s="12" t="n">
        <x:f>'全部组合'!AF94/$D229</x:f>
        <x:v>0.10616893890566777</x:v>
      </x:c>
      <x:c r="M229" s="12" t="n">
        <x:f>'全部组合'!AG94/$D229</x:f>
        <x:v>0.08402154939530666</x:v>
      </x:c>
      <x:c r="N229" s="13" t="n">
        <x:f>'全部组合'!AH94/$D229</x:f>
        <x:v>0</x:v>
      </x:c>
    </x:row>
    <x:row r="230" ht="23" customHeight="1">
      <x:c r="A230" s="10" t="str">
        <x:v>M4</x:v>
      </x:c>
      <x:c r="B230" s="10" t="str">
        <x:v>NCG_H1</x:v>
      </x:c>
      <x:c r="C230" s="9" t="str">
        <x:v>节点</x:v>
      </x:c>
      <x:c r="D230" s="11" t="n">
        <x:f>'全部组合'!D95</x:f>
        <x:v>5451</x:v>
      </x:c>
      <x:c r="E230" s="12" t="n">
        <x:f>'全部组合'!O95/$D230</x:f>
        <x:v>0</x:v>
      </x:c>
      <x:c r="F230" s="12" t="n">
        <x:f>'全部组合'!P95/$D230</x:f>
        <x:v>0.1350210970464135</x:v>
      </x:c>
      <x:c r="G230" s="12" t="n">
        <x:f>'全部组合'!Q95/$D230</x:f>
        <x:v>0.6556595120161438</x:v>
      </x:c>
      <x:c r="H230" s="12" t="n">
        <x:f>'全部组合'!R95/$D230</x:f>
        <x:v>0.14456063107686662</x:v>
      </x:c>
      <x:c r="I230" s="12" t="n">
        <x:f>'全部组合'!S95/$D230</x:f>
        <x:v>0.022564667033571822</x:v>
      </x:c>
      <x:c r="J230" s="12" t="n">
        <x:f>'全部组合'!T95/$D230</x:f>
        <x:v>0.000550357732526142</x:v>
      </x:c>
      <x:c r="K230" s="12" t="n">
        <x:f>'全部组合'!U95/$D230</x:f>
        <x:v>0.0049532195927352776</x:v>
      </x:c>
      <x:c r="L230" s="12" t="n">
        <x:f>'全部组合'!V95/$D230</x:f>
        <x:v>0.010456796917996699</x:v>
      </x:c>
      <x:c r="M230" s="12" t="n">
        <x:f>'全部组合'!W95/$D230</x:f>
        <x:v>0.026233718583746103</x:v>
      </x:c>
      <x:c r="N230" s="13" t="n">
        <x:f>'全部组合'!X95/$D230</x:f>
        <x:v>0</x:v>
      </x:c>
    </x:row>
    <x:row r="231" ht="23" customHeight="1">
      <x:c r="A231" s="10" t="str">
        <x:v>M4</x:v>
      </x:c>
      <x:c r="B231" s="10" t="str">
        <x:v>NCG_H1</x:v>
      </x:c>
      <x:c r="C231" s="9" t="str">
        <x:v>源三角形</x:v>
      </x:c>
      <x:c r="D231" s="11" t="n">
        <x:f>'全部组合'!I95</x:f>
        <x:v>10553614</x:v>
      </x:c>
      <x:c r="E231" s="12" t="n">
        <x:f>'全部组合'!Y95/$D231</x:f>
        <x:v>0</x:v>
      </x:c>
      <x:c r="F231" s="12" t="n">
        <x:f>'全部组合'!Z95/$D231</x:f>
        <x:v>0.1106130089654596</x:v>
      </x:c>
      <x:c r="G231" s="12" t="n">
        <x:f>'全部组合'!AA95/$D231</x:f>
        <x:v>0.4323817414584236</x:v>
      </x:c>
      <x:c r="H231" s="12" t="n">
        <x:f>'全部组合'!AB95/$D231</x:f>
        <x:v>0.2277889829967251</x:v>
      </x:c>
      <x:c r="I231" s="12" t="n">
        <x:f>'全部组合'!AC95/$D231</x:f>
        <x:v>0.03192593551365437</x:v>
      </x:c>
      <x:c r="J231" s="12" t="n">
        <x:f>'全部组合'!AD95/$D231</x:f>
        <x:v>0.0003558970415253012</x:v>
      </x:c>
      <x:c r="K231" s="12" t="n">
        <x:f>'全部组合'!AE95/$D231</x:f>
        <x:v>0.006743945723237556</x:v>
      </x:c>
      <x:c r="L231" s="12" t="n">
        <x:f>'全部组合'!AF95/$D231</x:f>
        <x:v>0.10616893890566777</x:v>
      </x:c>
      <x:c r="M231" s="12" t="n">
        <x:f>'全部组合'!AG95/$D231</x:f>
        <x:v>0.08402154939530666</x:v>
      </x:c>
      <x:c r="N231" s="13" t="n">
        <x:f>'全部组合'!AH95/$D231</x:f>
        <x:v>0</x:v>
      </x:c>
    </x:row>
    <x:row r="232" ht="23" customHeight="1">
      <x:c r="A232" s="10" t="str">
        <x:v>M4</x:v>
      </x:c>
      <x:c r="B232" s="10" t="str">
        <x:v>NCG_H0_M1</x:v>
      </x:c>
      <x:c r="C232" s="9" t="str">
        <x:v>节点</x:v>
      </x:c>
      <x:c r="D232" s="11" t="n">
        <x:f>'全部组合'!D96</x:f>
        <x:v>5451</x:v>
      </x:c>
      <x:c r="E232" s="12" t="n">
        <x:f>'全部组合'!O96/$D232</x:f>
        <x:v>0</x:v>
      </x:c>
      <x:c r="F232" s="12" t="n">
        <x:f>'全部组合'!P96/$D232</x:f>
        <x:v>0.15685195376995048</x:v>
      </x:c>
      <x:c r="G232" s="12" t="n">
        <x:f>'全部组合'!Q96/$D232</x:f>
        <x:v>0.6629976151164924</x:v>
      </x:c>
      <x:c r="H232" s="12" t="n">
        <x:f>'全部组合'!R96/$D232</x:f>
        <x:v>0.11942762795817281</x:v>
      </x:c>
      <x:c r="I232" s="12" t="n">
        <x:f>'全部组合'!S96/$D232</x:f>
        <x:v>0.017978352595853973</x:v>
      </x:c>
      <x:c r="J232" s="12" t="n">
        <x:f>'全部组合'!T96/$D232</x:f>
        <x:v>0.000550357732526142</x:v>
      </x:c>
      <x:c r="K232" s="12" t="n">
        <x:f>'全部组合'!U96/$D232</x:f>
        <x:v>0.004769767015226564</x:v>
      </x:c>
      <x:c r="L232" s="12" t="n">
        <x:f>'全部组合'!V96/$D232</x:f>
        <x:v>0.011190607228031554</x:v>
      </x:c>
      <x:c r="M232" s="12" t="n">
        <x:f>'全部组合'!W96/$D232</x:f>
        <x:v>0.026233718583746103</x:v>
      </x:c>
      <x:c r="N232" s="13" t="n">
        <x:f>'全部组合'!X96/$D232</x:f>
        <x:v>0</x:v>
      </x:c>
    </x:row>
    <x:row r="233" ht="23" customHeight="1">
      <x:c r="A233" s="10" t="str">
        <x:v>M4</x:v>
      </x:c>
      <x:c r="B233" s="10" t="str">
        <x:v>NCG_H0_M1</x:v>
      </x:c>
      <x:c r="C233" s="9" t="str">
        <x:v>源三角形</x:v>
      </x:c>
      <x:c r="D233" s="11" t="n">
        <x:f>'全部组合'!I96</x:f>
        <x:v>10553614</x:v>
      </x:c>
      <x:c r="E233" s="12" t="n">
        <x:f>'全部组合'!Y96/$D233</x:f>
        <x:v>0</x:v>
      </x:c>
      <x:c r="F233" s="12" t="n">
        <x:f>'全部组合'!Z96/$D233</x:f>
        <x:v>0.13247935730831165</x:v>
      </x:c>
      <x:c r="G233" s="12" t="n">
        <x:f>'全部组合'!AA96/$D233</x:f>
        <x:v>0.46672248956613344</x:v>
      </x:c>
      <x:c r="H233" s="12" t="n">
        <x:f>'全部组合'!AB96/$D233</x:f>
        <x:v>0.17275428114009098</x:v>
      </x:c>
      <x:c r="I233" s="12" t="n">
        <x:f>'全部组合'!AC96/$D233</x:f>
        <x:v>0.030349982479935308</x:v>
      </x:c>
      <x:c r="J233" s="12" t="n">
        <x:f>'全部组合'!AD96/$D233</x:f>
        <x:v>0.0003558970415253012</x:v>
      </x:c>
      <x:c r="K233" s="12" t="n">
        <x:f>'全部组合'!AE96/$D233</x:f>
        <x:v>0.00665781409098343</x:v>
      </x:c>
      <x:c r="L233" s="12" t="n">
        <x:f>'全部组合'!AF96/$D233</x:f>
        <x:v>0.10665862897771322</x:v>
      </x:c>
      <x:c r="M233" s="12" t="n">
        <x:f>'全部组合'!AG96/$D233</x:f>
        <x:v>0.08402154939530666</x:v>
      </x:c>
      <x:c r="N233" s="13" t="n">
        <x:f>'全部组合'!AH96/$D233</x:f>
        <x:v>0</x:v>
      </x:c>
    </x:row>
    <x:row r="234" ht="23" customHeight="1">
      <x:c r="A234" s="10" t="str">
        <x:v>M4</x:v>
      </x:c>
      <x:c r="B234" s="10" t="str">
        <x:v>NCG_H1_M1</x:v>
      </x:c>
      <x:c r="C234" s="9" t="str">
        <x:v>节点</x:v>
      </x:c>
      <x:c r="D234" s="11" t="n">
        <x:f>'全部组合'!D97</x:f>
        <x:v>5451</x:v>
      </x:c>
      <x:c r="E234" s="12" t="n">
        <x:f>'全部组合'!O97/$D234</x:f>
        <x:v>0</x:v>
      </x:c>
      <x:c r="F234" s="12" t="n">
        <x:f>'全部组合'!P97/$D234</x:f>
        <x:v>0.1350210970464135</x:v>
      </x:c>
      <x:c r="G234" s="12" t="n">
        <x:f>'全部组合'!Q97/$D234</x:f>
        <x:v>0.654925701706109</x:v>
      </x:c>
      <x:c r="H234" s="12" t="n">
        <x:f>'全部组合'!R97/$D234</x:f>
        <x:v>0.14456063107686662</x:v>
      </x:c>
      <x:c r="I234" s="12" t="n">
        <x:f>'全部组合'!S97/$D234</x:f>
        <x:v>0.022564667033571822</x:v>
      </x:c>
      <x:c r="J234" s="12" t="n">
        <x:f>'全部组合'!T97/$D234</x:f>
        <x:v>0.000550357732526142</x:v>
      </x:c>
      <x:c r="K234" s="12" t="n">
        <x:f>'全部组合'!U97/$D234</x:f>
        <x:v>0.0049532195927352776</x:v>
      </x:c>
      <x:c r="L234" s="12" t="n">
        <x:f>'全部组合'!V97/$D234</x:f>
        <x:v>0.011190607228031554</x:v>
      </x:c>
      <x:c r="M234" s="12" t="n">
        <x:f>'全部组合'!W97/$D234</x:f>
        <x:v>0.026233718583746103</x:v>
      </x:c>
      <x:c r="N234" s="13" t="n">
        <x:f>'全部组合'!X97/$D234</x:f>
        <x:v>0</x:v>
      </x:c>
    </x:row>
    <x:row r="235" ht="23" customHeight="1">
      <x:c r="A235" s="10" t="str">
        <x:v>M4</x:v>
      </x:c>
      <x:c r="B235" s="10" t="str">
        <x:v>NCG_H1_M1</x:v>
      </x:c>
      <x:c r="C235" s="9" t="str">
        <x:v>源三角形</x:v>
      </x:c>
      <x:c r="D235" s="11" t="n">
        <x:f>'全部组合'!I97</x:f>
        <x:v>10553614</x:v>
      </x:c>
      <x:c r="E235" s="12" t="n">
        <x:f>'全部组合'!Y97/$D235</x:f>
        <x:v>0</x:v>
      </x:c>
      <x:c r="F235" s="12" t="n">
        <x:f>'全部组合'!Z97/$D235</x:f>
        <x:v>0.1106130089654596</x:v>
      </x:c>
      <x:c r="G235" s="12" t="n">
        <x:f>'全部组合'!AA97/$D235</x:f>
        <x:v>0.43189205138637815</x:v>
      </x:c>
      <x:c r="H235" s="12" t="n">
        <x:f>'全部组合'!AB97/$D235</x:f>
        <x:v>0.2277889829967251</x:v>
      </x:c>
      <x:c r="I235" s="12" t="n">
        <x:f>'全部组合'!AC97/$D235</x:f>
        <x:v>0.03192593551365437</x:v>
      </x:c>
      <x:c r="J235" s="12" t="n">
        <x:f>'全部组合'!AD97/$D235</x:f>
        <x:v>0.0003558970415253012</x:v>
      </x:c>
      <x:c r="K235" s="12" t="n">
        <x:f>'全部组合'!AE97/$D235</x:f>
        <x:v>0.006743945723237556</x:v>
      </x:c>
      <x:c r="L235" s="12" t="n">
        <x:f>'全部组合'!AF97/$D235</x:f>
        <x:v>0.10665862897771322</x:v>
      </x:c>
      <x:c r="M235" s="12" t="n">
        <x:f>'全部组合'!AG97/$D235</x:f>
        <x:v>0.08402154939530666</x:v>
      </x:c>
      <x:c r="N235" s="13" t="n">
        <x:f>'全部组合'!AH97/$D235</x:f>
        <x:v>0</x:v>
      </x:c>
    </x:row>
    <x:row r="236" ht="23" customHeight="1">
      <x:c r="A236" s="10" t="str">
        <x:v>M5</x:v>
      </x:c>
      <x:c r="B236" s="10" t="str">
        <x:v>N_H0</x:v>
      </x:c>
      <x:c r="C236" s="9" t="str">
        <x:v>节点</x:v>
      </x:c>
      <x:c r="D236" s="11" t="n">
        <x:f>'全部组合'!D98</x:f>
        <x:v>1747</x:v>
      </x:c>
      <x:c r="E236" s="12" t="n">
        <x:f>'全部组合'!O98/$D236</x:f>
        <x:v>0</x:v>
      </x:c>
      <x:c r="F236" s="12" t="n">
        <x:f>'全部组合'!P98/$D236</x:f>
        <x:v>0.10589582140812821</x:v>
      </x:c>
      <x:c r="G236" s="12" t="n">
        <x:f>'全部组合'!Q98/$D236</x:f>
        <x:v>0.03205495134516314</x:v>
      </x:c>
      <x:c r="H236" s="12" t="n">
        <x:f>'全部组合'!R98/$D236</x:f>
        <x:v>0</x:v>
      </x:c>
      <x:c r="I236" s="12" t="n">
        <x:f>'全部组合'!S98/$D236</x:f>
        <x:v>0.7687464224384659</x:v>
      </x:c>
      <x:c r="J236" s="12" t="n">
        <x:f>'全部组合'!T98/$D236</x:f>
        <x:v>0</x:v>
      </x:c>
      <x:c r="K236" s="12" t="n">
        <x:f>'全部组合'!U98/$D236</x:f>
        <x:v>0.031482541499713794</x:v>
      </x:c>
      <x:c r="L236" s="12" t="n">
        <x:f>'全部组合'!V98/$D236</x:f>
        <x:v>0.018889524899828276</x:v>
      </x:c>
      <x:c r="M236" s="12" t="n">
        <x:f>'全部组合'!W98/$D236</x:f>
        <x:v>0.04293073840870063</x:v>
      </x:c>
      <x:c r="N236" s="13" t="n">
        <x:f>'全部组合'!X98/$D236</x:f>
        <x:v>0</x:v>
      </x:c>
    </x:row>
    <x:row r="237" ht="23" customHeight="1">
      <x:c r="A237" s="10" t="str">
        <x:v>M5</x:v>
      </x:c>
      <x:c r="B237" s="10" t="str">
        <x:v>N_H0</x:v>
      </x:c>
      <x:c r="C237" s="9" t="str">
        <x:v>源三角形</x:v>
      </x:c>
      <x:c r="D237" s="11" t="n">
        <x:f>'全部组合'!I98</x:f>
        <x:v>11760345</x:v>
      </x:c>
      <x:c r="E237" s="12" t="n">
        <x:f>'全部组合'!Y98/$D237</x:f>
        <x:v>0</x:v>
      </x:c>
      <x:c r="F237" s="12" t="n">
        <x:f>'全部组合'!Z98/$D237</x:f>
        <x:v>0.039370613702234075</x:v>
      </x:c>
      <x:c r="G237" s="12" t="n">
        <x:f>'全部组合'!AA98/$D237</x:f>
        <x:v>0.009804814399577564</x:v>
      </x:c>
      <x:c r="H237" s="12" t="n">
        <x:f>'全部组合'!AB98/$D237</x:f>
        <x:v>0</x:v>
      </x:c>
      <x:c r="I237" s="12" t="n">
        <x:f>'全部组合'!AC98/$D237</x:f>
        <x:v>0.7323396550016177</x:v>
      </x:c>
      <x:c r="J237" s="12" t="n">
        <x:f>'全部组合'!AD98/$D237</x:f>
        <x:v>0</x:v>
      </x:c>
      <x:c r="K237" s="12" t="n">
        <x:f>'全部组合'!AE98/$D237</x:f>
        <x:v>0.031450607954103385</x:v>
      </x:c>
      <x:c r="L237" s="12" t="n">
        <x:f>'全部组合'!AF98/$D237</x:f>
        <x:v>0.06750125102622415</x:v>
      </x:c>
      <x:c r="M237" s="12" t="n">
        <x:f>'全部组合'!AG98/$D237</x:f>
        <x:v>0.11953305791624311</x:v>
      </x:c>
      <x:c r="N237" s="13" t="n">
        <x:f>'全部组合'!AH98/$D237</x:f>
        <x:v>0</x:v>
      </x:c>
    </x:row>
    <x:row r="238" ht="23" customHeight="1">
      <x:c r="A238" s="10" t="str">
        <x:v>M5</x:v>
      </x:c>
      <x:c r="B238" s="10" t="str">
        <x:v>N_HT</x:v>
      </x:c>
      <x:c r="C238" s="9" t="str">
        <x:v>节点</x:v>
      </x:c>
      <x:c r="D238" s="11" t="n">
        <x:f>'全部组合'!D99</x:f>
        <x:v>1747</x:v>
      </x:c>
      <x:c r="E238" s="12" t="n">
        <x:f>'全部组合'!O99/$D238</x:f>
        <x:v>0</x:v>
      </x:c>
      <x:c r="F238" s="12" t="n">
        <x:f>'全部组合'!P99/$D238</x:f>
        <x:v>0.10589582140812821</x:v>
      </x:c>
      <x:c r="G238" s="12" t="n">
        <x:f>'全部组合'!Q99/$D238</x:f>
        <x:v>0.03205495134516314</x:v>
      </x:c>
      <x:c r="H238" s="12" t="n">
        <x:f>'全部组合'!R99/$D238</x:f>
        <x:v>0</x:v>
      </x:c>
      <x:c r="I238" s="12" t="n">
        <x:f>'全部组合'!S99/$D238</x:f>
        <x:v>0.7687464224384659</x:v>
      </x:c>
      <x:c r="J238" s="12" t="n">
        <x:f>'全部组合'!T99/$D238</x:f>
        <x:v>0</x:v>
      </x:c>
      <x:c r="K238" s="12" t="n">
        <x:f>'全部组合'!U99/$D238</x:f>
        <x:v>0.031482541499713794</x:v>
      </x:c>
      <x:c r="L238" s="12" t="n">
        <x:f>'全部组合'!V99/$D238</x:f>
        <x:v>0.018889524899828276</x:v>
      </x:c>
      <x:c r="M238" s="12" t="n">
        <x:f>'全部组合'!W99/$D238</x:f>
        <x:v>0.04293073840870063</x:v>
      </x:c>
      <x:c r="N238" s="13" t="n">
        <x:f>'全部组合'!X99/$D238</x:f>
        <x:v>0</x:v>
      </x:c>
    </x:row>
    <x:row r="239" ht="23" customHeight="1">
      <x:c r="A239" s="10" t="str">
        <x:v>M5</x:v>
      </x:c>
      <x:c r="B239" s="10" t="str">
        <x:v>N_HT</x:v>
      </x:c>
      <x:c r="C239" s="9" t="str">
        <x:v>源三角形</x:v>
      </x:c>
      <x:c r="D239" s="11" t="n">
        <x:f>'全部组合'!I99</x:f>
        <x:v>11760345</x:v>
      </x:c>
      <x:c r="E239" s="12" t="n">
        <x:f>'全部组合'!Y99/$D239</x:f>
        <x:v>0</x:v>
      </x:c>
      <x:c r="F239" s="12" t="n">
        <x:f>'全部组合'!Z99/$D239</x:f>
        <x:v>0.039370613702234075</x:v>
      </x:c>
      <x:c r="G239" s="12" t="n">
        <x:f>'全部组合'!AA99/$D239</x:f>
        <x:v>0.009804814399577564</x:v>
      </x:c>
      <x:c r="H239" s="12" t="n">
        <x:f>'全部组合'!AB99/$D239</x:f>
        <x:v>0</x:v>
      </x:c>
      <x:c r="I239" s="12" t="n">
        <x:f>'全部组合'!AC99/$D239</x:f>
        <x:v>0.7323396550016177</x:v>
      </x:c>
      <x:c r="J239" s="12" t="n">
        <x:f>'全部组合'!AD99/$D239</x:f>
        <x:v>0</x:v>
      </x:c>
      <x:c r="K239" s="12" t="n">
        <x:f>'全部组合'!AE99/$D239</x:f>
        <x:v>0.031450607954103385</x:v>
      </x:c>
      <x:c r="L239" s="12" t="n">
        <x:f>'全部组合'!AF99/$D239</x:f>
        <x:v>0.06750125102622415</x:v>
      </x:c>
      <x:c r="M239" s="12" t="n">
        <x:f>'全部组合'!AG99/$D239</x:f>
        <x:v>0.11953305791624311</x:v>
      </x:c>
      <x:c r="N239" s="13" t="n">
        <x:f>'全部组合'!AH99/$D239</x:f>
        <x:v>0</x:v>
      </x:c>
    </x:row>
    <x:row r="240" ht="23" customHeight="1">
      <x:c r="A240" s="10" t="str">
        <x:v>M5</x:v>
      </x:c>
      <x:c r="B240" s="10" t="str">
        <x:v>N_H1</x:v>
      </x:c>
      <x:c r="C240" s="9" t="str">
        <x:v>节点</x:v>
      </x:c>
      <x:c r="D240" s="11" t="n">
        <x:f>'全部组合'!D100</x:f>
        <x:v>1747</x:v>
      </x:c>
      <x:c r="E240" s="12" t="n">
        <x:f>'全部组合'!O100/$D240</x:f>
        <x:v>0</x:v>
      </x:c>
      <x:c r="F240" s="12" t="n">
        <x:f>'全部组合'!P100/$D240</x:f>
        <x:v>0.10589582140812821</x:v>
      </x:c>
      <x:c r="G240" s="12" t="n">
        <x:f>'全部组合'!Q100/$D240</x:f>
        <x:v>0.012593016599885518</x:v>
      </x:c>
      <x:c r="H240" s="12" t="n">
        <x:f>'全部组合'!R100/$D240</x:f>
        <x:v>0</x:v>
      </x:c>
      <x:c r="I240" s="12" t="n">
        <x:f>'全部组合'!S100/$D240</x:f>
        <x:v>0.7687464224384659</x:v>
      </x:c>
      <x:c r="J240" s="12" t="n">
        <x:f>'全部组合'!T100/$D240</x:f>
        <x:v>0.019461934745277618</x:v>
      </x:c>
      <x:c r="K240" s="12" t="n">
        <x:f>'全部组合'!U100/$D240</x:f>
        <x:v>0.031482541499713794</x:v>
      </x:c>
      <x:c r="L240" s="12" t="n">
        <x:f>'全部组合'!V100/$D240</x:f>
        <x:v>0.018889524899828276</x:v>
      </x:c>
      <x:c r="M240" s="12" t="n">
        <x:f>'全部组合'!W100/$D240</x:f>
        <x:v>0.04293073840870063</x:v>
      </x:c>
      <x:c r="N240" s="13" t="n">
        <x:f>'全部组合'!X100/$D240</x:f>
        <x:v>0</x:v>
      </x:c>
    </x:row>
    <x:row r="241" ht="23" customHeight="1">
      <x:c r="A241" s="10" t="str">
        <x:v>M5</x:v>
      </x:c>
      <x:c r="B241" s="10" t="str">
        <x:v>N_H1</x:v>
      </x:c>
      <x:c r="C241" s="9" t="str">
        <x:v>源三角形</x:v>
      </x:c>
      <x:c r="D241" s="11" t="n">
        <x:f>'全部组合'!I100</x:f>
        <x:v>11760345</x:v>
      </x:c>
      <x:c r="E241" s="12" t="n">
        <x:f>'全部组合'!Y100/$D241</x:f>
        <x:v>0</x:v>
      </x:c>
      <x:c r="F241" s="12" t="n">
        <x:f>'全部组合'!Z100/$D241</x:f>
        <x:v>0.039370613702234075</x:v>
      </x:c>
      <x:c r="G241" s="12" t="n">
        <x:f>'全部组合'!AA100/$D241</x:f>
        <x:v>0.002007764228005216</x:v>
      </x:c>
      <x:c r="H241" s="12" t="n">
        <x:f>'全部组合'!AB100/$D241</x:f>
        <x:v>0</x:v>
      </x:c>
      <x:c r="I241" s="12" t="n">
        <x:f>'全部组合'!AC100/$D241</x:f>
        <x:v>0.7323396550016177</x:v>
      </x:c>
      <x:c r="J241" s="12" t="n">
        <x:f>'全部组合'!AD100/$D241</x:f>
        <x:v>0.007797050171572347</x:v>
      </x:c>
      <x:c r="K241" s="12" t="n">
        <x:f>'全部组合'!AE100/$D241</x:f>
        <x:v>0.031450607954103385</x:v>
      </x:c>
      <x:c r="L241" s="12" t="n">
        <x:f>'全部组合'!AF100/$D241</x:f>
        <x:v>0.06750125102622415</x:v>
      </x:c>
      <x:c r="M241" s="12" t="n">
        <x:f>'全部组合'!AG100/$D241</x:f>
        <x:v>0.11953305791624311</x:v>
      </x:c>
      <x:c r="N241" s="13" t="n">
        <x:f>'全部组合'!AH100/$D241</x:f>
        <x:v>0</x:v>
      </x:c>
    </x:row>
    <x:row r="242" ht="23" customHeight="1">
      <x:c r="A242" s="10" t="str">
        <x:v>M5</x:v>
      </x:c>
      <x:c r="B242" s="10" t="str">
        <x:v>C_H0</x:v>
      </x:c>
      <x:c r="C242" s="9" t="str">
        <x:v>节点</x:v>
      </x:c>
      <x:c r="D242" s="11" t="n">
        <x:f>'全部组合'!D101</x:f>
        <x:v>1747</x:v>
      </x:c>
      <x:c r="E242" s="12" t="n">
        <x:f>'全部组合'!O101/$D242</x:f>
        <x:v>0</x:v>
      </x:c>
      <x:c r="F242" s="12" t="n">
        <x:f>'全部组合'!P101/$D242</x:f>
        <x:v>0.28334287349742415</x:v>
      </x:c>
      <x:c r="G242" s="12" t="n">
        <x:f>'全部组合'!Q101/$D242</x:f>
        <x:v>0</x:v>
      </x:c>
      <x:c r="H242" s="12" t="n">
        <x:f>'全部组合'!R101/$D242</x:f>
        <x:v>0</x:v>
      </x:c>
      <x:c r="I242" s="12" t="n">
        <x:f>'全部组合'!S101/$D242</x:f>
        <x:v>0.7166571265025758</x:v>
      </x:c>
      <x:c r="J242" s="12" t="n">
        <x:f>'全部组合'!T101/$D242</x:f>
        <x:v>0</x:v>
      </x:c>
      <x:c r="K242" s="12" t="n">
        <x:f>'全部组合'!U101/$D242</x:f>
        <x:v>0</x:v>
      </x:c>
      <x:c r="L242" s="12" t="n">
        <x:f>'全部组合'!V101/$D242</x:f>
        <x:v>0</x:v>
      </x:c>
      <x:c r="M242" s="12" t="n">
        <x:f>'全部组合'!W101/$D242</x:f>
        <x:v>0</x:v>
      </x:c>
      <x:c r="N242" s="13" t="n">
        <x:f>'全部组合'!X101/$D242</x:f>
        <x:v>0</x:v>
      </x:c>
    </x:row>
    <x:row r="243" ht="23" customHeight="1">
      <x:c r="A243" s="10" t="str">
        <x:v>M5</x:v>
      </x:c>
      <x:c r="B243" s="10" t="str">
        <x:v>C_H0</x:v>
      </x:c>
      <x:c r="C243" s="9" t="str">
        <x:v>源三角形</x:v>
      </x:c>
      <x:c r="D243" s="11" t="n">
        <x:f>'全部组合'!I101</x:f>
        <x:v>11760345</x:v>
      </x:c>
      <x:c r="E243" s="12" t="n">
        <x:f>'全部组合'!Y101/$D243</x:f>
        <x:v>0</x:v>
      </x:c>
      <x:c r="F243" s="12" t="n">
        <x:f>'全部组合'!Z101/$D243</x:f>
        <x:v>0.10664772164422047</x:v>
      </x:c>
      <x:c r="G243" s="12" t="n">
        <x:f>'全部组合'!AA101/$D243</x:f>
        <x:v>0</x:v>
      </x:c>
      <x:c r="H243" s="12" t="n">
        <x:f>'全部组合'!AB101/$D243</x:f>
        <x:v>0</x:v>
      </x:c>
      <x:c r="I243" s="12" t="n">
        <x:f>'全部组合'!AC101/$D243</x:f>
        <x:v>0.8933522783557796</x:v>
      </x:c>
      <x:c r="J243" s="12" t="n">
        <x:f>'全部组合'!AD101/$D243</x:f>
        <x:v>0</x:v>
      </x:c>
      <x:c r="K243" s="12" t="n">
        <x:f>'全部组合'!AE101/$D243</x:f>
        <x:v>0</x:v>
      </x:c>
      <x:c r="L243" s="12" t="n">
        <x:f>'全部组合'!AF101/$D243</x:f>
        <x:v>0</x:v>
      </x:c>
      <x:c r="M243" s="12" t="n">
        <x:f>'全部组合'!AG101/$D243</x:f>
        <x:v>0</x:v>
      </x:c>
      <x:c r="N243" s="13" t="n">
        <x:f>'全部组合'!AH101/$D243</x:f>
        <x:v>0</x:v>
      </x:c>
    </x:row>
    <x:row r="244" ht="23" customHeight="1">
      <x:c r="A244" s="10" t="str">
        <x:v>M5</x:v>
      </x:c>
      <x:c r="B244" s="10" t="str">
        <x:v>C_HT</x:v>
      </x:c>
      <x:c r="C244" s="9" t="str">
        <x:v>节点</x:v>
      </x:c>
      <x:c r="D244" s="11" t="n">
        <x:f>'全部组合'!D102</x:f>
        <x:v>1747</x:v>
      </x:c>
      <x:c r="E244" s="12" t="n">
        <x:f>'全部组合'!O102/$D244</x:f>
        <x:v>0</x:v>
      </x:c>
      <x:c r="F244" s="12" t="n">
        <x:f>'全部组合'!P102/$D244</x:f>
        <x:v>0.28334287349742415</x:v>
      </x:c>
      <x:c r="G244" s="12" t="n">
        <x:f>'全部组合'!Q102/$D244</x:f>
        <x:v>0</x:v>
      </x:c>
      <x:c r="H244" s="12" t="n">
        <x:f>'全部组合'!R102/$D244</x:f>
        <x:v>0</x:v>
      </x:c>
      <x:c r="I244" s="12" t="n">
        <x:f>'全部组合'!S102/$D244</x:f>
        <x:v>0.7166571265025758</x:v>
      </x:c>
      <x:c r="J244" s="12" t="n">
        <x:f>'全部组合'!T102/$D244</x:f>
        <x:v>0</x:v>
      </x:c>
      <x:c r="K244" s="12" t="n">
        <x:f>'全部组合'!U102/$D244</x:f>
        <x:v>0</x:v>
      </x:c>
      <x:c r="L244" s="12" t="n">
        <x:f>'全部组合'!V102/$D244</x:f>
        <x:v>0</x:v>
      </x:c>
      <x:c r="M244" s="12" t="n">
        <x:f>'全部组合'!W102/$D244</x:f>
        <x:v>0</x:v>
      </x:c>
      <x:c r="N244" s="13" t="n">
        <x:f>'全部组合'!X102/$D244</x:f>
        <x:v>0</x:v>
      </x:c>
    </x:row>
    <x:row r="245" ht="23" customHeight="1">
      <x:c r="A245" s="10" t="str">
        <x:v>M5</x:v>
      </x:c>
      <x:c r="B245" s="10" t="str">
        <x:v>C_HT</x:v>
      </x:c>
      <x:c r="C245" s="9" t="str">
        <x:v>源三角形</x:v>
      </x:c>
      <x:c r="D245" s="11" t="n">
        <x:f>'全部组合'!I102</x:f>
        <x:v>11760345</x:v>
      </x:c>
      <x:c r="E245" s="12" t="n">
        <x:f>'全部组合'!Y102/$D245</x:f>
        <x:v>0</x:v>
      </x:c>
      <x:c r="F245" s="12" t="n">
        <x:f>'全部组合'!Z102/$D245</x:f>
        <x:v>0.10664772164422047</x:v>
      </x:c>
      <x:c r="G245" s="12" t="n">
        <x:f>'全部组合'!AA102/$D245</x:f>
        <x:v>0</x:v>
      </x:c>
      <x:c r="H245" s="12" t="n">
        <x:f>'全部组合'!AB102/$D245</x:f>
        <x:v>0</x:v>
      </x:c>
      <x:c r="I245" s="12" t="n">
        <x:f>'全部组合'!AC102/$D245</x:f>
        <x:v>0.8933522783557796</x:v>
      </x:c>
      <x:c r="J245" s="12" t="n">
        <x:f>'全部组合'!AD102/$D245</x:f>
        <x:v>0</x:v>
      </x:c>
      <x:c r="K245" s="12" t="n">
        <x:f>'全部组合'!AE102/$D245</x:f>
        <x:v>0</x:v>
      </x:c>
      <x:c r="L245" s="12" t="n">
        <x:f>'全部组合'!AF102/$D245</x:f>
        <x:v>0</x:v>
      </x:c>
      <x:c r="M245" s="12" t="n">
        <x:f>'全部组合'!AG102/$D245</x:f>
        <x:v>0</x:v>
      </x:c>
      <x:c r="N245" s="13" t="n">
        <x:f>'全部组合'!AH102/$D245</x:f>
        <x:v>0</x:v>
      </x:c>
    </x:row>
    <x:row r="246" ht="23" customHeight="1">
      <x:c r="A246" s="10" t="str">
        <x:v>M5</x:v>
      </x:c>
      <x:c r="B246" s="10" t="str">
        <x:v>C_H1</x:v>
      </x:c>
      <x:c r="C246" s="9" t="str">
        <x:v>节点</x:v>
      </x:c>
      <x:c r="D246" s="11" t="n">
        <x:f>'全部组合'!D103</x:f>
        <x:v>1747</x:v>
      </x:c>
      <x:c r="E246" s="12" t="n">
        <x:f>'全部组合'!O103/$D246</x:f>
        <x:v>0</x:v>
      </x:c>
      <x:c r="F246" s="12" t="n">
        <x:f>'全部组合'!P103/$D246</x:f>
        <x:v>0.28105323411562677</x:v>
      </x:c>
      <x:c r="G246" s="12" t="n">
        <x:f>'全部组合'!Q103/$D246</x:f>
        <x:v>0</x:v>
      </x:c>
      <x:c r="H246" s="12" t="n">
        <x:f>'全部组合'!R103/$D246</x:f>
        <x:v>0</x:v>
      </x:c>
      <x:c r="I246" s="12" t="n">
        <x:f>'全部组合'!S103/$D246</x:f>
        <x:v>0.7166571265025758</x:v>
      </x:c>
      <x:c r="J246" s="12" t="n">
        <x:f>'全部组合'!T103/$D246</x:f>
        <x:v>0</x:v>
      </x:c>
      <x:c r="K246" s="12" t="n">
        <x:f>'全部组合'!U103/$D246</x:f>
        <x:v>0.0022896393817973667</x:v>
      </x:c>
      <x:c r="L246" s="12" t="n">
        <x:f>'全部组合'!V103/$D246</x:f>
        <x:v>0</x:v>
      </x:c>
      <x:c r="M246" s="12" t="n">
        <x:f>'全部组合'!W103/$D246</x:f>
        <x:v>0</x:v>
      </x:c>
      <x:c r="N246" s="13" t="n">
        <x:f>'全部组合'!X103/$D246</x:f>
        <x:v>0</x:v>
      </x:c>
    </x:row>
    <x:row r="247" ht="23" customHeight="1">
      <x:c r="A247" s="10" t="str">
        <x:v>M5</x:v>
      </x:c>
      <x:c r="B247" s="10" t="str">
        <x:v>C_H1</x:v>
      </x:c>
      <x:c r="C247" s="9" t="str">
        <x:v>源三角形</x:v>
      </x:c>
      <x:c r="D247" s="11" t="n">
        <x:f>'全部组合'!I103</x:f>
        <x:v>11760345</x:v>
      </x:c>
      <x:c r="E247" s="12" t="n">
        <x:f>'全部组合'!Y103/$D247</x:f>
        <x:v>0</x:v>
      </x:c>
      <x:c r="F247" s="12" t="n">
        <x:f>'全部组合'!Z103/$D247</x:f>
        <x:v>0.10619297308029654</x:v>
      </x:c>
      <x:c r="G247" s="12" t="n">
        <x:f>'全部组合'!AA103/$D247</x:f>
        <x:v>0</x:v>
      </x:c>
      <x:c r="H247" s="12" t="n">
        <x:f>'全部组合'!AB103/$D247</x:f>
        <x:v>0</x:v>
      </x:c>
      <x:c r="I247" s="12" t="n">
        <x:f>'全部组合'!AC103/$D247</x:f>
        <x:v>0.8933522783557796</x:v>
      </x:c>
      <x:c r="J247" s="12" t="n">
        <x:f>'全部组合'!AD103/$D247</x:f>
        <x:v>0</x:v>
      </x:c>
      <x:c r="K247" s="12" t="n">
        <x:f>'全部组合'!AE103/$D247</x:f>
        <x:v>0.0004547485639239325</x:v>
      </x:c>
      <x:c r="L247" s="12" t="n">
        <x:f>'全部组合'!AF103/$D247</x:f>
        <x:v>0</x:v>
      </x:c>
      <x:c r="M247" s="12" t="n">
        <x:f>'全部组合'!AG103/$D247</x:f>
        <x:v>0</x:v>
      </x:c>
      <x:c r="N247" s="13" t="n">
        <x:f>'全部组合'!AH103/$D247</x:f>
        <x:v>0</x:v>
      </x:c>
    </x:row>
    <x:row r="248" ht="23" customHeight="1">
      <x:c r="A248" s="10" t="str">
        <x:v>M5</x:v>
      </x:c>
      <x:c r="B248" s="10" t="str">
        <x:v>G_H0</x:v>
      </x:c>
      <x:c r="C248" s="9" t="str">
        <x:v>节点</x:v>
      </x:c>
      <x:c r="D248" s="11" t="n">
        <x:f>'全部组合'!D104</x:f>
        <x:v>1747</x:v>
      </x:c>
      <x:c r="E248" s="12" t="n">
        <x:f>'全部组合'!O104/$D248</x:f>
        <x:v>0</x:v>
      </x:c>
      <x:c r="F248" s="12" t="n">
        <x:f>'全部组合'!P104/$D248</x:f>
        <x:v>0.1327990841442473</x:v>
      </x:c>
      <x:c r="G248" s="12" t="n">
        <x:f>'全部组合'!Q104/$D248</x:f>
        <x:v>0.5546651402404121</x:v>
      </x:c>
      <x:c r="H248" s="12" t="n">
        <x:f>'全部组合'!R104/$D248</x:f>
        <x:v>0.20778477389811104</x:v>
      </x:c>
      <x:c r="I248" s="12" t="n">
        <x:f>'全部组合'!S104/$D248</x:f>
        <x:v>0.10131654264453349</x:v>
      </x:c>
      <x:c r="J248" s="12" t="n">
        <x:f>'全部组合'!T104/$D248</x:f>
        <x:v>0.0034344590726960505</x:v>
      </x:c>
      <x:c r="K248" s="12" t="n">
        <x:f>'全部组合'!U104/$D248</x:f>
        <x:v>0</x:v>
      </x:c>
      <x:c r="L248" s="12" t="n">
        <x:f>'全部组合'!V104/$D248</x:f>
        <x:v>0</x:v>
      </x:c>
      <x:c r="M248" s="12" t="n">
        <x:f>'全部组合'!W104/$D248</x:f>
        <x:v>0</x:v>
      </x:c>
      <x:c r="N248" s="13" t="n">
        <x:f>'全部组合'!X104/$D248</x:f>
        <x:v>0</x:v>
      </x:c>
    </x:row>
    <x:row r="249" ht="23" customHeight="1">
      <x:c r="A249" s="10" t="str">
        <x:v>M5</x:v>
      </x:c>
      <x:c r="B249" s="10" t="str">
        <x:v>G_H0</x:v>
      </x:c>
      <x:c r="C249" s="9" t="str">
        <x:v>源三角形</x:v>
      </x:c>
      <x:c r="D249" s="11" t="n">
        <x:f>'全部组合'!I104</x:f>
        <x:v>11760345</x:v>
      </x:c>
      <x:c r="E249" s="12" t="n">
        <x:f>'全部组合'!Y104/$D249</x:f>
        <x:v>0</x:v>
      </x:c>
      <x:c r="F249" s="12" t="n">
        <x:f>'全部组合'!Z104/$D249</x:f>
        <x:v>0.041313073723602496</x:v>
      </x:c>
      <x:c r="G249" s="12" t="n">
        <x:f>'全部组合'!AA104/$D249</x:f>
        <x:v>0.38088542470480247</x:v>
      </x:c>
      <x:c r="H249" s="12" t="n">
        <x:f>'全部组合'!AB104/$D249</x:f>
        <x:v>0.20894659127772186</x:v>
      </x:c>
      <x:c r="I249" s="12" t="n">
        <x:f>'全部组合'!AC104/$D249</x:f>
        <x:v>0.3681086736826173</x:v>
      </x:c>
      <x:c r="J249" s="12" t="n">
        <x:f>'全部组合'!AD104/$D249</x:f>
        <x:v>0.0007462366112558772</x:v>
      </x:c>
      <x:c r="K249" s="12" t="n">
        <x:f>'全部组合'!AE104/$D249</x:f>
        <x:v>0</x:v>
      </x:c>
      <x:c r="L249" s="12" t="n">
        <x:f>'全部组合'!AF104/$D249</x:f>
        <x:v>0</x:v>
      </x:c>
      <x:c r="M249" s="12" t="n">
        <x:f>'全部组合'!AG104/$D249</x:f>
        <x:v>0</x:v>
      </x:c>
      <x:c r="N249" s="13" t="n">
        <x:f>'全部组合'!AH104/$D249</x:f>
        <x:v>0</x:v>
      </x:c>
    </x:row>
    <x:row r="250" ht="23" customHeight="1">
      <x:c r="A250" s="10" t="str">
        <x:v>M5</x:v>
      </x:c>
      <x:c r="B250" s="10" t="str">
        <x:v>G_HT</x:v>
      </x:c>
      <x:c r="C250" s="9" t="str">
        <x:v>节点</x:v>
      </x:c>
      <x:c r="D250" s="11" t="n">
        <x:f>'全部组合'!D105</x:f>
        <x:v>1747</x:v>
      </x:c>
      <x:c r="E250" s="12" t="n">
        <x:f>'全部组合'!O105/$D250</x:f>
        <x:v>0</x:v>
      </x:c>
      <x:c r="F250" s="12" t="n">
        <x:f>'全部组合'!P105/$D250</x:f>
        <x:v>0.11276473955352032</x:v>
      </x:c>
      <x:c r="G250" s="12" t="n">
        <x:f>'全部组合'!Q105/$D250</x:f>
        <x:v>0.5329135661133372</x:v>
      </x:c>
      <x:c r="H250" s="12" t="n">
        <x:f>'全部组合'!R105/$D250</x:f>
        <x:v>0.24384659416141957</x:v>
      </x:c>
      <x:c r="I250" s="12" t="n">
        <x:f>'全部组合'!S105/$D250</x:f>
        <x:v>0.1070406410990269</x:v>
      </x:c>
      <x:c r="J250" s="12" t="n">
        <x:f>'全部组合'!T105/$D250</x:f>
        <x:v>0.0034344590726960505</x:v>
      </x:c>
      <x:c r="K250" s="12" t="n">
        <x:f>'全部组合'!U105/$D250</x:f>
        <x:v>0</x:v>
      </x:c>
      <x:c r="L250" s="12" t="n">
        <x:f>'全部组合'!V105/$D250</x:f>
        <x:v>0</x:v>
      </x:c>
      <x:c r="M250" s="12" t="n">
        <x:f>'全部组合'!W105/$D250</x:f>
        <x:v>0</x:v>
      </x:c>
      <x:c r="N250" s="13" t="n">
        <x:f>'全部组合'!X105/$D250</x:f>
        <x:v>0</x:v>
      </x:c>
    </x:row>
    <x:row r="251" ht="23" customHeight="1">
      <x:c r="A251" s="10" t="str">
        <x:v>M5</x:v>
      </x:c>
      <x:c r="B251" s="10" t="str">
        <x:v>G_HT</x:v>
      </x:c>
      <x:c r="C251" s="9" t="str">
        <x:v>源三角形</x:v>
      </x:c>
      <x:c r="D251" s="11" t="n">
        <x:f>'全部组合'!I105</x:f>
        <x:v>11760345</x:v>
      </x:c>
      <x:c r="E251" s="12" t="n">
        <x:f>'全部组合'!Y105/$D251</x:f>
        <x:v>0</x:v>
      </x:c>
      <x:c r="F251" s="12" t="n">
        <x:f>'全部组合'!Z105/$D251</x:f>
        <x:v>0.02149001581161097</x:v>
      </x:c>
      <x:c r="G251" s="12" t="n">
        <x:f>'全部组合'!AA105/$D251</x:f>
        <x:v>0.3861862896028986</x:v>
      </x:c>
      <x:c r="H251" s="12" t="n">
        <x:f>'全部组合'!AB105/$D251</x:f>
        <x:v>0.21881841051431739</x:v>
      </x:c>
      <x:c r="I251" s="12" t="n">
        <x:f>'全部组合'!AC105/$D251</x:f>
        <x:v>0.3727590474599172</x:v>
      </x:c>
      <x:c r="J251" s="12" t="n">
        <x:f>'全部组合'!AD105/$D251</x:f>
        <x:v>0.0007462366112558772</x:v>
      </x:c>
      <x:c r="K251" s="12" t="n">
        <x:f>'全部组合'!AE105/$D251</x:f>
        <x:v>0</x:v>
      </x:c>
      <x:c r="L251" s="12" t="n">
        <x:f>'全部组合'!AF105/$D251</x:f>
        <x:v>0</x:v>
      </x:c>
      <x:c r="M251" s="12" t="n">
        <x:f>'全部组合'!AG105/$D251</x:f>
        <x:v>0</x:v>
      </x:c>
      <x:c r="N251" s="13" t="n">
        <x:f>'全部组合'!AH105/$D251</x:f>
        <x:v>0</x:v>
      </x:c>
    </x:row>
    <x:row r="252" ht="23" customHeight="1">
      <x:c r="A252" s="10" t="str">
        <x:v>M5</x:v>
      </x:c>
      <x:c r="B252" s="10" t="str">
        <x:v>G_H1</x:v>
      </x:c>
      <x:c r="C252" s="9" t="str">
        <x:v>节点</x:v>
      </x:c>
      <x:c r="D252" s="11" t="n">
        <x:f>'全部组合'!D106</x:f>
        <x:v>1747</x:v>
      </x:c>
      <x:c r="E252" s="12" t="n">
        <x:f>'全部组合'!O106/$D252</x:f>
        <x:v>0</x:v>
      </x:c>
      <x:c r="F252" s="12" t="n">
        <x:f>'全部组合'!P106/$D252</x:f>
        <x:v>0.11276473955352032</x:v>
      </x:c>
      <x:c r="G252" s="12" t="n">
        <x:f>'全部组合'!Q106/$D252</x:f>
        <x:v>0.5329135661133372</x:v>
      </x:c>
      <x:c r="H252" s="12" t="n">
        <x:f>'全部组合'!R106/$D252</x:f>
        <x:v>0.24384659416141957</x:v>
      </x:c>
      <x:c r="I252" s="12" t="n">
        <x:f>'全部组合'!S106/$D252</x:f>
        <x:v>0.1070406410990269</x:v>
      </x:c>
      <x:c r="J252" s="12" t="n">
        <x:f>'全部组合'!T106/$D252</x:f>
        <x:v>0.0034344590726960505</x:v>
      </x:c>
      <x:c r="K252" s="12" t="n">
        <x:f>'全部组合'!U106/$D252</x:f>
        <x:v>0</x:v>
      </x:c>
      <x:c r="L252" s="12" t="n">
        <x:f>'全部组合'!V106/$D252</x:f>
        <x:v>0</x:v>
      </x:c>
      <x:c r="M252" s="12" t="n">
        <x:f>'全部组合'!W106/$D252</x:f>
        <x:v>0</x:v>
      </x:c>
      <x:c r="N252" s="13" t="n">
        <x:f>'全部组合'!X106/$D252</x:f>
        <x:v>0</x:v>
      </x:c>
    </x:row>
    <x:row r="253" ht="23" customHeight="1">
      <x:c r="A253" s="10" t="str">
        <x:v>M5</x:v>
      </x:c>
      <x:c r="B253" s="10" t="str">
        <x:v>G_H1</x:v>
      </x:c>
      <x:c r="C253" s="9" t="str">
        <x:v>源三角形</x:v>
      </x:c>
      <x:c r="D253" s="11" t="n">
        <x:f>'全部组合'!I106</x:f>
        <x:v>11760345</x:v>
      </x:c>
      <x:c r="E253" s="12" t="n">
        <x:f>'全部组合'!Y106/$D253</x:f>
        <x:v>0</x:v>
      </x:c>
      <x:c r="F253" s="12" t="n">
        <x:f>'全部组合'!Z106/$D253</x:f>
        <x:v>0.02149001581161097</x:v>
      </x:c>
      <x:c r="G253" s="12" t="n">
        <x:f>'全部组合'!AA106/$D253</x:f>
        <x:v>0.3861862896028986</x:v>
      </x:c>
      <x:c r="H253" s="12" t="n">
        <x:f>'全部组合'!AB106/$D253</x:f>
        <x:v>0.21881841051431739</x:v>
      </x:c>
      <x:c r="I253" s="12" t="n">
        <x:f>'全部组合'!AC106/$D253</x:f>
        <x:v>0.3727590474599172</x:v>
      </x:c>
      <x:c r="J253" s="12" t="n">
        <x:f>'全部组合'!AD106/$D253</x:f>
        <x:v>0.0007462366112558772</x:v>
      </x:c>
      <x:c r="K253" s="12" t="n">
        <x:f>'全部组合'!AE106/$D253</x:f>
        <x:v>0</x:v>
      </x:c>
      <x:c r="L253" s="12" t="n">
        <x:f>'全部组合'!AF106/$D253</x:f>
        <x:v>0</x:v>
      </x:c>
      <x:c r="M253" s="12" t="n">
        <x:f>'全部组合'!AG106/$D253</x:f>
        <x:v>0</x:v>
      </x:c>
      <x:c r="N253" s="13" t="n">
        <x:f>'全部组合'!AH106/$D253</x:f>
        <x:v>0</x:v>
      </x:c>
    </x:row>
    <x:row r="254" ht="23" customHeight="1">
      <x:c r="A254" s="10" t="str">
        <x:v>M5</x:v>
      </x:c>
      <x:c r="B254" s="10" t="str">
        <x:v>NC_H0</x:v>
      </x:c>
      <x:c r="C254" s="9" t="str">
        <x:v>节点</x:v>
      </x:c>
      <x:c r="D254" s="11" t="n">
        <x:f>'全部组合'!D107</x:f>
        <x:v>1747</x:v>
      </x:c>
      <x:c r="E254" s="12" t="n">
        <x:f>'全部组合'!O107/$D254</x:f>
        <x:v>0</x:v>
      </x:c>
      <x:c r="F254" s="12" t="n">
        <x:f>'全部组合'!P107/$D254</x:f>
        <x:v>0.25186033199771035</x:v>
      </x:c>
      <x:c r="G254" s="12" t="n">
        <x:f>'全部组合'!Q107/$D254</x:f>
        <x:v>0.030910131654264452</x:v>
      </x:c>
      <x:c r="H254" s="12" t="n">
        <x:f>'全部组合'!R107/$D254</x:f>
        <x:v>0</x:v>
      </x:c>
      <x:c r="I254" s="12" t="n">
        <x:f>'全部组合'!S107/$D254</x:f>
        <x:v>0.6473955352032055</x:v>
      </x:c>
      <x:c r="J254" s="12" t="n">
        <x:f>'全部组合'!T107/$D254</x:f>
        <x:v>0</x:v>
      </x:c>
      <x:c r="K254" s="12" t="n">
        <x:f>'全部组合'!U107/$D254</x:f>
        <x:v>0.028048082427017746</x:v>
      </x:c>
      <x:c r="L254" s="12" t="n">
        <x:f>'全部组合'!V107/$D254</x:f>
        <x:v>0.018889524899828276</x:v>
      </x:c>
      <x:c r="M254" s="12" t="n">
        <x:f>'全部组合'!W107/$D254</x:f>
        <x:v>0.02289639381797367</x:v>
      </x:c>
      <x:c r="N254" s="13" t="n">
        <x:f>'全部组合'!X107/$D254</x:f>
        <x:v>0</x:v>
      </x:c>
    </x:row>
    <x:row r="255" ht="23" customHeight="1">
      <x:c r="A255" s="10" t="str">
        <x:v>M5</x:v>
      </x:c>
      <x:c r="B255" s="10" t="str">
        <x:v>NC_H0</x:v>
      </x:c>
      <x:c r="C255" s="9" t="str">
        <x:v>源三角形</x:v>
      </x:c>
      <x:c r="D255" s="11" t="n">
        <x:f>'全部组合'!I107</x:f>
        <x:v>11760345</x:v>
      </x:c>
      <x:c r="E255" s="12" t="n">
        <x:f>'全部组合'!Y107/$D255</x:f>
        <x:v>0</x:v>
      </x:c>
      <x:c r="F255" s="12" t="n">
        <x:f>'全部组合'!Z107/$D255</x:f>
        <x:v>0.08853634821087307</x:v>
      </x:c>
      <x:c r="G255" s="12" t="n">
        <x:f>'全部组合'!AA107/$D255</x:f>
        <x:v>0.006164274942614354</x:v>
      </x:c>
      <x:c r="H255" s="12" t="n">
        <x:f>'全部组合'!AB107/$D255</x:f>
        <x:v>0</x:v>
      </x:c>
      <x:c r="I255" s="12" t="n">
        <x:f>'全部组合'!AC107/$D255</x:f>
        <x:v>0.7391532306237615</x:v>
      </x:c>
      <x:c r="J255" s="12" t="n">
        <x:f>'全部组合'!AD107/$D255</x:f>
        <x:v>0</x:v>
      </x:c>
      <x:c r="K255" s="12" t="n">
        <x:f>'全部组合'!AE107/$D255</x:f>
        <x:v>0.030829707801939485</x:v>
      </x:c>
      <x:c r="L255" s="12" t="n">
        <x:f>'全部组合'!AF107/$D255</x:f>
        <x:v>0.06750125102622415</x:v>
      </x:c>
      <x:c r="M255" s="12" t="n">
        <x:f>'全部组合'!AG107/$D255</x:f>
        <x:v>0.06781518739458749</x:v>
      </x:c>
      <x:c r="N255" s="13" t="n">
        <x:f>'全部组合'!AH107/$D255</x:f>
        <x:v>0</x:v>
      </x:c>
    </x:row>
    <x:row r="256" ht="23" customHeight="1">
      <x:c r="A256" s="10" t="str">
        <x:v>M5</x:v>
      </x:c>
      <x:c r="B256" s="10" t="str">
        <x:v>NC_HT</x:v>
      </x:c>
      <x:c r="C256" s="9" t="str">
        <x:v>节点</x:v>
      </x:c>
      <x:c r="D256" s="11" t="n">
        <x:f>'全部组合'!D108</x:f>
        <x:v>1747</x:v>
      </x:c>
      <x:c r="E256" s="12" t="n">
        <x:f>'全部组合'!O108/$D256</x:f>
        <x:v>0</x:v>
      </x:c>
      <x:c r="F256" s="12" t="n">
        <x:f>'全部组合'!P108/$D256</x:f>
        <x:v>0.25186033199771035</x:v>
      </x:c>
      <x:c r="G256" s="12" t="n">
        <x:f>'全部组合'!Q108/$D256</x:f>
        <x:v>0.030910131654264452</x:v>
      </x:c>
      <x:c r="H256" s="12" t="n">
        <x:f>'全部组合'!R108/$D256</x:f>
        <x:v>0</x:v>
      </x:c>
      <x:c r="I256" s="12" t="n">
        <x:f>'全部组合'!S108/$D256</x:f>
        <x:v>0.6473955352032055</x:v>
      </x:c>
      <x:c r="J256" s="12" t="n">
        <x:f>'全部组合'!T108/$D256</x:f>
        <x:v>0</x:v>
      </x:c>
      <x:c r="K256" s="12" t="n">
        <x:f>'全部组合'!U108/$D256</x:f>
        <x:v>0.028048082427017746</x:v>
      </x:c>
      <x:c r="L256" s="12" t="n">
        <x:f>'全部组合'!V108/$D256</x:f>
        <x:v>0.018889524899828276</x:v>
      </x:c>
      <x:c r="M256" s="12" t="n">
        <x:f>'全部组合'!W108/$D256</x:f>
        <x:v>0.02289639381797367</x:v>
      </x:c>
      <x:c r="N256" s="13" t="n">
        <x:f>'全部组合'!X108/$D256</x:f>
        <x:v>0</x:v>
      </x:c>
    </x:row>
    <x:row r="257" ht="23" customHeight="1">
      <x:c r="A257" s="10" t="str">
        <x:v>M5</x:v>
      </x:c>
      <x:c r="B257" s="10" t="str">
        <x:v>NC_HT</x:v>
      </x:c>
      <x:c r="C257" s="9" t="str">
        <x:v>源三角形</x:v>
      </x:c>
      <x:c r="D257" s="11" t="n">
        <x:f>'全部组合'!I108</x:f>
        <x:v>11760345</x:v>
      </x:c>
      <x:c r="E257" s="12" t="n">
        <x:f>'全部组合'!Y108/$D257</x:f>
        <x:v>0</x:v>
      </x:c>
      <x:c r="F257" s="12" t="n">
        <x:f>'全部组合'!Z108/$D257</x:f>
        <x:v>0.08853634821087307</x:v>
      </x:c>
      <x:c r="G257" s="12" t="n">
        <x:f>'全部组合'!AA108/$D257</x:f>
        <x:v>0.006164274942614354</x:v>
      </x:c>
      <x:c r="H257" s="12" t="n">
        <x:f>'全部组合'!AB108/$D257</x:f>
        <x:v>0</x:v>
      </x:c>
      <x:c r="I257" s="12" t="n">
        <x:f>'全部组合'!AC108/$D257</x:f>
        <x:v>0.7391532306237615</x:v>
      </x:c>
      <x:c r="J257" s="12" t="n">
        <x:f>'全部组合'!AD108/$D257</x:f>
        <x:v>0</x:v>
      </x:c>
      <x:c r="K257" s="12" t="n">
        <x:f>'全部组合'!AE108/$D257</x:f>
        <x:v>0.030829707801939485</x:v>
      </x:c>
      <x:c r="L257" s="12" t="n">
        <x:f>'全部组合'!AF108/$D257</x:f>
        <x:v>0.06750125102622415</x:v>
      </x:c>
      <x:c r="M257" s="12" t="n">
        <x:f>'全部组合'!AG108/$D257</x:f>
        <x:v>0.06781518739458749</x:v>
      </x:c>
      <x:c r="N257" s="13" t="n">
        <x:f>'全部组合'!AH108/$D257</x:f>
        <x:v>0</x:v>
      </x:c>
    </x:row>
    <x:row r="258" ht="23" customHeight="1">
      <x:c r="A258" s="10" t="str">
        <x:v>M5</x:v>
      </x:c>
      <x:c r="B258" s="10" t="str">
        <x:v>NC_H1</x:v>
      </x:c>
      <x:c r="C258" s="9" t="str">
        <x:v>节点</x:v>
      </x:c>
      <x:c r="D258" s="11" t="n">
        <x:f>'全部组合'!D109</x:f>
        <x:v>1747</x:v>
      </x:c>
      <x:c r="E258" s="12" t="n">
        <x:f>'全部组合'!O109/$D258</x:f>
        <x:v>0</x:v>
      </x:c>
      <x:c r="F258" s="12" t="n">
        <x:f>'全部组合'!P109/$D258</x:f>
        <x:v>0.2484258729250143</x:v>
      </x:c>
      <x:c r="G258" s="12" t="n">
        <x:f>'全部组合'!Q109/$D258</x:f>
        <x:v>0.012020606754436176</x:v>
      </x:c>
      <x:c r="H258" s="12" t="n">
        <x:f>'全部组合'!R109/$D258</x:f>
        <x:v>0</x:v>
      </x:c>
      <x:c r="I258" s="12" t="n">
        <x:f>'全部组合'!S109/$D258</x:f>
        <x:v>0.6473955352032055</x:v>
      </x:c>
      <x:c r="J258" s="12" t="n">
        <x:f>'全部组合'!T109/$D258</x:f>
        <x:v>0.018889524899828276</x:v>
      </x:c>
      <x:c r="K258" s="12" t="n">
        <x:f>'全部组合'!U109/$D258</x:f>
        <x:v>0.031482541499713794</x:v>
      </x:c>
      <x:c r="L258" s="12" t="n">
        <x:f>'全部组合'!V109/$D258</x:f>
        <x:v>0.018889524899828276</x:v>
      </x:c>
      <x:c r="M258" s="12" t="n">
        <x:f>'全部组合'!W109/$D258</x:f>
        <x:v>0.02289639381797367</x:v>
      </x:c>
      <x:c r="N258" s="13" t="n">
        <x:f>'全部组合'!X109/$D258</x:f>
        <x:v>0</x:v>
      </x:c>
    </x:row>
    <x:row r="259" ht="23" customHeight="1">
      <x:c r="A259" s="10" t="str">
        <x:v>M5</x:v>
      </x:c>
      <x:c r="B259" s="10" t="str">
        <x:v>NC_H1</x:v>
      </x:c>
      <x:c r="C259" s="9" t="str">
        <x:v>源三角形</x:v>
      </x:c>
      <x:c r="D259" s="11" t="n">
        <x:f>'全部组合'!I109</x:f>
        <x:v>11760345</x:v>
      </x:c>
      <x:c r="E259" s="12" t="n">
        <x:f>'全部组合'!Y109/$D259</x:f>
        <x:v>0</x:v>
      </x:c>
      <x:c r="F259" s="12" t="n">
        <x:f>'全部组合'!Z109/$D259</x:f>
        <x:v>0.08783398786345128</x:v>
      </x:c>
      <x:c r="G259" s="12" t="n">
        <x:f>'全部组合'!AA109/$D259</x:f>
        <x:v>0.0019324263021195383</x:v>
      </x:c>
      <x:c r="H259" s="12" t="n">
        <x:f>'全部组合'!AB109/$D259</x:f>
        <x:v>0</x:v>
      </x:c>
      <x:c r="I259" s="12" t="n">
        <x:f>'全部组合'!AC109/$D259</x:f>
        <x:v>0.7391532306237615</x:v>
      </x:c>
      <x:c r="J259" s="12" t="n">
        <x:f>'全部组合'!AD109/$D259</x:f>
        <x:v>0.004231848640494815</x:v>
      </x:c>
      <x:c r="K259" s="12" t="n">
        <x:f>'全部组合'!AE109/$D259</x:f>
        <x:v>0.03153206814936126</x:v>
      </x:c>
      <x:c r="L259" s="12" t="n">
        <x:f>'全部组合'!AF109/$D259</x:f>
        <x:v>0.06750125102622415</x:v>
      </x:c>
      <x:c r="M259" s="12" t="n">
        <x:f>'全部组合'!AG109/$D259</x:f>
        <x:v>0.06781518739458749</x:v>
      </x:c>
      <x:c r="N259" s="13" t="n">
        <x:f>'全部组合'!AH109/$D259</x:f>
        <x:v>0</x:v>
      </x:c>
    </x:row>
    <x:row r="260" ht="23" customHeight="1">
      <x:c r="A260" s="10" t="str">
        <x:v>M5</x:v>
      </x:c>
      <x:c r="B260" s="10" t="str">
        <x:v>NG_H0</x:v>
      </x:c>
      <x:c r="C260" s="9" t="str">
        <x:v>节点</x:v>
      </x:c>
      <x:c r="D260" s="11" t="n">
        <x:f>'全部组合'!D110</x:f>
        <x:v>1747</x:v>
      </x:c>
      <x:c r="E260" s="12" t="n">
        <x:f>'全部组合'!O110/$D260</x:f>
        <x:v>0</x:v>
      </x:c>
      <x:c r="F260" s="12" t="n">
        <x:f>'全部组合'!P110/$D260</x:f>
        <x:v>0.16657126502575845</x:v>
      </x:c>
      <x:c r="G260" s="12" t="n">
        <x:f>'全部组合'!Q110/$D260</x:f>
        <x:v>0.4419004006868918</x:v>
      </x:c>
      <x:c r="H260" s="12" t="n">
        <x:f>'全部组合'!R110/$D260</x:f>
        <x:v>0.19576416714367487</x:v>
      </x:c>
      <x:c r="I260" s="12" t="n">
        <x:f>'全部组合'!S110/$D260</x:f>
        <x:v>0.09902690326273612</x:v>
      </x:c>
      <x:c r="J260" s="12" t="n">
        <x:f>'全部组合'!T110/$D260</x:f>
        <x:v>0.0034344590726960505</x:v>
      </x:c>
      <x:c r="K260" s="12" t="n">
        <x:f>'全部组合'!U110/$D260</x:f>
        <x:v>0.031482541499713794</x:v>
      </x:c>
      <x:c r="L260" s="12" t="n">
        <x:f>'全部组合'!V110/$D260</x:f>
        <x:v>0.018889524899828276</x:v>
      </x:c>
      <x:c r="M260" s="12" t="n">
        <x:f>'全部组合'!W110/$D260</x:f>
        <x:v>0.04178591871780195</x:v>
      </x:c>
      <x:c r="N260" s="13" t="n">
        <x:f>'全部组合'!X110/$D260</x:f>
        <x:v>0.0011448196908986834</x:v>
      </x:c>
    </x:row>
    <x:row r="261" ht="23" customHeight="1">
      <x:c r="A261" s="10" t="str">
        <x:v>M5</x:v>
      </x:c>
      <x:c r="B261" s="10" t="str">
        <x:v>NG_H0</x:v>
      </x:c>
      <x:c r="C261" s="9" t="str">
        <x:v>源三角形</x:v>
      </x:c>
      <x:c r="D261" s="11" t="n">
        <x:f>'全部组合'!I110</x:f>
        <x:v>11760345</x:v>
      </x:c>
      <x:c r="E261" s="12" t="n">
        <x:f>'全部组合'!Y110/$D261</x:f>
        <x:v>0</x:v>
      </x:c>
      <x:c r="F261" s="12" t="n">
        <x:f>'全部组合'!Z110/$D261</x:f>
        <x:v>0.02785054350021194</x:v>
      </x:c>
      <x:c r="G261" s="12" t="n">
        <x:f>'全部组合'!AA110/$D261</x:f>
        <x:v>0.256476829548793</x:v>
      </x:c>
      <x:c r="H261" s="12" t="n">
        <x:f>'全部组合'!AB110/$D261</x:f>
        <x:v>0.1773808506468135</x:v>
      </x:c>
      <x:c r="I261" s="12" t="n">
        <x:f>'全部组合'!AC110/$D261</x:f>
        <x:v>0.31906062279635505</x:v>
      </x:c>
      <x:c r="J261" s="12" t="n">
        <x:f>'全部组合'!AD110/$D261</x:f>
        <x:v>0.0007462366112558772</x:v>
      </x:c>
      <x:c r="K261" s="12" t="n">
        <x:f>'全部组合'!AE110/$D261</x:f>
        <x:v>0.031450607954103385</x:v>
      </x:c>
      <x:c r="L261" s="12" t="n">
        <x:f>'全部组合'!AF110/$D261</x:f>
        <x:v>0.06750125102622415</x:v>
      </x:c>
      <x:c r="M261" s="12" t="n">
        <x:f>'全部组合'!AG110/$D261</x:f>
        <x:v>0.11814721421863049</x:v>
      </x:c>
      <x:c r="N261" s="13" t="n">
        <x:f>'全部组合'!AH110/$D261</x:f>
        <x:v>0.0013858436976126125</x:v>
      </x:c>
    </x:row>
    <x:row r="262" ht="23" customHeight="1">
      <x:c r="A262" s="10" t="str">
        <x:v>M5</x:v>
      </x:c>
      <x:c r="B262" s="10" t="str">
        <x:v>NG_HT</x:v>
      </x:c>
      <x:c r="C262" s="9" t="str">
        <x:v>节点</x:v>
      </x:c>
      <x:c r="D262" s="11" t="n">
        <x:f>'全部组合'!D111</x:f>
        <x:v>1747</x:v>
      </x:c>
      <x:c r="E262" s="12" t="n">
        <x:f>'全部组合'!O111/$D262</x:f>
        <x:v>0</x:v>
      </x:c>
      <x:c r="F262" s="12" t="n">
        <x:f>'全部组合'!P111/$D262</x:f>
        <x:v>0.15455065827132228</x:v>
      </x:c>
      <x:c r="G262" s="12" t="n">
        <x:f>'全部组合'!Q111/$D262</x:f>
        <x:v>0.41442472810532344</x:v>
      </x:c>
      <x:c r="H262" s="12" t="n">
        <x:f>'全部组合'!R111/$D262</x:f>
        <x:v>0.22953634802518602</x:v>
      </x:c>
      <x:c r="I262" s="12" t="n">
        <x:f>'全部组合'!S111/$D262</x:f>
        <x:v>0.10475100171722954</x:v>
      </x:c>
      <x:c r="J262" s="12" t="n">
        <x:f>'全部组合'!T111/$D262</x:f>
        <x:v>0.0034344590726960505</x:v>
      </x:c>
      <x:c r="K262" s="12" t="n">
        <x:f>'全部组合'!U111/$D262</x:f>
        <x:v>0.031482541499713794</x:v>
      </x:c>
      <x:c r="L262" s="12" t="n">
        <x:f>'全部组合'!V111/$D262</x:f>
        <x:v>0.018889524899828276</x:v>
      </x:c>
      <x:c r="M262" s="12" t="n">
        <x:f>'全部组合'!W111/$D262</x:f>
        <x:v>0.04178591871780195</x:v>
      </x:c>
      <x:c r="N262" s="13" t="n">
        <x:f>'全部组合'!X111/$D262</x:f>
        <x:v>0.0011448196908986834</x:v>
      </x:c>
    </x:row>
    <x:row r="263" ht="23" customHeight="1">
      <x:c r="A263" s="10" t="str">
        <x:v>M5</x:v>
      </x:c>
      <x:c r="B263" s="10" t="str">
        <x:v>NG_HT</x:v>
      </x:c>
      <x:c r="C263" s="9" t="str">
        <x:v>源三角形</x:v>
      </x:c>
      <x:c r="D263" s="11" t="n">
        <x:f>'全部组合'!I111</x:f>
        <x:v>11760345</x:v>
      </x:c>
      <x:c r="E263" s="12" t="n">
        <x:f>'全部组合'!Y111/$D263</x:f>
        <x:v>0</x:v>
      </x:c>
      <x:c r="F263" s="12" t="n">
        <x:f>'全部组合'!Z111/$D263</x:f>
        <x:v>0.02650687543605226</x:v>
      </x:c>
      <x:c r="G263" s="12" t="n">
        <x:f>'全部组合'!AA111/$D263</x:f>
        <x:v>0.24424827672997687</x:v>
      </x:c>
      <x:c r="H263" s="12" t="n">
        <x:f>'全部组合'!AB111/$D263</x:f>
        <x:v>0.1863026977524894</x:v>
      </x:c>
      <x:c r="I263" s="12" t="n">
        <x:f>'全部组合'!AC111/$D263</x:f>
        <x:v>0.32371099657365493</x:v>
      </x:c>
      <x:c r="J263" s="12" t="n">
        <x:f>'全部组合'!AD111/$D263</x:f>
        <x:v>0.0007462366112558772</x:v>
      </x:c>
      <x:c r="K263" s="12" t="n">
        <x:f>'全部组合'!AE111/$D263</x:f>
        <x:v>0.031450607954103385</x:v>
      </x:c>
      <x:c r="L263" s="12" t="n">
        <x:f>'全部组合'!AF111/$D263</x:f>
        <x:v>0.06750125102622415</x:v>
      </x:c>
      <x:c r="M263" s="12" t="n">
        <x:f>'全部组合'!AG111/$D263</x:f>
        <x:v>0.11814721421863049</x:v>
      </x:c>
      <x:c r="N263" s="13" t="n">
        <x:f>'全部组合'!AH111/$D263</x:f>
        <x:v>0.0013858436976126125</x:v>
      </x:c>
    </x:row>
    <x:row r="264" ht="23" customHeight="1">
      <x:c r="A264" s="10" t="str">
        <x:v>M5</x:v>
      </x:c>
      <x:c r="B264" s="10" t="str">
        <x:v>NG_H1</x:v>
      </x:c>
      <x:c r="C264" s="9" t="str">
        <x:v>节点</x:v>
      </x:c>
      <x:c r="D264" s="11" t="n">
        <x:f>'全部组合'!D112</x:f>
        <x:v>1747</x:v>
      </x:c>
      <x:c r="E264" s="12" t="n">
        <x:f>'全部组合'!O112/$D264</x:f>
        <x:v>0</x:v>
      </x:c>
      <x:c r="F264" s="12" t="n">
        <x:f>'全部组合'!P112/$D264</x:f>
        <x:v>0.15455065827132228</x:v>
      </x:c>
      <x:c r="G264" s="12" t="n">
        <x:f>'全部组合'!Q112/$D264</x:f>
        <x:v>0.3955352032054951</x:v>
      </x:c>
      <x:c r="H264" s="12" t="n">
        <x:f>'全部组合'!R112/$D264</x:f>
        <x:v>0.22953634802518602</x:v>
      </x:c>
      <x:c r="I264" s="12" t="n">
        <x:f>'全部组合'!S112/$D264</x:f>
        <x:v>0.10417859187178019</x:v>
      </x:c>
      <x:c r="J264" s="12" t="n">
        <x:f>'全部组合'!T112/$D264</x:f>
        <x:v>0.02289639381797367</x:v>
      </x:c>
      <x:c r="K264" s="12" t="n">
        <x:f>'全部组合'!U112/$D264</x:f>
        <x:v>0.031482541499713794</x:v>
      </x:c>
      <x:c r="L264" s="12" t="n">
        <x:f>'全部组合'!V112/$D264</x:f>
        <x:v>0.018889524899828276</x:v>
      </x:c>
      <x:c r="M264" s="12" t="n">
        <x:f>'全部组合'!W112/$D264</x:f>
        <x:v>0.04178591871780195</x:v>
      </x:c>
      <x:c r="N264" s="13" t="n">
        <x:f>'全部组合'!X112/$D264</x:f>
        <x:v>0.0011448196908986834</x:v>
      </x:c>
    </x:row>
    <x:row r="265" ht="23" customHeight="1">
      <x:c r="A265" s="10" t="str">
        <x:v>M5</x:v>
      </x:c>
      <x:c r="B265" s="10" t="str">
        <x:v>NG_H1</x:v>
      </x:c>
      <x:c r="C265" s="9" t="str">
        <x:v>源三角形</x:v>
      </x:c>
      <x:c r="D265" s="11" t="n">
        <x:f>'全部组合'!I112</x:f>
        <x:v>11760345</x:v>
      </x:c>
      <x:c r="E265" s="12" t="n">
        <x:f>'全部组合'!Y112/$D265</x:f>
        <x:v>0</x:v>
      </x:c>
      <x:c r="F265" s="12" t="n">
        <x:f>'全部组合'!Z112/$D265</x:f>
        <x:v>0.02650687543605226</x:v>
      </x:c>
      <x:c r="G265" s="12" t="n">
        <x:f>'全部组合'!AA112/$D265</x:f>
        <x:v>0.24001642808948206</x:v>
      </x:c>
      <x:c r="H265" s="12" t="n">
        <x:f>'全部组合'!AB112/$D265</x:f>
        <x:v>0.1863026977524894</x:v>
      </x:c>
      <x:c r="I265" s="12" t="n">
        <x:f>'全部组合'!AC112/$D265</x:f>
        <x:v>0.3201457950425774</x:v>
      </x:c>
      <x:c r="J265" s="12" t="n">
        <x:f>'全部组合'!AD112/$D265</x:f>
        <x:v>0.008543286782828225</x:v>
      </x:c>
      <x:c r="K265" s="12" t="n">
        <x:f>'全部组合'!AE112/$D265</x:f>
        <x:v>0.031450607954103385</x:v>
      </x:c>
      <x:c r="L265" s="12" t="n">
        <x:f>'全部组合'!AF112/$D265</x:f>
        <x:v>0.06750125102622415</x:v>
      </x:c>
      <x:c r="M265" s="12" t="n">
        <x:f>'全部组合'!AG112/$D265</x:f>
        <x:v>0.11814721421863049</x:v>
      </x:c>
      <x:c r="N265" s="13" t="n">
        <x:f>'全部组合'!AH112/$D265</x:f>
        <x:v>0.0013858436976126125</x:v>
      </x:c>
    </x:row>
    <x:row r="266" ht="23" customHeight="1">
      <x:c r="A266" s="10" t="str">
        <x:v>M5</x:v>
      </x:c>
      <x:c r="B266" s="10" t="str">
        <x:v>CG_H0</x:v>
      </x:c>
      <x:c r="C266" s="9" t="str">
        <x:v>节点</x:v>
      </x:c>
      <x:c r="D266" s="11" t="n">
        <x:f>'全部组合'!D113</x:f>
        <x:v>1747</x:v>
      </x:c>
      <x:c r="E266" s="12" t="n">
        <x:f>'全部组合'!O113/$D266</x:f>
        <x:v>0.0034344590726960505</x:v>
      </x:c>
      <x:c r="F266" s="12" t="n">
        <x:f>'全部组合'!P113/$D266</x:f>
        <x:v>0.22552947910704063</x:v>
      </x:c>
      <x:c r="G266" s="12" t="n">
        <x:f>'全部组合'!Q113/$D266</x:f>
        <x:v>0.47910704064109905</x:v>
      </x:c>
      <x:c r="H266" s="12" t="n">
        <x:f>'全部组合'!R113/$D266</x:f>
        <x:v>0.18717801946193474</x:v>
      </x:c>
      <x:c r="I266" s="12" t="n">
        <x:f>'全部组合'!S113/$D266</x:f>
        <x:v>0.10131654264453349</x:v>
      </x:c>
      <x:c r="J266" s="12" t="n">
        <x:f>'全部组合'!T113/$D266</x:f>
        <x:v>0.0034344590726960505</x:v>
      </x:c>
      <x:c r="K266" s="12" t="n">
        <x:f>'全部组合'!U113/$D266</x:f>
        <x:v>0</x:v>
      </x:c>
      <x:c r="L266" s="12" t="n">
        <x:f>'全部组合'!V113/$D266</x:f>
        <x:v>0</x:v>
      </x:c>
      <x:c r="M266" s="12" t="n">
        <x:f>'全部组合'!W113/$D266</x:f>
        <x:v>0</x:v>
      </x:c>
      <x:c r="N266" s="13" t="n">
        <x:f>'全部组合'!X113/$D266</x:f>
        <x:v>0</x:v>
      </x:c>
    </x:row>
    <x:row r="267" ht="23" customHeight="1">
      <x:c r="A267" s="10" t="str">
        <x:v>M5</x:v>
      </x:c>
      <x:c r="B267" s="10" t="str">
        <x:v>CG_H0</x:v>
      </x:c>
      <x:c r="C267" s="9" t="str">
        <x:v>源三角形</x:v>
      </x:c>
      <x:c r="D267" s="11" t="n">
        <x:f>'全部组合'!I113</x:f>
        <x:v>11760345</x:v>
      </x:c>
      <x:c r="E267" s="12" t="n">
        <x:f>'全部组合'!Y113/$D267</x:f>
        <x:v>0.0002183609409417836</x:v>
      </x:c>
      <x:c r="F267" s="12" t="n">
        <x:f>'全部组合'!Z113/$D267</x:f>
        <x:v>0.05253944505879717</x:v>
      </x:c>
      <x:c r="G267" s="12" t="n">
        <x:f>'全部组合'!AA113/$D267</x:f>
        <x:v>0.37849484857799665</x:v>
      </x:c>
      <x:c r="H267" s="12" t="n">
        <x:f>'全部组合'!AB113/$D267</x:f>
        <x:v>0.19989243512839122</x:v>
      </x:c>
      <x:c r="I267" s="12" t="n">
        <x:f>'全部组合'!AC113/$D267</x:f>
        <x:v>0.3681086736826173</x:v>
      </x:c>
      <x:c r="J267" s="12" t="n">
        <x:f>'全部组合'!AD113/$D267</x:f>
        <x:v>0.0007462366112558772</x:v>
      </x:c>
      <x:c r="K267" s="12" t="n">
        <x:f>'全部组合'!AE113/$D267</x:f>
        <x:v>0</x:v>
      </x:c>
      <x:c r="L267" s="12" t="n">
        <x:f>'全部组合'!AF113/$D267</x:f>
        <x:v>0</x:v>
      </x:c>
      <x:c r="M267" s="12" t="n">
        <x:f>'全部组合'!AG113/$D267</x:f>
        <x:v>0</x:v>
      </x:c>
      <x:c r="N267" s="13" t="n">
        <x:f>'全部组合'!AH113/$D267</x:f>
        <x:v>0</x:v>
      </x:c>
    </x:row>
    <x:row r="268" ht="23" customHeight="1">
      <x:c r="A268" s="10" t="str">
        <x:v>M5</x:v>
      </x:c>
      <x:c r="B268" s="10" t="str">
        <x:v>CG_HT</x:v>
      </x:c>
      <x:c r="C268" s="9" t="str">
        <x:v>节点</x:v>
      </x:c>
      <x:c r="D268" s="11" t="n">
        <x:f>'全部组合'!D114</x:f>
        <x:v>1747</x:v>
      </x:c>
      <x:c r="E268" s="12" t="n">
        <x:f>'全部组合'!O114/$D268</x:f>
        <x:v>0.0034344590726960505</x:v>
      </x:c>
      <x:c r="F268" s="12" t="n">
        <x:f>'全部组合'!P114/$D268</x:f>
        <x:v>0.1991986262163709</x:v>
      </x:c>
      <x:c r="G268" s="12" t="n">
        <x:f>'全部组合'!Q114/$D268</x:f>
        <x:v>0.4733829421866056</x:v>
      </x:c>
      <x:c r="H268" s="12" t="n">
        <x:f>'全部组合'!R114/$D268</x:f>
        <x:v>0.21350887235260446</x:v>
      </x:c>
      <x:c r="I268" s="12" t="n">
        <x:f>'全部组合'!S114/$D268</x:f>
        <x:v>0.1070406410990269</x:v>
      </x:c>
      <x:c r="J268" s="12" t="n">
        <x:f>'全部组合'!T114/$D268</x:f>
        <x:v>0.0034344590726960505</x:v>
      </x:c>
      <x:c r="K268" s="12" t="n">
        <x:f>'全部组合'!U114/$D268</x:f>
        <x:v>0</x:v>
      </x:c>
      <x:c r="L268" s="12" t="n">
        <x:f>'全部组合'!V114/$D268</x:f>
        <x:v>0</x:v>
      </x:c>
      <x:c r="M268" s="12" t="n">
        <x:f>'全部组合'!W114/$D268</x:f>
        <x:v>0</x:v>
      </x:c>
      <x:c r="N268" s="13" t="n">
        <x:f>'全部组合'!X114/$D268</x:f>
        <x:v>0</x:v>
      </x:c>
    </x:row>
    <x:row r="269" ht="23" customHeight="1">
      <x:c r="A269" s="10" t="str">
        <x:v>M5</x:v>
      </x:c>
      <x:c r="B269" s="10" t="str">
        <x:v>CG_HT</x:v>
      </x:c>
      <x:c r="C269" s="9" t="str">
        <x:v>源三角形</x:v>
      </x:c>
      <x:c r="D269" s="11" t="n">
        <x:f>'全部组合'!I114</x:f>
        <x:v>11760345</x:v>
      </x:c>
      <x:c r="E269" s="12" t="n">
        <x:f>'全部组合'!Y114/$D269</x:f>
        <x:v>0.0002183609409417836</x:v>
      </x:c>
      <x:c r="F269" s="12" t="n">
        <x:f>'全部组合'!Z114/$D269</x:f>
        <x:v>0.03217966819850948</x:v>
      </x:c>
      <x:c r="G269" s="12" t="n">
        <x:f>'全部组合'!AA114/$D269</x:f>
        <x:v>0.3853977072951516</x:v>
      </x:c>
      <x:c r="H269" s="12" t="n">
        <x:f>'全部组合'!AB114/$D269</x:f>
        <x:v>0.20869897949422403</x:v>
      </x:c>
      <x:c r="I269" s="12" t="n">
        <x:f>'全部组合'!AC114/$D269</x:f>
        <x:v>0.3727590474599172</x:v>
      </x:c>
      <x:c r="J269" s="12" t="n">
        <x:f>'全部组合'!AD114/$D269</x:f>
        <x:v>0.0007462366112558772</x:v>
      </x:c>
      <x:c r="K269" s="12" t="n">
        <x:f>'全部组合'!AE114/$D269</x:f>
        <x:v>0</x:v>
      </x:c>
      <x:c r="L269" s="12" t="n">
        <x:f>'全部组合'!AF114/$D269</x:f>
        <x:v>0</x:v>
      </x:c>
      <x:c r="M269" s="12" t="n">
        <x:f>'全部组合'!AG114/$D269</x:f>
        <x:v>0</x:v>
      </x:c>
      <x:c r="N269" s="13" t="n">
        <x:f>'全部组合'!AH114/$D269</x:f>
        <x:v>0</x:v>
      </x:c>
    </x:row>
    <x:row r="270" ht="23" customHeight="1">
      <x:c r="A270" s="10" t="str">
        <x:v>M5</x:v>
      </x:c>
      <x:c r="B270" s="10" t="str">
        <x:v>CG_H1</x:v>
      </x:c>
      <x:c r="C270" s="9" t="str">
        <x:v>节点</x:v>
      </x:c>
      <x:c r="D270" s="11" t="n">
        <x:f>'全部组合'!D115</x:f>
        <x:v>1747</x:v>
      </x:c>
      <x:c r="E270" s="12" t="n">
        <x:f>'全部组合'!O115/$D270</x:f>
        <x:v>0.0034344590726960505</x:v>
      </x:c>
      <x:c r="F270" s="12" t="n">
        <x:f>'全部组合'!P115/$D270</x:f>
        <x:v>0.19805380652547225</x:v>
      </x:c>
      <x:c r="G270" s="12" t="n">
        <x:f>'全部组合'!Q115/$D270</x:f>
        <x:v>0.4733829421866056</x:v>
      </x:c>
      <x:c r="H270" s="12" t="n">
        <x:f>'全部组合'!R115/$D270</x:f>
        <x:v>0.21236405266170577</x:v>
      </x:c>
      <x:c r="I270" s="12" t="n">
        <x:f>'全部组合'!S115/$D270</x:f>
        <x:v>0.1070406410990269</x:v>
      </x:c>
      <x:c r="J270" s="12" t="n">
        <x:f>'全部组合'!T115/$D270</x:f>
        <x:v>0.0034344590726960505</x:v>
      </x:c>
      <x:c r="K270" s="12" t="n">
        <x:f>'全部组合'!U115/$D270</x:f>
        <x:v>0.0022896393817973667</x:v>
      </x:c>
      <x:c r="L270" s="12" t="n">
        <x:f>'全部组合'!V115/$D270</x:f>
        <x:v>0</x:v>
      </x:c>
      <x:c r="M270" s="12" t="n">
        <x:f>'全部组合'!W115/$D270</x:f>
        <x:v>0</x:v>
      </x:c>
      <x:c r="N270" s="13" t="n">
        <x:f>'全部组合'!X115/$D270</x:f>
        <x:v>0</x:v>
      </x:c>
    </x:row>
    <x:row r="271" ht="23" customHeight="1">
      <x:c r="A271" s="10" t="str">
        <x:v>M5</x:v>
      </x:c>
      <x:c r="B271" s="10" t="str">
        <x:v>CG_H1</x:v>
      </x:c>
      <x:c r="C271" s="9" t="str">
        <x:v>源三角形</x:v>
      </x:c>
      <x:c r="D271" s="11" t="n">
        <x:f>'全部组合'!I115</x:f>
        <x:v>11760345</x:v>
      </x:c>
      <x:c r="E271" s="12" t="n">
        <x:f>'全部组合'!Y115/$D271</x:f>
        <x:v>0.0002183609409417836</x:v>
      </x:c>
      <x:c r="F271" s="12" t="n">
        <x:f>'全部组合'!Z115/$D271</x:f>
        <x:v>0.03206674634120003</x:v>
      </x:c>
      <x:c r="G271" s="12" t="n">
        <x:f>'全部组合'!AA115/$D271</x:f>
        <x:v>0.3853977072951516</x:v>
      </x:c>
      <x:c r="H271" s="12" t="n">
        <x:f>'全部组合'!AB115/$D271</x:f>
        <x:v>0.20835715278760955</x:v>
      </x:c>
      <x:c r="I271" s="12" t="n">
        <x:f>'全部组合'!AC115/$D271</x:f>
        <x:v>0.3727590474599172</x:v>
      </x:c>
      <x:c r="J271" s="12" t="n">
        <x:f>'全部组合'!AD115/$D271</x:f>
        <x:v>0.0007462366112558772</x:v>
      </x:c>
      <x:c r="K271" s="12" t="n">
        <x:f>'全部组合'!AE115/$D271</x:f>
        <x:v>0.0004547485639239325</x:v>
      </x:c>
      <x:c r="L271" s="12" t="n">
        <x:f>'全部组合'!AF115/$D271</x:f>
        <x:v>0</x:v>
      </x:c>
      <x:c r="M271" s="12" t="n">
        <x:f>'全部组合'!AG115/$D271</x:f>
        <x:v>0</x:v>
      </x:c>
      <x:c r="N271" s="13" t="n">
        <x:f>'全部组合'!AH115/$D271</x:f>
        <x:v>0</x:v>
      </x:c>
    </x:row>
    <x:row r="272" ht="23" customHeight="1">
      <x:c r="A272" s="10" t="str">
        <x:v>M5</x:v>
      </x:c>
      <x:c r="B272" s="10" t="str">
        <x:v>NCG_H0</x:v>
      </x:c>
      <x:c r="C272" s="9" t="str">
        <x:v>节点</x:v>
      </x:c>
      <x:c r="D272" s="11" t="n">
        <x:f>'全部组合'!D116</x:f>
        <x:v>1747</x:v>
      </x:c>
      <x:c r="E272" s="12" t="n">
        <x:f>'全部组合'!O116/$D272</x:f>
        <x:v>0.0011448196908986834</x:v>
      </x:c>
      <x:c r="F272" s="12" t="n">
        <x:f>'全部组合'!P116/$D272</x:f>
        <x:v>0.17229536348025187</x:v>
      </x:c>
      <x:c r="G272" s="12" t="n">
        <x:f>'全部组合'!Q116/$D272</x:f>
        <x:v>0.4253005151688609</x:v>
      </x:c>
      <x:c r="H272" s="12" t="n">
        <x:f>'全部组合'!R116/$D272</x:f>
        <x:v>0.2192329708070979</x:v>
      </x:c>
      <x:c r="I272" s="12" t="n">
        <x:f>'全部组合'!S116/$D272</x:f>
        <x:v>0.10761305094447625</x:v>
      </x:c>
      <x:c r="J272" s="12" t="n">
        <x:f>'全部组合'!T116/$D272</x:f>
        <x:v>0.0045792787635947334</x:v>
      </x:c>
      <x:c r="K272" s="12" t="n">
        <x:f>'全部组合'!U116/$D272</x:f>
        <x:v>0.028048082427017746</x:v>
      </x:c>
      <x:c r="L272" s="12" t="n">
        <x:f>'全部组合'!V116/$D272</x:f>
        <x:v>0.018889524899828276</x:v>
      </x:c>
      <x:c r="M272" s="12" t="n">
        <x:f>'全部组合'!W116/$D272</x:f>
        <x:v>0.02289639381797367</x:v>
      </x:c>
      <x:c r="N272" s="13" t="n">
        <x:f>'全部组合'!X116/$D272</x:f>
        <x:v>0</x:v>
      </x:c>
    </x:row>
    <x:row r="273" ht="23" customHeight="1">
      <x:c r="A273" s="10" t="str">
        <x:v>M5</x:v>
      </x:c>
      <x:c r="B273" s="10" t="str">
        <x:v>NCG_H0</x:v>
      </x:c>
      <x:c r="C273" s="9" t="str">
        <x:v>源三角形</x:v>
      </x:c>
      <x:c r="D273" s="11" t="n">
        <x:f>'全部组合'!I116</x:f>
        <x:v>11760345</x:v>
      </x:c>
      <x:c r="E273" s="12" t="n">
        <x:f>'全部组合'!Y116/$D273</x:f>
        <x:v>0.00007278698031392787</x:v>
      </x:c>
      <x:c r="F273" s="12" t="n">
        <x:f>'全部组合'!Z116/$D273</x:f>
        <x:v>0.04531363663225866</x:v>
      </x:c>
      <x:c r="G273" s="12" t="n">
        <x:f>'全部组合'!AA116/$D273</x:f>
        <x:v>0.2725435350748639</x:v>
      </x:c>
      <x:c r="H273" s="12" t="n">
        <x:f>'全部组合'!AB116/$D273</x:f>
        <x:v>0.18526038139187243</x:v>
      </x:c>
      <x:c r="I273" s="12" t="n">
        <x:f>'全部组合'!AC116/$D273</x:f>
        <x:v>0.32985435376258093</x:v>
      </x:c>
      <x:c r="J273" s="12" t="n">
        <x:f>'全部组合'!AD116/$D273</x:f>
        <x:v>0.0008091599353590392</x:v>
      </x:c>
      <x:c r="K273" s="12" t="n">
        <x:f>'全部组合'!AE116/$D273</x:f>
        <x:v>0.030829707801939485</x:v>
      </x:c>
      <x:c r="L273" s="12" t="n">
        <x:f>'全部组合'!AF116/$D273</x:f>
        <x:v>0.06750125102622415</x:v>
      </x:c>
      <x:c r="M273" s="12" t="n">
        <x:f>'全部组合'!AG116/$D273</x:f>
        <x:v>0.06781518739458749</x:v>
      </x:c>
      <x:c r="N273" s="13" t="n">
        <x:f>'全部组合'!AH116/$D273</x:f>
        <x:v>0</x:v>
      </x:c>
    </x:row>
    <x:row r="274" ht="23" customHeight="1">
      <x:c r="A274" s="10" t="str">
        <x:v>M5</x:v>
      </x:c>
      <x:c r="B274" s="10" t="str">
        <x:v>NCG_HT</x:v>
      </x:c>
      <x:c r="C274" s="9" t="str">
        <x:v>节点</x:v>
      </x:c>
      <x:c r="D274" s="11" t="n">
        <x:f>'全部组合'!D117</x:f>
        <x:v>1747</x:v>
      </x:c>
      <x:c r="E274" s="12" t="n">
        <x:f>'全部组合'!O117/$D274</x:f>
        <x:v>0.0011448196908986834</x:v>
      </x:c>
      <x:c r="F274" s="12" t="n">
        <x:f>'全部组合'!P117/$D274</x:f>
        <x:v>0.14882655981682885</x:v>
      </x:c>
      <x:c r="G274" s="12" t="n">
        <x:f>'全部组合'!Q117/$D274</x:f>
        <x:v>0.41556954779622207</x:v>
      </x:c>
      <x:c r="H274" s="12" t="n">
        <x:f>'全部组合'!R117/$D274</x:f>
        <x:v>0.24899828277046365</x:v>
      </x:c>
      <x:c r="I274" s="12" t="n">
        <x:f>'全部组合'!S117/$D274</x:f>
        <x:v>0.1110475100171723</x:v>
      </x:c>
      <x:c r="J274" s="12" t="n">
        <x:f>'全部组合'!T117/$D274</x:f>
        <x:v>0.0045792787635947334</x:v>
      </x:c>
      <x:c r="K274" s="12" t="n">
        <x:f>'全部组合'!U117/$D274</x:f>
        <x:v>0.028048082427017746</x:v>
      </x:c>
      <x:c r="L274" s="12" t="n">
        <x:f>'全部组合'!V117/$D274</x:f>
        <x:v>0.018889524899828276</x:v>
      </x:c>
      <x:c r="M274" s="12" t="n">
        <x:f>'全部组合'!W117/$D274</x:f>
        <x:v>0.02289639381797367</x:v>
      </x:c>
      <x:c r="N274" s="13" t="n">
        <x:f>'全部组合'!X117/$D274</x:f>
        <x:v>0</x:v>
      </x:c>
    </x:row>
    <x:row r="275" ht="23" customHeight="1">
      <x:c r="A275" s="10" t="str">
        <x:v>M5</x:v>
      </x:c>
      <x:c r="B275" s="10" t="str">
        <x:v>NCG_HT</x:v>
      </x:c>
      <x:c r="C275" s="9" t="str">
        <x:v>源三角形</x:v>
      </x:c>
      <x:c r="D275" s="11" t="n">
        <x:f>'全部组合'!I117</x:f>
        <x:v>11760345</x:v>
      </x:c>
      <x:c r="E275" s="12" t="n">
        <x:f>'全部组合'!Y117/$D275</x:f>
        <x:v>0.00007278698031392787</x:v>
      </x:c>
      <x:c r="F275" s="12" t="n">
        <x:f>'全部组合'!Z117/$D275</x:f>
        <x:v>0.025231742776253587</x:v>
      </x:c>
      <x:c r="G275" s="12" t="n">
        <x:f>'全部组合'!AA117/$D275</x:f>
        <x:v>0.2803016408107075</x:v>
      </x:c>
      <x:c r="H275" s="12" t="n">
        <x:f>'全部组合'!AB117/$D275</x:f>
        <x:v>0.19297733187249183</x:v>
      </x:c>
      <x:c r="I275" s="12" t="n">
        <x:f>'全部组合'!AC117/$D275</x:f>
        <x:v>0.334461191402123</x:v>
      </x:c>
      <x:c r="J275" s="12" t="n">
        <x:f>'全部组合'!AD117/$D275</x:f>
        <x:v>0.0008091599353590392</x:v>
      </x:c>
      <x:c r="K275" s="12" t="n">
        <x:f>'全部组合'!AE117/$D275</x:f>
        <x:v>0.030829707801939485</x:v>
      </x:c>
      <x:c r="L275" s="12" t="n">
        <x:f>'全部组合'!AF117/$D275</x:f>
        <x:v>0.06750125102622415</x:v>
      </x:c>
      <x:c r="M275" s="12" t="n">
        <x:f>'全部组合'!AG117/$D275</x:f>
        <x:v>0.06781518739458749</x:v>
      </x:c>
      <x:c r="N275" s="13" t="n">
        <x:f>'全部组合'!AH117/$D275</x:f>
        <x:v>0</x:v>
      </x:c>
    </x:row>
    <x:row r="276" ht="23" customHeight="1">
      <x:c r="A276" s="10" t="str">
        <x:v>M5</x:v>
      </x:c>
      <x:c r="B276" s="10" t="str">
        <x:v>NCG_H1</x:v>
      </x:c>
      <x:c r="C276" s="9" t="str">
        <x:v>节点</x:v>
      </x:c>
      <x:c r="D276" s="11" t="n">
        <x:f>'全部组合'!D118</x:f>
        <x:v>1747</x:v>
      </x:c>
      <x:c r="E276" s="12" t="n">
        <x:f>'全部组合'!O118/$D276</x:f>
        <x:v>0.0011448196908986834</x:v>
      </x:c>
      <x:c r="F276" s="12" t="n">
        <x:f>'全部组合'!P118/$D276</x:f>
        <x:v>0.14653692043503147</x:v>
      </x:c>
      <x:c r="G276" s="12" t="n">
        <x:f>'全部组合'!Q118/$D276</x:f>
        <x:v>0.3966800228963938</x:v>
      </x:c>
      <x:c r="H276" s="12" t="n">
        <x:f>'全部组合'!R118/$D276</x:f>
        <x:v>0.24785346307956496</x:v>
      </x:c>
      <x:c r="I276" s="12" t="n">
        <x:f>'全部组合'!S118/$D276</x:f>
        <x:v>0.1110475100171723</x:v>
      </x:c>
      <x:c r="J276" s="12" t="n">
        <x:f>'全部组合'!T118/$D276</x:f>
        <x:v>0.02346880366342301</x:v>
      </x:c>
      <x:c r="K276" s="12" t="n">
        <x:f>'全部组合'!U118/$D276</x:f>
        <x:v>0.031482541499713794</x:v>
      </x:c>
      <x:c r="L276" s="12" t="n">
        <x:f>'全部组合'!V118/$D276</x:f>
        <x:v>0.018889524899828276</x:v>
      </x:c>
      <x:c r="M276" s="12" t="n">
        <x:f>'全部组合'!W118/$D276</x:f>
        <x:v>0.02289639381797367</x:v>
      </x:c>
      <x:c r="N276" s="13" t="n">
        <x:f>'全部组合'!X118/$D276</x:f>
        <x:v>0</x:v>
      </x:c>
    </x:row>
    <x:row r="277" ht="23" customHeight="1">
      <x:c r="A277" s="10" t="str">
        <x:v>M5</x:v>
      </x:c>
      <x:c r="B277" s="10" t="str">
        <x:v>NCG_H1</x:v>
      </x:c>
      <x:c r="C277" s="9" t="str">
        <x:v>源三角形</x:v>
      </x:c>
      <x:c r="D277" s="11" t="n">
        <x:f>'全部组合'!I118</x:f>
        <x:v>11760345</x:v>
      </x:c>
      <x:c r="E277" s="12" t="n">
        <x:f>'全部组合'!Y118/$D277</x:f>
        <x:v>0.00007278698031392787</x:v>
      </x:c>
      <x:c r="F277" s="12" t="n">
        <x:f>'全部组合'!Z118/$D277</x:f>
        <x:v>0.02487120913544628</x:v>
      </x:c>
      <x:c r="G277" s="12" t="n">
        <x:f>'全部组合'!AA118/$D277</x:f>
        <x:v>0.2760697921702127</x:v>
      </x:c>
      <x:c r="H277" s="12" t="n">
        <x:f>'全部组合'!AB118/$D277</x:f>
        <x:v>0.19263550516587735</x:v>
      </x:c>
      <x:c r="I277" s="12" t="n">
        <x:f>'全部组合'!AC118/$D277</x:f>
        <x:v>0.334461191402123</x:v>
      </x:c>
      <x:c r="J277" s="12" t="n">
        <x:f>'全部组合'!AD118/$D277</x:f>
        <x:v>0.005041008575853855</x:v>
      </x:c>
      <x:c r="K277" s="12" t="n">
        <x:f>'全部组合'!AE118/$D277</x:f>
        <x:v>0.03153206814936126</x:v>
      </x:c>
      <x:c r="L277" s="12" t="n">
        <x:f>'全部组合'!AF118/$D277</x:f>
        <x:v>0.06750125102622415</x:v>
      </x:c>
      <x:c r="M277" s="12" t="n">
        <x:f>'全部组合'!AG118/$D277</x:f>
        <x:v>0.06781518739458749</x:v>
      </x:c>
      <x:c r="N277" s="13" t="n">
        <x:f>'全部组合'!AH118/$D277</x:f>
        <x:v>0</x:v>
      </x:c>
    </x:row>
    <x:row r="278" ht="23" customHeight="1">
      <x:c r="A278" s="10" t="str">
        <x:v>M5</x:v>
      </x:c>
      <x:c r="B278" s="10" t="str">
        <x:v>NCG_H0_M1</x:v>
      </x:c>
      <x:c r="C278" s="9" t="str">
        <x:v>节点</x:v>
      </x:c>
      <x:c r="D278" s="11" t="n">
        <x:f>'全部组合'!D119</x:f>
        <x:v>1747</x:v>
      </x:c>
      <x:c r="E278" s="12" t="n">
        <x:f>'全部组合'!O119/$D278</x:f>
        <x:v>0.0011448196908986834</x:v>
      </x:c>
      <x:c r="F278" s="12" t="n">
        <x:f>'全部组合'!P119/$D278</x:f>
        <x:v>0.1522610188895249</x:v>
      </x:c>
      <x:c r="G278" s="12" t="n">
        <x:f>'全部组合'!Q119/$D278</x:f>
        <x:v>0.4024041213508872</x:v>
      </x:c>
      <x:c r="H278" s="12" t="n">
        <x:f>'全部组合'!R119/$D278</x:f>
        <x:v>0.20492272467086434</x:v>
      </x:c>
      <x:c r="I278" s="12" t="n">
        <x:f>'全部组合'!S119/$D278</x:f>
        <x:v>0.04693760732684602</x:v>
      </x:c>
      <x:c r="J278" s="12" t="n">
        <x:f>'全部组合'!T119/$D278</x:f>
        <x:v>0.0045792787635947334</x:v>
      </x:c>
      <x:c r="K278" s="12" t="n">
        <x:f>'全部组合'!U119/$D278</x:f>
        <x:v>0.03720663995420721</x:v>
      </x:c>
      <x:c r="L278" s="12" t="n">
        <x:f>'全部组合'!V119/$D278</x:f>
        <x:v>0.09616485403548941</x:v>
      </x:c>
      <x:c r="M278" s="12" t="n">
        <x:f>'全部组合'!W119/$D278</x:f>
        <x:v>0.038923869490555235</x:v>
      </x:c>
      <x:c r="N278" s="13" t="n">
        <x:f>'全部组合'!X119/$D278</x:f>
        <x:v>0.015455065827132226</x:v>
      </x:c>
    </x:row>
    <x:row r="279" ht="23" customHeight="1">
      <x:c r="A279" s="10" t="str">
        <x:v>M5</x:v>
      </x:c>
      <x:c r="B279" s="10" t="str">
        <x:v>NCG_H0_M1</x:v>
      </x:c>
      <x:c r="C279" s="9" t="str">
        <x:v>源三角形</x:v>
      </x:c>
      <x:c r="D279" s="11" t="n">
        <x:f>'全部组合'!I119</x:f>
        <x:v>11760345</x:v>
      </x:c>
      <x:c r="E279" s="12" t="n">
        <x:f>'全部组合'!Y119/$D279</x:f>
        <x:v>0.00007278698031392787</x:v>
      </x:c>
      <x:c r="F279" s="12" t="n">
        <x:f>'全部组合'!Z119/$D279</x:f>
        <x:v>0.022677566006779563</x:v>
      </x:c>
      <x:c r="G279" s="12" t="n">
        <x:f>'全部组合'!AA119/$D279</x:f>
        <x:v>0.24607509388542598</x:v>
      </x:c>
      <x:c r="H279" s="12" t="n">
        <x:f>'全部组合'!AB119/$D279</x:f>
        <x:v>0.17225021884987218</x:v>
      </x:c>
      <x:c r="I279" s="12" t="n">
        <x:f>'全部组合'!AC119/$D279</x:f>
        <x:v>0.19735160830740936</x:v>
      </x:c>
      <x:c r="J279" s="12" t="n">
        <x:f>'全部组合'!AD119/$D279</x:f>
        <x:v>0.0008091599353590392</x:v>
      </x:c>
      <x:c r="K279" s="12" t="n">
        <x:f>'全部组合'!AE119/$D279</x:f>
        <x:v>0.035324814025438876</x:v>
      </x:c>
      <x:c r="L279" s="12" t="n">
        <x:f>'全部组合'!AF119/$D279</x:f>
        <x:v>0.10369695786985841</x:v>
      </x:c>
      <x:c r="M279" s="12" t="n">
        <x:f>'全部组合'!AG119/$D279</x:f>
        <x:v>0.11094045285236105</x:v>
      </x:c>
      <x:c r="N279" s="13" t="n">
        <x:f>'全部组合'!AH119/$D279</x:f>
        <x:v>0.11080134128718162</x:v>
      </x:c>
    </x:row>
    <x:row r="280" ht="23" customHeight="1">
      <x:c r="A280" s="10" t="str">
        <x:v>M5</x:v>
      </x:c>
      <x:c r="B280" s="10" t="str">
        <x:v>NCG_H1_M1</x:v>
      </x:c>
      <x:c r="C280" s="9" t="str">
        <x:v>节点</x:v>
      </x:c>
      <x:c r="D280" s="11" t="n">
        <x:f>'全部组合'!D120</x:f>
        <x:v>1747</x:v>
      </x:c>
      <x:c r="E280" s="12" t="n">
        <x:f>'全部组合'!O120/$D280</x:f>
        <x:v>0.0011448196908986834</x:v>
      </x:c>
      <x:c r="F280" s="12" t="n">
        <x:f>'全部组合'!P120/$D280</x:f>
        <x:v>0.1287922152261019</x:v>
      </x:c>
      <x:c r="G280" s="12" t="n">
        <x:f>'全部组合'!Q120/$D280</x:f>
        <x:v>0.37092157985117347</x:v>
      </x:c>
      <x:c r="H280" s="12" t="n">
        <x:f>'全部组合'!R120/$D280</x:f>
        <x:v>0.23526044647967945</x:v>
      </x:c>
      <x:c r="I280" s="12" t="n">
        <x:f>'全部组合'!S120/$D280</x:f>
        <x:v>0.04979965655409273</x:v>
      </x:c>
      <x:c r="J280" s="12" t="n">
        <x:f>'全部组合'!T120/$D280</x:f>
        <x:v>0.02289639381797367</x:v>
      </x:c>
      <x:c r="K280" s="12" t="n">
        <x:f>'全部组合'!U120/$D280</x:f>
        <x:v>0.040641099026903264</x:v>
      </x:c>
      <x:c r="L280" s="12" t="n">
        <x:f>'全部组合'!V120/$D280</x:f>
        <x:v>0.09616485403548941</x:v>
      </x:c>
      <x:c r="M280" s="12" t="n">
        <x:f>'全部组合'!W120/$D280</x:f>
        <x:v>0.038923869490555235</x:v>
      </x:c>
      <x:c r="N280" s="13" t="n">
        <x:f>'全部组合'!X120/$D280</x:f>
        <x:v>0.015455065827132226</x:v>
      </x:c>
    </x:row>
    <x:row r="281" ht="23" customHeight="1">
      <x:c r="A281" s="10" t="str">
        <x:v>M5</x:v>
      </x:c>
      <x:c r="B281" s="10" t="str">
        <x:v>NCG_H1_M1</x:v>
      </x:c>
      <x:c r="C281" s="9" t="str">
        <x:v>源三角形</x:v>
      </x:c>
      <x:c r="D281" s="11" t="n">
        <x:f>'全部组合'!I120</x:f>
        <x:v>11760345</x:v>
      </x:c>
      <x:c r="E281" s="12" t="n">
        <x:f>'全部组合'!Y120/$D281</x:f>
        <x:v>0.00007278698031392787</x:v>
      </x:c>
      <x:c r="F281" s="12" t="n">
        <x:f>'全部组合'!Z120/$D281</x:f>
        <x:v>0.01983870371149826</x:v>
      </x:c>
      <x:c r="G281" s="12" t="n">
        <x:f>'全部组合'!AA120/$D281</x:f>
        <x:v>0.2316484762989521</x:v>
      </x:c>
      <x:c r="H281" s="12" t="n">
        <x:f>'全部组合'!AB120/$D281</x:f>
        <x:v>0.18386909567704007</x:v>
      </x:c>
      <x:c r="I281" s="12" t="n">
        <x:f>'全部组合'!AC120/$D281</x:f>
        <x:v>0.19848337782607567</x:v>
      </x:c>
      <x:c r="J281" s="12" t="n">
        <x:f>'全部组合'!AD120/$D281</x:f>
        <x:v>0.004621633123858186</x:v>
      </x:c>
      <x:c r="K281" s="12" t="n">
        <x:f>'全部组合'!AE120/$D281</x:f>
        <x:v>0.03602717437286066</x:v>
      </x:c>
      <x:c r="L281" s="12" t="n">
        <x:f>'全部组合'!AF120/$D281</x:f>
        <x:v>0.10369695786985841</x:v>
      </x:c>
      <x:c r="M281" s="12" t="n">
        <x:f>'全部组合'!AG120/$D281</x:f>
        <x:v>0.11094045285236105</x:v>
      </x:c>
      <x:c r="N281" s="13" t="n">
        <x:f>'全部组合'!AH120/$D281</x:f>
        <x:v>0.11080134128718162</x:v>
      </x:c>
    </x:row>
    <x:row r="282" ht="23" customHeight="1">
      <x:c r="A282" s="10" t="str">
        <x:v>M6</x:v>
      </x:c>
      <x:c r="B282" s="10" t="str">
        <x:v>N_H0</x:v>
      </x:c>
      <x:c r="C282" s="9" t="str">
        <x:v>节点</x:v>
      </x:c>
      <x:c r="D282" s="11" t="n">
        <x:f>'全部组合'!D121</x:f>
        <x:v>3347</x:v>
      </x:c>
      <x:c r="E282" s="12" t="n">
        <x:f>'全部组合'!O121/$D282</x:f>
        <x:v>0</x:v>
      </x:c>
      <x:c r="F282" s="12" t="n">
        <x:f>'全部组合'!P121/$D282</x:f>
        <x:v>0.1679115625933672</x:v>
      </x:c>
      <x:c r="G282" s="12" t="n">
        <x:f>'全部组合'!Q121/$D282</x:f>
        <x:v>0.029279952195996415</x:v>
      </x:c>
      <x:c r="H282" s="12" t="n">
        <x:f>'全部组合'!R121/$D282</x:f>
        <x:v>0</x:v>
      </x:c>
      <x:c r="I282" s="12" t="n">
        <x:f>'全部组合'!S121/$D282</x:f>
        <x:v>0.6668658500149387</x:v>
      </x:c>
      <x:c r="J282" s="12" t="n">
        <x:f>'全部组合'!T121/$D282</x:f>
        <x:v>0</x:v>
      </x:c>
      <x:c r="K282" s="12" t="n">
        <x:f>'全部组合'!U121/$D282</x:f>
        <x:v>0.052883178966238426</x:v>
      </x:c>
      <x:c r="L282" s="12" t="n">
        <x:f>'全部组合'!V121/$D282</x:f>
        <x:v>0.010457125784284434</x:v>
      </x:c>
      <x:c r="M282" s="12" t="n">
        <x:f>'全部组合'!W121/$D282</x:f>
        <x:v>0.07260233044517478</x:v>
      </x:c>
      <x:c r="N282" s="13" t="n">
        <x:f>'全部组合'!X121/$D282</x:f>
        <x:v>0</x:v>
      </x:c>
    </x:row>
    <x:row r="283" ht="23" customHeight="1">
      <x:c r="A283" s="10" t="str">
        <x:v>M6</x:v>
      </x:c>
      <x:c r="B283" s="10" t="str">
        <x:v>N_H0</x:v>
      </x:c>
      <x:c r="C283" s="9" t="str">
        <x:v>源三角形</x:v>
      </x:c>
      <x:c r="D283" s="11" t="n">
        <x:f>'全部组合'!I121</x:f>
        <x:v>15496224</x:v>
      </x:c>
      <x:c r="E283" s="12" t="n">
        <x:f>'全部组合'!Y121/$D283</x:f>
        <x:v>0</x:v>
      </x:c>
      <x:c r="F283" s="12" t="n">
        <x:f>'全部组合'!Z121/$D283</x:f>
        <x:v>0.09498301005457846</x:v>
      </x:c>
      <x:c r="G283" s="12" t="n">
        <x:f>'全部组合'!AA121/$D283</x:f>
        <x:v>0.01461698023983133</x:v>
      </x:c>
      <x:c r="H283" s="12" t="n">
        <x:f>'全部组合'!AB121/$D283</x:f>
        <x:v>0</x:v>
      </x:c>
      <x:c r="I283" s="12" t="n">
        <x:f>'全部组合'!AC121/$D283</x:f>
        <x:v>0.6124768201595434</x:v>
      </x:c>
      <x:c r="J283" s="12" t="n">
        <x:f>'全部组合'!AD121/$D283</x:f>
        <x:v>0</x:v>
      </x:c>
      <x:c r="K283" s="12" t="n">
        <x:f>'全部组合'!AE121/$D283</x:f>
        <x:v>0.09248007772732247</x:v>
      </x:c>
      <x:c r="L283" s="12" t="n">
        <x:f>'全部组合'!AF121/$D283</x:f>
        <x:v>0.06544884740953667</x:v>
      </x:c>
      <x:c r="M283" s="12" t="n">
        <x:f>'全部组合'!AG121/$D283</x:f>
        <x:v>0.11999426440918769</x:v>
      </x:c>
      <x:c r="N283" s="13" t="n">
        <x:f>'全部组合'!AH121/$D283</x:f>
        <x:v>0</x:v>
      </x:c>
    </x:row>
    <x:row r="284" ht="23" customHeight="1">
      <x:c r="A284" s="10" t="str">
        <x:v>M6</x:v>
      </x:c>
      <x:c r="B284" s="10" t="str">
        <x:v>N_HT</x:v>
      </x:c>
      <x:c r="C284" s="9" t="str">
        <x:v>节点</x:v>
      </x:c>
      <x:c r="D284" s="11" t="n">
        <x:f>'全部组合'!D122</x:f>
        <x:v>3347</x:v>
      </x:c>
      <x:c r="E284" s="12" t="n">
        <x:f>'全部组合'!O122/$D284</x:f>
        <x:v>0</x:v>
      </x:c>
      <x:c r="F284" s="12" t="n">
        <x:f>'全部组合'!P122/$D284</x:f>
        <x:v>0.1679115625933672</x:v>
      </x:c>
      <x:c r="G284" s="12" t="n">
        <x:f>'全部组合'!Q122/$D284</x:f>
        <x:v>0.029279952195996415</x:v>
      </x:c>
      <x:c r="H284" s="12" t="n">
        <x:f>'全部组合'!R122/$D284</x:f>
        <x:v>0</x:v>
      </x:c>
      <x:c r="I284" s="12" t="n">
        <x:f>'全部组合'!S122/$D284</x:f>
        <x:v>0.6668658500149387</x:v>
      </x:c>
      <x:c r="J284" s="12" t="n">
        <x:f>'全部组合'!T122/$D284</x:f>
        <x:v>0</x:v>
      </x:c>
      <x:c r="K284" s="12" t="n">
        <x:f>'全部组合'!U122/$D284</x:f>
        <x:v>0.052883178966238426</x:v>
      </x:c>
      <x:c r="L284" s="12" t="n">
        <x:f>'全部组合'!V122/$D284</x:f>
        <x:v>0.010457125784284434</x:v>
      </x:c>
      <x:c r="M284" s="12" t="n">
        <x:f>'全部组合'!W122/$D284</x:f>
        <x:v>0.07260233044517478</x:v>
      </x:c>
      <x:c r="N284" s="13" t="n">
        <x:f>'全部组合'!X122/$D284</x:f>
        <x:v>0</x:v>
      </x:c>
    </x:row>
    <x:row r="285" ht="23" customHeight="1">
      <x:c r="A285" s="10" t="str">
        <x:v>M6</x:v>
      </x:c>
      <x:c r="B285" s="10" t="str">
        <x:v>N_HT</x:v>
      </x:c>
      <x:c r="C285" s="9" t="str">
        <x:v>源三角形</x:v>
      </x:c>
      <x:c r="D285" s="11" t="n">
        <x:f>'全部组合'!I122</x:f>
        <x:v>15496224</x:v>
      </x:c>
      <x:c r="E285" s="12" t="n">
        <x:f>'全部组合'!Y122/$D285</x:f>
        <x:v>0</x:v>
      </x:c>
      <x:c r="F285" s="12" t="n">
        <x:f>'全部组合'!Z122/$D285</x:f>
        <x:v>0.09498301005457846</x:v>
      </x:c>
      <x:c r="G285" s="12" t="n">
        <x:f>'全部组合'!AA122/$D285</x:f>
        <x:v>0.01461698023983133</x:v>
      </x:c>
      <x:c r="H285" s="12" t="n">
        <x:f>'全部组合'!AB122/$D285</x:f>
        <x:v>0</x:v>
      </x:c>
      <x:c r="I285" s="12" t="n">
        <x:f>'全部组合'!AC122/$D285</x:f>
        <x:v>0.6124768201595434</x:v>
      </x:c>
      <x:c r="J285" s="12" t="n">
        <x:f>'全部组合'!AD122/$D285</x:f>
        <x:v>0</x:v>
      </x:c>
      <x:c r="K285" s="12" t="n">
        <x:f>'全部组合'!AE122/$D285</x:f>
        <x:v>0.09248007772732247</x:v>
      </x:c>
      <x:c r="L285" s="12" t="n">
        <x:f>'全部组合'!AF122/$D285</x:f>
        <x:v>0.06544884740953667</x:v>
      </x:c>
      <x:c r="M285" s="12" t="n">
        <x:f>'全部组合'!AG122/$D285</x:f>
        <x:v>0.11999426440918769</x:v>
      </x:c>
      <x:c r="N285" s="13" t="n">
        <x:f>'全部组合'!AH122/$D285</x:f>
        <x:v>0</x:v>
      </x:c>
    </x:row>
    <x:row r="286" ht="23" customHeight="1">
      <x:c r="A286" s="10" t="str">
        <x:v>M6</x:v>
      </x:c>
      <x:c r="B286" s="10" t="str">
        <x:v>N_H1</x:v>
      </x:c>
      <x:c r="C286" s="9" t="str">
        <x:v>节点</x:v>
      </x:c>
      <x:c r="D286" s="11" t="n">
        <x:f>'全部组合'!D123</x:f>
        <x:v>3347</x:v>
      </x:c>
      <x:c r="E286" s="12" t="n">
        <x:f>'全部组合'!O123/$D286</x:f>
        <x:v>0</x:v>
      </x:c>
      <x:c r="F286" s="12" t="n">
        <x:f>'全部组合'!P123/$D286</x:f>
        <x:v>0.1679115625933672</x:v>
      </x:c>
      <x:c r="G286" s="12" t="n">
        <x:f>'全部组合'!Q123/$D286</x:f>
        <x:v>0.027487302061547654</x:v>
      </x:c>
      <x:c r="H286" s="12" t="n">
        <x:f>'全部组合'!R123/$D286</x:f>
        <x:v>0</x:v>
      </x:c>
      <x:c r="I286" s="12" t="n">
        <x:f>'全部组合'!S123/$D286</x:f>
        <x:v>0.6668658500149387</x:v>
      </x:c>
      <x:c r="J286" s="12" t="n">
        <x:f>'全部组合'!T123/$D286</x:f>
        <x:v>0.00179265013444876</x:v>
      </x:c>
      <x:c r="K286" s="12" t="n">
        <x:f>'全部组合'!U123/$D286</x:f>
        <x:v>0.052883178966238426</x:v>
      </x:c>
      <x:c r="L286" s="12" t="n">
        <x:f>'全部组合'!V123/$D286</x:f>
        <x:v>0.010457125784284434</x:v>
      </x:c>
      <x:c r="M286" s="12" t="n">
        <x:f>'全部组合'!W123/$D286</x:f>
        <x:v>0.07260233044517478</x:v>
      </x:c>
      <x:c r="N286" s="13" t="n">
        <x:f>'全部组合'!X123/$D286</x:f>
        <x:v>0</x:v>
      </x:c>
    </x:row>
    <x:row r="287" ht="23" customHeight="1">
      <x:c r="A287" s="10" t="str">
        <x:v>M6</x:v>
      </x:c>
      <x:c r="B287" s="10" t="str">
        <x:v>N_H1</x:v>
      </x:c>
      <x:c r="C287" s="9" t="str">
        <x:v>源三角形</x:v>
      </x:c>
      <x:c r="D287" s="11" t="n">
        <x:f>'全部组合'!I123</x:f>
        <x:v>15496224</x:v>
      </x:c>
      <x:c r="E287" s="12" t="n">
        <x:f>'全部组合'!Y123/$D287</x:f>
        <x:v>0</x:v>
      </x:c>
      <x:c r="F287" s="12" t="n">
        <x:f>'全部组合'!Z123/$D287</x:f>
        <x:v>0.09498301005457846</x:v>
      </x:c>
      <x:c r="G287" s="12" t="n">
        <x:f>'全部组合'!AA123/$D287</x:f>
        <x:v>0.013850729055026566</x:v>
      </x:c>
      <x:c r="H287" s="12" t="n">
        <x:f>'全部组合'!AB123/$D287</x:f>
        <x:v>0</x:v>
      </x:c>
      <x:c r="I287" s="12" t="n">
        <x:f>'全部组合'!AC123/$D287</x:f>
        <x:v>0.6124768201595434</x:v>
      </x:c>
      <x:c r="J287" s="12" t="n">
        <x:f>'全部组合'!AD123/$D287</x:f>
        <x:v>0.0007662511848047628</x:v>
      </x:c>
      <x:c r="K287" s="12" t="n">
        <x:f>'全部组合'!AE123/$D287</x:f>
        <x:v>0.09248007772732247</x:v>
      </x:c>
      <x:c r="L287" s="12" t="n">
        <x:f>'全部组合'!AF123/$D287</x:f>
        <x:v>0.06544884740953667</x:v>
      </x:c>
      <x:c r="M287" s="12" t="n">
        <x:f>'全部组合'!AG123/$D287</x:f>
        <x:v>0.11999426440918769</x:v>
      </x:c>
      <x:c r="N287" s="13" t="n">
        <x:f>'全部组合'!AH123/$D287</x:f>
        <x:v>0</x:v>
      </x:c>
    </x:row>
    <x:row r="288" ht="23" customHeight="1">
      <x:c r="A288" s="10" t="str">
        <x:v>M6</x:v>
      </x:c>
      <x:c r="B288" s="10" t="str">
        <x:v>C_H0</x:v>
      </x:c>
      <x:c r="C288" s="9" t="str">
        <x:v>节点</x:v>
      </x:c>
      <x:c r="D288" s="11" t="n">
        <x:f>'全部组合'!D124</x:f>
        <x:v>3347</x:v>
      </x:c>
      <x:c r="E288" s="12" t="n">
        <x:f>'全部组合'!O124/$D288</x:f>
        <x:v>0</x:v>
      </x:c>
      <x:c r="F288" s="12" t="n">
        <x:f>'全部组合'!P124/$D288</x:f>
        <x:v>0.30863459814759486</x:v>
      </x:c>
      <x:c r="G288" s="12" t="n">
        <x:f>'全部组合'!Q124/$D288</x:f>
        <x:v>0</x:v>
      </x:c>
      <x:c r="H288" s="12" t="n">
        <x:f>'全部组合'!R124/$D288</x:f>
        <x:v>0</x:v>
      </x:c>
      <x:c r="I288" s="12" t="n">
        <x:f>'全部组合'!S124/$D288</x:f>
        <x:v>0.6904690767851808</x:v>
      </x:c>
      <x:c r="J288" s="12" t="n">
        <x:f>'全部组合'!T124/$D288</x:f>
        <x:v>0</x:v>
      </x:c>
      <x:c r="K288" s="12" t="n">
        <x:f>'全部组合'!U124/$D288</x:f>
        <x:v>0.00089632506722438</x:v>
      </x:c>
      <x:c r="L288" s="12" t="n">
        <x:f>'全部组合'!V124/$D288</x:f>
        <x:v>0</x:v>
      </x:c>
      <x:c r="M288" s="12" t="n">
        <x:f>'全部组合'!W124/$D288</x:f>
        <x:v>0</x:v>
      </x:c>
      <x:c r="N288" s="13" t="n">
        <x:f>'全部组合'!X124/$D288</x:f>
        <x:v>0</x:v>
      </x:c>
    </x:row>
    <x:row r="289" ht="23" customHeight="1">
      <x:c r="A289" s="10" t="str">
        <x:v>M6</x:v>
      </x:c>
      <x:c r="B289" s="10" t="str">
        <x:v>C_H0</x:v>
      </x:c>
      <x:c r="C289" s="9" t="str">
        <x:v>源三角形</x:v>
      </x:c>
      <x:c r="D289" s="11" t="n">
        <x:f>'全部组合'!I124</x:f>
        <x:v>15496224</x:v>
      </x:c>
      <x:c r="E289" s="12" t="n">
        <x:f>'全部组合'!Y124/$D289</x:f>
        <x:v>0</x:v>
      </x:c>
      <x:c r="F289" s="12" t="n">
        <x:f>'全部组合'!Z124/$D289</x:f>
        <x:v>0.14541181129028594</x:v>
      </x:c>
      <x:c r="G289" s="12" t="n">
        <x:f>'全部组合'!AA124/$D289</x:f>
        <x:v>0</x:v>
      </x:c>
      <x:c r="H289" s="12" t="n">
        <x:f>'全部组合'!AB124/$D289</x:f>
        <x:v>0</x:v>
      </x:c>
      <x:c r="I289" s="12" t="n">
        <x:f>'全部组合'!AC124/$D289</x:f>
        <x:v>0.8530189031857051</x:v>
      </x:c>
      <x:c r="J289" s="12" t="n">
        <x:f>'全部组合'!AD124/$D289</x:f>
        <x:v>0</x:v>
      </x:c>
      <x:c r="K289" s="12" t="n">
        <x:f>'全部组合'!AE124/$D289</x:f>
        <x:v>0.0015692855240089457</x:v>
      </x:c>
      <x:c r="L289" s="12" t="n">
        <x:f>'全部组合'!AF124/$D289</x:f>
        <x:v>0</x:v>
      </x:c>
      <x:c r="M289" s="12" t="n">
        <x:f>'全部组合'!AG124/$D289</x:f>
        <x:v>0</x:v>
      </x:c>
      <x:c r="N289" s="13" t="n">
        <x:f>'全部组合'!AH124/$D289</x:f>
        <x:v>0</x:v>
      </x:c>
    </x:row>
    <x:row r="290" ht="23" customHeight="1">
      <x:c r="A290" s="10" t="str">
        <x:v>M6</x:v>
      </x:c>
      <x:c r="B290" s="10" t="str">
        <x:v>C_HT</x:v>
      </x:c>
      <x:c r="C290" s="9" t="str">
        <x:v>节点</x:v>
      </x:c>
      <x:c r="D290" s="11" t="n">
        <x:f>'全部组合'!D125</x:f>
        <x:v>3347</x:v>
      </x:c>
      <x:c r="E290" s="12" t="n">
        <x:f>'全部组合'!O125/$D290</x:f>
        <x:v>0</x:v>
      </x:c>
      <x:c r="F290" s="12" t="n">
        <x:f>'全部组合'!P125/$D290</x:f>
        <x:v>0.30863459814759486</x:v>
      </x:c>
      <x:c r="G290" s="12" t="n">
        <x:f>'全部组合'!Q125/$D290</x:f>
        <x:v>0</x:v>
      </x:c>
      <x:c r="H290" s="12" t="n">
        <x:f>'全部组合'!R125/$D290</x:f>
        <x:v>0</x:v>
      </x:c>
      <x:c r="I290" s="12" t="n">
        <x:f>'全部组合'!S125/$D290</x:f>
        <x:v>0.6904690767851808</x:v>
      </x:c>
      <x:c r="J290" s="12" t="n">
        <x:f>'全部组合'!T125/$D290</x:f>
        <x:v>0</x:v>
      </x:c>
      <x:c r="K290" s="12" t="n">
        <x:f>'全部组合'!U125/$D290</x:f>
        <x:v>0.00089632506722438</x:v>
      </x:c>
      <x:c r="L290" s="12" t="n">
        <x:f>'全部组合'!V125/$D290</x:f>
        <x:v>0</x:v>
      </x:c>
      <x:c r="M290" s="12" t="n">
        <x:f>'全部组合'!W125/$D290</x:f>
        <x:v>0</x:v>
      </x:c>
      <x:c r="N290" s="13" t="n">
        <x:f>'全部组合'!X125/$D290</x:f>
        <x:v>0</x:v>
      </x:c>
    </x:row>
    <x:row r="291" ht="23" customHeight="1">
      <x:c r="A291" s="10" t="str">
        <x:v>M6</x:v>
      </x:c>
      <x:c r="B291" s="10" t="str">
        <x:v>C_HT</x:v>
      </x:c>
      <x:c r="C291" s="9" t="str">
        <x:v>源三角形</x:v>
      </x:c>
      <x:c r="D291" s="11" t="n">
        <x:f>'全部组合'!I125</x:f>
        <x:v>15496224</x:v>
      </x:c>
      <x:c r="E291" s="12" t="n">
        <x:f>'全部组合'!Y125/$D291</x:f>
        <x:v>0</x:v>
      </x:c>
      <x:c r="F291" s="12" t="n">
        <x:f>'全部组合'!Z125/$D291</x:f>
        <x:v>0.14541181129028594</x:v>
      </x:c>
      <x:c r="G291" s="12" t="n">
        <x:f>'全部组合'!AA125/$D291</x:f>
        <x:v>0</x:v>
      </x:c>
      <x:c r="H291" s="12" t="n">
        <x:f>'全部组合'!AB125/$D291</x:f>
        <x:v>0</x:v>
      </x:c>
      <x:c r="I291" s="12" t="n">
        <x:f>'全部组合'!AC125/$D291</x:f>
        <x:v>0.8530189031857051</x:v>
      </x:c>
      <x:c r="J291" s="12" t="n">
        <x:f>'全部组合'!AD125/$D291</x:f>
        <x:v>0</x:v>
      </x:c>
      <x:c r="K291" s="12" t="n">
        <x:f>'全部组合'!AE125/$D291</x:f>
        <x:v>0.0015692855240089457</x:v>
      </x:c>
      <x:c r="L291" s="12" t="n">
        <x:f>'全部组合'!AF125/$D291</x:f>
        <x:v>0</x:v>
      </x:c>
      <x:c r="M291" s="12" t="n">
        <x:f>'全部组合'!AG125/$D291</x:f>
        <x:v>0</x:v>
      </x:c>
      <x:c r="N291" s="13" t="n">
        <x:f>'全部组合'!AH125/$D291</x:f>
        <x:v>0</x:v>
      </x:c>
    </x:row>
    <x:row r="292" ht="23" customHeight="1">
      <x:c r="A292" s="10" t="str">
        <x:v>M6</x:v>
      </x:c>
      <x:c r="B292" s="10" t="str">
        <x:v>C_H1</x:v>
      </x:c>
      <x:c r="C292" s="9" t="str">
        <x:v>节点</x:v>
      </x:c>
      <x:c r="D292" s="11" t="n">
        <x:f>'全部组合'!D126</x:f>
        <x:v>3347</x:v>
      </x:c>
      <x:c r="E292" s="12" t="n">
        <x:f>'全部组合'!O126/$D292</x:f>
        <x:v>0</x:v>
      </x:c>
      <x:c r="F292" s="12" t="n">
        <x:f>'全部组合'!P126/$D292</x:f>
        <x:v>0.30863459814759486</x:v>
      </x:c>
      <x:c r="G292" s="12" t="n">
        <x:f>'全部组合'!Q126/$D292</x:f>
        <x:v>0</x:v>
      </x:c>
      <x:c r="H292" s="12" t="n">
        <x:f>'全部组合'!R126/$D292</x:f>
        <x:v>0</x:v>
      </x:c>
      <x:c r="I292" s="12" t="n">
        <x:f>'全部组合'!S126/$D292</x:f>
        <x:v>0.6904690767851808</x:v>
      </x:c>
      <x:c r="J292" s="12" t="n">
        <x:f>'全部组合'!T126/$D292</x:f>
        <x:v>0</x:v>
      </x:c>
      <x:c r="K292" s="12" t="n">
        <x:f>'全部组合'!U126/$D292</x:f>
        <x:v>0.00089632506722438</x:v>
      </x:c>
      <x:c r="L292" s="12" t="n">
        <x:f>'全部组合'!V126/$D292</x:f>
        <x:v>0</x:v>
      </x:c>
      <x:c r="M292" s="12" t="n">
        <x:f>'全部组合'!W126/$D292</x:f>
        <x:v>0</x:v>
      </x:c>
      <x:c r="N292" s="13" t="n">
        <x:f>'全部组合'!X126/$D292</x:f>
        <x:v>0</x:v>
      </x:c>
    </x:row>
    <x:row r="293" ht="23" customHeight="1">
      <x:c r="A293" s="10" t="str">
        <x:v>M6</x:v>
      </x:c>
      <x:c r="B293" s="10" t="str">
        <x:v>C_H1</x:v>
      </x:c>
      <x:c r="C293" s="9" t="str">
        <x:v>源三角形</x:v>
      </x:c>
      <x:c r="D293" s="11" t="n">
        <x:f>'全部组合'!I126</x:f>
        <x:v>15496224</x:v>
      </x:c>
      <x:c r="E293" s="12" t="n">
        <x:f>'全部组合'!Y126/$D293</x:f>
        <x:v>0</x:v>
      </x:c>
      <x:c r="F293" s="12" t="n">
        <x:f>'全部组合'!Z126/$D293</x:f>
        <x:v>0.14541181129028594</x:v>
      </x:c>
      <x:c r="G293" s="12" t="n">
        <x:f>'全部组合'!AA126/$D293</x:f>
        <x:v>0</x:v>
      </x:c>
      <x:c r="H293" s="12" t="n">
        <x:f>'全部组合'!AB126/$D293</x:f>
        <x:v>0</x:v>
      </x:c>
      <x:c r="I293" s="12" t="n">
        <x:f>'全部组合'!AC126/$D293</x:f>
        <x:v>0.8530189031857051</x:v>
      </x:c>
      <x:c r="J293" s="12" t="n">
        <x:f>'全部组合'!AD126/$D293</x:f>
        <x:v>0</x:v>
      </x:c>
      <x:c r="K293" s="12" t="n">
        <x:f>'全部组合'!AE126/$D293</x:f>
        <x:v>0.0015692855240089457</x:v>
      </x:c>
      <x:c r="L293" s="12" t="n">
        <x:f>'全部组合'!AF126/$D293</x:f>
        <x:v>0</x:v>
      </x:c>
      <x:c r="M293" s="12" t="n">
        <x:f>'全部组合'!AG126/$D293</x:f>
        <x:v>0</x:v>
      </x:c>
      <x:c r="N293" s="13" t="n">
        <x:f>'全部组合'!AH126/$D293</x:f>
        <x:v>0</x:v>
      </x:c>
    </x:row>
    <x:row r="294" ht="23" customHeight="1">
      <x:c r="A294" s="10" t="str">
        <x:v>M6</x:v>
      </x:c>
      <x:c r="B294" s="10" t="str">
        <x:v>G_H0</x:v>
      </x:c>
      <x:c r="C294" s="9" t="str">
        <x:v>节点</x:v>
      </x:c>
      <x:c r="D294" s="11" t="n">
        <x:f>'全部组合'!D127</x:f>
        <x:v>3347</x:v>
      </x:c>
      <x:c r="E294" s="12" t="n">
        <x:f>'全部组合'!O127/$D294</x:f>
        <x:v>0</x:v>
      </x:c>
      <x:c r="F294" s="12" t="n">
        <x:f>'全部组合'!P127/$D294</x:f>
        <x:v>0.1711980878398566</x:v>
      </x:c>
      <x:c r="G294" s="12" t="n">
        <x:f>'全部组合'!Q127/$D294</x:f>
        <x:v>0.5076187630714072</x:v>
      </x:c>
      <x:c r="H294" s="12" t="n">
        <x:f>'全部组合'!R127/$D294</x:f>
        <x:v>0.2811472960860472</x:v>
      </x:c>
      <x:c r="I294" s="12" t="n">
        <x:f>'全部组合'!S127/$D294</x:f>
        <x:v>0.02957872721840454</x:v>
      </x:c>
      <x:c r="J294" s="12" t="n">
        <x:f>'全部组合'!T127/$D294</x:f>
        <x:v>0.010158350761876307</x:v>
      </x:c>
      <x:c r="K294" s="12" t="n">
        <x:f>'全部组合'!U127/$D294</x:f>
        <x:v>0.00029877502240812666</x:v>
      </x:c>
      <x:c r="L294" s="12" t="n">
        <x:f>'全部组合'!V127/$D294</x:f>
        <x:v>0</x:v>
      </x:c>
      <x:c r="M294" s="12" t="n">
        <x:f>'全部组合'!W127/$D294</x:f>
        <x:v>0</x:v>
      </x:c>
      <x:c r="N294" s="13" t="n">
        <x:f>'全部组合'!X127/$D294</x:f>
        <x:v>0</x:v>
      </x:c>
    </x:row>
    <x:row r="295" ht="23" customHeight="1">
      <x:c r="A295" s="10" t="str">
        <x:v>M6</x:v>
      </x:c>
      <x:c r="B295" s="10" t="str">
        <x:v>G_H0</x:v>
      </x:c>
      <x:c r="C295" s="9" t="str">
        <x:v>源三角形</x:v>
      </x:c>
      <x:c r="D295" s="11" t="n">
        <x:f>'全部组合'!I127</x:f>
        <x:v>15496224</x:v>
      </x:c>
      <x:c r="E295" s="12" t="n">
        <x:f>'全部组合'!Y127/$D295</x:f>
        <x:v>0</x:v>
      </x:c>
      <x:c r="F295" s="12" t="n">
        <x:f>'全部组合'!Z127/$D295</x:f>
        <x:v>0.12331275025451362</x:v>
      </x:c>
      <x:c r="G295" s="12" t="n">
        <x:f>'全部组合'!AA127/$D295</x:f>
        <x:v>0.3871152094858722</x:v>
      </x:c>
      <x:c r="H295" s="12" t="n">
        <x:f>'全部组合'!AB127/$D295</x:f>
        <x:v>0.3923629395135228</x:v>
      </x:c>
      <x:c r="I295" s="12" t="n">
        <x:f>'全部组合'!AC127/$D295</x:f>
        <x:v>0.03645559072971583</x:v>
      </x:c>
      <x:c r="J295" s="12" t="n">
        <x:f>'全部组合'!AD127/$D295</x:f>
        <x:v>0.037231650755693776</x:v>
      </x:c>
      <x:c r="K295" s="12" t="n">
        <x:f>'全部组合'!AE127/$D295</x:f>
        <x:v>0.02352185926068183</x:v>
      </x:c>
      <x:c r="L295" s="12" t="n">
        <x:f>'全部组合'!AF127/$D295</x:f>
        <x:v>0</x:v>
      </x:c>
      <x:c r="M295" s="12" t="n">
        <x:f>'全部组合'!AG127/$D295</x:f>
        <x:v>0</x:v>
      </x:c>
      <x:c r="N295" s="13" t="n">
        <x:f>'全部组合'!AH127/$D295</x:f>
        <x:v>0</x:v>
      </x:c>
    </x:row>
    <x:row r="296" ht="23" customHeight="1">
      <x:c r="A296" s="10" t="str">
        <x:v>M6</x:v>
      </x:c>
      <x:c r="B296" s="10" t="str">
        <x:v>G_HT</x:v>
      </x:c>
      <x:c r="C296" s="9" t="str">
        <x:v>节点</x:v>
      </x:c>
      <x:c r="D296" s="11" t="n">
        <x:f>'全部组合'!D128</x:f>
        <x:v>3347</x:v>
      </x:c>
      <x:c r="E296" s="12" t="n">
        <x:f>'全部组合'!O128/$D296</x:f>
        <x:v>0</x:v>
      </x:c>
      <x:c r="F296" s="12" t="n">
        <x:f>'全部组合'!P128/$D296</x:f>
        <x:v>0.11024798326859875</x:v>
      </x:c>
      <x:c r="G296" s="12" t="n">
        <x:f>'全部组合'!Q128/$D296</x:f>
        <x:v>0.5258440394383029</x:v>
      </x:c>
      <x:c r="H296" s="12" t="n">
        <x:f>'全部组合'!R128/$D296</x:f>
        <x:v>0.29608604720645354</x:v>
      </x:c>
      <x:c r="I296" s="12" t="n">
        <x:f>'全部组合'!S128/$D296</x:f>
        <x:v>0.05736480430236032</x:v>
      </x:c>
      <x:c r="J296" s="12" t="n">
        <x:f>'全部组合'!T128/$D296</x:f>
        <x:v>0.010158350761876307</x:v>
      </x:c>
      <x:c r="K296" s="12" t="n">
        <x:f>'全部组合'!U128/$D296</x:f>
        <x:v>0.00029877502240812666</x:v>
      </x:c>
      <x:c r="L296" s="12" t="n">
        <x:f>'全部组合'!V128/$D296</x:f>
        <x:v>0</x:v>
      </x:c>
      <x:c r="M296" s="12" t="n">
        <x:f>'全部组合'!W128/$D296</x:f>
        <x:v>0</x:v>
      </x:c>
      <x:c r="N296" s="13" t="n">
        <x:f>'全部组合'!X128/$D296</x:f>
        <x:v>0</x:v>
      </x:c>
    </x:row>
    <x:row r="297" ht="23" customHeight="1">
      <x:c r="A297" s="10" t="str">
        <x:v>M6</x:v>
      </x:c>
      <x:c r="B297" s="10" t="str">
        <x:v>G_HT</x:v>
      </x:c>
      <x:c r="C297" s="9" t="str">
        <x:v>源三角形</x:v>
      </x:c>
      <x:c r="D297" s="11" t="n">
        <x:f>'全部组合'!I128</x:f>
        <x:v>15496224</x:v>
      </x:c>
      <x:c r="E297" s="12" t="n">
        <x:f>'全部组合'!Y128/$D297</x:f>
        <x:v>0</x:v>
      </x:c>
      <x:c r="F297" s="12" t="n">
        <x:f>'全部组合'!Z128/$D297</x:f>
        <x:v>0.08445902692165523</x:v>
      </x:c>
      <x:c r="G297" s="12" t="n">
        <x:f>'全部组合'!AA128/$D297</x:f>
        <x:v>0.4109921229842831</x:v>
      </x:c>
      <x:c r="H297" s="12" t="n">
        <x:f>'全部组合'!AB128/$D297</x:f>
        <x:v>0.3991519482423589</x:v>
      </x:c>
      <x:c r="I297" s="12" t="n">
        <x:f>'全部组合'!AC128/$D297</x:f>
        <x:v>0.04464339183532711</x:v>
      </x:c>
      <x:c r="J297" s="12" t="n">
        <x:f>'全部组合'!AD128/$D297</x:f>
        <x:v>0.037231650755693776</x:v>
      </x:c>
      <x:c r="K297" s="12" t="n">
        <x:f>'全部组合'!AE128/$D297</x:f>
        <x:v>0.02352185926068183</x:v>
      </x:c>
      <x:c r="L297" s="12" t="n">
        <x:f>'全部组合'!AF128/$D297</x:f>
        <x:v>0</x:v>
      </x:c>
      <x:c r="M297" s="12" t="n">
        <x:f>'全部组合'!AG128/$D297</x:f>
        <x:v>0</x:v>
      </x:c>
      <x:c r="N297" s="13" t="n">
        <x:f>'全部组合'!AH128/$D297</x:f>
        <x:v>0</x:v>
      </x:c>
    </x:row>
    <x:row r="298" ht="23" customHeight="1">
      <x:c r="A298" s="10" t="str">
        <x:v>M6</x:v>
      </x:c>
      <x:c r="B298" s="10" t="str">
        <x:v>G_H1</x:v>
      </x:c>
      <x:c r="C298" s="9" t="str">
        <x:v>节点</x:v>
      </x:c>
      <x:c r="D298" s="11" t="n">
        <x:f>'全部组合'!D129</x:f>
        <x:v>3347</x:v>
      </x:c>
      <x:c r="E298" s="12" t="n">
        <x:f>'全部组合'!O129/$D298</x:f>
        <x:v>0</x:v>
      </x:c>
      <x:c r="F298" s="12" t="n">
        <x:f>'全部组合'!P129/$D298</x:f>
        <x:v>0.11024798326859875</x:v>
      </x:c>
      <x:c r="G298" s="12" t="n">
        <x:f>'全部组合'!Q129/$D298</x:f>
        <x:v>0.5258440394383029</x:v>
      </x:c>
      <x:c r="H298" s="12" t="n">
        <x:f>'全部组合'!R129/$D298</x:f>
        <x:v>0.29608604720645354</x:v>
      </x:c>
      <x:c r="I298" s="12" t="n">
        <x:f>'全部组合'!S129/$D298</x:f>
        <x:v>0.05736480430236032</x:v>
      </x:c>
      <x:c r="J298" s="12" t="n">
        <x:f>'全部组合'!T129/$D298</x:f>
        <x:v>0.010158350761876307</x:v>
      </x:c>
      <x:c r="K298" s="12" t="n">
        <x:f>'全部组合'!U129/$D298</x:f>
        <x:v>0.00029877502240812666</x:v>
      </x:c>
      <x:c r="L298" s="12" t="n">
        <x:f>'全部组合'!V129/$D298</x:f>
        <x:v>0</x:v>
      </x:c>
      <x:c r="M298" s="12" t="n">
        <x:f>'全部组合'!W129/$D298</x:f>
        <x:v>0</x:v>
      </x:c>
      <x:c r="N298" s="13" t="n">
        <x:f>'全部组合'!X129/$D298</x:f>
        <x:v>0</x:v>
      </x:c>
    </x:row>
    <x:row r="299" ht="23" customHeight="1">
      <x:c r="A299" s="10" t="str">
        <x:v>M6</x:v>
      </x:c>
      <x:c r="B299" s="10" t="str">
        <x:v>G_H1</x:v>
      </x:c>
      <x:c r="C299" s="9" t="str">
        <x:v>源三角形</x:v>
      </x:c>
      <x:c r="D299" s="11" t="n">
        <x:f>'全部组合'!I129</x:f>
        <x:v>15496224</x:v>
      </x:c>
      <x:c r="E299" s="12" t="n">
        <x:f>'全部组合'!Y129/$D299</x:f>
        <x:v>0</x:v>
      </x:c>
      <x:c r="F299" s="12" t="n">
        <x:f>'全部组合'!Z129/$D299</x:f>
        <x:v>0.08445902692165523</x:v>
      </x:c>
      <x:c r="G299" s="12" t="n">
        <x:f>'全部组合'!AA129/$D299</x:f>
        <x:v>0.4109921229842831</x:v>
      </x:c>
      <x:c r="H299" s="12" t="n">
        <x:f>'全部组合'!AB129/$D299</x:f>
        <x:v>0.3991519482423589</x:v>
      </x:c>
      <x:c r="I299" s="12" t="n">
        <x:f>'全部组合'!AC129/$D299</x:f>
        <x:v>0.04464339183532711</x:v>
      </x:c>
      <x:c r="J299" s="12" t="n">
        <x:f>'全部组合'!AD129/$D299</x:f>
        <x:v>0.037231650755693776</x:v>
      </x:c>
      <x:c r="K299" s="12" t="n">
        <x:f>'全部组合'!AE129/$D299</x:f>
        <x:v>0.02352185926068183</x:v>
      </x:c>
      <x:c r="L299" s="12" t="n">
        <x:f>'全部组合'!AF129/$D299</x:f>
        <x:v>0</x:v>
      </x:c>
      <x:c r="M299" s="12" t="n">
        <x:f>'全部组合'!AG129/$D299</x:f>
        <x:v>0</x:v>
      </x:c>
      <x:c r="N299" s="13" t="n">
        <x:f>'全部组合'!AH129/$D299</x:f>
        <x:v>0</x:v>
      </x:c>
    </x:row>
    <x:row r="300" ht="23" customHeight="1">
      <x:c r="A300" s="10" t="str">
        <x:v>M6</x:v>
      </x:c>
      <x:c r="B300" s="10" t="str">
        <x:v>NC_H0</x:v>
      </x:c>
      <x:c r="C300" s="9" t="str">
        <x:v>节点</x:v>
      </x:c>
      <x:c r="D300" s="11" t="n">
        <x:f>'全部组合'!D130</x:f>
        <x:v>3347</x:v>
      </x:c>
      <x:c r="E300" s="12" t="n">
        <x:f>'全部组合'!O130/$D300</x:f>
        <x:v>0</x:v>
      </x:c>
      <x:c r="F300" s="12" t="n">
        <x:f>'全部组合'!P130/$D300</x:f>
        <x:v>0.3023603226770242</x:v>
      </x:c>
      <x:c r="G300" s="12" t="n">
        <x:f>'全部组合'!Q130/$D300</x:f>
        <x:v>0.02001792650134449</x:v>
      </x:c>
      <x:c r="H300" s="12" t="n">
        <x:f>'全部组合'!R130/$D300</x:f>
        <x:v>0</x:v>
      </x:c>
      <x:c r="I300" s="12" t="n">
        <x:f>'全部组合'!S130/$D300</x:f>
        <x:v>0.5625933671945026</x:v>
      </x:c>
      <x:c r="J300" s="12" t="n">
        <x:f>'全部组合'!T130/$D300</x:f>
        <x:v>0</x:v>
      </x:c>
      <x:c r="K300" s="12" t="n">
        <x:f>'全部组合'!U130/$D300</x:f>
        <x:v>0.052584403943830293</x:v>
      </x:c>
      <x:c r="L300" s="12" t="n">
        <x:f>'全部组合'!V130/$D300</x:f>
        <x:v>0.010457125784284434</x:v>
      </x:c>
      <x:c r="M300" s="12" t="n">
        <x:f>'全部组合'!W130/$D300</x:f>
        <x:v>0.05198685389901404</x:v>
      </x:c>
      <x:c r="N300" s="13" t="n">
        <x:f>'全部组合'!X130/$D300</x:f>
        <x:v>0</x:v>
      </x:c>
    </x:row>
    <x:row r="301" ht="23" customHeight="1">
      <x:c r="A301" s="10" t="str">
        <x:v>M6</x:v>
      </x:c>
      <x:c r="B301" s="10" t="str">
        <x:v>NC_H0</x:v>
      </x:c>
      <x:c r="C301" s="9" t="str">
        <x:v>源三角形</x:v>
      </x:c>
      <x:c r="D301" s="11" t="n">
        <x:f>'全部组合'!I130</x:f>
        <x:v>15496224</x:v>
      </x:c>
      <x:c r="E301" s="12" t="n">
        <x:f>'全部组合'!Y130/$D301</x:f>
        <x:v>0</x:v>
      </x:c>
      <x:c r="F301" s="12" t="n">
        <x:f>'全部组合'!Z130/$D301</x:f>
        <x:v>0.14162366264194426</x:v>
      </x:c>
      <x:c r="G301" s="12" t="n">
        <x:f>'全部组合'!AA130/$D301</x:f>
        <x:v>0.01280453870568727</x:v>
      </x:c>
      <x:c r="H301" s="12" t="n">
        <x:f>'全部组合'!AB130/$D301</x:f>
        <x:v>0</x:v>
      </x:c>
      <x:c r="I301" s="12" t="n">
        <x:f>'全部组合'!AC130/$D301</x:f>
        <x:v>0.6276673594806064</x:v>
      </x:c>
      <x:c r="J301" s="12" t="n">
        <x:f>'全部组合'!AD130/$D301</x:f>
        <x:v>0</x:v>
      </x:c>
      <x:c r="K301" s="12" t="n">
        <x:f>'全部组合'!AE130/$D301</x:f>
        <x:v>0.09229409693613103</x:v>
      </x:c>
      <x:c r="L301" s="12" t="n">
        <x:f>'全部组合'!AF130/$D301</x:f>
        <x:v>0.06544884740953667</x:v>
      </x:c>
      <x:c r="M301" s="12" t="n">
        <x:f>'全部组合'!AG130/$D301</x:f>
        <x:v>0.06016149482609441</x:v>
      </x:c>
      <x:c r="N301" s="13" t="n">
        <x:f>'全部组合'!AH130/$D301</x:f>
        <x:v>0</x:v>
      </x:c>
    </x:row>
    <x:row r="302" ht="23" customHeight="1">
      <x:c r="A302" s="10" t="str">
        <x:v>M6</x:v>
      </x:c>
      <x:c r="B302" s="10" t="str">
        <x:v>NC_HT</x:v>
      </x:c>
      <x:c r="C302" s="9" t="str">
        <x:v>节点</x:v>
      </x:c>
      <x:c r="D302" s="11" t="n">
        <x:f>'全部组合'!D131</x:f>
        <x:v>3347</x:v>
      </x:c>
      <x:c r="E302" s="12" t="n">
        <x:f>'全部组合'!O131/$D302</x:f>
        <x:v>0</x:v>
      </x:c>
      <x:c r="F302" s="12" t="n">
        <x:f>'全部组合'!P131/$D302</x:f>
        <x:v>0.3023603226770242</x:v>
      </x:c>
      <x:c r="G302" s="12" t="n">
        <x:f>'全部组合'!Q131/$D302</x:f>
        <x:v>0.02001792650134449</x:v>
      </x:c>
      <x:c r="H302" s="12" t="n">
        <x:f>'全部组合'!R131/$D302</x:f>
        <x:v>0</x:v>
      </x:c>
      <x:c r="I302" s="12" t="n">
        <x:f>'全部组合'!S131/$D302</x:f>
        <x:v>0.5625933671945026</x:v>
      </x:c>
      <x:c r="J302" s="12" t="n">
        <x:f>'全部组合'!T131/$D302</x:f>
        <x:v>0</x:v>
      </x:c>
      <x:c r="K302" s="12" t="n">
        <x:f>'全部组合'!U131/$D302</x:f>
        <x:v>0.052584403943830293</x:v>
      </x:c>
      <x:c r="L302" s="12" t="n">
        <x:f>'全部组合'!V131/$D302</x:f>
        <x:v>0.010457125784284434</x:v>
      </x:c>
      <x:c r="M302" s="12" t="n">
        <x:f>'全部组合'!W131/$D302</x:f>
        <x:v>0.05198685389901404</x:v>
      </x:c>
      <x:c r="N302" s="13" t="n">
        <x:f>'全部组合'!X131/$D302</x:f>
        <x:v>0</x:v>
      </x:c>
    </x:row>
    <x:row r="303" ht="23" customHeight="1">
      <x:c r="A303" s="10" t="str">
        <x:v>M6</x:v>
      </x:c>
      <x:c r="B303" s="10" t="str">
        <x:v>NC_HT</x:v>
      </x:c>
      <x:c r="C303" s="9" t="str">
        <x:v>源三角形</x:v>
      </x:c>
      <x:c r="D303" s="11" t="n">
        <x:f>'全部组合'!I131</x:f>
        <x:v>15496224</x:v>
      </x:c>
      <x:c r="E303" s="12" t="n">
        <x:f>'全部组合'!Y131/$D303</x:f>
        <x:v>0</x:v>
      </x:c>
      <x:c r="F303" s="12" t="n">
        <x:f>'全部组合'!Z131/$D303</x:f>
        <x:v>0.14162366264194426</x:v>
      </x:c>
      <x:c r="G303" s="12" t="n">
        <x:f>'全部组合'!AA131/$D303</x:f>
        <x:v>0.01280453870568727</x:v>
      </x:c>
      <x:c r="H303" s="12" t="n">
        <x:f>'全部组合'!AB131/$D303</x:f>
        <x:v>0</x:v>
      </x:c>
      <x:c r="I303" s="12" t="n">
        <x:f>'全部组合'!AC131/$D303</x:f>
        <x:v>0.6276673594806064</x:v>
      </x:c>
      <x:c r="J303" s="12" t="n">
        <x:f>'全部组合'!AD131/$D303</x:f>
        <x:v>0</x:v>
      </x:c>
      <x:c r="K303" s="12" t="n">
        <x:f>'全部组合'!AE131/$D303</x:f>
        <x:v>0.09229409693613103</x:v>
      </x:c>
      <x:c r="L303" s="12" t="n">
        <x:f>'全部组合'!AF131/$D303</x:f>
        <x:v>0.06544884740953667</x:v>
      </x:c>
      <x:c r="M303" s="12" t="n">
        <x:f>'全部组合'!AG131/$D303</x:f>
        <x:v>0.06016149482609441</x:v>
      </x:c>
      <x:c r="N303" s="13" t="n">
        <x:f>'全部组合'!AH131/$D303</x:f>
        <x:v>0</x:v>
      </x:c>
    </x:row>
    <x:row r="304" ht="23" customHeight="1">
      <x:c r="A304" s="10" t="str">
        <x:v>M6</x:v>
      </x:c>
      <x:c r="B304" s="10" t="str">
        <x:v>NC_H1</x:v>
      </x:c>
      <x:c r="C304" s="9" t="str">
        <x:v>节点</x:v>
      </x:c>
      <x:c r="D304" s="11" t="n">
        <x:f>'全部组合'!D132</x:f>
        <x:v>3347</x:v>
      </x:c>
      <x:c r="E304" s="12" t="n">
        <x:f>'全部组合'!O132/$D304</x:f>
        <x:v>0</x:v>
      </x:c>
      <x:c r="F304" s="12" t="n">
        <x:f>'全部组合'!P132/$D304</x:f>
        <x:v>0.3023603226770242</x:v>
      </x:c>
      <x:c r="G304" s="12" t="n">
        <x:f>'全部组合'!Q132/$D304</x:f>
        <x:v>0.019121601434120106</x:v>
      </x:c>
      <x:c r="H304" s="12" t="n">
        <x:f>'全部组合'!R132/$D304</x:f>
        <x:v>0</x:v>
      </x:c>
      <x:c r="I304" s="12" t="n">
        <x:f>'全部组合'!S132/$D304</x:f>
        <x:v>0.5625933671945026</x:v>
      </x:c>
      <x:c r="J304" s="12" t="n">
        <x:f>'全部组合'!T132/$D304</x:f>
        <x:v>0.00089632506722438</x:v>
      </x:c>
      <x:c r="K304" s="12" t="n">
        <x:f>'全部组合'!U132/$D304</x:f>
        <x:v>0.052584403943830293</x:v>
      </x:c>
      <x:c r="L304" s="12" t="n">
        <x:f>'全部组合'!V132/$D304</x:f>
        <x:v>0.010457125784284434</x:v>
      </x:c>
      <x:c r="M304" s="12" t="n">
        <x:f>'全部组合'!W132/$D304</x:f>
        <x:v>0.05198685389901404</x:v>
      </x:c>
      <x:c r="N304" s="13" t="n">
        <x:f>'全部组合'!X132/$D304</x:f>
        <x:v>0</x:v>
      </x:c>
    </x:row>
    <x:row r="305" ht="23" customHeight="1">
      <x:c r="A305" s="10" t="str">
        <x:v>M6</x:v>
      </x:c>
      <x:c r="B305" s="10" t="str">
        <x:v>NC_H1</x:v>
      </x:c>
      <x:c r="C305" s="9" t="str">
        <x:v>源三角形</x:v>
      </x:c>
      <x:c r="D305" s="11" t="n">
        <x:f>'全部组合'!I132</x:f>
        <x:v>15496224</x:v>
      </x:c>
      <x:c r="E305" s="12" t="n">
        <x:f>'全部组合'!Y132/$D305</x:f>
        <x:v>0</x:v>
      </x:c>
      <x:c r="F305" s="12" t="n">
        <x:f>'全部组合'!Z132/$D305</x:f>
        <x:v>0.14162366264194426</x:v>
      </x:c>
      <x:c r="G305" s="12" t="n">
        <x:f>'全部组合'!AA132/$D305</x:f>
        <x:v>0.012243885994420318</x:v>
      </x:c>
      <x:c r="H305" s="12" t="n">
        <x:f>'全部组合'!AB132/$D305</x:f>
        <x:v>0</x:v>
      </x:c>
      <x:c r="I305" s="12" t="n">
        <x:f>'全部组合'!AC132/$D305</x:f>
        <x:v>0.6276673594806064</x:v>
      </x:c>
      <x:c r="J305" s="12" t="n">
        <x:f>'全部组合'!AD132/$D305</x:f>
        <x:v>0.0005606527112669512</x:v>
      </x:c>
      <x:c r="K305" s="12" t="n">
        <x:f>'全部组合'!AE132/$D305</x:f>
        <x:v>0.09229409693613103</x:v>
      </x:c>
      <x:c r="L305" s="12" t="n">
        <x:f>'全部组合'!AF132/$D305</x:f>
        <x:v>0.06544884740953667</x:v>
      </x:c>
      <x:c r="M305" s="12" t="n">
        <x:f>'全部组合'!AG132/$D305</x:f>
        <x:v>0.06016149482609441</x:v>
      </x:c>
      <x:c r="N305" s="13" t="n">
        <x:f>'全部组合'!AH132/$D305</x:f>
        <x:v>0</x:v>
      </x:c>
    </x:row>
    <x:row r="306" ht="23" customHeight="1">
      <x:c r="A306" s="10" t="str">
        <x:v>M6</x:v>
      </x:c>
      <x:c r="B306" s="10" t="str">
        <x:v>NG_H0</x:v>
      </x:c>
      <x:c r="C306" s="9" t="str">
        <x:v>节点</x:v>
      </x:c>
      <x:c r="D306" s="11" t="n">
        <x:f>'全部组合'!D133</x:f>
        <x:v>3347</x:v>
      </x:c>
      <x:c r="E306" s="12" t="n">
        <x:f>'全部组合'!O133/$D306</x:f>
        <x:v>0.005975500448162534</x:v>
      </x:c>
      <x:c r="F306" s="12" t="n">
        <x:f>'全部组合'!P133/$D306</x:f>
        <x:v>0.2082461906184643</x:v>
      </x:c>
      <x:c r="G306" s="12" t="n">
        <x:f>'全部组合'!Q133/$D306</x:f>
        <x:v>0.34389005079175383</x:v>
      </x:c>
      <x:c r="H306" s="12" t="n">
        <x:f>'全部组合'!R133/$D306</x:f>
        <x:v>0.266507319988049</x:v>
      </x:c>
      <x:c r="I306" s="12" t="n">
        <x:f>'全部组合'!S133/$D306</x:f>
        <x:v>0.028981177173588286</x:v>
      </x:c>
      <x:c r="J306" s="12" t="n">
        <x:f>'全部组合'!T133/$D306</x:f>
        <x:v>0.010158350761876307</x:v>
      </x:c>
      <x:c r="K306" s="12" t="n">
        <x:f>'全部组合'!U133/$D306</x:f>
        <x:v>0.05318195398864655</x:v>
      </x:c>
      <x:c r="L306" s="12" t="n">
        <x:f>'全部组合'!V133/$D306</x:f>
        <x:v>0.010457125784284434</x:v>
      </x:c>
      <x:c r="M306" s="12" t="n">
        <x:f>'全部组合'!W133/$D306</x:f>
        <x:v>0.07140723035554228</x:v>
      </x:c>
      <x:c r="N306" s="13" t="n">
        <x:f>'全部组合'!X133/$D306</x:f>
        <x:v>0.0011951000896325067</x:v>
      </x:c>
    </x:row>
    <x:row r="307" ht="23" customHeight="1">
      <x:c r="A307" s="10" t="str">
        <x:v>M6</x:v>
      </x:c>
      <x:c r="B307" s="10" t="str">
        <x:v>NG_H0</x:v>
      </x:c>
      <x:c r="C307" s="9" t="str">
        <x:v>源三角形</x:v>
      </x:c>
      <x:c r="D307" s="11" t="n">
        <x:f>'全部组合'!I133</x:f>
        <x:v>15496224</x:v>
      </x:c>
      <x:c r="E307" s="12" t="n">
        <x:f>'全部组合'!Y133/$D307</x:f>
        <x:v>0.0006207963953024944</x:v>
      </x:c>
      <x:c r="F307" s="12" t="n">
        <x:f>'全部组合'!Z133/$D307</x:f>
        <x:v>0.1455446178372228</x:v>
      </x:c>
      <x:c r="G307" s="12" t="n">
        <x:f>'全部组合'!AA133/$D307</x:f>
        <x:v>0.15824822872978606</x:v>
      </x:c>
      <x:c r="H307" s="12" t="n">
        <x:f>'全部组合'!AB133/$D307</x:f>
        <x:v>0.32591062183923</x:v>
      </x:c>
      <x:c r="I307" s="12" t="n">
        <x:f>'全部组合'!AC133/$D307</x:f>
        <x:v>0.030999035636036235</x:v>
      </x:c>
      <x:c r="J307" s="12" t="n">
        <x:f>'全部组合'!AD133/$D307</x:f>
        <x:v>0.037231650755693776</x:v>
      </x:c>
      <x:c r="K307" s="12" t="n">
        <x:f>'全部组合'!AE133/$D307</x:f>
        <x:v>0.1160019369880043</x:v>
      </x:c>
      <x:c r="L307" s="12" t="n">
        <x:f>'全部组合'!AF133/$D307</x:f>
        <x:v>0.06544884740953667</x:v>
      </x:c>
      <x:c r="M307" s="12" t="n">
        <x:f>'全部组合'!AG133/$D307</x:f>
        <x:v>0.11982699785444506</x:v>
      </x:c>
      <x:c r="N307" s="13" t="n">
        <x:f>'全部组合'!AH133/$D307</x:f>
        <x:v>0.00016726655474262633</x:v>
      </x:c>
    </x:row>
    <x:row r="308" ht="23" customHeight="1">
      <x:c r="A308" s="10" t="str">
        <x:v>M6</x:v>
      </x:c>
      <x:c r="B308" s="10" t="str">
        <x:v>NG_HT</x:v>
      </x:c>
      <x:c r="C308" s="9" t="str">
        <x:v>节点</x:v>
      </x:c>
      <x:c r="D308" s="11" t="n">
        <x:f>'全部组合'!D134</x:f>
        <x:v>3347</x:v>
      </x:c>
      <x:c r="E308" s="12" t="n">
        <x:f>'全部组合'!O134/$D308</x:f>
        <x:v>0.005975500448162534</x:v>
      </x:c>
      <x:c r="F308" s="12" t="n">
        <x:f>'全部组合'!P134/$D308</x:f>
        <x:v>0.18494173887063042</x:v>
      </x:c>
      <x:c r="G308" s="12" t="n">
        <x:f>'全部组合'!Q134/$D308</x:f>
        <x:v>0.3268598745144906</x:v>
      </x:c>
      <x:c r="H308" s="12" t="n">
        <x:f>'全部组合'!R134/$D308</x:f>
        <x:v>0.2790558709291903</x:v>
      </x:c>
      <x:c r="I308" s="12" t="n">
        <x:f>'全部组合'!S134/$D308</x:f>
        <x:v>0.05676725425754407</x:v>
      </x:c>
      <x:c r="J308" s="12" t="n">
        <x:f>'全部组合'!T134/$D308</x:f>
        <x:v>0.010158350761876307</x:v>
      </x:c>
      <x:c r="K308" s="12" t="n">
        <x:f>'全部组合'!U134/$D308</x:f>
        <x:v>0.05318195398864655</x:v>
      </x:c>
      <x:c r="L308" s="12" t="n">
        <x:f>'全部组合'!V134/$D308</x:f>
        <x:v>0.010457125784284434</x:v>
      </x:c>
      <x:c r="M308" s="12" t="n">
        <x:f>'全部组合'!W134/$D308</x:f>
        <x:v>0.07140723035554228</x:v>
      </x:c>
      <x:c r="N308" s="13" t="n">
        <x:f>'全部组合'!X134/$D308</x:f>
        <x:v>0.0011951000896325067</x:v>
      </x:c>
    </x:row>
    <x:row r="309" ht="23" customHeight="1">
      <x:c r="A309" s="10" t="str">
        <x:v>M6</x:v>
      </x:c>
      <x:c r="B309" s="10" t="str">
        <x:v>NG_HT</x:v>
      </x:c>
      <x:c r="C309" s="9" t="str">
        <x:v>源三角形</x:v>
      </x:c>
      <x:c r="D309" s="11" t="n">
        <x:f>'全部组合'!I134</x:f>
        <x:v>15496224</x:v>
      </x:c>
      <x:c r="E309" s="12" t="n">
        <x:f>'全部组合'!Y134/$D309</x:f>
        <x:v>0.0006207963953024944</x:v>
      </x:c>
      <x:c r="F309" s="12" t="n">
        <x:f>'全部组合'!Z134/$D309</x:f>
        <x:v>0.14060134907703967</x:v>
      </x:c>
      <x:c r="G309" s="12" t="n">
        <x:f>'全部组合'!AA134/$D309</x:f>
        <x:v>0.14846661999723287</x:v>
      </x:c>
      <x:c r="H309" s="12" t="n">
        <x:f>'全部组合'!AB134/$D309</x:f>
        <x:v>0.332447698226355</x:v>
      </x:c>
      <x:c r="I309" s="12" t="n">
        <x:f>'全部组合'!AC134/$D309</x:f>
        <x:v>0.03918683674164752</x:v>
      </x:c>
      <x:c r="J309" s="12" t="n">
        <x:f>'全部组合'!AD134/$D309</x:f>
        <x:v>0.037231650755693776</x:v>
      </x:c>
      <x:c r="K309" s="12" t="n">
        <x:f>'全部组合'!AE134/$D309</x:f>
        <x:v>0.1160019369880043</x:v>
      </x:c>
      <x:c r="L309" s="12" t="n">
        <x:f>'全部组合'!AF134/$D309</x:f>
        <x:v>0.06544884740953667</x:v>
      </x:c>
      <x:c r="M309" s="12" t="n">
        <x:f>'全部组合'!AG134/$D309</x:f>
        <x:v>0.11982699785444506</x:v>
      </x:c>
      <x:c r="N309" s="13" t="n">
        <x:f>'全部组合'!AH134/$D309</x:f>
        <x:v>0.00016726655474262633</x:v>
      </x:c>
    </x:row>
    <x:row r="310" ht="23" customHeight="1">
      <x:c r="A310" s="10" t="str">
        <x:v>M6</x:v>
      </x:c>
      <x:c r="B310" s="10" t="str">
        <x:v>NG_H1</x:v>
      </x:c>
      <x:c r="C310" s="9" t="str">
        <x:v>节点</x:v>
      </x:c>
      <x:c r="D310" s="11" t="n">
        <x:f>'全部组合'!D135</x:f>
        <x:v>3347</x:v>
      </x:c>
      <x:c r="E310" s="12" t="n">
        <x:f>'全部组合'!O135/$D310</x:f>
        <x:v>0.005975500448162534</x:v>
      </x:c>
      <x:c r="F310" s="12" t="n">
        <x:f>'全部组合'!P135/$D310</x:f>
        <x:v>0.18494173887063042</x:v>
      </x:c>
      <x:c r="G310" s="12" t="n">
        <x:f>'全部组合'!Q135/$D310</x:f>
        <x:v>0.3250672243800418</x:v>
      </x:c>
      <x:c r="H310" s="12" t="n">
        <x:f>'全部组合'!R135/$D310</x:f>
        <x:v>0.2790558709291903</x:v>
      </x:c>
      <x:c r="I310" s="12" t="n">
        <x:f>'全部组合'!S135/$D310</x:f>
        <x:v>0.05676725425754407</x:v>
      </x:c>
      <x:c r="J310" s="12" t="n">
        <x:f>'全部组合'!T135/$D310</x:f>
        <x:v>0.011951000896325068</x:v>
      </x:c>
      <x:c r="K310" s="12" t="n">
        <x:f>'全部组合'!U135/$D310</x:f>
        <x:v>0.05318195398864655</x:v>
      </x:c>
      <x:c r="L310" s="12" t="n">
        <x:f>'全部组合'!V135/$D310</x:f>
        <x:v>0.010457125784284434</x:v>
      </x:c>
      <x:c r="M310" s="12" t="n">
        <x:f>'全部组合'!W135/$D310</x:f>
        <x:v>0.07140723035554228</x:v>
      </x:c>
      <x:c r="N310" s="13" t="n">
        <x:f>'全部组合'!X135/$D310</x:f>
        <x:v>0.0011951000896325067</x:v>
      </x:c>
    </x:row>
    <x:row r="311" ht="23" customHeight="1">
      <x:c r="A311" s="10" t="str">
        <x:v>M6</x:v>
      </x:c>
      <x:c r="B311" s="10" t="str">
        <x:v>NG_H1</x:v>
      </x:c>
      <x:c r="C311" s="9" t="str">
        <x:v>源三角形</x:v>
      </x:c>
      <x:c r="D311" s="11" t="n">
        <x:f>'全部组合'!I135</x:f>
        <x:v>15496224</x:v>
      </x:c>
      <x:c r="E311" s="12" t="n">
        <x:f>'全部组合'!Y135/$D311</x:f>
        <x:v>0.0006207963953024944</x:v>
      </x:c>
      <x:c r="F311" s="12" t="n">
        <x:f>'全部组合'!Z135/$D311</x:f>
        <x:v>0.14060134907703967</x:v>
      </x:c>
      <x:c r="G311" s="12" t="n">
        <x:f>'全部组合'!AA135/$D311</x:f>
        <x:v>0.14770036881242812</x:v>
      </x:c>
      <x:c r="H311" s="12" t="n">
        <x:f>'全部组合'!AB135/$D311</x:f>
        <x:v>0.332447698226355</x:v>
      </x:c>
      <x:c r="I311" s="12" t="n">
        <x:f>'全部组合'!AC135/$D311</x:f>
        <x:v>0.03918683674164752</x:v>
      </x:c>
      <x:c r="J311" s="12" t="n">
        <x:f>'全部组合'!AD135/$D311</x:f>
        <x:v>0.037997901940498534</x:v>
      </x:c>
      <x:c r="K311" s="12" t="n">
        <x:f>'全部组合'!AE135/$D311</x:f>
        <x:v>0.1160019369880043</x:v>
      </x:c>
      <x:c r="L311" s="12" t="n">
        <x:f>'全部组合'!AF135/$D311</x:f>
        <x:v>0.06544884740953667</x:v>
      </x:c>
      <x:c r="M311" s="12" t="n">
        <x:f>'全部组合'!AG135/$D311</x:f>
        <x:v>0.11982699785444506</x:v>
      </x:c>
      <x:c r="N311" s="13" t="n">
        <x:f>'全部组合'!AH135/$D311</x:f>
        <x:v>0.00016726655474262633</x:v>
      </x:c>
    </x:row>
    <x:row r="312" ht="23" customHeight="1">
      <x:c r="A312" s="10" t="str">
        <x:v>M6</x:v>
      </x:c>
      <x:c r="B312" s="10" t="str">
        <x:v>CG_H0</x:v>
      </x:c>
      <x:c r="C312" s="9" t="str">
        <x:v>节点</x:v>
      </x:c>
      <x:c r="D312" s="11" t="n">
        <x:f>'全部组合'!D136</x:f>
        <x:v>3347</x:v>
      </x:c>
      <x:c r="E312" s="12" t="n">
        <x:f>'全部组合'!O136/$D312</x:f>
        <x:v>0.005975500448162534</x:v>
      </x:c>
      <x:c r="F312" s="12" t="n">
        <x:f>'全部组合'!P136/$D312</x:f>
        <x:v>0.2620256946519271</x:v>
      </x:c>
      <x:c r="G312" s="12" t="n">
        <x:f>'全部组合'!Q136/$D312</x:f>
        <x:v>0.4517478338810875</x:v>
      </x:c>
      <x:c r="H312" s="12" t="n">
        <x:f>'全部组合'!R136/$D312</x:f>
        <x:v>0.23931879294890948</x:v>
      </x:c>
      <x:c r="I312" s="12" t="n">
        <x:f>'全部组合'!S136/$D312</x:f>
        <x:v>0.02957872721840454</x:v>
      </x:c>
      <x:c r="J312" s="12" t="n">
        <x:f>'全部组合'!T136/$D312</x:f>
        <x:v>0.010158350761876307</x:v>
      </x:c>
      <x:c r="K312" s="12" t="n">
        <x:f>'全部组合'!U136/$D312</x:f>
        <x:v>0.0011951000896325067</x:v>
      </x:c>
      <x:c r="L312" s="12" t="n">
        <x:f>'全部组合'!V136/$D312</x:f>
        <x:v>0</x:v>
      </x:c>
      <x:c r="M312" s="12" t="n">
        <x:f>'全部组合'!W136/$D312</x:f>
        <x:v>0</x:v>
      </x:c>
      <x:c r="N312" s="13" t="n">
        <x:f>'全部组合'!X136/$D312</x:f>
        <x:v>0</x:v>
      </x:c>
    </x:row>
    <x:row r="313" ht="23" customHeight="1">
      <x:c r="A313" s="10" t="str">
        <x:v>M6</x:v>
      </x:c>
      <x:c r="B313" s="10" t="str">
        <x:v>CG_H0</x:v>
      </x:c>
      <x:c r="C313" s="9" t="str">
        <x:v>源三角形</x:v>
      </x:c>
      <x:c r="D313" s="11" t="n">
        <x:f>'全部组合'!I136</x:f>
        <x:v>15496224</x:v>
      </x:c>
      <x:c r="E313" s="12" t="n">
        <x:f>'全部组合'!Y136/$D313</x:f>
        <x:v>0.0006207963953024944</x:v>
      </x:c>
      <x:c r="F313" s="12" t="n">
        <x:f>'全部组合'!Z136/$D313</x:f>
        <x:v>0.16102826082018432</x:v>
      </x:c>
      <x:c r="G313" s="12" t="n">
        <x:f>'全部组合'!AA136/$D313</x:f>
        <x:v>0.3509793095401822</x:v>
      </x:c>
      <x:c r="H313" s="12" t="n">
        <x:f>'全部组合'!AB136/$D313</x:f>
        <x:v>0.38859324697423064</x:v>
      </x:c>
      <x:c r="I313" s="12" t="n">
        <x:f>'全部组合'!AC136/$D313</x:f>
        <x:v>0.03645559072971583</x:v>
      </x:c>
      <x:c r="J313" s="12" t="n">
        <x:f>'全部组合'!AD136/$D313</x:f>
        <x:v>0.037231650755693776</x:v>
      </x:c>
      <x:c r="K313" s="12" t="n">
        <x:f>'全部组合'!AE136/$D313</x:f>
        <x:v>0.025091144784690773</x:v>
      </x:c>
      <x:c r="L313" s="12" t="n">
        <x:f>'全部组合'!AF136/$D313</x:f>
        <x:v>0</x:v>
      </x:c>
      <x:c r="M313" s="12" t="n">
        <x:f>'全部组合'!AG136/$D313</x:f>
        <x:v>0</x:v>
      </x:c>
      <x:c r="N313" s="13" t="n">
        <x:f>'全部组合'!AH136/$D313</x:f>
        <x:v>0</x:v>
      </x:c>
    </x:row>
    <x:row r="314" ht="23" customHeight="1">
      <x:c r="A314" s="10" t="str">
        <x:v>M6</x:v>
      </x:c>
      <x:c r="B314" s="10" t="str">
        <x:v>CG_HT</x:v>
      </x:c>
      <x:c r="C314" s="9" t="str">
        <x:v>节点</x:v>
      </x:c>
      <x:c r="D314" s="11" t="n">
        <x:f>'全部组合'!D137</x:f>
        <x:v>3347</x:v>
      </x:c>
      <x:c r="E314" s="12" t="n">
        <x:f>'全部组合'!O137/$D314</x:f>
        <x:v>0.005975500448162534</x:v>
      </x:c>
      <x:c r="F314" s="12" t="n">
        <x:f>'全部组合'!P137/$D314</x:f>
        <x:v>0.18314908873618166</x:v>
      </x:c>
      <x:c r="G314" s="12" t="n">
        <x:f>'全部组合'!Q137/$D314</x:f>
        <x:v>0.507021213026591</x:v>
      </x:c>
      <x:c r="H314" s="12" t="n">
        <x:f>'全部组合'!R137/$D314</x:f>
        <x:v>0.2351359426351957</x:v>
      </x:c>
      <x:c r="I314" s="12" t="n">
        <x:f>'全部组合'!S137/$D314</x:f>
        <x:v>0.05736480430236032</x:v>
      </x:c>
      <x:c r="J314" s="12" t="n">
        <x:f>'全部组合'!T137/$D314</x:f>
        <x:v>0.010158350761876307</x:v>
      </x:c>
      <x:c r="K314" s="12" t="n">
        <x:f>'全部组合'!U137/$D314</x:f>
        <x:v>0.0011951000896325067</x:v>
      </x:c>
      <x:c r="L314" s="12" t="n">
        <x:f>'全部组合'!V137/$D314</x:f>
        <x:v>0</x:v>
      </x:c>
      <x:c r="M314" s="12" t="n">
        <x:f>'全部组合'!W137/$D314</x:f>
        <x:v>0</x:v>
      </x:c>
      <x:c r="N314" s="13" t="n">
        <x:f>'全部组合'!X137/$D314</x:f>
        <x:v>0</x:v>
      </x:c>
    </x:row>
    <x:row r="315" ht="23" customHeight="1">
      <x:c r="A315" s="10" t="str">
        <x:v>M6</x:v>
      </x:c>
      <x:c r="B315" s="10" t="str">
        <x:v>CG_HT</x:v>
      </x:c>
      <x:c r="C315" s="9" t="str">
        <x:v>源三角形</x:v>
      </x:c>
      <x:c r="D315" s="11" t="n">
        <x:f>'全部组合'!I137</x:f>
        <x:v>15496224</x:v>
      </x:c>
      <x:c r="E315" s="12" t="n">
        <x:f>'全部组合'!Y137/$D315</x:f>
        <x:v>0.0006207963953024944</x:v>
      </x:c>
      <x:c r="F315" s="12" t="n">
        <x:f>'全部组合'!Z137/$D315</x:f>
        <x:v>0.11665099833352952</x:v>
      </x:c>
      <x:c r="G315" s="12" t="n">
        <x:f>'全部组合'!AA137/$D315</x:f>
        <x:v>0.3860668250536389</x:v>
      </x:c>
      <x:c r="H315" s="12" t="n">
        <x:f>'全部组合'!AB137/$D315</x:f>
        <x:v>0.3896951928418175</x:v>
      </x:c>
      <x:c r="I315" s="12" t="n">
        <x:f>'全部组合'!AC137/$D315</x:f>
        <x:v>0.04464339183532711</x:v>
      </x:c>
      <x:c r="J315" s="12" t="n">
        <x:f>'全部组合'!AD137/$D315</x:f>
        <x:v>0.037231650755693776</x:v>
      </x:c>
      <x:c r="K315" s="12" t="n">
        <x:f>'全部组合'!AE137/$D315</x:f>
        <x:v>0.025091144784690773</x:v>
      </x:c>
      <x:c r="L315" s="12" t="n">
        <x:f>'全部组合'!AF137/$D315</x:f>
        <x:v>0</x:v>
      </x:c>
      <x:c r="M315" s="12" t="n">
        <x:f>'全部组合'!AG137/$D315</x:f>
        <x:v>0</x:v>
      </x:c>
      <x:c r="N315" s="13" t="n">
        <x:f>'全部组合'!AH137/$D315</x:f>
        <x:v>0</x:v>
      </x:c>
    </x:row>
    <x:row r="316" ht="23" customHeight="1">
      <x:c r="A316" s="10" t="str">
        <x:v>M6</x:v>
      </x:c>
      <x:c r="B316" s="10" t="str">
        <x:v>CG_H1</x:v>
      </x:c>
      <x:c r="C316" s="9" t="str">
        <x:v>节点</x:v>
      </x:c>
      <x:c r="D316" s="11" t="n">
        <x:f>'全部组合'!D138</x:f>
        <x:v>3347</x:v>
      </x:c>
      <x:c r="E316" s="12" t="n">
        <x:f>'全部组合'!O138/$D316</x:f>
        <x:v>0.005975500448162534</x:v>
      </x:c>
      <x:c r="F316" s="12" t="n">
        <x:f>'全部组合'!P138/$D316</x:f>
        <x:v>0.18314908873618166</x:v>
      </x:c>
      <x:c r="G316" s="12" t="n">
        <x:f>'全部组合'!Q138/$D316</x:f>
        <x:v>0.507021213026591</x:v>
      </x:c>
      <x:c r="H316" s="12" t="n">
        <x:f>'全部组合'!R138/$D316</x:f>
        <x:v>0.2351359426351957</x:v>
      </x:c>
      <x:c r="I316" s="12" t="n">
        <x:f>'全部组合'!S138/$D316</x:f>
        <x:v>0.05736480430236032</x:v>
      </x:c>
      <x:c r="J316" s="12" t="n">
        <x:f>'全部组合'!T138/$D316</x:f>
        <x:v>0.010158350761876307</x:v>
      </x:c>
      <x:c r="K316" s="12" t="n">
        <x:f>'全部组合'!U138/$D316</x:f>
        <x:v>0.0011951000896325067</x:v>
      </x:c>
      <x:c r="L316" s="12" t="n">
        <x:f>'全部组合'!V138/$D316</x:f>
        <x:v>0</x:v>
      </x:c>
      <x:c r="M316" s="12" t="n">
        <x:f>'全部组合'!W138/$D316</x:f>
        <x:v>0</x:v>
      </x:c>
      <x:c r="N316" s="13" t="n">
        <x:f>'全部组合'!X138/$D316</x:f>
        <x:v>0</x:v>
      </x:c>
    </x:row>
    <x:row r="317" ht="23" customHeight="1">
      <x:c r="A317" s="10" t="str">
        <x:v>M6</x:v>
      </x:c>
      <x:c r="B317" s="10" t="str">
        <x:v>CG_H1</x:v>
      </x:c>
      <x:c r="C317" s="9" t="str">
        <x:v>源三角形</x:v>
      </x:c>
      <x:c r="D317" s="11" t="n">
        <x:f>'全部组合'!I138</x:f>
        <x:v>15496224</x:v>
      </x:c>
      <x:c r="E317" s="12" t="n">
        <x:f>'全部组合'!Y138/$D317</x:f>
        <x:v>0.0006207963953024944</x:v>
      </x:c>
      <x:c r="F317" s="12" t="n">
        <x:f>'全部组合'!Z138/$D317</x:f>
        <x:v>0.11665099833352952</x:v>
      </x:c>
      <x:c r="G317" s="12" t="n">
        <x:f>'全部组合'!AA138/$D317</x:f>
        <x:v>0.3860668250536389</x:v>
      </x:c>
      <x:c r="H317" s="12" t="n">
        <x:f>'全部组合'!AB138/$D317</x:f>
        <x:v>0.3896951928418175</x:v>
      </x:c>
      <x:c r="I317" s="12" t="n">
        <x:f>'全部组合'!AC138/$D317</x:f>
        <x:v>0.04464339183532711</x:v>
      </x:c>
      <x:c r="J317" s="12" t="n">
        <x:f>'全部组合'!AD138/$D317</x:f>
        <x:v>0.037231650755693776</x:v>
      </x:c>
      <x:c r="K317" s="12" t="n">
        <x:f>'全部组合'!AE138/$D317</x:f>
        <x:v>0.025091144784690773</x:v>
      </x:c>
      <x:c r="L317" s="12" t="n">
        <x:f>'全部组合'!AF138/$D317</x:f>
        <x:v>0</x:v>
      </x:c>
      <x:c r="M317" s="12" t="n">
        <x:f>'全部组合'!AG138/$D317</x:f>
        <x:v>0</x:v>
      </x:c>
      <x:c r="N317" s="13" t="n">
        <x:f>'全部组合'!AH138/$D317</x:f>
        <x:v>0</x:v>
      </x:c>
    </x:row>
    <x:row r="318" ht="23" customHeight="1">
      <x:c r="A318" s="10" t="str">
        <x:v>M6</x:v>
      </x:c>
      <x:c r="B318" s="10" t="str">
        <x:v>NCG_H0</x:v>
      </x:c>
      <x:c r="C318" s="9" t="str">
        <x:v>节点</x:v>
      </x:c>
      <x:c r="D318" s="11" t="n">
        <x:f>'全部组合'!D139</x:f>
        <x:v>3347</x:v>
      </x:c>
      <x:c r="E318" s="12" t="n">
        <x:f>'全部组合'!O139/$D318</x:f>
        <x:v>0</x:v>
      </x:c>
      <x:c r="F318" s="12" t="n">
        <x:f>'全部组合'!P139/$D318</x:f>
        <x:v>0.20675231550642367</x:v>
      </x:c>
      <x:c r="G318" s="12" t="n">
        <x:f>'全部组合'!Q139/$D318</x:f>
        <x:v>0.3884075291305647</x:v>
      </x:c>
      <x:c r="H318" s="12" t="n">
        <x:f>'全部组合'!R139/$D318</x:f>
        <x:v>0.24708694353152078</x:v>
      </x:c>
      <x:c r="I318" s="12" t="n">
        <x:f>'全部组合'!S139/$D318</x:f>
        <x:v>0.031072602330445176</x:v>
      </x:c>
      <x:c r="J318" s="12" t="n">
        <x:f>'全部组合'!T139/$D318</x:f>
        <x:v>0.011353450851508814</x:v>
      </x:c>
      <x:c r="K318" s="12" t="n">
        <x:f>'全部组合'!U139/$D318</x:f>
        <x:v>0.052883178966238426</x:v>
      </x:c>
      <x:c r="L318" s="12" t="n">
        <x:f>'全部组合'!V139/$D318</x:f>
        <x:v>0.010457125784284434</x:v>
      </x:c>
      <x:c r="M318" s="12" t="n">
        <x:f>'全部组合'!W139/$D318</x:f>
        <x:v>0.05198685389901404</x:v>
      </x:c>
      <x:c r="N318" s="13" t="n">
        <x:f>'全部组合'!X139/$D318</x:f>
        <x:v>0</x:v>
      </x:c>
    </x:row>
    <x:row r="319" ht="23" customHeight="1">
      <x:c r="A319" s="10" t="str">
        <x:v>M6</x:v>
      </x:c>
      <x:c r="B319" s="10" t="str">
        <x:v>NCG_H0</x:v>
      </x:c>
      <x:c r="C319" s="9" t="str">
        <x:v>源三角形</x:v>
      </x:c>
      <x:c r="D319" s="11" t="n">
        <x:f>'全部组合'!I139</x:f>
        <x:v>15496224</x:v>
      </x:c>
      <x:c r="E319" s="12" t="n">
        <x:f>'全部组合'!Y139/$D319</x:f>
        <x:v>0</x:v>
      </x:c>
      <x:c r="F319" s="12" t="n">
        <x:f>'全部组合'!Z139/$D319</x:f>
        <x:v>0.11113662270240802</x:v>
      </x:c>
      <x:c r="G319" s="12" t="n">
        <x:f>'全部组合'!AA139/$D319</x:f>
        <x:v>0.25156657518631637</x:v>
      </x:c>
      <x:c r="H319" s="12" t="n">
        <x:f>'全部组合'!AB139/$D319</x:f>
        <x:v>0.32708523056971817</x:v>
      </x:c>
      <x:c r="I319" s="12" t="n">
        <x:f>'全部组合'!AC139/$D319</x:f>
        <x:v>0.02853662931046944</x:v>
      </x:c>
      <x:c r="J319" s="12" t="n">
        <x:f>'全部组合'!AD139/$D319</x:f>
        <x:v>0.04024864379864411</x:v>
      </x:c>
      <x:c r="K319" s="12" t="n">
        <x:f>'全部组合'!AE139/$D319</x:f>
        <x:v>0.11581595619681286</x:v>
      </x:c>
      <x:c r="L319" s="12" t="n">
        <x:f>'全部组合'!AF139/$D319</x:f>
        <x:v>0.06544884740953667</x:v>
      </x:c>
      <x:c r="M319" s="12" t="n">
        <x:f>'全部组合'!AG139/$D319</x:f>
        <x:v>0.06016149482609441</x:v>
      </x:c>
      <x:c r="N319" s="13" t="n">
        <x:f>'全部组合'!AH139/$D319</x:f>
        <x:v>0</x:v>
      </x:c>
    </x:row>
    <x:row r="320" ht="23" customHeight="1">
      <x:c r="A320" s="10" t="str">
        <x:v>M6</x:v>
      </x:c>
      <x:c r="B320" s="10" t="str">
        <x:v>NCG_HT</x:v>
      </x:c>
      <x:c r="C320" s="9" t="str">
        <x:v>节点</x:v>
      </x:c>
      <x:c r="D320" s="11" t="n">
        <x:f>'全部组合'!D140</x:f>
        <x:v>3347</x:v>
      </x:c>
      <x:c r="E320" s="12" t="n">
        <x:f>'全部组合'!O140/$D320</x:f>
        <x:v>0</x:v>
      </x:c>
      <x:c r="F320" s="12" t="n">
        <x:f>'全部组合'!P140/$D320</x:f>
        <x:v>0.16850911263818344</x:v>
      </x:c>
      <x:c r="G320" s="12" t="n">
        <x:f>'全部组合'!Q140/$D320</x:f>
        <x:v>0.4018524051389304</x:v>
      </x:c>
      <x:c r="H320" s="12" t="n">
        <x:f>'全部组合'!R140/$D320</x:f>
        <x:v>0.24170899312817448</x:v>
      </x:c>
      <x:c r="I320" s="12" t="n">
        <x:f>'全部组合'!S140/$D320</x:f>
        <x:v>0.06124887959366597</x:v>
      </x:c>
      <x:c r="J320" s="12" t="n">
        <x:f>'全部组合'!T140/$D320</x:f>
        <x:v>0.011353450851508814</x:v>
      </x:c>
      <x:c r="K320" s="12" t="n">
        <x:f>'全部组合'!U140/$D320</x:f>
        <x:v>0.052883178966238426</x:v>
      </x:c>
      <x:c r="L320" s="12" t="n">
        <x:f>'全部组合'!V140/$D320</x:f>
        <x:v>0.010457125784284434</x:v>
      </x:c>
      <x:c r="M320" s="12" t="n">
        <x:f>'全部组合'!W140/$D320</x:f>
        <x:v>0.05198685389901404</x:v>
      </x:c>
      <x:c r="N320" s="13" t="n">
        <x:f>'全部组合'!X140/$D320</x:f>
        <x:v>0</x:v>
      </x:c>
    </x:row>
    <x:row r="321" ht="23" customHeight="1">
      <x:c r="A321" s="10" t="str">
        <x:v>M6</x:v>
      </x:c>
      <x:c r="B321" s="10" t="str">
        <x:v>NCG_HT</x:v>
      </x:c>
      <x:c r="C321" s="9" t="str">
        <x:v>源三角形</x:v>
      </x:c>
      <x:c r="D321" s="11" t="n">
        <x:f>'全部组合'!I140</x:f>
        <x:v>15496224</x:v>
      </x:c>
      <x:c r="E321" s="12" t="n">
        <x:f>'全部组合'!Y140/$D321</x:f>
        <x:v>0</x:v>
      </x:c>
      <x:c r="F321" s="12" t="n">
        <x:f>'全部组合'!Z140/$D321</x:f>
        <x:v>0.10176479121623436</x:v>
      </x:c>
      <x:c r="G321" s="12" t="n">
        <x:f>'全部组合'!AA140/$D321</x:f>
        <x:v>0.25138782196230514</x:v>
      </x:c>
      <x:c r="H321" s="12" t="n">
        <x:f>'全部组合'!AB140/$D321</x:f>
        <x:v>0.32783560691946634</x:v>
      </x:c>
      <x:c r="I321" s="12" t="n">
        <x:f>'全部组合'!AC140/$D321</x:f>
        <x:v>0.03733683767090615</x:v>
      </x:c>
      <x:c r="J321" s="12" t="n">
        <x:f>'全部组合'!AD140/$D321</x:f>
        <x:v>0.04024864379864411</x:v>
      </x:c>
      <x:c r="K321" s="12" t="n">
        <x:f>'全部组合'!AE140/$D321</x:f>
        <x:v>0.11581595619681286</x:v>
      </x:c>
      <x:c r="L321" s="12" t="n">
        <x:f>'全部组合'!AF140/$D321</x:f>
        <x:v>0.06544884740953667</x:v>
      </x:c>
      <x:c r="M321" s="12" t="n">
        <x:f>'全部组合'!AG140/$D321</x:f>
        <x:v>0.06016149482609441</x:v>
      </x:c>
      <x:c r="N321" s="13" t="n">
        <x:f>'全部组合'!AH140/$D321</x:f>
        <x:v>0</x:v>
      </x:c>
    </x:row>
    <x:row r="322" ht="23" customHeight="1">
      <x:c r="A322" s="10" t="str">
        <x:v>M6</x:v>
      </x:c>
      <x:c r="B322" s="10" t="str">
        <x:v>NCG_H1</x:v>
      </x:c>
      <x:c r="C322" s="9" t="str">
        <x:v>节点</x:v>
      </x:c>
      <x:c r="D322" s="11" t="n">
        <x:f>'全部组合'!D141</x:f>
        <x:v>3347</x:v>
      </x:c>
      <x:c r="E322" s="12" t="n">
        <x:f>'全部组合'!O141/$D322</x:f>
        <x:v>0</x:v>
      </x:c>
      <x:c r="F322" s="12" t="n">
        <x:f>'全部组合'!P141/$D322</x:f>
        <x:v>0.16850911263818344</x:v>
      </x:c>
      <x:c r="G322" s="12" t="n">
        <x:f>'全部组合'!Q141/$D322</x:f>
        <x:v>0.400956080071706</x:v>
      </x:c>
      <x:c r="H322" s="12" t="n">
        <x:f>'全部组合'!R141/$D322</x:f>
        <x:v>0.24170899312817448</x:v>
      </x:c>
      <x:c r="I322" s="12" t="n">
        <x:f>'全部组合'!S141/$D322</x:f>
        <x:v>0.06124887959366597</x:v>
      </x:c>
      <x:c r="J322" s="12" t="n">
        <x:f>'全部组合'!T141/$D322</x:f>
        <x:v>0.012249775918733195</x:v>
      </x:c>
      <x:c r="K322" s="12" t="n">
        <x:f>'全部组合'!U141/$D322</x:f>
        <x:v>0.052883178966238426</x:v>
      </x:c>
      <x:c r="L322" s="12" t="n">
        <x:f>'全部组合'!V141/$D322</x:f>
        <x:v>0.010457125784284434</x:v>
      </x:c>
      <x:c r="M322" s="12" t="n">
        <x:f>'全部组合'!W141/$D322</x:f>
        <x:v>0.05198685389901404</x:v>
      </x:c>
      <x:c r="N322" s="13" t="n">
        <x:f>'全部组合'!X141/$D322</x:f>
        <x:v>0</x:v>
      </x:c>
    </x:row>
    <x:row r="323" ht="23" customHeight="1">
      <x:c r="A323" s="10" t="str">
        <x:v>M6</x:v>
      </x:c>
      <x:c r="B323" s="10" t="str">
        <x:v>NCG_H1</x:v>
      </x:c>
      <x:c r="C323" s="9" t="str">
        <x:v>源三角形</x:v>
      </x:c>
      <x:c r="D323" s="11" t="n">
        <x:f>'全部组合'!I141</x:f>
        <x:v>15496224</x:v>
      </x:c>
      <x:c r="E323" s="12" t="n">
        <x:f>'全部组合'!Y141/$D323</x:f>
        <x:v>0</x:v>
      </x:c>
      <x:c r="F323" s="12" t="n">
        <x:f>'全部组合'!Z141/$D323</x:f>
        <x:v>0.10176479121623436</x:v>
      </x:c>
      <x:c r="G323" s="12" t="n">
        <x:f>'全部组合'!AA141/$D323</x:f>
        <x:v>0.2508271692510382</x:v>
      </x:c>
      <x:c r="H323" s="12" t="n">
        <x:f>'全部组合'!AB141/$D323</x:f>
        <x:v>0.32783560691946634</x:v>
      </x:c>
      <x:c r="I323" s="12" t="n">
        <x:f>'全部组合'!AC141/$D323</x:f>
        <x:v>0.03733683767090615</x:v>
      </x:c>
      <x:c r="J323" s="12" t="n">
        <x:f>'全部组合'!AD141/$D323</x:f>
        <x:v>0.04080929650991106</x:v>
      </x:c>
      <x:c r="K323" s="12" t="n">
        <x:f>'全部组合'!AE141/$D323</x:f>
        <x:v>0.11581595619681286</x:v>
      </x:c>
      <x:c r="L323" s="12" t="n">
        <x:f>'全部组合'!AF141/$D323</x:f>
        <x:v>0.06544884740953667</x:v>
      </x:c>
      <x:c r="M323" s="12" t="n">
        <x:f>'全部组合'!AG141/$D323</x:f>
        <x:v>0.06016149482609441</x:v>
      </x:c>
      <x:c r="N323" s="13" t="n">
        <x:f>'全部组合'!AH141/$D323</x:f>
        <x:v>0</x:v>
      </x:c>
    </x:row>
    <x:row r="324" ht="23" customHeight="1">
      <x:c r="A324" s="10" t="str">
        <x:v>M6</x:v>
      </x:c>
      <x:c r="B324" s="10" t="str">
        <x:v>NCG_H0_M1</x:v>
      </x:c>
      <x:c r="C324" s="9" t="str">
        <x:v>节点</x:v>
      </x:c>
      <x:c r="D324" s="11" t="n">
        <x:f>'全部组合'!D142</x:f>
        <x:v>3347</x:v>
      </x:c>
      <x:c r="E324" s="12" t="n">
        <x:f>'全部组合'!O142/$D324</x:f>
        <x:v>0</x:v>
      </x:c>
      <x:c r="F324" s="12" t="n">
        <x:f>'全部组合'!P142/$D324</x:f>
        <x:v>0.20525844039438304</x:v>
      </x:c>
      <x:c r="G324" s="12" t="n">
        <x:f>'全部组合'!Q142/$D324</x:f>
        <x:v>0.3800418285031371</x:v>
      </x:c>
      <x:c r="H324" s="12" t="n">
        <x:f>'全部组合'!R142/$D324</x:f>
        <x:v>0.24141021810576635</x:v>
      </x:c>
      <x:c r="I324" s="12" t="n">
        <x:f>'全部组合'!S142/$D324</x:f>
        <x:v>0.031072602330445176</x:v>
      </x:c>
      <x:c r="J324" s="12" t="n">
        <x:f>'全部组合'!T142/$D324</x:f>
        <x:v>0.011054675829100687</x:v>
      </x:c>
      <x:c r="K324" s="12" t="n">
        <x:f>'全部组合'!U142/$D324</x:f>
        <x:v>0.052883178966238426</x:v>
      </x:c>
      <x:c r="L324" s="12" t="n">
        <x:f>'全部组合'!V142/$D324</x:f>
        <x:v>0.0179265013444876</x:v>
      </x:c>
      <x:c r="M324" s="12" t="n">
        <x:f>'全部组合'!W142/$D324</x:f>
        <x:v>0.05945622945921721</x:v>
      </x:c>
      <x:c r="N324" s="13" t="n">
        <x:f>'全部组合'!X142/$D324</x:f>
        <x:v>0.00089632506722438</x:v>
      </x:c>
    </x:row>
    <x:row r="325" ht="23" customHeight="1">
      <x:c r="A325" s="10" t="str">
        <x:v>M6</x:v>
      </x:c>
      <x:c r="B325" s="10" t="str">
        <x:v>NCG_H0_M1</x:v>
      </x:c>
      <x:c r="C325" s="9" t="str">
        <x:v>源三角形</x:v>
      </x:c>
      <x:c r="D325" s="11" t="n">
        <x:f>'全部组合'!I142</x:f>
        <x:v>15496224</x:v>
      </x:c>
      <x:c r="E325" s="12" t="n">
        <x:f>'全部组合'!Y142/$D325</x:f>
        <x:v>0</x:v>
      </x:c>
      <x:c r="F325" s="12" t="n">
        <x:f>'全部组合'!Z142/$D325</x:f>
        <x:v>0.10633093584604869</x:v>
      </x:c>
      <x:c r="G325" s="12" t="n">
        <x:f>'全部组合'!AA142/$D325</x:f>
        <x:v>0.21036324720138275</x:v>
      </x:c>
      <x:c r="H325" s="12" t="n">
        <x:f>'全部组合'!AB142/$D325</x:f>
        <x:v>0.306718462510609</x:v>
      </x:c>
      <x:c r="I325" s="12" t="n">
        <x:f>'全部组合'!AC142/$D325</x:f>
        <x:v>0.028985512857842014</x:v>
      </x:c>
      <x:c r="J325" s="12" t="n">
        <x:f>'全部组合'!AD142/$D325</x:f>
        <x:v>0.04022902611629775</x:v>
      </x:c>
      <x:c r="K325" s="12" t="n">
        <x:f>'全部组合'!AE142/$D325</x:f>
        <x:v>0.11581595619681286</x:v>
      </x:c>
      <x:c r="L325" s="12" t="n">
        <x:f>'全部组合'!AF142/$D325</x:f>
        <x:v>0.08649165112739723</x:v>
      </x:c>
      <x:c r="M325" s="12" t="n">
        <x:f>'全部组合'!AG142/$D325</x:f>
        <x:v>0.10471105735177809</x:v>
      </x:c>
      <x:c r="N325" s="13" t="n">
        <x:f>'全部组合'!AH142/$D325</x:f>
        <x:v>0.00035415079183161006</x:v>
      </x:c>
    </x:row>
    <x:row r="326" ht="23" customHeight="1">
      <x:c r="A326" s="10" t="str">
        <x:v>M6</x:v>
      </x:c>
      <x:c r="B326" s="10" t="str">
        <x:v>NCG_H1_M1</x:v>
      </x:c>
      <x:c r="C326" s="9" t="str">
        <x:v>节点</x:v>
      </x:c>
      <x:c r="D326" s="11" t="n">
        <x:f>'全部组合'!D143</x:f>
        <x:v>3347</x:v>
      </x:c>
      <x:c r="E326" s="12" t="n">
        <x:f>'全部组合'!O143/$D326</x:f>
        <x:v>0</x:v>
      </x:c>
      <x:c r="F326" s="12" t="n">
        <x:f>'全部组合'!P143/$D326</x:f>
        <x:v>0.17000298775022407</x:v>
      </x:c>
      <x:c r="G326" s="12" t="n">
        <x:f>'全部组合'!Q143/$D326</x:f>
        <x:v>0.3907977293098297</x:v>
      </x:c>
      <x:c r="H326" s="12" t="n">
        <x:f>'全部组合'!R143/$D326</x:f>
        <x:v>0.23483716761278758</x:v>
      </x:c>
      <x:c r="I326" s="12" t="n">
        <x:f>'全部组合'!S143/$D326</x:f>
        <x:v>0.06124887959366597</x:v>
      </x:c>
      <x:c r="J326" s="12" t="n">
        <x:f>'全部组合'!T143/$D326</x:f>
        <x:v>0.011951000896325068</x:v>
      </x:c>
      <x:c r="K326" s="12" t="n">
        <x:f>'全部组合'!U143/$D326</x:f>
        <x:v>0.052883178966238426</x:v>
      </x:c>
      <x:c r="L326" s="12" t="n">
        <x:f>'全部组合'!V143/$D326</x:f>
        <x:v>0.0179265013444876</x:v>
      </x:c>
      <x:c r="M326" s="12" t="n">
        <x:f>'全部组合'!W143/$D326</x:f>
        <x:v>0.05945622945921721</x:v>
      </x:c>
      <x:c r="N326" s="13" t="n">
        <x:f>'全部组合'!X143/$D326</x:f>
        <x:v>0.00089632506722438</x:v>
      </x:c>
    </x:row>
    <x:row r="327" ht="23" customHeight="1">
      <x:c r="A327" s="10" t="str">
        <x:v>M6</x:v>
      </x:c>
      <x:c r="B327" s="10" t="str">
        <x:v>NCG_H1_M1</x:v>
      </x:c>
      <x:c r="C327" s="9" t="str">
        <x:v>源三角形</x:v>
      </x:c>
      <x:c r="D327" s="11" t="n">
        <x:f>'全部组合'!I143</x:f>
        <x:v>15496224</x:v>
      </x:c>
      <x:c r="E327" s="12" t="n">
        <x:f>'全部组合'!Y143/$D327</x:f>
        <x:v>0</x:v>
      </x:c>
      <x:c r="F327" s="12" t="n">
        <x:f>'全部组合'!Z143/$D327</x:f>
        <x:v>0.09747535915846338</x:v>
      </x:c>
      <x:c r="G327" s="12" t="n">
        <x:f>'全部组合'!AA143/$D327</x:f>
        <x:v>0.20936881139560193</x:v>
      </x:c>
      <x:c r="H327" s="12" t="n">
        <x:f>'全部组合'!AB143/$D327</x:f>
        <x:v>0.3072076139322715</x:v>
      </x:c>
      <x:c r="I327" s="12" t="n">
        <x:f>'全部组合'!AC143/$D327</x:f>
        <x:v>0.03778572121827872</x:v>
      </x:c>
      <x:c r="J327" s="12" t="n">
        <x:f>'全部组合'!AD143/$D327</x:f>
        <x:v>0.0407896788275647</x:v>
      </x:c>
      <x:c r="K327" s="12" t="n">
        <x:f>'全部组合'!AE143/$D327</x:f>
        <x:v>0.11581595619681286</x:v>
      </x:c>
      <x:c r="L327" s="12" t="n">
        <x:f>'全部组合'!AF143/$D327</x:f>
        <x:v>0.08649165112739723</x:v>
      </x:c>
      <x:c r="M327" s="12" t="n">
        <x:f>'全部组合'!AG143/$D327</x:f>
        <x:v>0.10471105735177809</x:v>
      </x:c>
      <x:c r="N327" s="13" t="n">
        <x:f>'全部组合'!AH143/$D327</x:f>
        <x:v>0.00035415079183161006</x:v>
      </x:c>
    </x:row>
    <x:row r="328" ht="23" customHeight="1">
      <x:c r="A328" s="10" t="str">
        <x:v>M7</x:v>
      </x:c>
      <x:c r="B328" s="10" t="str">
        <x:v>N_H0</x:v>
      </x:c>
      <x:c r="C328" s="9" t="str">
        <x:v>节点</x:v>
      </x:c>
      <x:c r="D328" s="11" t="n">
        <x:f>'全部组合'!D144</x:f>
        <x:v>1026</x:v>
      </x:c>
      <x:c r="E328" s="12" t="n">
        <x:f>'全部组合'!O144/$D328</x:f>
        <x:v>0</x:v>
      </x:c>
      <x:c r="F328" s="12" t="n">
        <x:f>'全部组合'!P144/$D328</x:f>
        <x:v>0.04678362573099415</x:v>
      </x:c>
      <x:c r="G328" s="12" t="n">
        <x:f>'全部组合'!Q144/$D328</x:f>
        <x:v>0.017543859649122806</x:v>
      </x:c>
      <x:c r="H328" s="12" t="n">
        <x:f>'全部组合'!R144/$D328</x:f>
        <x:v>0</x:v>
      </x:c>
      <x:c r="I328" s="12" t="n">
        <x:f>'全部组合'!S144/$D328</x:f>
        <x:v>0.8996101364522417</x:v>
      </x:c>
      <x:c r="J328" s="12" t="n">
        <x:f>'全部组合'!T144/$D328</x:f>
        <x:v>0.010721247563352826</x:v>
      </x:c>
      <x:c r="K328" s="12" t="n">
        <x:f>'全部组合'!U144/$D328</x:f>
        <x:v>0.0009746588693957114</x:v>
      </x:c>
      <x:c r="L328" s="12" t="n">
        <x:f>'全部组合'!V144/$D328</x:f>
        <x:v>0.004873294346978557</x:v>
      </x:c>
      <x:c r="M328" s="12" t="n">
        <x:f>'全部组合'!W144/$D328</x:f>
        <x:v>0.01949317738791423</x:v>
      </x:c>
      <x:c r="N328" s="13" t="n">
        <x:f>'全部组合'!X144/$D328</x:f>
        <x:v>0</x:v>
      </x:c>
    </x:row>
    <x:row r="329" ht="23" customHeight="1">
      <x:c r="A329" s="10" t="str">
        <x:v>M7</x:v>
      </x:c>
      <x:c r="B329" s="10" t="str">
        <x:v>N_H0</x:v>
      </x:c>
      <x:c r="C329" s="9" t="str">
        <x:v>源三角形</x:v>
      </x:c>
      <x:c r="D329" s="11" t="n">
        <x:f>'全部组合'!I144</x:f>
        <x:v>19905661</x:v>
      </x:c>
      <x:c r="E329" s="12" t="n">
        <x:f>'全部组合'!Y144/$D329</x:f>
        <x:v>0</x:v>
      </x:c>
      <x:c r="F329" s="12" t="n">
        <x:f>'全部组合'!Z144/$D329</x:f>
        <x:v>0.0017124776715528311</x:v>
      </x:c>
      <x:c r="G329" s="12" t="n">
        <x:f>'全部组合'!AA144/$D329</x:f>
        <x:v>0.0006727734386715417</x:v>
      </x:c>
      <x:c r="H329" s="12" t="n">
        <x:f>'全部组合'!AB144/$D329</x:f>
        <x:v>0</x:v>
      </x:c>
      <x:c r="I329" s="12" t="n">
        <x:f>'全部组合'!AC144/$D329</x:f>
        <x:v>0.9757306225600848</x:v>
      </x:c>
      <x:c r="J329" s="12" t="n">
        <x:f>'全部组合'!AD144/$D329</x:f>
        <x:v>0.002124018890907466</x:v>
      </x:c>
      <x:c r="K329" s="12" t="n">
        <x:f>'全部组合'!AE144/$D329</x:f>
        <x:v>0.0008340340971344785</x:v>
      </x:c>
      <x:c r="L329" s="12" t="n">
        <x:f>'全部组合'!AF144/$D329</x:f>
        <x:v>0.00492462922984572</x:v>
      </x:c>
      <x:c r="M329" s="12" t="n">
        <x:f>'全部组合'!AG144/$D329</x:f>
        <x:v>0.01400144411180317</x:v>
      </x:c>
      <x:c r="N329" s="13" t="n">
        <x:f>'全部组合'!AH144/$D329</x:f>
        <x:v>0</x:v>
      </x:c>
    </x:row>
    <x:row r="330" ht="23" customHeight="1">
      <x:c r="A330" s="10" t="str">
        <x:v>M7</x:v>
      </x:c>
      <x:c r="B330" s="10" t="str">
        <x:v>N_HT</x:v>
      </x:c>
      <x:c r="C330" s="9" t="str">
        <x:v>节点</x:v>
      </x:c>
      <x:c r="D330" s="11" t="n">
        <x:f>'全部组合'!D145</x:f>
        <x:v>1026</x:v>
      </x:c>
      <x:c r="E330" s="12" t="n">
        <x:f>'全部组合'!O145/$D330</x:f>
        <x:v>0</x:v>
      </x:c>
      <x:c r="F330" s="12" t="n">
        <x:f>'全部组合'!P145/$D330</x:f>
        <x:v>0.04678362573099415</x:v>
      </x:c>
      <x:c r="G330" s="12" t="n">
        <x:f>'全部组合'!Q145/$D330</x:f>
        <x:v>0.017543859649122806</x:v>
      </x:c>
      <x:c r="H330" s="12" t="n">
        <x:f>'全部组合'!R145/$D330</x:f>
        <x:v>0</x:v>
      </x:c>
      <x:c r="I330" s="12" t="n">
        <x:f>'全部组合'!S145/$D330</x:f>
        <x:v>0.8996101364522417</x:v>
      </x:c>
      <x:c r="J330" s="12" t="n">
        <x:f>'全部组合'!T145/$D330</x:f>
        <x:v>0.010721247563352826</x:v>
      </x:c>
      <x:c r="K330" s="12" t="n">
        <x:f>'全部组合'!U145/$D330</x:f>
        <x:v>0.0009746588693957114</x:v>
      </x:c>
      <x:c r="L330" s="12" t="n">
        <x:f>'全部组合'!V145/$D330</x:f>
        <x:v>0.004873294346978557</x:v>
      </x:c>
      <x:c r="M330" s="12" t="n">
        <x:f>'全部组合'!W145/$D330</x:f>
        <x:v>0.01949317738791423</x:v>
      </x:c>
      <x:c r="N330" s="13" t="n">
        <x:f>'全部组合'!X145/$D330</x:f>
        <x:v>0</x:v>
      </x:c>
    </x:row>
    <x:row r="331" ht="23" customHeight="1">
      <x:c r="A331" s="10" t="str">
        <x:v>M7</x:v>
      </x:c>
      <x:c r="B331" s="10" t="str">
        <x:v>N_HT</x:v>
      </x:c>
      <x:c r="C331" s="9" t="str">
        <x:v>源三角形</x:v>
      </x:c>
      <x:c r="D331" s="11" t="n">
        <x:f>'全部组合'!I145</x:f>
        <x:v>19905661</x:v>
      </x:c>
      <x:c r="E331" s="12" t="n">
        <x:f>'全部组合'!Y145/$D331</x:f>
        <x:v>0</x:v>
      </x:c>
      <x:c r="F331" s="12" t="n">
        <x:f>'全部组合'!Z145/$D331</x:f>
        <x:v>0.0017124776715528311</x:v>
      </x:c>
      <x:c r="G331" s="12" t="n">
        <x:f>'全部组合'!AA145/$D331</x:f>
        <x:v>0.0006727734386715417</x:v>
      </x:c>
      <x:c r="H331" s="12" t="n">
        <x:f>'全部组合'!AB145/$D331</x:f>
        <x:v>0</x:v>
      </x:c>
      <x:c r="I331" s="12" t="n">
        <x:f>'全部组合'!AC145/$D331</x:f>
        <x:v>0.9757306225600848</x:v>
      </x:c>
      <x:c r="J331" s="12" t="n">
        <x:f>'全部组合'!AD145/$D331</x:f>
        <x:v>0.002124018890907466</x:v>
      </x:c>
      <x:c r="K331" s="12" t="n">
        <x:f>'全部组合'!AE145/$D331</x:f>
        <x:v>0.0008340340971344785</x:v>
      </x:c>
      <x:c r="L331" s="12" t="n">
        <x:f>'全部组合'!AF145/$D331</x:f>
        <x:v>0.00492462922984572</x:v>
      </x:c>
      <x:c r="M331" s="12" t="n">
        <x:f>'全部组合'!AG145/$D331</x:f>
        <x:v>0.01400144411180317</x:v>
      </x:c>
      <x:c r="N331" s="13" t="n">
        <x:f>'全部组合'!AH145/$D331</x:f>
        <x:v>0</x:v>
      </x:c>
    </x:row>
    <x:row r="332" ht="23" customHeight="1">
      <x:c r="A332" s="10" t="str">
        <x:v>M7</x:v>
      </x:c>
      <x:c r="B332" s="10" t="str">
        <x:v>N_H1</x:v>
      </x:c>
      <x:c r="C332" s="9" t="str">
        <x:v>节点</x:v>
      </x:c>
      <x:c r="D332" s="11" t="n">
        <x:f>'全部组合'!D146</x:f>
        <x:v>1026</x:v>
      </x:c>
      <x:c r="E332" s="12" t="n">
        <x:f>'全部组合'!O146/$D332</x:f>
        <x:v>0</x:v>
      </x:c>
      <x:c r="F332" s="12" t="n">
        <x:f>'全部组合'!P146/$D332</x:f>
        <x:v>0.04580896686159844</x:v>
      </x:c>
      <x:c r="G332" s="12" t="n">
        <x:f>'全部组合'!Q146/$D332</x:f>
        <x:v>0.01364522417153996</x:v>
      </x:c>
      <x:c r="H332" s="12" t="n">
        <x:f>'全部组合'!R146/$D332</x:f>
        <x:v>0</x:v>
      </x:c>
      <x:c r="I332" s="12" t="n">
        <x:f>'全部组合'!S146/$D332</x:f>
        <x:v>0.8996101364522417</x:v>
      </x:c>
      <x:c r="J332" s="12" t="n">
        <x:f>'全部组合'!T146/$D332</x:f>
        <x:v>0.010721247563352826</x:v>
      </x:c>
      <x:c r="K332" s="12" t="n">
        <x:f>'全部组合'!U146/$D332</x:f>
        <x:v>0.005847953216374269</x:v>
      </x:c>
      <x:c r="L332" s="12" t="n">
        <x:f>'全部组合'!V146/$D332</x:f>
        <x:v>0.004873294346978557</x:v>
      </x:c>
      <x:c r="M332" s="12" t="n">
        <x:f>'全部组合'!W146/$D332</x:f>
        <x:v>0.01949317738791423</x:v>
      </x:c>
      <x:c r="N332" s="13" t="n">
        <x:f>'全部组合'!X146/$D332</x:f>
        <x:v>0</x:v>
      </x:c>
    </x:row>
    <x:row r="333" ht="23" customHeight="1">
      <x:c r="A333" s="10" t="str">
        <x:v>M7</x:v>
      </x:c>
      <x:c r="B333" s="10" t="str">
        <x:v>N_H1</x:v>
      </x:c>
      <x:c r="C333" s="9" t="str">
        <x:v>源三角形</x:v>
      </x:c>
      <x:c r="D333" s="11" t="n">
        <x:f>'全部组合'!I146</x:f>
        <x:v>19905661</x:v>
      </x:c>
      <x:c r="E333" s="12" t="n">
        <x:f>'全部组合'!Y146/$D333</x:f>
        <x:v>0</x:v>
      </x:c>
      <x:c r="F333" s="12" t="n">
        <x:f>'全部组合'!Z146/$D333</x:f>
        <x:v>0.0016809288573737893</x:v>
      </x:c>
      <x:c r="G333" s="12" t="n">
        <x:f>'全部组合'!AA146/$D333</x:f>
        <x:v>0.00047202652551954944</x:v>
      </x:c>
      <x:c r="H333" s="12" t="n">
        <x:f>'全部组合'!AB146/$D333</x:f>
        <x:v>0</x:v>
      </x:c>
      <x:c r="I333" s="12" t="n">
        <x:f>'全部组合'!AC146/$D333</x:f>
        <x:v>0.9757306225600848</x:v>
      </x:c>
      <x:c r="J333" s="12" t="n">
        <x:f>'全部组合'!AD146/$D333</x:f>
        <x:v>0.002124018890907466</x:v>
      </x:c>
      <x:c r="K333" s="12" t="n">
        <x:f>'全部组合'!AE146/$D333</x:f>
        <x:v>0.0010663298244655125</x:v>
      </x:c>
      <x:c r="L333" s="12" t="n">
        <x:f>'全部组合'!AF146/$D333</x:f>
        <x:v>0.00492462922984572</x:v>
      </x:c>
      <x:c r="M333" s="12" t="n">
        <x:f>'全部组合'!AG146/$D333</x:f>
        <x:v>0.01400144411180317</x:v>
      </x:c>
      <x:c r="N333" s="13" t="n">
        <x:f>'全部组合'!AH146/$D333</x:f>
        <x:v>0</x:v>
      </x:c>
    </x:row>
    <x:row r="334" ht="23" customHeight="1">
      <x:c r="A334" s="10" t="str">
        <x:v>M7</x:v>
      </x:c>
      <x:c r="B334" s="10" t="str">
        <x:v>C_H0</x:v>
      </x:c>
      <x:c r="C334" s="9" t="str">
        <x:v>节点</x:v>
      </x:c>
      <x:c r="D334" s="11" t="n">
        <x:f>'全部组合'!D147</x:f>
        <x:v>1026</x:v>
      </x:c>
      <x:c r="E334" s="12" t="n">
        <x:f>'全部组合'!O147/$D334</x:f>
        <x:v>0</x:v>
      </x:c>
      <x:c r="F334" s="12" t="n">
        <x:f>'全部组合'!P147/$D334</x:f>
        <x:v>0.09941520467836257</x:v>
      </x:c>
      <x:c r="G334" s="12" t="n">
        <x:f>'全部组合'!Q147/$D334</x:f>
        <x:v>0</x:v>
      </x:c>
      <x:c r="H334" s="12" t="n">
        <x:f>'全部组合'!R147/$D334</x:f>
        <x:v>0</x:v>
      </x:c>
      <x:c r="I334" s="12" t="n">
        <x:f>'全部组合'!S147/$D334</x:f>
        <x:v>0.8966861598440545</x:v>
      </x:c>
      <x:c r="J334" s="12" t="n">
        <x:f>'全部组合'!T147/$D334</x:f>
        <x:v>0</x:v>
      </x:c>
      <x:c r="K334" s="12" t="n">
        <x:f>'全部组合'!U147/$D334</x:f>
        <x:v>0</x:v>
      </x:c>
      <x:c r="L334" s="12" t="n">
        <x:f>'全部组合'!V147/$D334</x:f>
        <x:v>0</x:v>
      </x:c>
      <x:c r="M334" s="12" t="n">
        <x:f>'全部组合'!W147/$D334</x:f>
        <x:v>0.003898635477582846</x:v>
      </x:c>
      <x:c r="N334" s="13" t="n">
        <x:f>'全部组合'!X147/$D334</x:f>
        <x:v>0</x:v>
      </x:c>
    </x:row>
    <x:row r="335" ht="23" customHeight="1">
      <x:c r="A335" s="10" t="str">
        <x:v>M7</x:v>
      </x:c>
      <x:c r="B335" s="10" t="str">
        <x:v>C_H0</x:v>
      </x:c>
      <x:c r="C335" s="9" t="str">
        <x:v>源三角形</x:v>
      </x:c>
      <x:c r="D335" s="11" t="n">
        <x:f>'全部组合'!I147</x:f>
        <x:v>19905661</x:v>
      </x:c>
      <x:c r="E335" s="12" t="n">
        <x:f>'全部组合'!Y147/$D335</x:f>
        <x:v>0</x:v>
      </x:c>
      <x:c r="F335" s="12" t="n">
        <x:f>'全部组合'!Z147/$D335</x:f>
        <x:v>0.02049216049645375</x:v>
      </x:c>
      <x:c r="G335" s="12" t="n">
        <x:f>'全部组合'!AA147/$D335</x:f>
        <x:v>0</x:v>
      </x:c>
      <x:c r="H335" s="12" t="n">
        <x:f>'全部组合'!AB147/$D335</x:f>
        <x:v>0</x:v>
      </x:c>
      <x:c r="I335" s="12" t="n">
        <x:f>'全部组合'!AC147/$D335</x:f>
        <x:v>0.9789775380983329</x:v>
      </x:c>
      <x:c r="J335" s="12" t="n">
        <x:f>'全部组合'!AD147/$D335</x:f>
        <x:v>0</x:v>
      </x:c>
      <x:c r="K335" s="12" t="n">
        <x:f>'全部组合'!AE147/$D335</x:f>
        <x:v>0</x:v>
      </x:c>
      <x:c r="L335" s="12" t="n">
        <x:f>'全部组合'!AF147/$D335</x:f>
        <x:v>0</x:v>
      </x:c>
      <x:c r="M335" s="12" t="n">
        <x:f>'全部组合'!AG147/$D335</x:f>
        <x:v>0.000530301405213321</x:v>
      </x:c>
      <x:c r="N335" s="13" t="n">
        <x:f>'全部组合'!AH147/$D335</x:f>
        <x:v>0</x:v>
      </x:c>
    </x:row>
    <x:row r="336" ht="23" customHeight="1">
      <x:c r="A336" s="10" t="str">
        <x:v>M7</x:v>
      </x:c>
      <x:c r="B336" s="10" t="str">
        <x:v>C_HT</x:v>
      </x:c>
      <x:c r="C336" s="9" t="str">
        <x:v>节点</x:v>
      </x:c>
      <x:c r="D336" s="11" t="n">
        <x:f>'全部组合'!D148</x:f>
        <x:v>1026</x:v>
      </x:c>
      <x:c r="E336" s="12" t="n">
        <x:f>'全部组合'!O148/$D336</x:f>
        <x:v>0</x:v>
      </x:c>
      <x:c r="F336" s="12" t="n">
        <x:f>'全部组合'!P148/$D336</x:f>
        <x:v>0.09941520467836257</x:v>
      </x:c>
      <x:c r="G336" s="12" t="n">
        <x:f>'全部组合'!Q148/$D336</x:f>
        <x:v>0</x:v>
      </x:c>
      <x:c r="H336" s="12" t="n">
        <x:f>'全部组合'!R148/$D336</x:f>
        <x:v>0</x:v>
      </x:c>
      <x:c r="I336" s="12" t="n">
        <x:f>'全部组合'!S148/$D336</x:f>
        <x:v>0.8966861598440545</x:v>
      </x:c>
      <x:c r="J336" s="12" t="n">
        <x:f>'全部组合'!T148/$D336</x:f>
        <x:v>0</x:v>
      </x:c>
      <x:c r="K336" s="12" t="n">
        <x:f>'全部组合'!U148/$D336</x:f>
        <x:v>0</x:v>
      </x:c>
      <x:c r="L336" s="12" t="n">
        <x:f>'全部组合'!V148/$D336</x:f>
        <x:v>0</x:v>
      </x:c>
      <x:c r="M336" s="12" t="n">
        <x:f>'全部组合'!W148/$D336</x:f>
        <x:v>0.003898635477582846</x:v>
      </x:c>
      <x:c r="N336" s="13" t="n">
        <x:f>'全部组合'!X148/$D336</x:f>
        <x:v>0</x:v>
      </x:c>
    </x:row>
    <x:row r="337" ht="23" customHeight="1">
      <x:c r="A337" s="10" t="str">
        <x:v>M7</x:v>
      </x:c>
      <x:c r="B337" s="10" t="str">
        <x:v>C_HT</x:v>
      </x:c>
      <x:c r="C337" s="9" t="str">
        <x:v>源三角形</x:v>
      </x:c>
      <x:c r="D337" s="11" t="n">
        <x:f>'全部组合'!I148</x:f>
        <x:v>19905661</x:v>
      </x:c>
      <x:c r="E337" s="12" t="n">
        <x:f>'全部组合'!Y148/$D337</x:f>
        <x:v>0</x:v>
      </x:c>
      <x:c r="F337" s="12" t="n">
        <x:f>'全部组合'!Z148/$D337</x:f>
        <x:v>0.02049216049645375</x:v>
      </x:c>
      <x:c r="G337" s="12" t="n">
        <x:f>'全部组合'!AA148/$D337</x:f>
        <x:v>0</x:v>
      </x:c>
      <x:c r="H337" s="12" t="n">
        <x:f>'全部组合'!AB148/$D337</x:f>
        <x:v>0</x:v>
      </x:c>
      <x:c r="I337" s="12" t="n">
        <x:f>'全部组合'!AC148/$D337</x:f>
        <x:v>0.9789775380983329</x:v>
      </x:c>
      <x:c r="J337" s="12" t="n">
        <x:f>'全部组合'!AD148/$D337</x:f>
        <x:v>0</x:v>
      </x:c>
      <x:c r="K337" s="12" t="n">
        <x:f>'全部组合'!AE148/$D337</x:f>
        <x:v>0</x:v>
      </x:c>
      <x:c r="L337" s="12" t="n">
        <x:f>'全部组合'!AF148/$D337</x:f>
        <x:v>0</x:v>
      </x:c>
      <x:c r="M337" s="12" t="n">
        <x:f>'全部组合'!AG148/$D337</x:f>
        <x:v>0.000530301405213321</x:v>
      </x:c>
      <x:c r="N337" s="13" t="n">
        <x:f>'全部组合'!AH148/$D337</x:f>
        <x:v>0</x:v>
      </x:c>
    </x:row>
    <x:row r="338" ht="23" customHeight="1">
      <x:c r="A338" s="10" t="str">
        <x:v>M7</x:v>
      </x:c>
      <x:c r="B338" s="10" t="str">
        <x:v>C_H1</x:v>
      </x:c>
      <x:c r="C338" s="9" t="str">
        <x:v>节点</x:v>
      </x:c>
      <x:c r="D338" s="11" t="n">
        <x:f>'全部组合'!D149</x:f>
        <x:v>1026</x:v>
      </x:c>
      <x:c r="E338" s="12" t="n">
        <x:f>'全部组合'!O149/$D338</x:f>
        <x:v>0</x:v>
      </x:c>
      <x:c r="F338" s="12" t="n">
        <x:f>'全部组合'!P149/$D338</x:f>
        <x:v>0.09844054580896686</x:v>
      </x:c>
      <x:c r="G338" s="12" t="n">
        <x:f>'全部组合'!Q149/$D338</x:f>
        <x:v>0</x:v>
      </x:c>
      <x:c r="H338" s="12" t="n">
        <x:f>'全部组合'!R149/$D338</x:f>
        <x:v>0</x:v>
      </x:c>
      <x:c r="I338" s="12" t="n">
        <x:f>'全部组合'!S149/$D338</x:f>
        <x:v>0.8966861598440545</x:v>
      </x:c>
      <x:c r="J338" s="12" t="n">
        <x:f>'全部组合'!T149/$D338</x:f>
        <x:v>0</x:v>
      </x:c>
      <x:c r="K338" s="12" t="n">
        <x:f>'全部组合'!U149/$D338</x:f>
        <x:v>0.0009746588693957114</x:v>
      </x:c>
      <x:c r="L338" s="12" t="n">
        <x:f>'全部组合'!V149/$D338</x:f>
        <x:v>0</x:v>
      </x:c>
      <x:c r="M338" s="12" t="n">
        <x:f>'全部组合'!W149/$D338</x:f>
        <x:v>0.003898635477582846</x:v>
      </x:c>
      <x:c r="N338" s="13" t="n">
        <x:f>'全部组合'!X149/$D338</x:f>
        <x:v>0</x:v>
      </x:c>
    </x:row>
    <x:row r="339" ht="23" customHeight="1">
      <x:c r="A339" s="10" t="str">
        <x:v>M7</x:v>
      </x:c>
      <x:c r="B339" s="10" t="str">
        <x:v>C_H1</x:v>
      </x:c>
      <x:c r="C339" s="9" t="str">
        <x:v>源三角形</x:v>
      </x:c>
      <x:c r="D339" s="11" t="n">
        <x:f>'全部组合'!I149</x:f>
        <x:v>19905661</x:v>
      </x:c>
      <x:c r="E339" s="12" t="n">
        <x:f>'全部组合'!Y149/$D339</x:f>
        <x:v>0</x:v>
      </x:c>
      <x:c r="F339" s="12" t="n">
        <x:f>'全部组合'!Z149/$D339</x:f>
        <x:v>0.020460611682274706</x:v>
      </x:c>
      <x:c r="G339" s="12" t="n">
        <x:f>'全部组合'!AA149/$D339</x:f>
        <x:v>0</x:v>
      </x:c>
      <x:c r="H339" s="12" t="n">
        <x:f>'全部组合'!AB149/$D339</x:f>
        <x:v>0</x:v>
      </x:c>
      <x:c r="I339" s="12" t="n">
        <x:f>'全部组合'!AC149/$D339</x:f>
        <x:v>0.9789775380983329</x:v>
      </x:c>
      <x:c r="J339" s="12" t="n">
        <x:f>'全部组合'!AD149/$D339</x:f>
        <x:v>0</x:v>
      </x:c>
      <x:c r="K339" s="12" t="n">
        <x:f>'全部组合'!AE149/$D339</x:f>
        <x:v>0.00003154881417904183</x:v>
      </x:c>
      <x:c r="L339" s="12" t="n">
        <x:f>'全部组合'!AF149/$D339</x:f>
        <x:v>0</x:v>
      </x:c>
      <x:c r="M339" s="12" t="n">
        <x:f>'全部组合'!AG149/$D339</x:f>
        <x:v>0.000530301405213321</x:v>
      </x:c>
      <x:c r="N339" s="13" t="n">
        <x:f>'全部组合'!AH149/$D339</x:f>
        <x:v>0</x:v>
      </x:c>
    </x:row>
    <x:row r="340" ht="23" customHeight="1">
      <x:c r="A340" s="10" t="str">
        <x:v>M7</x:v>
      </x:c>
      <x:c r="B340" s="10" t="str">
        <x:v>G_H0</x:v>
      </x:c>
      <x:c r="C340" s="9" t="str">
        <x:v>节点</x:v>
      </x:c>
      <x:c r="D340" s="11" t="n">
        <x:f>'全部组合'!D150</x:f>
        <x:v>1026</x:v>
      </x:c>
      <x:c r="E340" s="12" t="n">
        <x:f>'全部组合'!O150/$D340</x:f>
        <x:v>0</x:v>
      </x:c>
      <x:c r="F340" s="12" t="n">
        <x:f>'全部组合'!P150/$D340</x:f>
        <x:v>0.13840155945419103</x:v>
      </x:c>
      <x:c r="G340" s="12" t="n">
        <x:f>'全部组合'!Q150/$D340</x:f>
        <x:v>0.6900584795321637</x:v>
      </x:c>
      <x:c r="H340" s="12" t="n">
        <x:f>'全部组合'!R150/$D340</x:f>
        <x:v>0.08966861598440545</x:v>
      </x:c>
      <x:c r="I340" s="12" t="n">
        <x:f>'全部组合'!S150/$D340</x:f>
        <x:v>0.0769980506822612</x:v>
      </x:c>
      <x:c r="J340" s="12" t="n">
        <x:f>'全部组合'!T150/$D340</x:f>
        <x:v>0.004873294346978557</x:v>
      </x:c>
      <x:c r="K340" s="12" t="n">
        <x:f>'全部组合'!U150/$D340</x:f>
        <x:v>0</x:v>
      </x:c>
      <x:c r="L340" s="12" t="n">
        <x:f>'全部组合'!V150/$D340</x:f>
        <x:v>0</x:v>
      </x:c>
      <x:c r="M340" s="12" t="n">
        <x:f>'全部组合'!W150/$D340</x:f>
        <x:v>0</x:v>
      </x:c>
      <x:c r="N340" s="13" t="n">
        <x:f>'全部组合'!X150/$D340</x:f>
        <x:v>0</x:v>
      </x:c>
    </x:row>
    <x:row r="341" ht="23" customHeight="1">
      <x:c r="A341" s="10" t="str">
        <x:v>M7</x:v>
      </x:c>
      <x:c r="B341" s="10" t="str">
        <x:v>G_H0</x:v>
      </x:c>
      <x:c r="C341" s="9" t="str">
        <x:v>源三角形</x:v>
      </x:c>
      <x:c r="D341" s="11" t="n">
        <x:f>'全部组合'!I150</x:f>
        <x:v>19905661</x:v>
      </x:c>
      <x:c r="E341" s="12" t="n">
        <x:f>'全部组合'!Y150/$D341</x:f>
        <x:v>0</x:v>
      </x:c>
      <x:c r="F341" s="12" t="n">
        <x:f>'全部组合'!Z150/$D341</x:f>
        <x:v>0.02235514811590532</x:v>
      </x:c>
      <x:c r="G341" s="12" t="n">
        <x:f>'全部组合'!AA150/$D341</x:f>
        <x:v>0.0637764302325856</x:v>
      </x:c>
      <x:c r="H341" s="12" t="n">
        <x:f>'全部组合'!AB150/$D341</x:f>
        <x:v>0.021325993645727213</x:v>
      </x:c>
      <x:c r="I341" s="12" t="n">
        <x:f>'全部组合'!AC150/$D341</x:f>
        <x:v>0.12370661793145177</x:v>
      </x:c>
      <x:c r="J341" s="12" t="n">
        <x:f>'全部组合'!AD150/$D341</x:f>
        <x:v>0.7688358100743301</x:v>
      </x:c>
      <x:c r="K341" s="12" t="n">
        <x:f>'全部组合'!AE150/$D341</x:f>
        <x:v>0</x:v>
      </x:c>
      <x:c r="L341" s="12" t="n">
        <x:f>'全部组合'!AF150/$D341</x:f>
        <x:v>0</x:v>
      </x:c>
      <x:c r="M341" s="12" t="n">
        <x:f>'全部组合'!AG150/$D341</x:f>
        <x:v>0</x:v>
      </x:c>
      <x:c r="N341" s="13" t="n">
        <x:f>'全部组合'!AH150/$D341</x:f>
        <x:v>0</x:v>
      </x:c>
    </x:row>
    <x:row r="342" ht="23" customHeight="1">
      <x:c r="A342" s="10" t="str">
        <x:v>M7</x:v>
      </x:c>
      <x:c r="B342" s="10" t="str">
        <x:v>G_HT</x:v>
      </x:c>
      <x:c r="C342" s="9" t="str">
        <x:v>节点</x:v>
      </x:c>
      <x:c r="D342" s="11" t="n">
        <x:f>'全部组合'!D151</x:f>
        <x:v>1026</x:v>
      </x:c>
      <x:c r="E342" s="12" t="n">
        <x:f>'全部组合'!O151/$D342</x:f>
        <x:v>0</x:v>
      </x:c>
      <x:c r="F342" s="12" t="n">
        <x:f>'全部组合'!P151/$D342</x:f>
        <x:v>0.07115009746588694</x:v>
      </x:c>
      <x:c r="G342" s="12" t="n">
        <x:f>'全部组合'!Q151/$D342</x:f>
        <x:v>0.7183235867446394</x:v>
      </x:c>
      <x:c r="H342" s="12" t="n">
        <x:f>'全部组合'!R151/$D342</x:f>
        <x:v>0.1189083820662768</x:v>
      </x:c>
      <x:c r="I342" s="12" t="n">
        <x:f>'全部组合'!S151/$D342</x:f>
        <x:v>0.08674463937621832</x:v>
      </x:c>
      <x:c r="J342" s="12" t="n">
        <x:f>'全部组合'!T151/$D342</x:f>
        <x:v>0.004873294346978557</x:v>
      </x:c>
      <x:c r="K342" s="12" t="n">
        <x:f>'全部组合'!U151/$D342</x:f>
        <x:v>0</x:v>
      </x:c>
      <x:c r="L342" s="12" t="n">
        <x:f>'全部组合'!V151/$D342</x:f>
        <x:v>0</x:v>
      </x:c>
      <x:c r="M342" s="12" t="n">
        <x:f>'全部组合'!W151/$D342</x:f>
        <x:v>0</x:v>
      </x:c>
      <x:c r="N342" s="13" t="n">
        <x:f>'全部组合'!X151/$D342</x:f>
        <x:v>0</x:v>
      </x:c>
    </x:row>
    <x:row r="343" ht="23" customHeight="1">
      <x:c r="A343" s="10" t="str">
        <x:v>M7</x:v>
      </x:c>
      <x:c r="B343" s="10" t="str">
        <x:v>G_HT</x:v>
      </x:c>
      <x:c r="C343" s="9" t="str">
        <x:v>源三角形</x:v>
      </x:c>
      <x:c r="D343" s="11" t="n">
        <x:f>'全部组合'!I151</x:f>
        <x:v>19905661</x:v>
      </x:c>
      <x:c r="E343" s="12" t="n">
        <x:f>'全部组合'!Y151/$D343</x:f>
        <x:v>0</x:v>
      </x:c>
      <x:c r="F343" s="12" t="n">
        <x:f>'全部组合'!Z151/$D343</x:f>
        <x:v>0.00860649641325651</x:v>
      </x:c>
      <x:c r="G343" s="12" t="n">
        <x:f>'全部组合'!AA151/$D343</x:f>
        <x:v>0.07624107534032655</x:v>
      </x:c>
      <x:c r="H343" s="12" t="n">
        <x:f>'全部组合'!AB151/$D343</x:f>
        <x:v>0.020063990841600286</x:v>
      </x:c>
      <x:c r="I343" s="12" t="n">
        <x:f>'全部组合'!AC151/$D343</x:f>
        <x:v>0.12625262733048653</x:v>
      </x:c>
      <x:c r="J343" s="12" t="n">
        <x:f>'全部组合'!AD151/$D343</x:f>
        <x:v>0.7688358100743301</x:v>
      </x:c>
      <x:c r="K343" s="12" t="n">
        <x:f>'全部组合'!AE151/$D343</x:f>
        <x:v>0</x:v>
      </x:c>
      <x:c r="L343" s="12" t="n">
        <x:f>'全部组合'!AF151/$D343</x:f>
        <x:v>0</x:v>
      </x:c>
      <x:c r="M343" s="12" t="n">
        <x:f>'全部组合'!AG151/$D343</x:f>
        <x:v>0</x:v>
      </x:c>
      <x:c r="N343" s="13" t="n">
        <x:f>'全部组合'!AH151/$D343</x:f>
        <x:v>0</x:v>
      </x:c>
    </x:row>
    <x:row r="344" ht="23" customHeight="1">
      <x:c r="A344" s="10" t="str">
        <x:v>M7</x:v>
      </x:c>
      <x:c r="B344" s="10" t="str">
        <x:v>G_H1</x:v>
      </x:c>
      <x:c r="C344" s="9" t="str">
        <x:v>节点</x:v>
      </x:c>
      <x:c r="D344" s="11" t="n">
        <x:f>'全部组合'!D152</x:f>
        <x:v>1026</x:v>
      </x:c>
      <x:c r="E344" s="12" t="n">
        <x:f>'全部组合'!O152/$D344</x:f>
        <x:v>0</x:v>
      </x:c>
      <x:c r="F344" s="12" t="n">
        <x:f>'全部组合'!P152/$D344</x:f>
        <x:v>0.07115009746588694</x:v>
      </x:c>
      <x:c r="G344" s="12" t="n">
        <x:f>'全部组合'!Q152/$D344</x:f>
        <x:v>0.7183235867446394</x:v>
      </x:c>
      <x:c r="H344" s="12" t="n">
        <x:f>'全部组合'!R152/$D344</x:f>
        <x:v>0.1189083820662768</x:v>
      </x:c>
      <x:c r="I344" s="12" t="n">
        <x:f>'全部组合'!S152/$D344</x:f>
        <x:v>0.08674463937621832</x:v>
      </x:c>
      <x:c r="J344" s="12" t="n">
        <x:f>'全部组合'!T152/$D344</x:f>
        <x:v>0.004873294346978557</x:v>
      </x:c>
      <x:c r="K344" s="12" t="n">
        <x:f>'全部组合'!U152/$D344</x:f>
        <x:v>0</x:v>
      </x:c>
      <x:c r="L344" s="12" t="n">
        <x:f>'全部组合'!V152/$D344</x:f>
        <x:v>0</x:v>
      </x:c>
      <x:c r="M344" s="12" t="n">
        <x:f>'全部组合'!W152/$D344</x:f>
        <x:v>0</x:v>
      </x:c>
      <x:c r="N344" s="13" t="n">
        <x:f>'全部组合'!X152/$D344</x:f>
        <x:v>0</x:v>
      </x:c>
    </x:row>
    <x:row r="345" ht="23" customHeight="1">
      <x:c r="A345" s="10" t="str">
        <x:v>M7</x:v>
      </x:c>
      <x:c r="B345" s="10" t="str">
        <x:v>G_H1</x:v>
      </x:c>
      <x:c r="C345" s="9" t="str">
        <x:v>源三角形</x:v>
      </x:c>
      <x:c r="D345" s="11" t="n">
        <x:f>'全部组合'!I152</x:f>
        <x:v>19905661</x:v>
      </x:c>
      <x:c r="E345" s="12" t="n">
        <x:f>'全部组合'!Y152/$D345</x:f>
        <x:v>0</x:v>
      </x:c>
      <x:c r="F345" s="12" t="n">
        <x:f>'全部组合'!Z152/$D345</x:f>
        <x:v>0.00860649641325651</x:v>
      </x:c>
      <x:c r="G345" s="12" t="n">
        <x:f>'全部组合'!AA152/$D345</x:f>
        <x:v>0.07624107534032655</x:v>
      </x:c>
      <x:c r="H345" s="12" t="n">
        <x:f>'全部组合'!AB152/$D345</x:f>
        <x:v>0.020063990841600286</x:v>
      </x:c>
      <x:c r="I345" s="12" t="n">
        <x:f>'全部组合'!AC152/$D345</x:f>
        <x:v>0.12625262733048653</x:v>
      </x:c>
      <x:c r="J345" s="12" t="n">
        <x:f>'全部组合'!AD152/$D345</x:f>
        <x:v>0.7688358100743301</x:v>
      </x:c>
      <x:c r="K345" s="12" t="n">
        <x:f>'全部组合'!AE152/$D345</x:f>
        <x:v>0</x:v>
      </x:c>
      <x:c r="L345" s="12" t="n">
        <x:f>'全部组合'!AF152/$D345</x:f>
        <x:v>0</x:v>
      </x:c>
      <x:c r="M345" s="12" t="n">
        <x:f>'全部组合'!AG152/$D345</x:f>
        <x:v>0</x:v>
      </x:c>
      <x:c r="N345" s="13" t="n">
        <x:f>'全部组合'!AH152/$D345</x:f>
        <x:v>0</x:v>
      </x:c>
    </x:row>
    <x:row r="346" ht="23" customHeight="1">
      <x:c r="A346" s="10" t="str">
        <x:v>M7</x:v>
      </x:c>
      <x:c r="B346" s="10" t="str">
        <x:v>NC_H0</x:v>
      </x:c>
      <x:c r="C346" s="9" t="str">
        <x:v>节点</x:v>
      </x:c>
      <x:c r="D346" s="11" t="n">
        <x:f>'全部组合'!D153</x:f>
        <x:v>1026</x:v>
      </x:c>
      <x:c r="E346" s="12" t="n">
        <x:f>'全部组合'!O153/$D346</x:f>
        <x:v>0</x:v>
      </x:c>
      <x:c r="F346" s="12" t="n">
        <x:f>'全部组合'!P153/$D346</x:f>
        <x:v>0.0847953216374269</x:v>
      </x:c>
      <x:c r="G346" s="12" t="n">
        <x:f>'全部组合'!Q153/$D346</x:f>
        <x:v>0.016569200779727095</x:v>
      </x:c>
      <x:c r="H346" s="12" t="n">
        <x:f>'全部组合'!R153/$D346</x:f>
        <x:v>0</x:v>
      </x:c>
      <x:c r="I346" s="12" t="n">
        <x:f>'全部组合'!S153/$D346</x:f>
        <x:v>0.8625730994152047</x:v>
      </x:c>
      <x:c r="J346" s="12" t="n">
        <x:f>'全部组合'!T153/$D346</x:f>
        <x:v>0.010721247563352826</x:v>
      </x:c>
      <x:c r="K346" s="12" t="n">
        <x:f>'全部组合'!U153/$D346</x:f>
        <x:v>0.0009746588693957114</x:v>
      </x:c>
      <x:c r="L346" s="12" t="n">
        <x:f>'全部组合'!V153/$D346</x:f>
        <x:v>0.004873294346978557</x:v>
      </x:c>
      <x:c r="M346" s="12" t="n">
        <x:f>'全部组合'!W153/$D346</x:f>
        <x:v>0.01949317738791423</x:v>
      </x:c>
      <x:c r="N346" s="13" t="n">
        <x:f>'全部组合'!X153/$D346</x:f>
        <x:v>0</x:v>
      </x:c>
    </x:row>
    <x:row r="347" ht="23" customHeight="1">
      <x:c r="A347" s="10" t="str">
        <x:v>M7</x:v>
      </x:c>
      <x:c r="B347" s="10" t="str">
        <x:v>NC_H0</x:v>
      </x:c>
      <x:c r="C347" s="9" t="str">
        <x:v>源三角形</x:v>
      </x:c>
      <x:c r="D347" s="11" t="n">
        <x:f>'全部组合'!I153</x:f>
        <x:v>19905661</x:v>
      </x:c>
      <x:c r="E347" s="12" t="n">
        <x:f>'全部组合'!Y153/$D347</x:f>
        <x:v>0</x:v>
      </x:c>
      <x:c r="F347" s="12" t="n">
        <x:f>'全部组合'!Z153/$D347</x:f>
        <x:v>0.019902077102589056</x:v>
      </x:c>
      <x:c r="G347" s="12" t="n">
        <x:f>'全部组合'!AA153/$D347</x:f>
        <x:v>0.000646248321017825</x:v>
      </x:c>
      <x:c r="H347" s="12" t="n">
        <x:f>'全部组合'!AB153/$D347</x:f>
        <x:v>0</x:v>
      </x:c>
      <x:c r="I347" s="12" t="n">
        <x:f>'全部组合'!AC153/$D347</x:f>
        <x:v>0.9575675482467023</x:v>
      </x:c>
      <x:c r="J347" s="12" t="n">
        <x:f>'全部组合'!AD153/$D347</x:f>
        <x:v>0.002124018890907466</x:v>
      </x:c>
      <x:c r="K347" s="12" t="n">
        <x:f>'全部组合'!AE153/$D347</x:f>
        <x:v>0.0008340340971344785</x:v>
      </x:c>
      <x:c r="L347" s="12" t="n">
        <x:f>'全部组合'!AF153/$D347</x:f>
        <x:v>0.00492462922984572</x:v>
      </x:c>
      <x:c r="M347" s="12" t="n">
        <x:f>'全部组合'!AG153/$D347</x:f>
        <x:v>0.01400144411180317</x:v>
      </x:c>
      <x:c r="N347" s="13" t="n">
        <x:f>'全部组合'!AH153/$D347</x:f>
        <x:v>0</x:v>
      </x:c>
    </x:row>
    <x:row r="348" ht="23" customHeight="1">
      <x:c r="A348" s="10" t="str">
        <x:v>M7</x:v>
      </x:c>
      <x:c r="B348" s="10" t="str">
        <x:v>NC_HT</x:v>
      </x:c>
      <x:c r="C348" s="9" t="str">
        <x:v>节点</x:v>
      </x:c>
      <x:c r="D348" s="11" t="n">
        <x:f>'全部组合'!D154</x:f>
        <x:v>1026</x:v>
      </x:c>
      <x:c r="E348" s="12" t="n">
        <x:f>'全部组合'!O154/$D348</x:f>
        <x:v>0</x:v>
      </x:c>
      <x:c r="F348" s="12" t="n">
        <x:f>'全部组合'!P154/$D348</x:f>
        <x:v>0.0847953216374269</x:v>
      </x:c>
      <x:c r="G348" s="12" t="n">
        <x:f>'全部组合'!Q154/$D348</x:f>
        <x:v>0.016569200779727095</x:v>
      </x:c>
      <x:c r="H348" s="12" t="n">
        <x:f>'全部组合'!R154/$D348</x:f>
        <x:v>0</x:v>
      </x:c>
      <x:c r="I348" s="12" t="n">
        <x:f>'全部组合'!S154/$D348</x:f>
        <x:v>0.8625730994152047</x:v>
      </x:c>
      <x:c r="J348" s="12" t="n">
        <x:f>'全部组合'!T154/$D348</x:f>
        <x:v>0.010721247563352826</x:v>
      </x:c>
      <x:c r="K348" s="12" t="n">
        <x:f>'全部组合'!U154/$D348</x:f>
        <x:v>0.0009746588693957114</x:v>
      </x:c>
      <x:c r="L348" s="12" t="n">
        <x:f>'全部组合'!V154/$D348</x:f>
        <x:v>0.004873294346978557</x:v>
      </x:c>
      <x:c r="M348" s="12" t="n">
        <x:f>'全部组合'!W154/$D348</x:f>
        <x:v>0.01949317738791423</x:v>
      </x:c>
      <x:c r="N348" s="13" t="n">
        <x:f>'全部组合'!X154/$D348</x:f>
        <x:v>0</x:v>
      </x:c>
    </x:row>
    <x:row r="349" ht="23" customHeight="1">
      <x:c r="A349" s="10" t="str">
        <x:v>M7</x:v>
      </x:c>
      <x:c r="B349" s="10" t="str">
        <x:v>NC_HT</x:v>
      </x:c>
      <x:c r="C349" s="9" t="str">
        <x:v>源三角形</x:v>
      </x:c>
      <x:c r="D349" s="11" t="n">
        <x:f>'全部组合'!I154</x:f>
        <x:v>19905661</x:v>
      </x:c>
      <x:c r="E349" s="12" t="n">
        <x:f>'全部组合'!Y154/$D349</x:f>
        <x:v>0</x:v>
      </x:c>
      <x:c r="F349" s="12" t="n">
        <x:f>'全部组合'!Z154/$D349</x:f>
        <x:v>0.019902077102589056</x:v>
      </x:c>
      <x:c r="G349" s="12" t="n">
        <x:f>'全部组合'!AA154/$D349</x:f>
        <x:v>0.000646248321017825</x:v>
      </x:c>
      <x:c r="H349" s="12" t="n">
        <x:f>'全部组合'!AB154/$D349</x:f>
        <x:v>0</x:v>
      </x:c>
      <x:c r="I349" s="12" t="n">
        <x:f>'全部组合'!AC154/$D349</x:f>
        <x:v>0.9575675482467023</x:v>
      </x:c>
      <x:c r="J349" s="12" t="n">
        <x:f>'全部组合'!AD154/$D349</x:f>
        <x:v>0.002124018890907466</x:v>
      </x:c>
      <x:c r="K349" s="12" t="n">
        <x:f>'全部组合'!AE154/$D349</x:f>
        <x:v>0.0008340340971344785</x:v>
      </x:c>
      <x:c r="L349" s="12" t="n">
        <x:f>'全部组合'!AF154/$D349</x:f>
        <x:v>0.00492462922984572</x:v>
      </x:c>
      <x:c r="M349" s="12" t="n">
        <x:f>'全部组合'!AG154/$D349</x:f>
        <x:v>0.01400144411180317</x:v>
      </x:c>
      <x:c r="N349" s="13" t="n">
        <x:f>'全部组合'!AH154/$D349</x:f>
        <x:v>0</x:v>
      </x:c>
    </x:row>
    <x:row r="350" ht="23" customHeight="1">
      <x:c r="A350" s="10" t="str">
        <x:v>M7</x:v>
      </x:c>
      <x:c r="B350" s="10" t="str">
        <x:v>NC_H1</x:v>
      </x:c>
      <x:c r="C350" s="9" t="str">
        <x:v>节点</x:v>
      </x:c>
      <x:c r="D350" s="11" t="n">
        <x:f>'全部组合'!D155</x:f>
        <x:v>1026</x:v>
      </x:c>
      <x:c r="E350" s="12" t="n">
        <x:f>'全部组合'!O155/$D350</x:f>
        <x:v>0</x:v>
      </x:c>
      <x:c r="F350" s="12" t="n">
        <x:f>'全部组合'!P155/$D350</x:f>
        <x:v>0.08382066276803118</x:v>
      </x:c>
      <x:c r="G350" s="12" t="n">
        <x:f>'全部组合'!Q155/$D350</x:f>
        <x:v>0.01364522417153996</x:v>
      </x:c>
      <x:c r="H350" s="12" t="n">
        <x:f>'全部组合'!R155/$D350</x:f>
        <x:v>0</x:v>
      </x:c>
      <x:c r="I350" s="12" t="n">
        <x:f>'全部组合'!S155/$D350</x:f>
        <x:v>0.8625730994152047</x:v>
      </x:c>
      <x:c r="J350" s="12" t="n">
        <x:f>'全部组合'!T155/$D350</x:f>
        <x:v>0.010721247563352826</x:v>
      </x:c>
      <x:c r="K350" s="12" t="n">
        <x:f>'全部组合'!U155/$D350</x:f>
        <x:v>0.004873294346978557</x:v>
      </x:c>
      <x:c r="L350" s="12" t="n">
        <x:f>'全部组合'!V155/$D350</x:f>
        <x:v>0.004873294346978557</x:v>
      </x:c>
      <x:c r="M350" s="12" t="n">
        <x:f>'全部组合'!W155/$D350</x:f>
        <x:v>0.01949317738791423</x:v>
      </x:c>
      <x:c r="N350" s="13" t="n">
        <x:f>'全部组合'!X155/$D350</x:f>
        <x:v>0</x:v>
      </x:c>
    </x:row>
    <x:row r="351" ht="23" customHeight="1">
      <x:c r="A351" s="10" t="str">
        <x:v>M7</x:v>
      </x:c>
      <x:c r="B351" s="10" t="str">
        <x:v>NC_H1</x:v>
      </x:c>
      <x:c r="C351" s="9" t="str">
        <x:v>源三角形</x:v>
      </x:c>
      <x:c r="D351" s="11" t="n">
        <x:f>'全部组合'!I155</x:f>
        <x:v>19905661</x:v>
      </x:c>
      <x:c r="E351" s="12" t="n">
        <x:f>'全部组合'!Y155/$D351</x:f>
        <x:v>0</x:v>
      </x:c>
      <x:c r="F351" s="12" t="n">
        <x:f>'全部组合'!Z155/$D351</x:f>
        <x:v>0.019870528288410017</x:v>
      </x:c>
      <x:c r="G351" s="12" t="n">
        <x:f>'全部组合'!AA155/$D351</x:f>
        <x:v>0.00047202652551954944</x:v>
      </x:c>
      <x:c r="H351" s="12" t="n">
        <x:f>'全部组合'!AB155/$D351</x:f>
        <x:v>0</x:v>
      </x:c>
      <x:c r="I351" s="12" t="n">
        <x:f>'全部组合'!AC155/$D351</x:f>
        <x:v>0.9575675482467023</x:v>
      </x:c>
      <x:c r="J351" s="12" t="n">
        <x:f>'全部组合'!AD155/$D351</x:f>
        <x:v>0.002124018890907466</x:v>
      </x:c>
      <x:c r="K351" s="12" t="n">
        <x:f>'全部组合'!AE155/$D351</x:f>
        <x:v>0.0010398047068117958</x:v>
      </x:c>
      <x:c r="L351" s="12" t="n">
        <x:f>'全部组合'!AF155/$D351</x:f>
        <x:v>0.00492462922984572</x:v>
      </x:c>
      <x:c r="M351" s="12" t="n">
        <x:f>'全部组合'!AG155/$D351</x:f>
        <x:v>0.01400144411180317</x:v>
      </x:c>
      <x:c r="N351" s="13" t="n">
        <x:f>'全部组合'!AH155/$D351</x:f>
        <x:v>0</x:v>
      </x:c>
    </x:row>
    <x:row r="352" ht="23" customHeight="1">
      <x:c r="A352" s="10" t="str">
        <x:v>M7</x:v>
      </x:c>
      <x:c r="B352" s="10" t="str">
        <x:v>NG_H0</x:v>
      </x:c>
      <x:c r="C352" s="9" t="str">
        <x:v>节点</x:v>
      </x:c>
      <x:c r="D352" s="11" t="n">
        <x:f>'全部组合'!D156</x:f>
        <x:v>1026</x:v>
      </x:c>
      <x:c r="E352" s="12" t="n">
        <x:f>'全部组合'!O156/$D352</x:f>
        <x:v>0</x:v>
      </x:c>
      <x:c r="F352" s="12" t="n">
        <x:f>'全部组合'!P156/$D352</x:f>
        <x:v>0.1267056530214425</x:v>
      </x:c>
      <x:c r="G352" s="12" t="n">
        <x:f>'全部组合'!Q156/$D352</x:f>
        <x:v>0.672514619883041</x:v>
      </x:c>
      <x:c r="H352" s="12" t="n">
        <x:f>'全部组合'!R156/$D352</x:f>
        <x:v>0.08284600389863547</x:v>
      </x:c>
      <x:c r="I352" s="12" t="n">
        <x:f>'全部组合'!S156/$D352</x:f>
        <x:v>0.0769980506822612</x:v>
      </x:c>
      <x:c r="J352" s="12" t="n">
        <x:f>'全部组合'!T156/$D352</x:f>
        <x:v>0.015594541910331383</x:v>
      </x:c>
      <x:c r="K352" s="12" t="n">
        <x:f>'全部组合'!U156/$D352</x:f>
        <x:v>0.0009746588693957114</x:v>
      </x:c>
      <x:c r="L352" s="12" t="n">
        <x:f>'全部组合'!V156/$D352</x:f>
        <x:v>0.004873294346978557</x:v>
      </x:c>
      <x:c r="M352" s="12" t="n">
        <x:f>'全部组合'!W156/$D352</x:f>
        <x:v>0.01949317738791423</x:v>
      </x:c>
      <x:c r="N352" s="13" t="n">
        <x:f>'全部组合'!X156/$D352</x:f>
        <x:v>0</x:v>
      </x:c>
    </x:row>
    <x:row r="353" ht="23" customHeight="1">
      <x:c r="A353" s="10" t="str">
        <x:v>M7</x:v>
      </x:c>
      <x:c r="B353" s="10" t="str">
        <x:v>NG_H0</x:v>
      </x:c>
      <x:c r="C353" s="9" t="str">
        <x:v>源三角形</x:v>
      </x:c>
      <x:c r="D353" s="11" t="n">
        <x:f>'全部组合'!I156</x:f>
        <x:v>19905661</x:v>
      </x:c>
      <x:c r="E353" s="12" t="n">
        <x:f>'全部组合'!Y156/$D353</x:f>
        <x:v>0</x:v>
      </x:c>
      <x:c r="F353" s="12" t="n">
        <x:f>'全部组合'!Z156/$D353</x:f>
        <x:v>0.010104261295316946</x:v>
      </x:c>
      <x:c r="G353" s="12" t="n">
        <x:f>'全部组合'!AA156/$D353</x:f>
        <x:v>0.060245675840656585</x:v>
      </x:c>
      <x:c r="H353" s="12" t="n">
        <x:f>'全部组合'!AB156/$D353</x:f>
        <x:v>0.015223508528553762</x:v>
      </x:c>
      <x:c r="I353" s="12" t="n">
        <x:f>'全部组合'!AC156/$D353</x:f>
        <x:v>0.12370661793145177</x:v>
      </x:c>
      <x:c r="J353" s="12" t="n">
        <x:f>'全部组合'!AD156/$D353</x:f>
        <x:v>0.7709598289652376</x:v>
      </x:c>
      <x:c r="K353" s="12" t="n">
        <x:f>'全部组合'!AE156/$D353</x:f>
        <x:v>0.0008340340971344785</x:v>
      </x:c>
      <x:c r="L353" s="12" t="n">
        <x:f>'全部组合'!AF156/$D353</x:f>
        <x:v>0.00492462922984572</x:v>
      </x:c>
      <x:c r="M353" s="12" t="n">
        <x:f>'全部组合'!AG156/$D353</x:f>
        <x:v>0.01400144411180317</x:v>
      </x:c>
      <x:c r="N353" s="13" t="n">
        <x:f>'全部组合'!AH156/$D353</x:f>
        <x:v>0</x:v>
      </x:c>
    </x:row>
    <x:row r="354" ht="23" customHeight="1">
      <x:c r="A354" s="10" t="str">
        <x:v>M7</x:v>
      </x:c>
      <x:c r="B354" s="10" t="str">
        <x:v>NG_HT</x:v>
      </x:c>
      <x:c r="C354" s="9" t="str">
        <x:v>节点</x:v>
      </x:c>
      <x:c r="D354" s="11" t="n">
        <x:f>'全部组合'!D157</x:f>
        <x:v>1026</x:v>
      </x:c>
      <x:c r="E354" s="12" t="n">
        <x:f>'全部组合'!O157/$D354</x:f>
        <x:v>0</x:v>
      </x:c>
      <x:c r="F354" s="12" t="n">
        <x:f>'全部组合'!P157/$D354</x:f>
        <x:v>0.09454191033138401</x:v>
      </x:c>
      <x:c r="G354" s="12" t="n">
        <x:f>'全部组合'!Q157/$D354</x:f>
        <x:v>0.665692007797271</x:v>
      </x:c>
      <x:c r="H354" s="12" t="n">
        <x:f>'全部组合'!R157/$D354</x:f>
        <x:v>0.11208576998050682</x:v>
      </x:c>
      <x:c r="I354" s="12" t="n">
        <x:f>'全部组合'!S157/$D354</x:f>
        <x:v>0.08674463937621832</x:v>
      </x:c>
      <x:c r="J354" s="12" t="n">
        <x:f>'全部组合'!T157/$D354</x:f>
        <x:v>0.015594541910331383</x:v>
      </x:c>
      <x:c r="K354" s="12" t="n">
        <x:f>'全部组合'!U157/$D354</x:f>
        <x:v>0.0009746588693957114</x:v>
      </x:c>
      <x:c r="L354" s="12" t="n">
        <x:f>'全部组合'!V157/$D354</x:f>
        <x:v>0.004873294346978557</x:v>
      </x:c>
      <x:c r="M354" s="12" t="n">
        <x:f>'全部组合'!W157/$D354</x:f>
        <x:v>0.01949317738791423</x:v>
      </x:c>
      <x:c r="N354" s="13" t="n">
        <x:f>'全部组合'!X157/$D354</x:f>
        <x:v>0</x:v>
      </x:c>
    </x:row>
    <x:row r="355" ht="23" customHeight="1">
      <x:c r="A355" s="10" t="str">
        <x:v>M7</x:v>
      </x:c>
      <x:c r="B355" s="10" t="str">
        <x:v>NG_HT</x:v>
      </x:c>
      <x:c r="C355" s="9" t="str">
        <x:v>源三角形</x:v>
      </x:c>
      <x:c r="D355" s="11" t="n">
        <x:f>'全部组合'!I157</x:f>
        <x:v>19905661</x:v>
      </x:c>
      <x:c r="E355" s="12" t="n">
        <x:f>'全部组合'!Y157/$D355</x:f>
        <x:v>0</x:v>
      </x:c>
      <x:c r="F355" s="12" t="n">
        <x:f>'全部组合'!Z157/$D355</x:f>
        <x:v>0.009068475545725409</x:v>
      </x:c>
      <x:c r="G355" s="12" t="n">
        <x:f>'全部组合'!AA157/$D355</x:f>
        <x:v>0.05999745499534027</x:v>
      </x:c>
      <x:c r="H355" s="12" t="n">
        <x:f>'全部组合'!AB157/$D355</x:f>
        <x:v>0.013961505724426835</x:v>
      </x:c>
      <x:c r="I355" s="12" t="n">
        <x:f>'全部组合'!AC157/$D355</x:f>
        <x:v>0.12625262733048653</x:v>
      </x:c>
      <x:c r="J355" s="12" t="n">
        <x:f>'全部组合'!AD157/$D355</x:f>
        <x:v>0.7709598289652376</x:v>
      </x:c>
      <x:c r="K355" s="12" t="n">
        <x:f>'全部组合'!AE157/$D355</x:f>
        <x:v>0.0008340340971344785</x:v>
      </x:c>
      <x:c r="L355" s="12" t="n">
        <x:f>'全部组合'!AF157/$D355</x:f>
        <x:v>0.00492462922984572</x:v>
      </x:c>
      <x:c r="M355" s="12" t="n">
        <x:f>'全部组合'!AG157/$D355</x:f>
        <x:v>0.01400144411180317</x:v>
      </x:c>
      <x:c r="N355" s="13" t="n">
        <x:f>'全部组合'!AH157/$D355</x:f>
        <x:v>0</x:v>
      </x:c>
    </x:row>
    <x:row r="356" ht="23" customHeight="1">
      <x:c r="A356" s="10" t="str">
        <x:v>M7</x:v>
      </x:c>
      <x:c r="B356" s="10" t="str">
        <x:v>NG_H1</x:v>
      </x:c>
      <x:c r="C356" s="9" t="str">
        <x:v>节点</x:v>
      </x:c>
      <x:c r="D356" s="11" t="n">
        <x:f>'全部组合'!D158</x:f>
        <x:v>1026</x:v>
      </x:c>
      <x:c r="E356" s="12" t="n">
        <x:f>'全部组合'!O158/$D356</x:f>
        <x:v>0</x:v>
      </x:c>
      <x:c r="F356" s="12" t="n">
        <x:f>'全部组合'!P158/$D356</x:f>
        <x:v>0.0935672514619883</x:v>
      </x:c>
      <x:c r="G356" s="12" t="n">
        <x:f>'全部组合'!Q158/$D356</x:f>
        <x:v>0.6617933723196882</x:v>
      </x:c>
      <x:c r="H356" s="12" t="n">
        <x:f>'全部组合'!R158/$D356</x:f>
        <x:v>0.11208576998050682</x:v>
      </x:c>
      <x:c r="I356" s="12" t="n">
        <x:f>'全部组合'!S158/$D356</x:f>
        <x:v>0.08674463937621832</x:v>
      </x:c>
      <x:c r="J356" s="12" t="n">
        <x:f>'全部组合'!T158/$D356</x:f>
        <x:v>0.015594541910331383</x:v>
      </x:c>
      <x:c r="K356" s="12" t="n">
        <x:f>'全部组合'!U158/$D356</x:f>
        <x:v>0.005847953216374269</x:v>
      </x:c>
      <x:c r="L356" s="12" t="n">
        <x:f>'全部组合'!V158/$D356</x:f>
        <x:v>0.004873294346978557</x:v>
      </x:c>
      <x:c r="M356" s="12" t="n">
        <x:f>'全部组合'!W158/$D356</x:f>
        <x:v>0.01949317738791423</x:v>
      </x:c>
      <x:c r="N356" s="13" t="n">
        <x:f>'全部组合'!X158/$D356</x:f>
        <x:v>0</x:v>
      </x:c>
    </x:row>
    <x:row r="357" ht="23" customHeight="1">
      <x:c r="A357" s="10" t="str">
        <x:v>M7</x:v>
      </x:c>
      <x:c r="B357" s="10" t="str">
        <x:v>NG_H1</x:v>
      </x:c>
      <x:c r="C357" s="9" t="str">
        <x:v>源三角形</x:v>
      </x:c>
      <x:c r="D357" s="11" t="n">
        <x:f>'全部组合'!I158</x:f>
        <x:v>19905661</x:v>
      </x:c>
      <x:c r="E357" s="12" t="n">
        <x:f>'全部组合'!Y158/$D357</x:f>
        <x:v>0</x:v>
      </x:c>
      <x:c r="F357" s="12" t="n">
        <x:f>'全部组合'!Z158/$D357</x:f>
        <x:v>0.009036926731546368</x:v>
      </x:c>
      <x:c r="G357" s="12" t="n">
        <x:f>'全部组合'!AA158/$D357</x:f>
        <x:v>0.05979670808218828</x:v>
      </x:c>
      <x:c r="H357" s="12" t="n">
        <x:f>'全部组合'!AB158/$D357</x:f>
        <x:v>0.013961505724426835</x:v>
      </x:c>
      <x:c r="I357" s="12" t="n">
        <x:f>'全部组合'!AC158/$D357</x:f>
        <x:v>0.12625262733048653</x:v>
      </x:c>
      <x:c r="J357" s="12" t="n">
        <x:f>'全部组合'!AD158/$D357</x:f>
        <x:v>0.7709598289652376</x:v>
      </x:c>
      <x:c r="K357" s="12" t="n">
        <x:f>'全部组合'!AE158/$D357</x:f>
        <x:v>0.0010663298244655125</x:v>
      </x:c>
      <x:c r="L357" s="12" t="n">
        <x:f>'全部组合'!AF158/$D357</x:f>
        <x:v>0.00492462922984572</x:v>
      </x:c>
      <x:c r="M357" s="12" t="n">
        <x:f>'全部组合'!AG158/$D357</x:f>
        <x:v>0.01400144411180317</x:v>
      </x:c>
      <x:c r="N357" s="13" t="n">
        <x:f>'全部组合'!AH158/$D357</x:f>
        <x:v>0</x:v>
      </x:c>
    </x:row>
    <x:row r="358" ht="23" customHeight="1">
      <x:c r="A358" s="10" t="str">
        <x:v>M7</x:v>
      </x:c>
      <x:c r="B358" s="10" t="str">
        <x:v>CG_H0</x:v>
      </x:c>
      <x:c r="C358" s="9" t="str">
        <x:v>节点</x:v>
      </x:c>
      <x:c r="D358" s="11" t="n">
        <x:f>'全部组合'!D159</x:f>
        <x:v>1026</x:v>
      </x:c>
      <x:c r="E358" s="12" t="n">
        <x:f>'全部组合'!O159/$D358</x:f>
        <x:v>0</x:v>
      </x:c>
      <x:c r="F358" s="12" t="n">
        <x:f>'全部组合'!P159/$D358</x:f>
        <x:v>0.1695906432748538</x:v>
      </x:c>
      <x:c r="G358" s="12" t="n">
        <x:f>'全部组合'!Q159/$D358</x:f>
        <x:v>0.6549707602339181</x:v>
      </x:c>
      <x:c r="H358" s="12" t="n">
        <x:f>'全部组合'!R159/$D358</x:f>
        <x:v>0.08966861598440545</x:v>
      </x:c>
      <x:c r="I358" s="12" t="n">
        <x:f>'全部组合'!S159/$D358</x:f>
        <x:v>0.0769980506822612</x:v>
      </x:c>
      <x:c r="J358" s="12" t="n">
        <x:f>'全部组合'!T159/$D358</x:f>
        <x:v>0.004873294346978557</x:v>
      </x:c>
      <x:c r="K358" s="12" t="n">
        <x:f>'全部组合'!U159/$D358</x:f>
        <x:v>0</x:v>
      </x:c>
      <x:c r="L358" s="12" t="n">
        <x:f>'全部组合'!V159/$D358</x:f>
        <x:v>0</x:v>
      </x:c>
      <x:c r="M358" s="12" t="n">
        <x:f>'全部组合'!W159/$D358</x:f>
        <x:v>0.003898635477582846</x:v>
      </x:c>
      <x:c r="N358" s="13" t="n">
        <x:f>'全部组合'!X159/$D358</x:f>
        <x:v>0</x:v>
      </x:c>
    </x:row>
    <x:row r="359" ht="23" customHeight="1">
      <x:c r="A359" s="10" t="str">
        <x:v>M7</x:v>
      </x:c>
      <x:c r="B359" s="10" t="str">
        <x:v>CG_H0</x:v>
      </x:c>
      <x:c r="C359" s="9" t="str">
        <x:v>源三角形</x:v>
      </x:c>
      <x:c r="D359" s="11" t="n">
        <x:f>'全部组合'!I159</x:f>
        <x:v>19905661</x:v>
      </x:c>
      <x:c r="E359" s="12" t="n">
        <x:f>'全部组合'!Y159/$D359</x:f>
        <x:v>0</x:v>
      </x:c>
      <x:c r="F359" s="12" t="n">
        <x:f>'全部组合'!Z159/$D359</x:f>
        <x:v>0.025058600164043786</x:v>
      </x:c>
      <x:c r="G359" s="12" t="n">
        <x:f>'全部组合'!AA159/$D359</x:f>
        <x:v>0.060542676779233806</x:v>
      </x:c>
      <x:c r="H359" s="12" t="n">
        <x:f>'全部组合'!AB159/$D359</x:f>
        <x:v>0.021325993645727213</x:v>
      </x:c>
      <x:c r="I359" s="12" t="n">
        <x:f>'全部组合'!AC159/$D359</x:f>
        <x:v>0.12370661793145177</x:v>
      </x:c>
      <x:c r="J359" s="12" t="n">
        <x:f>'全部组合'!AD159/$D359</x:f>
        <x:v>0.7688358100743301</x:v>
      </x:c>
      <x:c r="K359" s="12" t="n">
        <x:f>'全部组合'!AE159/$D359</x:f>
        <x:v>0</x:v>
      </x:c>
      <x:c r="L359" s="12" t="n">
        <x:f>'全部组合'!AF159/$D359</x:f>
        <x:v>0</x:v>
      </x:c>
      <x:c r="M359" s="12" t="n">
        <x:f>'全部组合'!AG159/$D359</x:f>
        <x:v>0.000530301405213321</x:v>
      </x:c>
      <x:c r="N359" s="13" t="n">
        <x:f>'全部组合'!AH159/$D359</x:f>
        <x:v>0</x:v>
      </x:c>
    </x:row>
    <x:row r="360" ht="23" customHeight="1">
      <x:c r="A360" s="10" t="str">
        <x:v>M7</x:v>
      </x:c>
      <x:c r="B360" s="10" t="str">
        <x:v>CG_HT</x:v>
      </x:c>
      <x:c r="C360" s="9" t="str">
        <x:v>节点</x:v>
      </x:c>
      <x:c r="D360" s="11" t="n">
        <x:f>'全部组合'!D160</x:f>
        <x:v>1026</x:v>
      </x:c>
      <x:c r="E360" s="12" t="n">
        <x:f>'全部组合'!O160/$D360</x:f>
        <x:v>0</x:v>
      </x:c>
      <x:c r="F360" s="12" t="n">
        <x:f>'全部组合'!P160/$D360</x:f>
        <x:v>0.11500974658869395</x:v>
      </x:c>
      <x:c r="G360" s="12" t="n">
        <x:f>'全部组合'!Q160/$D360</x:f>
        <x:v>0.6705653021442495</x:v>
      </x:c>
      <x:c r="H360" s="12" t="n">
        <x:f>'全部组合'!R160/$D360</x:f>
        <x:v>0.1189083820662768</x:v>
      </x:c>
      <x:c r="I360" s="12" t="n">
        <x:f>'全部组合'!S160/$D360</x:f>
        <x:v>0.08674463937621832</x:v>
      </x:c>
      <x:c r="J360" s="12" t="n">
        <x:f>'全部组合'!T160/$D360</x:f>
        <x:v>0.004873294346978557</x:v>
      </x:c>
      <x:c r="K360" s="12" t="n">
        <x:f>'全部组合'!U160/$D360</x:f>
        <x:v>0</x:v>
      </x:c>
      <x:c r="L360" s="12" t="n">
        <x:f>'全部组合'!V160/$D360</x:f>
        <x:v>0</x:v>
      </x:c>
      <x:c r="M360" s="12" t="n">
        <x:f>'全部组合'!W160/$D360</x:f>
        <x:v>0.003898635477582846</x:v>
      </x:c>
      <x:c r="N360" s="13" t="n">
        <x:f>'全部组合'!X160/$D360</x:f>
        <x:v>0</x:v>
      </x:c>
    </x:row>
    <x:row r="361" ht="23" customHeight="1">
      <x:c r="A361" s="10" t="str">
        <x:v>M7</x:v>
      </x:c>
      <x:c r="B361" s="10" t="str">
        <x:v>CG_HT</x:v>
      </x:c>
      <x:c r="C361" s="9" t="str">
        <x:v>源三角形</x:v>
      </x:c>
      <x:c r="D361" s="11" t="n">
        <x:f>'全部组合'!I160</x:f>
        <x:v>19905661</x:v>
      </x:c>
      <x:c r="E361" s="12" t="n">
        <x:f>'全部组合'!Y160/$D361</x:f>
        <x:v>0</x:v>
      </x:c>
      <x:c r="F361" s="12" t="n">
        <x:f>'全部组合'!Z160/$D361</x:f>
        <x:v>0.011567965514935675</x:v>
      </x:c>
      <x:c r="G361" s="12" t="n">
        <x:f>'全部组合'!AA160/$D361</x:f>
        <x:v>0.07274930483343407</x:v>
      </x:c>
      <x:c r="H361" s="12" t="n">
        <x:f>'全部组合'!AB160/$D361</x:f>
        <x:v>0.020063990841600286</x:v>
      </x:c>
      <x:c r="I361" s="12" t="n">
        <x:f>'全部组合'!AC160/$D361</x:f>
        <x:v>0.12625262733048653</x:v>
      </x:c>
      <x:c r="J361" s="12" t="n">
        <x:f>'全部组合'!AD160/$D361</x:f>
        <x:v>0.7688358100743301</x:v>
      </x:c>
      <x:c r="K361" s="12" t="n">
        <x:f>'全部组合'!AE160/$D361</x:f>
        <x:v>0</x:v>
      </x:c>
      <x:c r="L361" s="12" t="n">
        <x:f>'全部组合'!AF160/$D361</x:f>
        <x:v>0</x:v>
      </x:c>
      <x:c r="M361" s="12" t="n">
        <x:f>'全部组合'!AG160/$D361</x:f>
        <x:v>0.000530301405213321</x:v>
      </x:c>
      <x:c r="N361" s="13" t="n">
        <x:f>'全部组合'!AH160/$D361</x:f>
        <x:v>0</x:v>
      </x:c>
    </x:row>
    <x:row r="362" ht="23" customHeight="1">
      <x:c r="A362" s="10" t="str">
        <x:v>M7</x:v>
      </x:c>
      <x:c r="B362" s="10" t="str">
        <x:v>CG_H1</x:v>
      </x:c>
      <x:c r="C362" s="9" t="str">
        <x:v>节点</x:v>
      </x:c>
      <x:c r="D362" s="11" t="n">
        <x:f>'全部组合'!D161</x:f>
        <x:v>1026</x:v>
      </x:c>
      <x:c r="E362" s="12" t="n">
        <x:f>'全部组合'!O161/$D362</x:f>
        <x:v>0</x:v>
      </x:c>
      <x:c r="F362" s="12" t="n">
        <x:f>'全部组合'!P161/$D362</x:f>
        <x:v>0.11403508771929824</x:v>
      </x:c>
      <x:c r="G362" s="12" t="n">
        <x:f>'全部组合'!Q161/$D362</x:f>
        <x:v>0.6705653021442495</x:v>
      </x:c>
      <x:c r="H362" s="12" t="n">
        <x:f>'全部组合'!R161/$D362</x:f>
        <x:v>0.1189083820662768</x:v>
      </x:c>
      <x:c r="I362" s="12" t="n">
        <x:f>'全部组合'!S161/$D362</x:f>
        <x:v>0.08674463937621832</x:v>
      </x:c>
      <x:c r="J362" s="12" t="n">
        <x:f>'全部组合'!T161/$D362</x:f>
        <x:v>0.004873294346978557</x:v>
      </x:c>
      <x:c r="K362" s="12" t="n">
        <x:f>'全部组合'!U161/$D362</x:f>
        <x:v>0.0009746588693957114</x:v>
      </x:c>
      <x:c r="L362" s="12" t="n">
        <x:f>'全部组合'!V161/$D362</x:f>
        <x:v>0</x:v>
      </x:c>
      <x:c r="M362" s="12" t="n">
        <x:f>'全部组合'!W161/$D362</x:f>
        <x:v>0.003898635477582846</x:v>
      </x:c>
      <x:c r="N362" s="13" t="n">
        <x:f>'全部组合'!X161/$D362</x:f>
        <x:v>0</x:v>
      </x:c>
    </x:row>
    <x:row r="363" ht="23" customHeight="1">
      <x:c r="A363" s="10" t="str">
        <x:v>M7</x:v>
      </x:c>
      <x:c r="B363" s="10" t="str">
        <x:v>CG_H1</x:v>
      </x:c>
      <x:c r="C363" s="9" t="str">
        <x:v>源三角形</x:v>
      </x:c>
      <x:c r="D363" s="11" t="n">
        <x:f>'全部组合'!I161</x:f>
        <x:v>19905661</x:v>
      </x:c>
      <x:c r="E363" s="12" t="n">
        <x:f>'全部组合'!Y161/$D363</x:f>
        <x:v>0</x:v>
      </x:c>
      <x:c r="F363" s="12" t="n">
        <x:f>'全部组合'!Z161/$D363</x:f>
        <x:v>0.011536416700756634</x:v>
      </x:c>
      <x:c r="G363" s="12" t="n">
        <x:f>'全部组合'!AA161/$D363</x:f>
        <x:v>0.07274930483343407</x:v>
      </x:c>
      <x:c r="H363" s="12" t="n">
        <x:f>'全部组合'!AB161/$D363</x:f>
        <x:v>0.020063990841600286</x:v>
      </x:c>
      <x:c r="I363" s="12" t="n">
        <x:f>'全部组合'!AC161/$D363</x:f>
        <x:v>0.12625262733048653</x:v>
      </x:c>
      <x:c r="J363" s="12" t="n">
        <x:f>'全部组合'!AD161/$D363</x:f>
        <x:v>0.7688358100743301</x:v>
      </x:c>
      <x:c r="K363" s="12" t="n">
        <x:f>'全部组合'!AE161/$D363</x:f>
        <x:v>0.00003154881417904183</x:v>
      </x:c>
      <x:c r="L363" s="12" t="n">
        <x:f>'全部组合'!AF161/$D363</x:f>
        <x:v>0</x:v>
      </x:c>
      <x:c r="M363" s="12" t="n">
        <x:f>'全部组合'!AG161/$D363</x:f>
        <x:v>0.000530301405213321</x:v>
      </x:c>
      <x:c r="N363" s="13" t="n">
        <x:f>'全部组合'!AH161/$D363</x:f>
        <x:v>0</x:v>
      </x:c>
    </x:row>
    <x:row r="364" ht="23" customHeight="1">
      <x:c r="A364" s="10" t="str">
        <x:v>M7</x:v>
      </x:c>
      <x:c r="B364" s="10" t="str">
        <x:v>NCG_H0</x:v>
      </x:c>
      <x:c r="C364" s="9" t="str">
        <x:v>节点</x:v>
      </x:c>
      <x:c r="D364" s="11" t="n">
        <x:f>'全部组合'!D162</x:f>
        <x:v>1026</x:v>
      </x:c>
      <x:c r="E364" s="12" t="n">
        <x:f>'全部组合'!O162/$D364</x:f>
        <x:v>0</x:v>
      </x:c>
      <x:c r="F364" s="12" t="n">
        <x:f>'全部组合'!P162/$D364</x:f>
        <x:v>0.12183235867446393</x:v>
      </x:c>
      <x:c r="G364" s="12" t="n">
        <x:f>'全部组合'!Q162/$D364</x:f>
        <x:v>0.6764132553606238</x:v>
      </x:c>
      <x:c r="H364" s="12" t="n">
        <x:f>'全部组合'!R162/$D364</x:f>
        <x:v>0.08089668615984405</x:v>
      </x:c>
      <x:c r="I364" s="12" t="n">
        <x:f>'全部组合'!S162/$D364</x:f>
        <x:v>0.0769980506822612</x:v>
      </x:c>
      <x:c r="J364" s="12" t="n">
        <x:f>'全部组合'!T162/$D364</x:f>
        <x:v>0.018518518518518517</x:v>
      </x:c>
      <x:c r="K364" s="12" t="n">
        <x:f>'全部组合'!U162/$D364</x:f>
        <x:v>0.0009746588693957114</x:v>
      </x:c>
      <x:c r="L364" s="12" t="n">
        <x:f>'全部组合'!V162/$D364</x:f>
        <x:v>0.004873294346978557</x:v>
      </x:c>
      <x:c r="M364" s="12" t="n">
        <x:f>'全部组合'!W162/$D364</x:f>
        <x:v>0.01949317738791423</x:v>
      </x:c>
      <x:c r="N364" s="13" t="n">
        <x:f>'全部组合'!X162/$D364</x:f>
        <x:v>0</x:v>
      </x:c>
    </x:row>
    <x:row r="365" ht="23" customHeight="1">
      <x:c r="A365" s="10" t="str">
        <x:v>M7</x:v>
      </x:c>
      <x:c r="B365" s="10" t="str">
        <x:v>NCG_H0</x:v>
      </x:c>
      <x:c r="C365" s="9" t="str">
        <x:v>源三角形</x:v>
      </x:c>
      <x:c r="D365" s="11" t="n">
        <x:f>'全部组合'!I162</x:f>
        <x:v>19905661</x:v>
      </x:c>
      <x:c r="E365" s="12" t="n">
        <x:f>'全部组合'!Y162/$D365</x:f>
        <x:v>0</x:v>
      </x:c>
      <x:c r="F365" s="12" t="n">
        <x:f>'全部组合'!Z162/$D365</x:f>
        <x:v>0.00861483574948855</x:v>
      </x:c>
      <x:c r="G365" s="12" t="n">
        <x:f>'全部组合'!AA162/$D365</x:f>
        <x:v>0.06163784262175469</x:v>
      </x:c>
      <x:c r="H365" s="12" t="n">
        <x:f>'全部组合'!AB162/$D365</x:f>
        <x:v>0.015063353083326396</x:v>
      </x:c>
      <x:c r="I365" s="12" t="n">
        <x:f>'全部组合'!AC162/$D365</x:f>
        <x:v>0.11472686086636359</x:v>
      </x:c>
      <x:c r="J365" s="12" t="n">
        <x:f>'全部组合'!AD162/$D365</x:f>
        <x:v>0.7801970002402834</x:v>
      </x:c>
      <x:c r="K365" s="12" t="n">
        <x:f>'全部组合'!AE162/$D365</x:f>
        <x:v>0.0008340340971344785</x:v>
      </x:c>
      <x:c r="L365" s="12" t="n">
        <x:f>'全部组合'!AF162/$D365</x:f>
        <x:v>0.00492462922984572</x:v>
      </x:c>
      <x:c r="M365" s="12" t="n">
        <x:f>'全部组合'!AG162/$D365</x:f>
        <x:v>0.01400144411180317</x:v>
      </x:c>
      <x:c r="N365" s="13" t="n">
        <x:f>'全部组合'!AH162/$D365</x:f>
        <x:v>0</x:v>
      </x:c>
    </x:row>
    <x:row r="366" ht="23" customHeight="1">
      <x:c r="A366" s="10" t="str">
        <x:v>M7</x:v>
      </x:c>
      <x:c r="B366" s="10" t="str">
        <x:v>NCG_HT</x:v>
      </x:c>
      <x:c r="C366" s="9" t="str">
        <x:v>节点</x:v>
      </x:c>
      <x:c r="D366" s="11" t="n">
        <x:f>'全部组合'!D163</x:f>
        <x:v>1026</x:v>
      </x:c>
      <x:c r="E366" s="12" t="n">
        <x:f>'全部组合'!O163/$D366</x:f>
        <x:v>0</x:v>
      </x:c>
      <x:c r="F366" s="12" t="n">
        <x:f>'全部组合'!P163/$D366</x:f>
        <x:v>0.08284600389863547</x:v>
      </x:c>
      <x:c r="G366" s="12" t="n">
        <x:f>'全部组合'!Q163/$D366</x:f>
        <x:v>0.6686159844054581</x:v>
      </x:c>
      <x:c r="H366" s="12" t="n">
        <x:f>'全部组合'!R163/$D366</x:f>
        <x:v>0.11988304093567251</x:v>
      </x:c>
      <x:c r="I366" s="12" t="n">
        <x:f>'全部组合'!S163/$D366</x:f>
        <x:v>0.08284600389863547</x:v>
      </x:c>
      <x:c r="J366" s="12" t="n">
        <x:f>'全部组合'!T163/$D366</x:f>
        <x:v>0.02046783625730994</x:v>
      </x:c>
      <x:c r="K366" s="12" t="n">
        <x:f>'全部组合'!U163/$D366</x:f>
        <x:v>0.0009746588693957114</x:v>
      </x:c>
      <x:c r="L366" s="12" t="n">
        <x:f>'全部组合'!V163/$D366</x:f>
        <x:v>0.004873294346978557</x:v>
      </x:c>
      <x:c r="M366" s="12" t="n">
        <x:f>'全部组合'!W163/$D366</x:f>
        <x:v>0.01949317738791423</x:v>
      </x:c>
      <x:c r="N366" s="13" t="n">
        <x:f>'全部组合'!X163/$D366</x:f>
        <x:v>0</x:v>
      </x:c>
    </x:row>
    <x:row r="367" ht="23" customHeight="1">
      <x:c r="A367" s="10" t="str">
        <x:v>M7</x:v>
      </x:c>
      <x:c r="B367" s="10" t="str">
        <x:v>NCG_HT</x:v>
      </x:c>
      <x:c r="C367" s="9" t="str">
        <x:v>源三角形</x:v>
      </x:c>
      <x:c r="D367" s="11" t="n">
        <x:f>'全部组合'!I163</x:f>
        <x:v>19905661</x:v>
      </x:c>
      <x:c r="E367" s="12" t="n">
        <x:f>'全部组合'!Y163/$D367</x:f>
        <x:v>0</x:v>
      </x:c>
      <x:c r="F367" s="12" t="n">
        <x:f>'全部组合'!Z163/$D367</x:f>
        <x:v>0.007342333419623694</x:v>
      </x:c>
      <x:c r="G367" s="12" t="n">
        <x:f>'全部组合'!AA163/$D367</x:f>
        <x:v>0.06108307581446303</x:v>
      </x:c>
      <x:c r="H367" s="12" t="n">
        <x:f>'全部组合'!AB163/$D367</x:f>
        <x:v>0.01454113982951885</x:v>
      </x:c>
      <x:c r="I367" s="12" t="n">
        <x:f>'全部组合'!AC163/$D367</x:f>
        <x:v>0.11672146933477869</x:v>
      </x:c>
      <x:c r="J367" s="12" t="n">
        <x:f>'全部组合'!AD163/$D367</x:f>
        <x:v>0.7805518741628323</x:v>
      </x:c>
      <x:c r="K367" s="12" t="n">
        <x:f>'全部组合'!AE163/$D367</x:f>
        <x:v>0.0008340340971344785</x:v>
      </x:c>
      <x:c r="L367" s="12" t="n">
        <x:f>'全部组合'!AF163/$D367</x:f>
        <x:v>0.00492462922984572</x:v>
      </x:c>
      <x:c r="M367" s="12" t="n">
        <x:f>'全部组合'!AG163/$D367</x:f>
        <x:v>0.01400144411180317</x:v>
      </x:c>
      <x:c r="N367" s="13" t="n">
        <x:f>'全部组合'!AH163/$D367</x:f>
        <x:v>0</x:v>
      </x:c>
    </x:row>
    <x:row r="368" ht="23" customHeight="1">
      <x:c r="A368" s="10" t="str">
        <x:v>M7</x:v>
      </x:c>
      <x:c r="B368" s="10" t="str">
        <x:v>NCG_H1</x:v>
      </x:c>
      <x:c r="C368" s="9" t="str">
        <x:v>节点</x:v>
      </x:c>
      <x:c r="D368" s="11" t="n">
        <x:f>'全部组合'!D164</x:f>
        <x:v>1026</x:v>
      </x:c>
      <x:c r="E368" s="12" t="n">
        <x:f>'全部组合'!O164/$D368</x:f>
        <x:v>0</x:v>
      </x:c>
      <x:c r="F368" s="12" t="n">
        <x:f>'全部组合'!P164/$D368</x:f>
        <x:v>0.08187134502923976</x:v>
      </x:c>
      <x:c r="G368" s="12" t="n">
        <x:f>'全部组合'!Q164/$D368</x:f>
        <x:v>0.665692007797271</x:v>
      </x:c>
      <x:c r="H368" s="12" t="n">
        <x:f>'全部组合'!R164/$D368</x:f>
        <x:v>0.11988304093567251</x:v>
      </x:c>
      <x:c r="I368" s="12" t="n">
        <x:f>'全部组合'!S164/$D368</x:f>
        <x:v>0.08284600389863547</x:v>
      </x:c>
      <x:c r="J368" s="12" t="n">
        <x:f>'全部组合'!T164/$D368</x:f>
        <x:v>0.02046783625730994</x:v>
      </x:c>
      <x:c r="K368" s="12" t="n">
        <x:f>'全部组合'!U164/$D368</x:f>
        <x:v>0.004873294346978557</x:v>
      </x:c>
      <x:c r="L368" s="12" t="n">
        <x:f>'全部组合'!V164/$D368</x:f>
        <x:v>0.004873294346978557</x:v>
      </x:c>
      <x:c r="M368" s="12" t="n">
        <x:f>'全部组合'!W164/$D368</x:f>
        <x:v>0.01949317738791423</x:v>
      </x:c>
      <x:c r="N368" s="13" t="n">
        <x:f>'全部组合'!X164/$D368</x:f>
        <x:v>0</x:v>
      </x:c>
    </x:row>
    <x:row r="369" ht="23" customHeight="1">
      <x:c r="A369" s="10" t="str">
        <x:v>M7</x:v>
      </x:c>
      <x:c r="B369" s="10" t="str">
        <x:v>NCG_H1</x:v>
      </x:c>
      <x:c r="C369" s="9" t="str">
        <x:v>源三角形</x:v>
      </x:c>
      <x:c r="D369" s="11" t="n">
        <x:f>'全部组合'!I164</x:f>
        <x:v>19905661</x:v>
      </x:c>
      <x:c r="E369" s="12" t="n">
        <x:f>'全部组合'!Y164/$D369</x:f>
        <x:v>0</x:v>
      </x:c>
      <x:c r="F369" s="12" t="n">
        <x:f>'全部组合'!Z164/$D369</x:f>
        <x:v>0.007310784605444652</x:v>
      </x:c>
      <x:c r="G369" s="12" t="n">
        <x:f>'全部组合'!AA164/$D369</x:f>
        <x:v>0.06090885401896476</x:v>
      </x:c>
      <x:c r="H369" s="12" t="n">
        <x:f>'全部组合'!AB164/$D369</x:f>
        <x:v>0.01454113982951885</x:v>
      </x:c>
      <x:c r="I369" s="12" t="n">
        <x:f>'全部组合'!AC164/$D369</x:f>
        <x:v>0.11672146933477869</x:v>
      </x:c>
      <x:c r="J369" s="12" t="n">
        <x:f>'全部组合'!AD164/$D369</x:f>
        <x:v>0.7805518741628323</x:v>
      </x:c>
      <x:c r="K369" s="12" t="n">
        <x:f>'全部组合'!AE164/$D369</x:f>
        <x:v>0.0010398047068117958</x:v>
      </x:c>
      <x:c r="L369" s="12" t="n">
        <x:f>'全部组合'!AF164/$D369</x:f>
        <x:v>0.00492462922984572</x:v>
      </x:c>
      <x:c r="M369" s="12" t="n">
        <x:f>'全部组合'!AG164/$D369</x:f>
        <x:v>0.01400144411180317</x:v>
      </x:c>
      <x:c r="N369" s="13" t="n">
        <x:f>'全部组合'!AH164/$D369</x:f>
        <x:v>0</x:v>
      </x:c>
    </x:row>
    <x:row r="370" ht="23" customHeight="1">
      <x:c r="A370" s="10" t="str">
        <x:v>M7</x:v>
      </x:c>
      <x:c r="B370" s="10" t="str">
        <x:v>NCG_H0_M1</x:v>
      </x:c>
      <x:c r="C370" s="9" t="str">
        <x:v>节点</x:v>
      </x:c>
      <x:c r="D370" s="11" t="n">
        <x:f>'全部组合'!D165</x:f>
        <x:v>1026</x:v>
      </x:c>
      <x:c r="E370" s="12" t="n">
        <x:f>'全部组合'!O165/$D370</x:f>
        <x:v>0</x:v>
      </x:c>
      <x:c r="F370" s="12" t="n">
        <x:f>'全部组合'!P165/$D370</x:f>
        <x:v>0.08966861598440545</x:v>
      </x:c>
      <x:c r="G370" s="12" t="n">
        <x:f>'全部组合'!Q165/$D370</x:f>
        <x:v>0.6793372319688109</x:v>
      </x:c>
      <x:c r="H370" s="12" t="n">
        <x:f>'全部组合'!R165/$D370</x:f>
        <x:v>0.0769980506822612</x:v>
      </x:c>
      <x:c r="I370" s="12" t="n">
        <x:f>'全部组合'!S165/$D370</x:f>
        <x:v>0.07602339181286549</x:v>
      </x:c>
      <x:c r="J370" s="12" t="n">
        <x:f>'全部组合'!T165/$D370</x:f>
        <x:v>0.018518518518518517</x:v>
      </x:c>
      <x:c r="K370" s="12" t="n">
        <x:f>'全部组合'!U165/$D370</x:f>
        <x:v>0.0009746588693957114</x:v>
      </x:c>
      <x:c r="L370" s="12" t="n">
        <x:f>'全部组合'!V165/$D370</x:f>
        <x:v>0.00682261208576998</x:v>
      </x:c>
      <x:c r="M370" s="12" t="n">
        <x:f>'全部组合'!W165/$D370</x:f>
        <x:v>0.05165692007797271</x:v>
      </x:c>
      <x:c r="N370" s="13" t="n">
        <x:f>'全部组合'!X165/$D370</x:f>
        <x:v>0</x:v>
      </x:c>
    </x:row>
    <x:row r="371" ht="23" customHeight="1">
      <x:c r="A371" s="10" t="str">
        <x:v>M7</x:v>
      </x:c>
      <x:c r="B371" s="10" t="str">
        <x:v>NCG_H0_M1</x:v>
      </x:c>
      <x:c r="C371" s="9" t="str">
        <x:v>源三角形</x:v>
      </x:c>
      <x:c r="D371" s="11" t="n">
        <x:f>'全部组合'!I165</x:f>
        <x:v>19905661</x:v>
      </x:c>
      <x:c r="E371" s="12" t="n">
        <x:f>'全部组合'!Y165/$D371</x:f>
        <x:v>0</x:v>
      </x:c>
      <x:c r="F371" s="12" t="n">
        <x:f>'全部组合'!Z165/$D371</x:f>
        <x:v>0.006341914493570447</x:v>
      </x:c>
      <x:c r="G371" s="12" t="n">
        <x:f>'全部组合'!AA165/$D371</x:f>
        <x:v>0.0617770994894367</x:v>
      </x:c>
      <x:c r="H371" s="12" t="n">
        <x:f>'全部组合'!AB165/$D371</x:f>
        <x:v>0.014016012831726612</x:v>
      </x:c>
      <x:c r="I371" s="12" t="n">
        <x:f>'全部组合'!AC165/$D371</x:f>
        <x:v>0.043843105737609016</x:v>
      </x:c>
      <x:c r="J371" s="12" t="n">
        <x:f>'全部组合'!AD165/$D371</x:f>
        <x:v>0.7801970002402834</x:v>
      </x:c>
      <x:c r="K371" s="12" t="n">
        <x:f>'全部组合'!AE165/$D371</x:f>
        <x:v>0.0008340340971344785</x:v>
      </x:c>
      <x:c r="L371" s="12" t="n">
        <x:f>'全部组合'!AF165/$D371</x:f>
        <x:v>0.07644116917293026</x:v>
      </x:c>
      <x:c r="M371" s="12" t="n">
        <x:f>'全部组合'!AG165/$D371</x:f>
        <x:v>0.01654966393730909</x:v>
      </x:c>
      <x:c r="N371" s="13" t="n">
        <x:f>'全部组合'!AH165/$D371</x:f>
        <x:v>0</x:v>
      </x:c>
    </x:row>
    <x:row r="372" ht="23" customHeight="1">
      <x:c r="A372" s="10" t="str">
        <x:v>M7</x:v>
      </x:c>
      <x:c r="B372" s="10" t="str">
        <x:v>NCG_H1_M1</x:v>
      </x:c>
      <x:c r="C372" s="9" t="str">
        <x:v>节点</x:v>
      </x:c>
      <x:c r="D372" s="11" t="n">
        <x:f>'全部组合'!D166</x:f>
        <x:v>1026</x:v>
      </x:c>
      <x:c r="E372" s="12" t="n">
        <x:f>'全部组合'!O166/$D372</x:f>
        <x:v>0</x:v>
      </x:c>
      <x:c r="F372" s="12" t="n">
        <x:f>'全部组合'!P166/$D372</x:f>
        <x:v>0.06042884990253411</x:v>
      </x:c>
      <x:c r="G372" s="12" t="n">
        <x:f>'全部组合'!Q166/$D372</x:f>
        <x:v>0.6510721247563352</x:v>
      </x:c>
      <x:c r="H372" s="12" t="n">
        <x:f>'全部组合'!R166/$D372</x:f>
        <x:v>0.11695906432748537</x:v>
      </x:c>
      <x:c r="I372" s="12" t="n">
        <x:f>'全部组合'!S166/$D372</x:f>
        <x:v>0.07992202729044834</x:v>
      </x:c>
      <x:c r="J372" s="12" t="n">
        <x:f>'全部组合'!T166/$D372</x:f>
        <x:v>0.02046783625730994</x:v>
      </x:c>
      <x:c r="K372" s="12" t="n">
        <x:f>'全部组合'!U166/$D372</x:f>
        <x:v>0.012670565302144249</x:v>
      </x:c>
      <x:c r="L372" s="12" t="n">
        <x:f>'全部组合'!V166/$D372</x:f>
        <x:v>0.00682261208576998</x:v>
      </x:c>
      <x:c r="M372" s="12" t="n">
        <x:f>'全部组合'!W166/$D372</x:f>
        <x:v>0.05165692007797271</x:v>
      </x:c>
      <x:c r="N372" s="13" t="n">
        <x:f>'全部组合'!X166/$D372</x:f>
        <x:v>0</x:v>
      </x:c>
    </x:row>
    <x:row r="373" ht="23" customHeight="1">
      <x:c r="A373" s="10" t="str">
        <x:v>M7</x:v>
      </x:c>
      <x:c r="B373" s="10" t="str">
        <x:v>NCG_H1_M1</x:v>
      </x:c>
      <x:c r="C373" s="9" t="str">
        <x:v>源三角形</x:v>
      </x:c>
      <x:c r="D373" s="11" t="n">
        <x:f>'全部组合'!I166</x:f>
        <x:v>19905661</x:v>
      </x:c>
      <x:c r="E373" s="12" t="n">
        <x:f>'全部组合'!Y166/$D373</x:f>
        <x:v>0</x:v>
      </x:c>
      <x:c r="F373" s="12" t="n">
        <x:f>'全部组合'!Z166/$D373</x:f>
        <x:v>0.005305324952534859</x:v>
      </x:c>
      <x:c r="G373" s="12" t="n">
        <x:f>'全部组合'!AA166/$D373</x:f>
        <x:v>0.0600226739518974</x:v>
      </x:c>
      <x:c r="H373" s="12" t="n">
        <x:f>'全部组合'!AB166/$D373</x:f>
        <x:v>0.013411009059181708</x:v>
      </x:c>
      <x:c r="I373" s="12" t="n">
        <x:f>'全部组合'!AC166/$D373</x:f>
        <x:v>0.04552041753348457</x:v>
      </x:c>
      <x:c r="J373" s="12" t="n">
        <x:f>'全部组合'!AD166/$D373</x:f>
        <x:v>0.7805518741628323</x:v>
      </x:c>
      <x:c r="K373" s="12" t="n">
        <x:f>'全部组合'!AE166/$D373</x:f>
        <x:v>0.0021978672298297456</x:v>
      </x:c>
      <x:c r="L373" s="12" t="n">
        <x:f>'全部组合'!AF166/$D373</x:f>
        <x:v>0.07644116917293026</x:v>
      </x:c>
      <x:c r="M373" s="12" t="n">
        <x:f>'全部组合'!AG166/$D373</x:f>
        <x:v>0.01654966393730909</x:v>
      </x:c>
      <x:c r="N373" s="13" t="n">
        <x:f>'全部组合'!AH166/$D373</x:f>
        <x:v>0</x:v>
      </x:c>
    </x:row>
    <x:row r="374" ht="23" customHeight="1">
      <x:c r="A374" s="10" t="str">
        <x:v>M8</x:v>
      </x:c>
      <x:c r="B374" s="10" t="str">
        <x:v>N_H0</x:v>
      </x:c>
      <x:c r="C374" s="9" t="str">
        <x:v>节点</x:v>
      </x:c>
      <x:c r="D374" s="11" t="n">
        <x:f>'全部组合'!D167</x:f>
        <x:v>6103</x:v>
      </x:c>
      <x:c r="E374" s="12" t="n">
        <x:f>'全部组合'!O167/$D374</x:f>
        <x:v>0</x:v>
      </x:c>
      <x:c r="F374" s="12" t="n">
        <x:f>'全部组合'!P167/$D374</x:f>
        <x:v>0.14124201212518434</x:v>
      </x:c>
      <x:c r="G374" s="12" t="n">
        <x:f>'全部组合'!Q167/$D374</x:f>
        <x:v>0.03817794527281665</x:v>
      </x:c>
      <x:c r="H374" s="12" t="n">
        <x:f>'全部组合'!R167/$D374</x:f>
        <x:v>0</x:v>
      </x:c>
      <x:c r="I374" s="12" t="n">
        <x:f>'全部组合'!S167/$D374</x:f>
        <x:v>0.7407832213665411</x:v>
      </x:c>
      <x:c r="J374" s="12" t="n">
        <x:f>'全部组合'!T167/$D374</x:f>
        <x:v>0.005734884483041127</x:v>
      </x:c>
      <x:c r="K374" s="12" t="n">
        <x:f>'全部组合'!U167/$D374</x:f>
        <x:v>0.012452892020317876</x:v>
      </x:c>
      <x:c r="L374" s="12" t="n">
        <x:f>'全部组合'!V167/$D374</x:f>
        <x:v>0.0270358839914796</x:v>
      </x:c>
      <x:c r="M374" s="12" t="n">
        <x:f>'全部组合'!W167/$D374</x:f>
        <x:v>0.03457316074061937</x:v>
      </x:c>
      <x:c r="N374" s="13" t="n">
        <x:f>'全部组合'!X167/$D374</x:f>
        <x:v>0</x:v>
      </x:c>
    </x:row>
    <x:row r="375" ht="23" customHeight="1">
      <x:c r="A375" s="10" t="str">
        <x:v>M8</x:v>
      </x:c>
      <x:c r="B375" s="10" t="str">
        <x:v>N_H0</x:v>
      </x:c>
      <x:c r="C375" s="9" t="str">
        <x:v>源三角形</x:v>
      </x:c>
      <x:c r="D375" s="11" t="n">
        <x:f>'全部组合'!I167</x:f>
        <x:v>20703307</x:v>
      </x:c>
      <x:c r="E375" s="12" t="n">
        <x:f>'全部组合'!Y167/$D375</x:f>
        <x:v>0</x:v>
      </x:c>
      <x:c r="F375" s="12" t="n">
        <x:f>'全部组合'!Z167/$D375</x:f>
        <x:v>0.042548371620050845</x:v>
      </x:c>
      <x:c r="G375" s="12" t="n">
        <x:f>'全部组合'!AA167/$D375</x:f>
        <x:v>0.023150987424376213</x:v>
      </x:c>
      <x:c r="H375" s="12" t="n">
        <x:f>'全部组合'!AB167/$D375</x:f>
        <x:v>0</x:v>
      </x:c>
      <x:c r="I375" s="12" t="n">
        <x:f>'全部组合'!AC167/$D375</x:f>
        <x:v>0.5542474446232188</x:v>
      </x:c>
      <x:c r="J375" s="12" t="n">
        <x:f>'全部组合'!AD167/$D375</x:f>
        <x:v>0.02910568828448518</x:v>
      </x:c>
      <x:c r="K375" s="12" t="n">
        <x:f>'全部组合'!AE167/$D375</x:f>
        <x:v>0.015326585264856479</x:v>
      </x:c>
      <x:c r="L375" s="12" t="n">
        <x:f>'全部组合'!AF167/$D375</x:f>
        <x:v>0.23020104952315107</x:v>
      </x:c>
      <x:c r="M375" s="12" t="n">
        <x:f>'全部组合'!AG167/$D375</x:f>
        <x:v>0.10541987325986134</x:v>
      </x:c>
      <x:c r="N375" s="13" t="n">
        <x:f>'全部组合'!AH167/$D375</x:f>
        <x:v>0</x:v>
      </x:c>
    </x:row>
    <x:row r="376" ht="23" customHeight="1">
      <x:c r="A376" s="10" t="str">
        <x:v>M8</x:v>
      </x:c>
      <x:c r="B376" s="10" t="str">
        <x:v>N_HT</x:v>
      </x:c>
      <x:c r="C376" s="9" t="str">
        <x:v>节点</x:v>
      </x:c>
      <x:c r="D376" s="11" t="n">
        <x:f>'全部组合'!D168</x:f>
        <x:v>6103</x:v>
      </x:c>
      <x:c r="E376" s="12" t="n">
        <x:f>'全部组合'!O168/$D376</x:f>
        <x:v>0</x:v>
      </x:c>
      <x:c r="F376" s="12" t="n">
        <x:f>'全部组合'!P168/$D376</x:f>
        <x:v>0.14124201212518434</x:v>
      </x:c>
      <x:c r="G376" s="12" t="n">
        <x:f>'全部组合'!Q168/$D376</x:f>
        <x:v>0.03817794527281665</x:v>
      </x:c>
      <x:c r="H376" s="12" t="n">
        <x:f>'全部组合'!R168/$D376</x:f>
        <x:v>0</x:v>
      </x:c>
      <x:c r="I376" s="12" t="n">
        <x:f>'全部组合'!S168/$D376</x:f>
        <x:v>0.7407832213665411</x:v>
      </x:c>
      <x:c r="J376" s="12" t="n">
        <x:f>'全部组合'!T168/$D376</x:f>
        <x:v>0.005734884483041127</x:v>
      </x:c>
      <x:c r="K376" s="12" t="n">
        <x:f>'全部组合'!U168/$D376</x:f>
        <x:v>0.012452892020317876</x:v>
      </x:c>
      <x:c r="L376" s="12" t="n">
        <x:f>'全部组合'!V168/$D376</x:f>
        <x:v>0.0270358839914796</x:v>
      </x:c>
      <x:c r="M376" s="12" t="n">
        <x:f>'全部组合'!W168/$D376</x:f>
        <x:v>0.03457316074061937</x:v>
      </x:c>
      <x:c r="N376" s="13" t="n">
        <x:f>'全部组合'!X168/$D376</x:f>
        <x:v>0</x:v>
      </x:c>
    </x:row>
    <x:row r="377" ht="23" customHeight="1">
      <x:c r="A377" s="10" t="str">
        <x:v>M8</x:v>
      </x:c>
      <x:c r="B377" s="10" t="str">
        <x:v>N_HT</x:v>
      </x:c>
      <x:c r="C377" s="9" t="str">
        <x:v>源三角形</x:v>
      </x:c>
      <x:c r="D377" s="11" t="n">
        <x:f>'全部组合'!I168</x:f>
        <x:v>20703307</x:v>
      </x:c>
      <x:c r="E377" s="12" t="n">
        <x:f>'全部组合'!Y168/$D377</x:f>
        <x:v>0</x:v>
      </x:c>
      <x:c r="F377" s="12" t="n">
        <x:f>'全部组合'!Z168/$D377</x:f>
        <x:v>0.042548371620050845</x:v>
      </x:c>
      <x:c r="G377" s="12" t="n">
        <x:f>'全部组合'!AA168/$D377</x:f>
        <x:v>0.023150987424376213</x:v>
      </x:c>
      <x:c r="H377" s="12" t="n">
        <x:f>'全部组合'!AB168/$D377</x:f>
        <x:v>0</x:v>
      </x:c>
      <x:c r="I377" s="12" t="n">
        <x:f>'全部组合'!AC168/$D377</x:f>
        <x:v>0.5542474446232188</x:v>
      </x:c>
      <x:c r="J377" s="12" t="n">
        <x:f>'全部组合'!AD168/$D377</x:f>
        <x:v>0.02910568828448518</x:v>
      </x:c>
      <x:c r="K377" s="12" t="n">
        <x:f>'全部组合'!AE168/$D377</x:f>
        <x:v>0.015326585264856479</x:v>
      </x:c>
      <x:c r="L377" s="12" t="n">
        <x:f>'全部组合'!AF168/$D377</x:f>
        <x:v>0.23020104952315107</x:v>
      </x:c>
      <x:c r="M377" s="12" t="n">
        <x:f>'全部组合'!AG168/$D377</x:f>
        <x:v>0.10541987325986134</x:v>
      </x:c>
      <x:c r="N377" s="13" t="n">
        <x:f>'全部组合'!AH168/$D377</x:f>
        <x:v>0</x:v>
      </x:c>
    </x:row>
    <x:row r="378" ht="23" customHeight="1">
      <x:c r="A378" s="10" t="str">
        <x:v>M8</x:v>
      </x:c>
      <x:c r="B378" s="10" t="str">
        <x:v>N_H1</x:v>
      </x:c>
      <x:c r="C378" s="9" t="str">
        <x:v>节点</x:v>
      </x:c>
      <x:c r="D378" s="11" t="n">
        <x:f>'全部组合'!D169</x:f>
        <x:v>6103</x:v>
      </x:c>
      <x:c r="E378" s="12" t="n">
        <x:f>'全部组合'!O169/$D378</x:f>
        <x:v>0</x:v>
      </x:c>
      <x:c r="F378" s="12" t="n">
        <x:f>'全部组合'!P169/$D378</x:f>
        <x:v>0.14058659675569393</x:v>
      </x:c>
      <x:c r="G378" s="12" t="n">
        <x:f>'全部组合'!Q169/$D378</x:f>
        <x:v>0.030312960838931674</x:v>
      </x:c>
      <x:c r="H378" s="12" t="n">
        <x:f>'全部组合'!R169/$D378</x:f>
        <x:v>0</x:v>
      </x:c>
      <x:c r="I378" s="12" t="n">
        <x:f>'全部组合'!S169/$D378</x:f>
        <x:v>0.7407832213665411</x:v>
      </x:c>
      <x:c r="J378" s="12" t="n">
        <x:f>'全部组合'!T169/$D378</x:f>
        <x:v>0.012289038177945273</x:v>
      </x:c>
      <x:c r="K378" s="12" t="n">
        <x:f>'全部组合'!U169/$D378</x:f>
        <x:v>0.01441913812878912</x:v>
      </x:c>
      <x:c r="L378" s="12" t="n">
        <x:f>'全部组合'!V169/$D378</x:f>
        <x:v>0.0270358839914796</x:v>
      </x:c>
      <x:c r="M378" s="12" t="n">
        <x:f>'全部组合'!W169/$D378</x:f>
        <x:v>0.03457316074061937</x:v>
      </x:c>
      <x:c r="N378" s="13" t="n">
        <x:f>'全部组合'!X169/$D378</x:f>
        <x:v>0</x:v>
      </x:c>
    </x:row>
    <x:row r="379" ht="23" customHeight="1">
      <x:c r="A379" s="10" t="str">
        <x:v>M8</x:v>
      </x:c>
      <x:c r="B379" s="10" t="str">
        <x:v>N_H1</x:v>
      </x:c>
      <x:c r="C379" s="9" t="str">
        <x:v>源三角形</x:v>
      </x:c>
      <x:c r="D379" s="11" t="n">
        <x:f>'全部组合'!I169</x:f>
        <x:v>20703307</x:v>
      </x:c>
      <x:c r="E379" s="12" t="n">
        <x:f>'全部组合'!Y169/$D379</x:f>
        <x:v>0</x:v>
      </x:c>
      <x:c r="F379" s="12" t="n">
        <x:f>'全部组合'!Z169/$D379</x:f>
        <x:v>0.04245176869569678</x:v>
      </x:c>
      <x:c r="G379" s="12" t="n">
        <x:f>'全部组合'!AA169/$D379</x:f>
        <x:v>0.014813575435074213</x:v>
      </x:c>
      <x:c r="H379" s="12" t="n">
        <x:f>'全部组合'!AB169/$D379</x:f>
        <x:v>0</x:v>
      </x:c>
      <x:c r="I379" s="12" t="n">
        <x:f>'全部组合'!AC169/$D379</x:f>
        <x:v>0.5542474446232188</x:v>
      </x:c>
      <x:c r="J379" s="12" t="n">
        <x:f>'全部组合'!AD169/$D379</x:f>
        <x:v>0.03675683309917589</x:v>
      </x:c>
      <x:c r="K379" s="12" t="n">
        <x:f>'全部组合'!AE169/$D379</x:f>
        <x:v>0.01610945536382183</x:v>
      </x:c>
      <x:c r="L379" s="12" t="n">
        <x:f>'全部组合'!AF169/$D379</x:f>
        <x:v>0.23020104952315107</x:v>
      </x:c>
      <x:c r="M379" s="12" t="n">
        <x:f>'全部组合'!AG169/$D379</x:f>
        <x:v>0.10541987325986134</x:v>
      </x:c>
      <x:c r="N379" s="13" t="n">
        <x:f>'全部组合'!AH169/$D379</x:f>
        <x:v>0</x:v>
      </x:c>
    </x:row>
    <x:row r="380" ht="23" customHeight="1">
      <x:c r="A380" s="10" t="str">
        <x:v>M8</x:v>
      </x:c>
      <x:c r="B380" s="10" t="str">
        <x:v>C_H0</x:v>
      </x:c>
      <x:c r="C380" s="9" t="str">
        <x:v>节点</x:v>
      </x:c>
      <x:c r="D380" s="11" t="n">
        <x:f>'全部组合'!D170</x:f>
        <x:v>6103</x:v>
      </x:c>
      <x:c r="E380" s="12" t="n">
        <x:f>'全部组合'!O170/$D380</x:f>
        <x:v>0</x:v>
      </x:c>
      <x:c r="F380" s="12" t="n">
        <x:f>'全部组合'!P170/$D380</x:f>
        <x:v>0.2690480091758152</x:v>
      </x:c>
      <x:c r="G380" s="12" t="n">
        <x:f>'全部组合'!Q170/$D380</x:f>
        <x:v>0</x:v>
      </x:c>
      <x:c r="H380" s="12" t="n">
        <x:f>'全部组合'!R170/$D380</x:f>
        <x:v>0</x:v>
      </x:c>
      <x:c r="I380" s="12" t="n">
        <x:f>'全部组合'!S170/$D380</x:f>
        <x:v>0.7288218908733409</x:v>
      </x:c>
      <x:c r="J380" s="12" t="n">
        <x:f>'全部组合'!T170/$D380</x:f>
        <x:v>0</x:v>
      </x:c>
      <x:c r="K380" s="12" t="n">
        <x:f>'全部组合'!U170/$D380</x:f>
        <x:v>0.0016385384237260364</x:v>
      </x:c>
      <x:c r="L380" s="12" t="n">
        <x:f>'全部组合'!V170/$D380</x:f>
        <x:v>0</x:v>
      </x:c>
      <x:c r="M380" s="12" t="n">
        <x:f>'全部组合'!W170/$D380</x:f>
        <x:v>0.0004915615271178109</x:v>
      </x:c>
      <x:c r="N380" s="13" t="n">
        <x:f>'全部组合'!X170/$D380</x:f>
        <x:v>0</x:v>
      </x:c>
    </x:row>
    <x:row r="381" ht="23" customHeight="1">
      <x:c r="A381" s="10" t="str">
        <x:v>M8</x:v>
      </x:c>
      <x:c r="B381" s="10" t="str">
        <x:v>C_H0</x:v>
      </x:c>
      <x:c r="C381" s="9" t="str">
        <x:v>源三角形</x:v>
      </x:c>
      <x:c r="D381" s="11" t="n">
        <x:f>'全部组合'!I170</x:f>
        <x:v>20703307</x:v>
      </x:c>
      <x:c r="E381" s="12" t="n">
        <x:f>'全部组合'!Y170/$D381</x:f>
        <x:v>0</x:v>
      </x:c>
      <x:c r="F381" s="12" t="n">
        <x:f>'全部组合'!Z170/$D381</x:f>
        <x:v>0.15378832956493377</x:v>
      </x:c>
      <x:c r="G381" s="12" t="n">
        <x:f>'全部组合'!AA170/$D381</x:f>
        <x:v>0</x:v>
      </x:c>
      <x:c r="H381" s="12" t="n">
        <x:f>'全部组合'!AB170/$D381</x:f>
        <x:v>0</x:v>
      </x:c>
      <x:c r="I381" s="12" t="n">
        <x:f>'全部组合'!AC170/$D381</x:f>
        <x:v>0.8452634161296068</x:v>
      </x:c>
      <x:c r="J381" s="12" t="n">
        <x:f>'全部组合'!AD170/$D381</x:f>
        <x:v>0</x:v>
      </x:c>
      <x:c r="K381" s="12" t="n">
        <x:f>'全部组合'!AE170/$D381</x:f>
        <x:v>0.000837450751225396</x:v>
      </x:c>
      <x:c r="L381" s="12" t="n">
        <x:f>'全部组合'!AF170/$D381</x:f>
        <x:v>0</x:v>
      </x:c>
      <x:c r="M381" s="12" t="n">
        <x:f>'全部组合'!AG170/$D381</x:f>
        <x:v>0.00011080355423411341</x:v>
      </x:c>
      <x:c r="N381" s="13" t="n">
        <x:f>'全部组合'!AH170/$D381</x:f>
        <x:v>0</x:v>
      </x:c>
    </x:row>
    <x:row r="382" ht="23" customHeight="1">
      <x:c r="A382" s="10" t="str">
        <x:v>M8</x:v>
      </x:c>
      <x:c r="B382" s="10" t="str">
        <x:v>C_HT</x:v>
      </x:c>
      <x:c r="C382" s="9" t="str">
        <x:v>节点</x:v>
      </x:c>
      <x:c r="D382" s="11" t="n">
        <x:f>'全部组合'!D171</x:f>
        <x:v>6103</x:v>
      </x:c>
      <x:c r="E382" s="12" t="n">
        <x:f>'全部组合'!O171/$D382</x:f>
        <x:v>0</x:v>
      </x:c>
      <x:c r="F382" s="12" t="n">
        <x:f>'全部组合'!P171/$D382</x:f>
        <x:v>0.2690480091758152</x:v>
      </x:c>
      <x:c r="G382" s="12" t="n">
        <x:f>'全部组合'!Q171/$D382</x:f>
        <x:v>0</x:v>
      </x:c>
      <x:c r="H382" s="12" t="n">
        <x:f>'全部组合'!R171/$D382</x:f>
        <x:v>0</x:v>
      </x:c>
      <x:c r="I382" s="12" t="n">
        <x:f>'全部组合'!S171/$D382</x:f>
        <x:v>0.7288218908733409</x:v>
      </x:c>
      <x:c r="J382" s="12" t="n">
        <x:f>'全部组合'!T171/$D382</x:f>
        <x:v>0</x:v>
      </x:c>
      <x:c r="K382" s="12" t="n">
        <x:f>'全部组合'!U171/$D382</x:f>
        <x:v>0.0016385384237260364</x:v>
      </x:c>
      <x:c r="L382" s="12" t="n">
        <x:f>'全部组合'!V171/$D382</x:f>
        <x:v>0</x:v>
      </x:c>
      <x:c r="M382" s="12" t="n">
        <x:f>'全部组合'!W171/$D382</x:f>
        <x:v>0.0004915615271178109</x:v>
      </x:c>
      <x:c r="N382" s="13" t="n">
        <x:f>'全部组合'!X171/$D382</x:f>
        <x:v>0</x:v>
      </x:c>
    </x:row>
    <x:row r="383" ht="23" customHeight="1">
      <x:c r="A383" s="10" t="str">
        <x:v>M8</x:v>
      </x:c>
      <x:c r="B383" s="10" t="str">
        <x:v>C_HT</x:v>
      </x:c>
      <x:c r="C383" s="9" t="str">
        <x:v>源三角形</x:v>
      </x:c>
      <x:c r="D383" s="11" t="n">
        <x:f>'全部组合'!I171</x:f>
        <x:v>20703307</x:v>
      </x:c>
      <x:c r="E383" s="12" t="n">
        <x:f>'全部组合'!Y171/$D383</x:f>
        <x:v>0</x:v>
      </x:c>
      <x:c r="F383" s="12" t="n">
        <x:f>'全部组合'!Z171/$D383</x:f>
        <x:v>0.15378832956493377</x:v>
      </x:c>
      <x:c r="G383" s="12" t="n">
        <x:f>'全部组合'!AA171/$D383</x:f>
        <x:v>0</x:v>
      </x:c>
      <x:c r="H383" s="12" t="n">
        <x:f>'全部组合'!AB171/$D383</x:f>
        <x:v>0</x:v>
      </x:c>
      <x:c r="I383" s="12" t="n">
        <x:f>'全部组合'!AC171/$D383</x:f>
        <x:v>0.8452634161296068</x:v>
      </x:c>
      <x:c r="J383" s="12" t="n">
        <x:f>'全部组合'!AD171/$D383</x:f>
        <x:v>0</x:v>
      </x:c>
      <x:c r="K383" s="12" t="n">
        <x:f>'全部组合'!AE171/$D383</x:f>
        <x:v>0.000837450751225396</x:v>
      </x:c>
      <x:c r="L383" s="12" t="n">
        <x:f>'全部组合'!AF171/$D383</x:f>
        <x:v>0</x:v>
      </x:c>
      <x:c r="M383" s="12" t="n">
        <x:f>'全部组合'!AG171/$D383</x:f>
        <x:v>0.00011080355423411341</x:v>
      </x:c>
      <x:c r="N383" s="13" t="n">
        <x:f>'全部组合'!AH171/$D383</x:f>
        <x:v>0</x:v>
      </x:c>
    </x:row>
    <x:row r="384" ht="23" customHeight="1">
      <x:c r="A384" s="10" t="str">
        <x:v>M8</x:v>
      </x:c>
      <x:c r="B384" s="10" t="str">
        <x:v>C_H1</x:v>
      </x:c>
      <x:c r="C384" s="9" t="str">
        <x:v>节点</x:v>
      </x:c>
      <x:c r="D384" s="11" t="n">
        <x:f>'全部组合'!D172</x:f>
        <x:v>6103</x:v>
      </x:c>
      <x:c r="E384" s="12" t="n">
        <x:f>'全部组合'!O172/$D384</x:f>
        <x:v>0</x:v>
      </x:c>
      <x:c r="F384" s="12" t="n">
        <x:f>'全部组合'!P172/$D384</x:f>
        <x:v>0.26757332459446176</x:v>
      </x:c>
      <x:c r="G384" s="12" t="n">
        <x:f>'全部组合'!Q172/$D384</x:f>
        <x:v>0</x:v>
      </x:c>
      <x:c r="H384" s="12" t="n">
        <x:f>'全部组合'!R172/$D384</x:f>
        <x:v>0</x:v>
      </x:c>
      <x:c r="I384" s="12" t="n">
        <x:f>'全部组合'!S172/$D384</x:f>
        <x:v>0.7288218908733409</x:v>
      </x:c>
      <x:c r="J384" s="12" t="n">
        <x:f>'全部组合'!T172/$D384</x:f>
        <x:v>0</x:v>
      </x:c>
      <x:c r="K384" s="12" t="n">
        <x:f>'全部组合'!U172/$D384</x:f>
        <x:v>0.003113223005079469</x:v>
      </x:c>
      <x:c r="L384" s="12" t="n">
        <x:f>'全部组合'!V172/$D384</x:f>
        <x:v>0</x:v>
      </x:c>
      <x:c r="M384" s="12" t="n">
        <x:f>'全部组合'!W172/$D384</x:f>
        <x:v>0.0004915615271178109</x:v>
      </x:c>
      <x:c r="N384" s="13" t="n">
        <x:f>'全部组合'!X172/$D384</x:f>
        <x:v>0</x:v>
      </x:c>
    </x:row>
    <x:row r="385" ht="23" customHeight="1">
      <x:c r="A385" s="10" t="str">
        <x:v>M8</x:v>
      </x:c>
      <x:c r="B385" s="10" t="str">
        <x:v>C_H1</x:v>
      </x:c>
      <x:c r="C385" s="9" t="str">
        <x:v>源三角形</x:v>
      </x:c>
      <x:c r="D385" s="11" t="n">
        <x:f>'全部组合'!I172</x:f>
        <x:v>20703307</x:v>
      </x:c>
      <x:c r="E385" s="12" t="n">
        <x:f>'全部组合'!Y172/$D385</x:f>
        <x:v>0</x:v>
      </x:c>
      <x:c r="F385" s="12" t="n">
        <x:f>'全部组合'!Z172/$D385</x:f>
        <x:v>0.15323634045517462</x:v>
      </x:c>
      <x:c r="G385" s="12" t="n">
        <x:f>'全部组合'!AA172/$D385</x:f>
        <x:v>0</x:v>
      </x:c>
      <x:c r="H385" s="12" t="n">
        <x:f>'全部组合'!AB172/$D385</x:f>
        <x:v>0</x:v>
      </x:c>
      <x:c r="I385" s="12" t="n">
        <x:f>'全部组合'!AC172/$D385</x:f>
        <x:v>0.8452634161296068</x:v>
      </x:c>
      <x:c r="J385" s="12" t="n">
        <x:f>'全部组合'!AD172/$D385</x:f>
        <x:v>0</x:v>
      </x:c>
      <x:c r="K385" s="12" t="n">
        <x:f>'全部组合'!AE172/$D385</x:f>
        <x:v>0.0013894398609845277</x:v>
      </x:c>
      <x:c r="L385" s="12" t="n">
        <x:f>'全部组合'!AF172/$D385</x:f>
        <x:v>0</x:v>
      </x:c>
      <x:c r="M385" s="12" t="n">
        <x:f>'全部组合'!AG172/$D385</x:f>
        <x:v>0.00011080355423411341</x:v>
      </x:c>
      <x:c r="N385" s="13" t="n">
        <x:f>'全部组合'!AH172/$D385</x:f>
        <x:v>0</x:v>
      </x:c>
    </x:row>
    <x:row r="386" ht="23" customHeight="1">
      <x:c r="A386" s="10" t="str">
        <x:v>M8</x:v>
      </x:c>
      <x:c r="B386" s="10" t="str">
        <x:v>G_H0</x:v>
      </x:c>
      <x:c r="C386" s="9" t="str">
        <x:v>节点</x:v>
      </x:c>
      <x:c r="D386" s="11" t="n">
        <x:f>'全部组合'!D173</x:f>
        <x:v>6103</x:v>
      </x:c>
      <x:c r="E386" s="12" t="n">
        <x:f>'全部组合'!O173/$D386</x:f>
        <x:v>0</x:v>
      </x:c>
      <x:c r="F386" s="12" t="n">
        <x:f>'全部组合'!P173/$D386</x:f>
        <x:v>0.22808454858266428</x:v>
      </x:c>
      <x:c r="G386" s="12" t="n">
        <x:f>'全部组合'!Q173/$D386</x:f>
        <x:v>0.5972472554481403</x:v>
      </x:c>
      <x:c r="H386" s="12" t="n">
        <x:f>'全部组合'!R173/$D386</x:f>
        <x:v>0.1302638046862199</x:v>
      </x:c>
      <x:c r="I386" s="12" t="n">
        <x:f>'全部组合'!S173/$D386</x:f>
        <x:v>0.03555628379485499</x:v>
      </x:c>
      <x:c r="J386" s="12" t="n">
        <x:f>'全部组合'!T173/$D386</x:f>
        <x:v>0.008848107488120597</x:v>
      </x:c>
      <x:c r="K386" s="12" t="n">
        <x:f>'全部组合'!U173/$D386</x:f>
        <x:v>0</x:v>
      </x:c>
      <x:c r="L386" s="12" t="n">
        <x:f>'全部组合'!V173/$D386</x:f>
        <x:v>0</x:v>
      </x:c>
      <x:c r="M386" s="12" t="n">
        <x:f>'全部组合'!W173/$D386</x:f>
        <x:v>0</x:v>
      </x:c>
      <x:c r="N386" s="13" t="n">
        <x:f>'全部组合'!X173/$D386</x:f>
        <x:v>0</x:v>
      </x:c>
    </x:row>
    <x:row r="387" ht="23" customHeight="1">
      <x:c r="A387" s="10" t="str">
        <x:v>M8</x:v>
      </x:c>
      <x:c r="B387" s="10" t="str">
        <x:v>G_H0</x:v>
      </x:c>
      <x:c r="C387" s="9" t="str">
        <x:v>源三角形</x:v>
      </x:c>
      <x:c r="D387" s="11" t="n">
        <x:f>'全部组合'!I173</x:f>
        <x:v>20703307</x:v>
      </x:c>
      <x:c r="E387" s="12" t="n">
        <x:f>'全部组合'!Y173/$D387</x:f>
        <x:v>0</x:v>
      </x:c>
      <x:c r="F387" s="12" t="n">
        <x:f>'全部组合'!Z173/$D387</x:f>
        <x:v>0.08344966337986487</x:v>
      </x:c>
      <x:c r="G387" s="12" t="n">
        <x:f>'全部组合'!AA173/$D387</x:f>
        <x:v>0.4246575679914325</x:v>
      </x:c>
      <x:c r="H387" s="12" t="n">
        <x:f>'全部组合'!AB173/$D387</x:f>
        <x:v>0.24226424309894068</x:v>
      </x:c>
      <x:c r="I387" s="12" t="n">
        <x:f>'全部组合'!AC173/$D387</x:f>
        <x:v>0.24028586350963158</x:v>
      </x:c>
      <x:c r="J387" s="12" t="n">
        <x:f>'全部组合'!AD173/$D387</x:f>
        <x:v>0.009342662020130408</x:v>
      </x:c>
      <x:c r="K387" s="12" t="n">
        <x:f>'全部组合'!AE173/$D387</x:f>
        <x:v>0</x:v>
      </x:c>
      <x:c r="L387" s="12" t="n">
        <x:f>'全部组合'!AF173/$D387</x:f>
        <x:v>0</x:v>
      </x:c>
      <x:c r="M387" s="12" t="n">
        <x:f>'全部组合'!AG173/$D387</x:f>
        <x:v>0</x:v>
      </x:c>
      <x:c r="N387" s="13" t="n">
        <x:f>'全部组合'!AH173/$D387</x:f>
        <x:v>0</x:v>
      </x:c>
    </x:row>
    <x:row r="388" ht="23" customHeight="1">
      <x:c r="A388" s="10" t="str">
        <x:v>M8</x:v>
      </x:c>
      <x:c r="B388" s="10" t="str">
        <x:v>G_HT</x:v>
      </x:c>
      <x:c r="C388" s="9" t="str">
        <x:v>节点</x:v>
      </x:c>
      <x:c r="D388" s="11" t="n">
        <x:f>'全部组合'!D174</x:f>
        <x:v>6103</x:v>
      </x:c>
      <x:c r="E388" s="12" t="n">
        <x:f>'全部组合'!O174/$D388</x:f>
        <x:v>0</x:v>
      </x:c>
      <x:c r="F388" s="12" t="n">
        <x:f>'全部组合'!P174/$D388</x:f>
        <x:v>0.14697689660822547</x:v>
      </x:c>
      <x:c r="G388" s="12" t="n">
        <x:f>'全部组合'!Q174/$D388</x:f>
        <x:v>0.6462395543175488</x:v>
      </x:c>
      <x:c r="H388" s="12" t="n">
        <x:f>'全部组合'!R174/$D388</x:f>
        <x:v>0.15648041946583646</x:v>
      </x:c>
      <x:c r="I388" s="12" t="n">
        <x:f>'全部组合'!S174/$D388</x:f>
        <x:v>0.0404718990660331</x:v>
      </x:c>
      <x:c r="J388" s="12" t="n">
        <x:f>'全部组合'!T174/$D388</x:f>
        <x:v>0.009831230542356219</x:v>
      </x:c>
      <x:c r="K388" s="12" t="n">
        <x:f>'全部组合'!U174/$D388</x:f>
        <x:v>0</x:v>
      </x:c>
      <x:c r="L388" s="12" t="n">
        <x:f>'全部组合'!V174/$D388</x:f>
        <x:v>0</x:v>
      </x:c>
      <x:c r="M388" s="12" t="n">
        <x:f>'全部组合'!W174/$D388</x:f>
        <x:v>0</x:v>
      </x:c>
      <x:c r="N388" s="13" t="n">
        <x:f>'全部组合'!X174/$D388</x:f>
        <x:v>0</x:v>
      </x:c>
    </x:row>
    <x:row r="389" ht="23" customHeight="1">
      <x:c r="A389" s="10" t="str">
        <x:v>M8</x:v>
      </x:c>
      <x:c r="B389" s="10" t="str">
        <x:v>G_HT</x:v>
      </x:c>
      <x:c r="C389" s="9" t="str">
        <x:v>源三角形</x:v>
      </x:c>
      <x:c r="D389" s="11" t="n">
        <x:f>'全部组合'!I174</x:f>
        <x:v>20703307</x:v>
      </x:c>
      <x:c r="E389" s="12" t="n">
        <x:f>'全部组合'!Y174/$D389</x:f>
        <x:v>0</x:v>
      </x:c>
      <x:c r="F389" s="12" t="n">
        <x:f>'全部组合'!Z174/$D389</x:f>
        <x:v>0.046822568008096484</x:v>
      </x:c>
      <x:c r="G389" s="12" t="n">
        <x:f>'全部组合'!AA174/$D389</x:f>
        <x:v>0.4296401536237665</x:v>
      </x:c>
      <x:c r="H389" s="12" t="n">
        <x:f>'全部组合'!AB174/$D389</x:f>
        <x:v>0.247201087246593</x:v>
      </x:c>
      <x:c r="I389" s="12" t="n">
        <x:f>'全部组合'!AC174/$D389</x:f>
        <x:v>0.2598468447576998</x:v>
      </x:c>
      <x:c r="J389" s="12" t="n">
        <x:f>'全部组合'!AD174/$D389</x:f>
        <x:v>0.016489346363844193</x:v>
      </x:c>
      <x:c r="K389" s="12" t="n">
        <x:f>'全部组合'!AE174/$D389</x:f>
        <x:v>0</x:v>
      </x:c>
      <x:c r="L389" s="12" t="n">
        <x:f>'全部组合'!AF174/$D389</x:f>
        <x:v>0</x:v>
      </x:c>
      <x:c r="M389" s="12" t="n">
        <x:f>'全部组合'!AG174/$D389</x:f>
        <x:v>0</x:v>
      </x:c>
      <x:c r="N389" s="13" t="n">
        <x:f>'全部组合'!AH174/$D389</x:f>
        <x:v>0</x:v>
      </x:c>
    </x:row>
    <x:row r="390" ht="23" customHeight="1">
      <x:c r="A390" s="10" t="str">
        <x:v>M8</x:v>
      </x:c>
      <x:c r="B390" s="10" t="str">
        <x:v>G_H1</x:v>
      </x:c>
      <x:c r="C390" s="9" t="str">
        <x:v>节点</x:v>
      </x:c>
      <x:c r="D390" s="11" t="n">
        <x:f>'全部组合'!D175</x:f>
        <x:v>6103</x:v>
      </x:c>
      <x:c r="E390" s="12" t="n">
        <x:f>'全部组合'!O175/$D390</x:f>
        <x:v>0</x:v>
      </x:c>
      <x:c r="F390" s="12" t="n">
        <x:f>'全部组合'!P175/$D390</x:f>
        <x:v>0.14697689660822547</x:v>
      </x:c>
      <x:c r="G390" s="12" t="n">
        <x:f>'全部组合'!Q175/$D390</x:f>
        <x:v>0.6462395543175488</x:v>
      </x:c>
      <x:c r="H390" s="12" t="n">
        <x:f>'全部组合'!R175/$D390</x:f>
        <x:v>0.15648041946583646</x:v>
      </x:c>
      <x:c r="I390" s="12" t="n">
        <x:f>'全部组合'!S175/$D390</x:f>
        <x:v>0.0404718990660331</x:v>
      </x:c>
      <x:c r="J390" s="12" t="n">
        <x:f>'全部组合'!T175/$D390</x:f>
        <x:v>0.009831230542356219</x:v>
      </x:c>
      <x:c r="K390" s="12" t="n">
        <x:f>'全部组合'!U175/$D390</x:f>
        <x:v>0</x:v>
      </x:c>
      <x:c r="L390" s="12" t="n">
        <x:f>'全部组合'!V175/$D390</x:f>
        <x:v>0</x:v>
      </x:c>
      <x:c r="M390" s="12" t="n">
        <x:f>'全部组合'!W175/$D390</x:f>
        <x:v>0</x:v>
      </x:c>
      <x:c r="N390" s="13" t="n">
        <x:f>'全部组合'!X175/$D390</x:f>
        <x:v>0</x:v>
      </x:c>
    </x:row>
    <x:row r="391" ht="23" customHeight="1">
      <x:c r="A391" s="10" t="str">
        <x:v>M8</x:v>
      </x:c>
      <x:c r="B391" s="10" t="str">
        <x:v>G_H1</x:v>
      </x:c>
      <x:c r="C391" s="9" t="str">
        <x:v>源三角形</x:v>
      </x:c>
      <x:c r="D391" s="11" t="n">
        <x:f>'全部组合'!I175</x:f>
        <x:v>20703307</x:v>
      </x:c>
      <x:c r="E391" s="12" t="n">
        <x:f>'全部组合'!Y175/$D391</x:f>
        <x:v>0</x:v>
      </x:c>
      <x:c r="F391" s="12" t="n">
        <x:f>'全部组合'!Z175/$D391</x:f>
        <x:v>0.046822568008096484</x:v>
      </x:c>
      <x:c r="G391" s="12" t="n">
        <x:f>'全部组合'!AA175/$D391</x:f>
        <x:v>0.4296401536237665</x:v>
      </x:c>
      <x:c r="H391" s="12" t="n">
        <x:f>'全部组合'!AB175/$D391</x:f>
        <x:v>0.247201087246593</x:v>
      </x:c>
      <x:c r="I391" s="12" t="n">
        <x:f>'全部组合'!AC175/$D391</x:f>
        <x:v>0.2598468447576998</x:v>
      </x:c>
      <x:c r="J391" s="12" t="n">
        <x:f>'全部组合'!AD175/$D391</x:f>
        <x:v>0.016489346363844193</x:v>
      </x:c>
      <x:c r="K391" s="12" t="n">
        <x:f>'全部组合'!AE175/$D391</x:f>
        <x:v>0</x:v>
      </x:c>
      <x:c r="L391" s="12" t="n">
        <x:f>'全部组合'!AF175/$D391</x:f>
        <x:v>0</x:v>
      </x:c>
      <x:c r="M391" s="12" t="n">
        <x:f>'全部组合'!AG175/$D391</x:f>
        <x:v>0</x:v>
      </x:c>
      <x:c r="N391" s="13" t="n">
        <x:f>'全部组合'!AH175/$D391</x:f>
        <x:v>0</x:v>
      </x:c>
    </x:row>
    <x:row r="392" ht="23" customHeight="1">
      <x:c r="A392" s="10" t="str">
        <x:v>M8</x:v>
      </x:c>
      <x:c r="B392" s="10" t="str">
        <x:v>NC_H0</x:v>
      </x:c>
      <x:c r="C392" s="9" t="str">
        <x:v>节点</x:v>
      </x:c>
      <x:c r="D392" s="11" t="n">
        <x:f>'全部组合'!D176</x:f>
        <x:v>6103</x:v>
      </x:c>
      <x:c r="E392" s="12" t="n">
        <x:f>'全部组合'!O176/$D392</x:f>
        <x:v>0</x:v>
      </x:c>
      <x:c r="F392" s="12" t="n">
        <x:f>'全部组合'!P176/$D392</x:f>
        <x:v>0.24184827134196296</x:v>
      </x:c>
      <x:c r="G392" s="12" t="n">
        <x:f>'全部组合'!Q176/$D392</x:f>
        <x:v>0.036211699164345405</x:v>
      </x:c>
      <x:c r="H392" s="12" t="n">
        <x:f>'全部组合'!R176/$D392</x:f>
        <x:v>0</x:v>
      </x:c>
      <x:c r="I392" s="12" t="n">
        <x:f>'全部组合'!S176/$D392</x:f>
        <x:v>0.6555792233327872</x:v>
      </x:c>
      <x:c r="J392" s="12" t="n">
        <x:f>'全部组合'!T176/$D392</x:f>
        <x:v>0.005079469113550713</x:v>
      </x:c>
      <x:c r="K392" s="12" t="n">
        <x:f>'全部组合'!U176/$D392</x:f>
        <x:v>0.013272161232180895</x:v>
      </x:c>
      <x:c r="L392" s="12" t="n">
        <x:f>'全部组合'!V176/$D392</x:f>
        <x:v>0.026216614779616582</x:v>
      </x:c>
      <x:c r="M392" s="12" t="n">
        <x:f>'全部组合'!W176/$D392</x:f>
        <x:v>0.021792561035556282</x:v>
      </x:c>
      <x:c r="N392" s="13" t="n">
        <x:f>'全部组合'!X176/$D392</x:f>
        <x:v>0</x:v>
      </x:c>
    </x:row>
    <x:row r="393" ht="23" customHeight="1">
      <x:c r="A393" s="10" t="str">
        <x:v>M8</x:v>
      </x:c>
      <x:c r="B393" s="10" t="str">
        <x:v>NC_H0</x:v>
      </x:c>
      <x:c r="C393" s="9" t="str">
        <x:v>源三角形</x:v>
      </x:c>
      <x:c r="D393" s="11" t="n">
        <x:f>'全部组合'!I176</x:f>
        <x:v>20703307</x:v>
      </x:c>
      <x:c r="E393" s="12" t="n">
        <x:f>'全部组合'!Y176/$D393</x:f>
        <x:v>0</x:v>
      </x:c>
      <x:c r="F393" s="12" t="n">
        <x:f>'全部组合'!Z176/$D393</x:f>
        <x:v>0.13681133163895023</x:v>
      </x:c>
      <x:c r="G393" s="12" t="n">
        <x:f>'全部组合'!AA176/$D393</x:f>
        <x:v>0.022853836829063105</x:v>
      </x:c>
      <x:c r="H393" s="12" t="n">
        <x:f>'全部组合'!AB176/$D393</x:f>
        <x:v>0</x:v>
      </x:c>
      <x:c r="I393" s="12" t="n">
        <x:f>'全部组合'!AC176/$D393</x:f>
        <x:v>0.4943949292738595</x:v>
      </x:c>
      <x:c r="J393" s="12" t="n">
        <x:f>'全部组合'!AD176/$D393</x:f>
        <x:v>0.02709441539943353</x:v>
      </x:c>
      <x:c r="K393" s="12" t="n">
        <x:f>'全部组合'!AE176/$D393</x:f>
        <x:v>0.01566846301414552</x:v>
      </x:c>
      <x:c r="L393" s="12" t="n">
        <x:f>'全部组合'!AF176/$D393</x:f>
        <x:v>0.22986583737564245</x:v>
      </x:c>
      <x:c r="M393" s="12" t="n">
        <x:f>'全部组合'!AG176/$D393</x:f>
        <x:v>0.07331118646890566</x:v>
      </x:c>
      <x:c r="N393" s="13" t="n">
        <x:f>'全部组合'!AH176/$D393</x:f>
        <x:v>0</x:v>
      </x:c>
    </x:row>
    <x:row r="394" ht="23" customHeight="1">
      <x:c r="A394" s="10" t="str">
        <x:v>M8</x:v>
      </x:c>
      <x:c r="B394" s="10" t="str">
        <x:v>NC_HT</x:v>
      </x:c>
      <x:c r="C394" s="9" t="str">
        <x:v>节点</x:v>
      </x:c>
      <x:c r="D394" s="11" t="n">
        <x:f>'全部组合'!D177</x:f>
        <x:v>6103</x:v>
      </x:c>
      <x:c r="E394" s="12" t="n">
        <x:f>'全部组合'!O177/$D394</x:f>
        <x:v>0</x:v>
      </x:c>
      <x:c r="F394" s="12" t="n">
        <x:f>'全部组合'!P177/$D394</x:f>
        <x:v>0.24184827134196296</x:v>
      </x:c>
      <x:c r="G394" s="12" t="n">
        <x:f>'全部组合'!Q177/$D394</x:f>
        <x:v>0.036211699164345405</x:v>
      </x:c>
      <x:c r="H394" s="12" t="n">
        <x:f>'全部组合'!R177/$D394</x:f>
        <x:v>0</x:v>
      </x:c>
      <x:c r="I394" s="12" t="n">
        <x:f>'全部组合'!S177/$D394</x:f>
        <x:v>0.6555792233327872</x:v>
      </x:c>
      <x:c r="J394" s="12" t="n">
        <x:f>'全部组合'!T177/$D394</x:f>
        <x:v>0.005079469113550713</x:v>
      </x:c>
      <x:c r="K394" s="12" t="n">
        <x:f>'全部组合'!U177/$D394</x:f>
        <x:v>0.013272161232180895</x:v>
      </x:c>
      <x:c r="L394" s="12" t="n">
        <x:f>'全部组合'!V177/$D394</x:f>
        <x:v>0.026216614779616582</x:v>
      </x:c>
      <x:c r="M394" s="12" t="n">
        <x:f>'全部组合'!W177/$D394</x:f>
        <x:v>0.021792561035556282</x:v>
      </x:c>
      <x:c r="N394" s="13" t="n">
        <x:f>'全部组合'!X177/$D394</x:f>
        <x:v>0</x:v>
      </x:c>
    </x:row>
    <x:row r="395" ht="23" customHeight="1">
      <x:c r="A395" s="10" t="str">
        <x:v>M8</x:v>
      </x:c>
      <x:c r="B395" s="10" t="str">
        <x:v>NC_HT</x:v>
      </x:c>
      <x:c r="C395" s="9" t="str">
        <x:v>源三角形</x:v>
      </x:c>
      <x:c r="D395" s="11" t="n">
        <x:f>'全部组合'!I177</x:f>
        <x:v>20703307</x:v>
      </x:c>
      <x:c r="E395" s="12" t="n">
        <x:f>'全部组合'!Y177/$D395</x:f>
        <x:v>0</x:v>
      </x:c>
      <x:c r="F395" s="12" t="n">
        <x:f>'全部组合'!Z177/$D395</x:f>
        <x:v>0.13681133163895023</x:v>
      </x:c>
      <x:c r="G395" s="12" t="n">
        <x:f>'全部组合'!AA177/$D395</x:f>
        <x:v>0.022853836829063105</x:v>
      </x:c>
      <x:c r="H395" s="12" t="n">
        <x:f>'全部组合'!AB177/$D395</x:f>
        <x:v>0</x:v>
      </x:c>
      <x:c r="I395" s="12" t="n">
        <x:f>'全部组合'!AC177/$D395</x:f>
        <x:v>0.4943949292738595</x:v>
      </x:c>
      <x:c r="J395" s="12" t="n">
        <x:f>'全部组合'!AD177/$D395</x:f>
        <x:v>0.02709441539943353</x:v>
      </x:c>
      <x:c r="K395" s="12" t="n">
        <x:f>'全部组合'!AE177/$D395</x:f>
        <x:v>0.01566846301414552</x:v>
      </x:c>
      <x:c r="L395" s="12" t="n">
        <x:f>'全部组合'!AF177/$D395</x:f>
        <x:v>0.22986583737564245</x:v>
      </x:c>
      <x:c r="M395" s="12" t="n">
        <x:f>'全部组合'!AG177/$D395</x:f>
        <x:v>0.07331118646890566</x:v>
      </x:c>
      <x:c r="N395" s="13" t="n">
        <x:f>'全部组合'!AH177/$D395</x:f>
        <x:v>0</x:v>
      </x:c>
    </x:row>
    <x:row r="396" ht="23" customHeight="1">
      <x:c r="A396" s="10" t="str">
        <x:v>M8</x:v>
      </x:c>
      <x:c r="B396" s="10" t="str">
        <x:v>NC_H1</x:v>
      </x:c>
      <x:c r="C396" s="9" t="str">
        <x:v>节点</x:v>
      </x:c>
      <x:c r="D396" s="11" t="n">
        <x:f>'全部组合'!D178</x:f>
        <x:v>6103</x:v>
      </x:c>
      <x:c r="E396" s="12" t="n">
        <x:f>'全部组合'!O178/$D396</x:f>
        <x:v>0</x:v>
      </x:c>
      <x:c r="F396" s="12" t="n">
        <x:f>'全部组合'!P178/$D396</x:f>
        <x:v>0.24070129444535474</x:v>
      </x:c>
      <x:c r="G396" s="12" t="n">
        <x:f>'全部组合'!Q178/$D396</x:f>
        <x:v>0.02883827625757824</x:v>
      </x:c>
      <x:c r="H396" s="12" t="n">
        <x:f>'全部组合'!R178/$D396</x:f>
        <x:v>0</x:v>
      </x:c>
      <x:c r="I396" s="12" t="n">
        <x:f>'全部组合'!S178/$D396</x:f>
        <x:v>0.6555792233327872</x:v>
      </x:c>
      <x:c r="J396" s="12" t="n">
        <x:f>'全部组合'!T178/$D396</x:f>
        <x:v>0.011142061281337047</x:v>
      </x:c>
      <x:c r="K396" s="12" t="n">
        <x:f>'全部组合'!U178/$D396</x:f>
        <x:v>0.01572996886776995</x:v>
      </x:c>
      <x:c r="L396" s="12" t="n">
        <x:f>'全部组合'!V178/$D396</x:f>
        <x:v>0.026216614779616582</x:v>
      </x:c>
      <x:c r="M396" s="12" t="n">
        <x:f>'全部组合'!W178/$D396</x:f>
        <x:v>0.021792561035556282</x:v>
      </x:c>
      <x:c r="N396" s="13" t="n">
        <x:f>'全部组合'!X178/$D396</x:f>
        <x:v>0</x:v>
      </x:c>
    </x:row>
    <x:row r="397" ht="23" customHeight="1">
      <x:c r="A397" s="10" t="str">
        <x:v>M8</x:v>
      </x:c>
      <x:c r="B397" s="10" t="str">
        <x:v>NC_H1</x:v>
      </x:c>
      <x:c r="C397" s="9" t="str">
        <x:v>源三角形</x:v>
      </x:c>
      <x:c r="D397" s="11" t="n">
        <x:f>'全部组合'!I178</x:f>
        <x:v>20703307</x:v>
      </x:c>
      <x:c r="E397" s="12" t="n">
        <x:f>'全部组合'!Y178/$D397</x:f>
        <x:v>0</x:v>
      </x:c>
      <x:c r="F397" s="12" t="n">
        <x:f>'全部组合'!Z178/$D397</x:f>
        <x:v>0.13632039557738287</x:v>
      </x:c>
      <x:c r="G397" s="12" t="n">
        <x:f>'全部组合'!AA178/$D397</x:f>
        <x:v>0.014593900385093067</x:v>
      </x:c>
      <x:c r="H397" s="12" t="n">
        <x:f>'全部组合'!AB178/$D397</x:f>
        <x:v>0</x:v>
      </x:c>
      <x:c r="I397" s="12" t="n">
        <x:f>'全部组合'!AC178/$D397</x:f>
        <x:v>0.4943949292738595</x:v>
      </x:c>
      <x:c r="J397" s="12" t="n">
        <x:f>'全部组合'!AD178/$D397</x:f>
        <x:v>0.03466808466879229</x:v>
      </x:c>
      <x:c r="K397" s="12" t="n">
        <x:f>'全部组合'!AE178/$D397</x:f>
        <x:v>0.016845666250324163</x:v>
      </x:c>
      <x:c r="L397" s="12" t="n">
        <x:f>'全部组合'!AF178/$D397</x:f>
        <x:v>0.22986583737564245</x:v>
      </x:c>
      <x:c r="M397" s="12" t="n">
        <x:f>'全部组合'!AG178/$D397</x:f>
        <x:v>0.07331118646890566</x:v>
      </x:c>
      <x:c r="N397" s="13" t="n">
        <x:f>'全部组合'!AH178/$D397</x:f>
        <x:v>0</x:v>
      </x:c>
    </x:row>
    <x:row r="398" ht="23" customHeight="1">
      <x:c r="A398" s="10" t="str">
        <x:v>M8</x:v>
      </x:c>
      <x:c r="B398" s="10" t="str">
        <x:v>NG_H0</x:v>
      </x:c>
      <x:c r="C398" s="9" t="str">
        <x:v>节点</x:v>
      </x:c>
      <x:c r="D398" s="11" t="n">
        <x:f>'全部组合'!D179</x:f>
        <x:v>6103</x:v>
      </x:c>
      <x:c r="E398" s="12" t="n">
        <x:f>'全部组合'!O179/$D398</x:f>
        <x:v>0.006062592167786335</x:v>
      </x:c>
      <x:c r="F398" s="12" t="n">
        <x:f>'全部组合'!P179/$D398</x:f>
        <x:v>0.24070129444535474</x:v>
      </x:c>
      <x:c r="G398" s="12" t="n">
        <x:f>'全部组合'!Q179/$D398</x:f>
        <x:v>0.5108962805177781</x:v>
      </x:c>
      <x:c r="H398" s="12" t="n">
        <x:f>'全部组合'!R179/$D398</x:f>
        <x:v>0.11944945108962805</x:v>
      </x:c>
      <x:c r="I398" s="12" t="n">
        <x:f>'全部组合'!S179/$D398</x:f>
        <x:v>0.03424545305587416</x:v>
      </x:c>
      <x:c r="J398" s="12" t="n">
        <x:f>'全部组合'!T179/$D398</x:f>
        <x:v>0.014582991971161724</x:v>
      </x:c>
      <x:c r="K398" s="12" t="n">
        <x:f>'全部组合'!U179/$D398</x:f>
        <x:v>0.012452892020317876</x:v>
      </x:c>
      <x:c r="L398" s="12" t="n">
        <x:f>'全部组合'!V179/$D398</x:f>
        <x:v>0.0270358839914796</x:v>
      </x:c>
      <x:c r="M398" s="12" t="n">
        <x:f>'全部组合'!W179/$D398</x:f>
        <x:v>0.03457316074061937</x:v>
      </x:c>
      <x:c r="N398" s="13" t="n">
        <x:f>'全部组合'!X179/$D398</x:f>
        <x:v>0</x:v>
      </x:c>
    </x:row>
    <x:row r="399" ht="23" customHeight="1">
      <x:c r="A399" s="10" t="str">
        <x:v>M8</x:v>
      </x:c>
      <x:c r="B399" s="10" t="str">
        <x:v>NG_H0</x:v>
      </x:c>
      <x:c r="C399" s="9" t="str">
        <x:v>源三角形</x:v>
      </x:c>
      <x:c r="D399" s="11" t="n">
        <x:f>'全部组合'!I179</x:f>
        <x:v>20703307</x:v>
      </x:c>
      <x:c r="E399" s="12" t="n">
        <x:f>'全部组合'!Y179/$D399</x:f>
        <x:v>0.0010132680735497957</x:v>
      </x:c>
      <x:c r="F399" s="12" t="n">
        <x:f>'全部组合'!Z179/$D399</x:f>
        <x:v>0.0827980766550967</x:v>
      </x:c>
      <x:c r="G399" s="12" t="n">
        <x:f>'全部组合'!AA179/$D399</x:f>
        <x:v>0.28713977916668093</x:v>
      </x:c>
      <x:c r="H399" s="12" t="n">
        <x:f>'全部组合'!AB179/$D399</x:f>
        <x:v>0.1382162762692936</x:v>
      </x:c>
      <x:c r="I399" s="12" t="n">
        <x:f>'全部组合'!AC179/$D399</x:f>
        <x:v>0.1014367414828945</x:v>
      </x:c>
      <x:c r="J399" s="12" t="n">
        <x:f>'全部组合'!AD179/$D399</x:f>
        <x:v>0.03844835030461559</x:v>
      </x:c>
      <x:c r="K399" s="12" t="n">
        <x:f>'全部组合'!AE179/$D399</x:f>
        <x:v>0.015326585264856479</x:v>
      </x:c>
      <x:c r="L399" s="12" t="n">
        <x:f>'全部组合'!AF179/$D399</x:f>
        <x:v>0.23020104952315107</x:v>
      </x:c>
      <x:c r="M399" s="12" t="n">
        <x:f>'全部组合'!AG179/$D399</x:f>
        <x:v>0.10541987325986134</x:v>
      </x:c>
      <x:c r="N399" s="13" t="n">
        <x:f>'全部组合'!AH179/$D399</x:f>
        <x:v>0</x:v>
      </x:c>
    </x:row>
    <x:row r="400" ht="23" customHeight="1">
      <x:c r="A400" s="10" t="str">
        <x:v>M8</x:v>
      </x:c>
      <x:c r="B400" s="10" t="str">
        <x:v>NG_HT</x:v>
      </x:c>
      <x:c r="C400" s="9" t="str">
        <x:v>节点</x:v>
      </x:c>
      <x:c r="D400" s="11" t="n">
        <x:f>'全部组合'!D180</x:f>
        <x:v>6103</x:v>
      </x:c>
      <x:c r="E400" s="12" t="n">
        <x:f>'全部组合'!O180/$D400</x:f>
        <x:v>0.006062592167786335</x:v>
      </x:c>
      <x:c r="F400" s="12" t="n">
        <x:f>'全部组合'!P180/$D400</x:f>
        <x:v>0.17253809601835163</x:v>
      </x:c>
      <x:c r="G400" s="12" t="n">
        <x:f>'全部组合'!Q180/$D400</x:f>
        <x:v>0.5533344256922825</x:v>
      </x:c>
      <x:c r="H400" s="12" t="n">
        <x:f>'全部组合'!R180/$D400</x:f>
        <x:v>0.1399311813862035</x:v>
      </x:c>
      <x:c r="I400" s="12" t="n">
        <x:f>'全部组合'!S180/$D400</x:f>
        <x:v>0.03850565295756186</x:v>
      </x:c>
      <x:c r="J400" s="12" t="n">
        <x:f>'全部组合'!T180/$D400</x:f>
        <x:v>0.015566115025397346</x:v>
      </x:c>
      <x:c r="K400" s="12" t="n">
        <x:f>'全部组合'!U180/$D400</x:f>
        <x:v>0.012452892020317876</x:v>
      </x:c>
      <x:c r="L400" s="12" t="n">
        <x:f>'全部组合'!V180/$D400</x:f>
        <x:v>0.0270358839914796</x:v>
      </x:c>
      <x:c r="M400" s="12" t="n">
        <x:f>'全部组合'!W180/$D400</x:f>
        <x:v>0.03457316074061937</x:v>
      </x:c>
      <x:c r="N400" s="13" t="n">
        <x:f>'全部组合'!X180/$D400</x:f>
        <x:v>0</x:v>
      </x:c>
    </x:row>
    <x:row r="401" ht="23" customHeight="1">
      <x:c r="A401" s="10" t="str">
        <x:v>M8</x:v>
      </x:c>
      <x:c r="B401" s="10" t="str">
        <x:v>NG_HT</x:v>
      </x:c>
      <x:c r="C401" s="9" t="str">
        <x:v>源三角形</x:v>
      </x:c>
      <x:c r="D401" s="11" t="n">
        <x:f>'全部组合'!I180</x:f>
        <x:v>20703307</x:v>
      </x:c>
      <x:c r="E401" s="12" t="n">
        <x:f>'全部组合'!Y180/$D401</x:f>
        <x:v>0.0010132680735497957</x:v>
      </x:c>
      <x:c r="F401" s="12" t="n">
        <x:f>'全部组合'!Z180/$D401</x:f>
        <x:v>0.050162710720562664</x:v>
      </x:c>
      <x:c r="G401" s="12" t="n">
        <x:f>'全部组合'!AA180/$D401</x:f>
        <x:v>0.29794993621067395</x:v>
      </x:c>
      <x:c r="H401" s="12" t="n">
        <x:f>'全部组合'!AB180/$D401</x:f>
        <x:v>0.1462273152786654</x:v>
      </x:c>
      <x:c r="I401" s="12" t="n">
        <x:f>'全部组合'!AC180/$D401</x:f>
        <x:v>0.10810422702034994</x:v>
      </x:c>
      <x:c r="J401" s="12" t="n">
        <x:f>'全部组合'!AD180/$D401</x:f>
        <x:v>0.04559503464832937</x:v>
      </x:c>
      <x:c r="K401" s="12" t="n">
        <x:f>'全部组合'!AE180/$D401</x:f>
        <x:v>0.015326585264856479</x:v>
      </x:c>
      <x:c r="L401" s="12" t="n">
        <x:f>'全部组合'!AF180/$D401</x:f>
        <x:v>0.23020104952315107</x:v>
      </x:c>
      <x:c r="M401" s="12" t="n">
        <x:f>'全部组合'!AG180/$D401</x:f>
        <x:v>0.10541987325986134</x:v>
      </x:c>
      <x:c r="N401" s="13" t="n">
        <x:f>'全部组合'!AH180/$D401</x:f>
        <x:v>0</x:v>
      </x:c>
    </x:row>
    <x:row r="402" ht="23" customHeight="1">
      <x:c r="A402" s="10" t="str">
        <x:v>M8</x:v>
      </x:c>
      <x:c r="B402" s="10" t="str">
        <x:v>NG_H1</x:v>
      </x:c>
      <x:c r="C402" s="9" t="str">
        <x:v>节点</x:v>
      </x:c>
      <x:c r="D402" s="11" t="n">
        <x:f>'全部组合'!D181</x:f>
        <x:v>6103</x:v>
      </x:c>
      <x:c r="E402" s="12" t="n">
        <x:f>'全部组合'!O181/$D402</x:f>
        <x:v>0.006062592167786335</x:v>
      </x:c>
      <x:c r="F402" s="12" t="n">
        <x:f>'全部组合'!P181/$D402</x:f>
        <x:v>0.17188268064886122</x:v>
      </x:c>
      <x:c r="G402" s="12" t="n">
        <x:f>'全部组合'!Q181/$D402</x:f>
        <x:v>0.5464525643126331</x:v>
      </x:c>
      <x:c r="H402" s="12" t="n">
        <x:f>'全部组合'!R181/$D402</x:f>
        <x:v>0.13960347370145829</x:v>
      </x:c>
      <x:c r="I402" s="12" t="n">
        <x:f>'全部组合'!S181/$D402</x:f>
        <x:v>0.03785023758807144</x:v>
      </x:c>
      <x:c r="J402" s="12" t="n">
        <x:f>'全部组合'!T181/$D402</x:f>
        <x:v>0.02212026872030149</x:v>
      </x:c>
      <x:c r="K402" s="12" t="n">
        <x:f>'全部组合'!U181/$D402</x:f>
        <x:v>0.01441913812878912</x:v>
      </x:c>
      <x:c r="L402" s="12" t="n">
        <x:f>'全部组合'!V181/$D402</x:f>
        <x:v>0.0270358839914796</x:v>
      </x:c>
      <x:c r="M402" s="12" t="n">
        <x:f>'全部组合'!W181/$D402</x:f>
        <x:v>0.03457316074061937</x:v>
      </x:c>
      <x:c r="N402" s="13" t="n">
        <x:f>'全部组合'!X181/$D402</x:f>
        <x:v>0</x:v>
      </x:c>
    </x:row>
    <x:row r="403" ht="23" customHeight="1">
      <x:c r="A403" s="10" t="str">
        <x:v>M8</x:v>
      </x:c>
      <x:c r="B403" s="10" t="str">
        <x:v>NG_H1</x:v>
      </x:c>
      <x:c r="C403" s="9" t="str">
        <x:v>源三角形</x:v>
      </x:c>
      <x:c r="D403" s="11" t="n">
        <x:f>'全部组合'!I181</x:f>
        <x:v>20703307</x:v>
      </x:c>
      <x:c r="E403" s="12" t="n">
        <x:f>'全部组合'!Y181/$D403</x:f>
        <x:v>0.0010132680735497957</x:v>
      </x:c>
      <x:c r="F403" s="12" t="n">
        <x:f>'全部组合'!Z181/$D403</x:f>
        <x:v>0.0500661077962086</x:v>
      </x:c>
      <x:c r="G403" s="12" t="n">
        <x:f>'全部组合'!AA181/$D403</x:f>
        <x:v>0.2941921790562252</x:v>
      </x:c>
      <x:c r="H403" s="12" t="n">
        <x:f>'全部组合'!AB181/$D403</x:f>
        <x:v>0.14615737476143303</x:v>
      </x:c>
      <x:c r="I403" s="12" t="n">
        <x:f>'全部组合'!AC181/$D403</x:f>
        <x:v>0.10359451270272908</x:v>
      </x:c>
      <x:c r="J403" s="12" t="n">
        <x:f>'全部组合'!AD181/$D403</x:f>
        <x:v>0.053246179463020085</x:v>
      </x:c>
      <x:c r="K403" s="12" t="n">
        <x:f>'全部组合'!AE181/$D403</x:f>
        <x:v>0.01610945536382183</x:v>
      </x:c>
      <x:c r="L403" s="12" t="n">
        <x:f>'全部组合'!AF181/$D403</x:f>
        <x:v>0.23020104952315107</x:v>
      </x:c>
      <x:c r="M403" s="12" t="n">
        <x:f>'全部组合'!AG181/$D403</x:f>
        <x:v>0.10541987325986134</x:v>
      </x:c>
      <x:c r="N403" s="13" t="n">
        <x:f>'全部组合'!AH181/$D403</x:f>
        <x:v>0</x:v>
      </x:c>
    </x:row>
    <x:row r="404" ht="23" customHeight="1">
      <x:c r="A404" s="10" t="str">
        <x:v>M8</x:v>
      </x:c>
      <x:c r="B404" s="10" t="str">
        <x:v>CG_H0</x:v>
      </x:c>
      <x:c r="C404" s="9" t="str">
        <x:v>节点</x:v>
      </x:c>
      <x:c r="D404" s="11" t="n">
        <x:f>'全部组合'!D182</x:f>
        <x:v>6103</x:v>
      </x:c>
      <x:c r="E404" s="12" t="n">
        <x:f>'全部组合'!O182/$D404</x:f>
        <x:v>0.002293953793216451</x:v>
      </x:c>
      <x:c r="F404" s="12" t="n">
        <x:f>'全部组合'!P182/$D404</x:f>
        <x:v>0.31820416188759626</x:v>
      </x:c>
      <x:c r="G404" s="12" t="n">
        <x:f>'全部组合'!Q182/$D404</x:f>
        <x:v>0.511387842044896</x:v>
      </x:c>
      <x:c r="H404" s="12" t="n">
        <x:f>'全部组合'!R182/$D404</x:f>
        <x:v>0.1215795510404719</x:v>
      </x:c>
      <x:c r="I404" s="12" t="n">
        <x:f>'全部组合'!S182/$D404</x:f>
        <x:v>0.03555628379485499</x:v>
      </x:c>
      <x:c r="J404" s="12" t="n">
        <x:f>'全部组合'!T182/$D404</x:f>
        <x:v>0.008848107488120597</x:v>
      </x:c>
      <x:c r="K404" s="12" t="n">
        <x:f>'全部组合'!U182/$D404</x:f>
        <x:v>0.0016385384237260364</x:v>
      </x:c>
      <x:c r="L404" s="12" t="n">
        <x:f>'全部组合'!V182/$D404</x:f>
        <x:v>0</x:v>
      </x:c>
      <x:c r="M404" s="12" t="n">
        <x:f>'全部组合'!W182/$D404</x:f>
        <x:v>0.0004915615271178109</x:v>
      </x:c>
      <x:c r="N404" s="13" t="n">
        <x:f>'全部组合'!X182/$D404</x:f>
        <x:v>0</x:v>
      </x:c>
    </x:row>
    <x:row r="405" ht="23" customHeight="1">
      <x:c r="A405" s="10" t="str">
        <x:v>M8</x:v>
      </x:c>
      <x:c r="B405" s="10" t="str">
        <x:v>CG_H0</x:v>
      </x:c>
      <x:c r="C405" s="9" t="str">
        <x:v>源三角形</x:v>
      </x:c>
      <x:c r="D405" s="11" t="n">
        <x:f>'全部组合'!I182</x:f>
        <x:v>20703307</x:v>
      </x:c>
      <x:c r="E405" s="12" t="n">
        <x:f>'全部组合'!Y182/$D405</x:f>
        <x:v>0.00020943513999961455</x:v>
      </x:c>
      <x:c r="F405" s="12" t="n">
        <x:f>'全部组合'!Z182/$D405</x:f>
        <x:v>0.13014645438045236</x:v>
      </x:c>
      <x:c r="G405" s="12" t="n">
        <x:f>'全部组合'!AA182/$D405</x:f>
        <x:v>0.3870997034435127</x:v>
      </x:c>
      <x:c r="H405" s="12" t="n">
        <x:f>'全部组合'!AB182/$D405</x:f>
        <x:v>0.23196762720081385</x:v>
      </x:c>
      <x:c r="I405" s="12" t="n">
        <x:f>'全部组合'!AC182/$D405</x:f>
        <x:v>0.24028586350963158</x:v>
      </x:c>
      <x:c r="J405" s="12" t="n">
        <x:f>'全部组合'!AD182/$D405</x:f>
        <x:v>0.009342662020130408</x:v>
      </x:c>
      <x:c r="K405" s="12" t="n">
        <x:f>'全部组合'!AE182/$D405</x:f>
        <x:v>0.000837450751225396</x:v>
      </x:c>
      <x:c r="L405" s="12" t="n">
        <x:f>'全部组合'!AF182/$D405</x:f>
        <x:v>0</x:v>
      </x:c>
      <x:c r="M405" s="12" t="n">
        <x:f>'全部组合'!AG182/$D405</x:f>
        <x:v>0.00011080355423411341</x:v>
      </x:c>
      <x:c r="N405" s="13" t="n">
        <x:f>'全部组合'!AH182/$D405</x:f>
        <x:v>0</x:v>
      </x:c>
    </x:row>
    <x:row r="406" ht="23" customHeight="1">
      <x:c r="A406" s="10" t="str">
        <x:v>M8</x:v>
      </x:c>
      <x:c r="B406" s="10" t="str">
        <x:v>CG_HT</x:v>
      </x:c>
      <x:c r="C406" s="9" t="str">
        <x:v>节点</x:v>
      </x:c>
      <x:c r="D406" s="11" t="n">
        <x:f>'全部组合'!D183</x:f>
        <x:v>6103</x:v>
      </x:c>
      <x:c r="E406" s="12" t="n">
        <x:f>'全部组合'!O183/$D406</x:f>
        <x:v>0.002293953793216451</x:v>
      </x:c>
      <x:c r="F406" s="12" t="n">
        <x:f>'全部组合'!P183/$D406</x:f>
        <x:v>0.24053744060298213</x:v>
      </x:c>
      <x:c r="G406" s="12" t="n">
        <x:f>'全部组合'!Q183/$D406</x:f>
        <x:v>0.5703752252990333</x:v>
      </x:c>
      <x:c r="H406" s="12" t="n">
        <x:f>'全部组合'!R183/$D406</x:f>
        <x:v>0.13436015074553498</x:v>
      </x:c>
      <x:c r="I406" s="12" t="n">
        <x:f>'全部组合'!S183/$D406</x:f>
        <x:v>0.0404718990660331</x:v>
      </x:c>
      <x:c r="J406" s="12" t="n">
        <x:f>'全部组合'!T183/$D406</x:f>
        <x:v>0.009831230542356219</x:v>
      </x:c>
      <x:c r="K406" s="12" t="n">
        <x:f>'全部组合'!U183/$D406</x:f>
        <x:v>0.0016385384237260364</x:v>
      </x:c>
      <x:c r="L406" s="12" t="n">
        <x:f>'全部组合'!V183/$D406</x:f>
        <x:v>0</x:v>
      </x:c>
      <x:c r="M406" s="12" t="n">
        <x:f>'全部组合'!W183/$D406</x:f>
        <x:v>0.0004915615271178109</x:v>
      </x:c>
      <x:c r="N406" s="13" t="n">
        <x:f>'全部组合'!X183/$D406</x:f>
        <x:v>0</x:v>
      </x:c>
    </x:row>
    <x:row r="407" ht="23" customHeight="1">
      <x:c r="A407" s="10" t="str">
        <x:v>M8</x:v>
      </x:c>
      <x:c r="B407" s="10" t="str">
        <x:v>CG_HT</x:v>
      </x:c>
      <x:c r="C407" s="9" t="str">
        <x:v>源三角形</x:v>
      </x:c>
      <x:c r="D407" s="11" t="n">
        <x:f>'全部组合'!I183</x:f>
        <x:v>20703307</x:v>
      </x:c>
      <x:c r="E407" s="12" t="n">
        <x:f>'全部组合'!Y183/$D407</x:f>
        <x:v>0.00020943513999961455</x:v>
      </x:c>
      <x:c r="F407" s="12" t="n">
        <x:f>'全部组合'!Z183/$D407</x:f>
        <x:v>0.08782278116244907</x:v>
      </x:c>
      <x:c r="G407" s="12" t="n">
        <x:f>'全部组合'!AA183/$D407</x:f>
        <x:v>0.40705236124837446</x:v>
      </x:c>
      <x:c r="H407" s="12" t="n">
        <x:f>'全部组合'!AB183/$D407</x:f>
        <x:v>0.22763097702217333</x:v>
      </x:c>
      <x:c r="I407" s="12" t="n">
        <x:f>'全部组合'!AC183/$D407</x:f>
        <x:v>0.2598468447576998</x:v>
      </x:c>
      <x:c r="J407" s="12" t="n">
        <x:f>'全部组合'!AD183/$D407</x:f>
        <x:v>0.016489346363844193</x:v>
      </x:c>
      <x:c r="K407" s="12" t="n">
        <x:f>'全部组合'!AE183/$D407</x:f>
        <x:v>0.000837450751225396</x:v>
      </x:c>
      <x:c r="L407" s="12" t="n">
        <x:f>'全部组合'!AF183/$D407</x:f>
        <x:v>0</x:v>
      </x:c>
      <x:c r="M407" s="12" t="n">
        <x:f>'全部组合'!AG183/$D407</x:f>
        <x:v>0.00011080355423411341</x:v>
      </x:c>
      <x:c r="N407" s="13" t="n">
        <x:f>'全部组合'!AH183/$D407</x:f>
        <x:v>0</x:v>
      </x:c>
    </x:row>
    <x:row r="408" ht="23" customHeight="1">
      <x:c r="A408" s="10" t="str">
        <x:v>M8</x:v>
      </x:c>
      <x:c r="B408" s="10" t="str">
        <x:v>CG_H1</x:v>
      </x:c>
      <x:c r="C408" s="9" t="str">
        <x:v>节点</x:v>
      </x:c>
      <x:c r="D408" s="11" t="n">
        <x:f>'全部组合'!D184</x:f>
        <x:v>6103</x:v>
      </x:c>
      <x:c r="E408" s="12" t="n">
        <x:f>'全部组合'!O184/$D408</x:f>
        <x:v>0.002293953793216451</x:v>
      </x:c>
      <x:c r="F408" s="12" t="n">
        <x:f>'全部组合'!P184/$D408</x:f>
        <x:v>0.2395543175487465</x:v>
      </x:c>
      <x:c r="G408" s="12" t="n">
        <x:f>'全部组合'!Q184/$D408</x:f>
        <x:v>0.5700475176142881</x:v>
      </x:c>
      <x:c r="H408" s="12" t="n">
        <x:f>'全部组合'!R184/$D408</x:f>
        <x:v>0.13419629690316237</x:v>
      </x:c>
      <x:c r="I408" s="12" t="n">
        <x:f>'全部组合'!S184/$D408</x:f>
        <x:v>0.0404718990660331</x:v>
      </x:c>
      <x:c r="J408" s="12" t="n">
        <x:f>'全部组合'!T184/$D408</x:f>
        <x:v>0.009831230542356219</x:v>
      </x:c>
      <x:c r="K408" s="12" t="n">
        <x:f>'全部组合'!U184/$D408</x:f>
        <x:v>0.003113223005079469</x:v>
      </x:c>
      <x:c r="L408" s="12" t="n">
        <x:f>'全部组合'!V184/$D408</x:f>
        <x:v>0</x:v>
      </x:c>
      <x:c r="M408" s="12" t="n">
        <x:f>'全部组合'!W184/$D408</x:f>
        <x:v>0.0004915615271178109</x:v>
      </x:c>
      <x:c r="N408" s="13" t="n">
        <x:f>'全部组合'!X184/$D408</x:f>
        <x:v>0</x:v>
      </x:c>
    </x:row>
    <x:row r="409" ht="23" customHeight="1">
      <x:c r="A409" s="10" t="str">
        <x:v>M8</x:v>
      </x:c>
      <x:c r="B409" s="10" t="str">
        <x:v>CG_H1</x:v>
      </x:c>
      <x:c r="C409" s="9" t="str">
        <x:v>源三角形</x:v>
      </x:c>
      <x:c r="D409" s="11" t="n">
        <x:f>'全部组合'!I184</x:f>
        <x:v>20703307</x:v>
      </x:c>
      <x:c r="E409" s="12" t="n">
        <x:f>'全部组合'!Y184/$D409</x:f>
        <x:v>0.00020943513999961455</x:v>
      </x:c>
      <x:c r="F409" s="12" t="n">
        <x:f>'全部组合'!Z184/$D409</x:f>
        <x:v>0.0876759447174309</x:v>
      </x:c>
      <x:c r="G409" s="12" t="n">
        <x:f>'全部组合'!AA184/$D409</x:f>
        <x:v>0.4068632127224892</x:v>
      </x:c>
      <x:c r="H409" s="12" t="n">
        <x:f>'全部组合'!AB184/$D409</x:f>
        <x:v>0.22741497288331763</x:v>
      </x:c>
      <x:c r="I409" s="12" t="n">
        <x:f>'全部组合'!AC184/$D409</x:f>
        <x:v>0.2598468447576998</x:v>
      </x:c>
      <x:c r="J409" s="12" t="n">
        <x:f>'全部组合'!AD184/$D409</x:f>
        <x:v>0.016489346363844193</x:v>
      </x:c>
      <x:c r="K409" s="12" t="n">
        <x:f>'全部组合'!AE184/$D409</x:f>
        <x:v>0.0013894398609845277</x:v>
      </x:c>
      <x:c r="L409" s="12" t="n">
        <x:f>'全部组合'!AF184/$D409</x:f>
        <x:v>0</x:v>
      </x:c>
      <x:c r="M409" s="12" t="n">
        <x:f>'全部组合'!AG184/$D409</x:f>
        <x:v>0.00011080355423411341</x:v>
      </x:c>
      <x:c r="N409" s="13" t="n">
        <x:f>'全部组合'!AH184/$D409</x:f>
        <x:v>0</x:v>
      </x:c>
    </x:row>
    <x:row r="410" ht="23" customHeight="1">
      <x:c r="A410" s="10" t="str">
        <x:v>M8</x:v>
      </x:c>
      <x:c r="B410" s="10" t="str">
        <x:v>NCG_H0</x:v>
      </x:c>
      <x:c r="C410" s="9" t="str">
        <x:v>节点</x:v>
      </x:c>
      <x:c r="D410" s="11" t="n">
        <x:f>'全部组合'!D185</x:f>
        <x:v>6103</x:v>
      </x:c>
      <x:c r="E410" s="12" t="n">
        <x:f>'全部组合'!O185/$D410</x:f>
        <x:v>0.0039324922169424875</x:v>
      </x:c>
      <x:c r="F410" s="12" t="n">
        <x:f>'全部组合'!P185/$D410</x:f>
        <x:v>0.21448467966573817</x:v>
      </x:c>
      <x:c r="G410" s="12" t="n">
        <x:f>'全部组合'!Q185/$D410</x:f>
        <x:v>0.5410453875143372</x:v>
      </x:c>
      <x:c r="H410" s="12" t="n">
        <x:f>'全部组合'!R185/$D410</x:f>
        <x:v>0.12305423562182533</x:v>
      </x:c>
      <x:c r="I410" s="12" t="n">
        <x:f>'全部组合'!S185/$D410</x:f>
        <x:v>0.04129116827789612</x:v>
      </x:c>
      <x:c r="J410" s="12" t="n">
        <x:f>'全部组合'!T185/$D410</x:f>
        <x:v>0.01491069965590693</x:v>
      </x:c>
      <x:c r="K410" s="12" t="n">
        <x:f>'全部组合'!U185/$D410</x:f>
        <x:v>0.013272161232180895</x:v>
      </x:c>
      <x:c r="L410" s="12" t="n">
        <x:f>'全部组合'!V185/$D410</x:f>
        <x:v>0.026216614779616582</x:v>
      </x:c>
      <x:c r="M410" s="12" t="n">
        <x:f>'全部组合'!W185/$D410</x:f>
        <x:v>0.021792561035556282</x:v>
      </x:c>
      <x:c r="N410" s="13" t="n">
        <x:f>'全部组合'!X185/$D410</x:f>
        <x:v>0</x:v>
      </x:c>
    </x:row>
    <x:row r="411" ht="23" customHeight="1">
      <x:c r="A411" s="10" t="str">
        <x:v>M8</x:v>
      </x:c>
      <x:c r="B411" s="10" t="str">
        <x:v>NCG_H0</x:v>
      </x:c>
      <x:c r="C411" s="9" t="str">
        <x:v>源三角形</x:v>
      </x:c>
      <x:c r="D411" s="11" t="n">
        <x:f>'全部组合'!I185</x:f>
        <x:v>20703307</x:v>
      </x:c>
      <x:c r="E411" s="12" t="n">
        <x:f>'全部组合'!Y185/$D411</x:f>
        <x:v>0.000762486881926641</x:v>
      </x:c>
      <x:c r="F411" s="12" t="n">
        <x:f>'全部组合'!Z185/$D411</x:f>
        <x:v>0.07256125796714506</x:v>
      </x:c>
      <x:c r="G411" s="12" t="n">
        <x:f>'全部组合'!AA185/$D411</x:f>
        <x:v>0.31970462496643653</x:v>
      </x:c>
      <x:c r="H411" s="12" t="n">
        <x:f>'全部组合'!AB185/$D411</x:f>
        <x:v>0.1355854888303593</x:v>
      </x:c>
      <x:c r="I411" s="12" t="n">
        <x:f>'全部组合'!AC185/$D411</x:f>
        <x:v>0.10737105912596476</x:v>
      </x:c>
      <x:c r="J411" s="12" t="n">
        <x:f>'全部组合'!AD185/$D411</x:f>
        <x:v>0.04516959536947406</x:v>
      </x:c>
      <x:c r="K411" s="12" t="n">
        <x:f>'全部组合'!AE185/$D411</x:f>
        <x:v>0.01566846301414552</x:v>
      </x:c>
      <x:c r="L411" s="12" t="n">
        <x:f>'全部组合'!AF185/$D411</x:f>
        <x:v>0.22986583737564245</x:v>
      </x:c>
      <x:c r="M411" s="12" t="n">
        <x:f>'全部组合'!AG185/$D411</x:f>
        <x:v>0.07331118646890566</x:v>
      </x:c>
      <x:c r="N411" s="13" t="n">
        <x:f>'全部组合'!AH185/$D411</x:f>
        <x:v>0</x:v>
      </x:c>
    </x:row>
    <x:row r="412" ht="23" customHeight="1">
      <x:c r="A412" s="10" t="str">
        <x:v>M8</x:v>
      </x:c>
      <x:c r="B412" s="10" t="str">
        <x:v>NCG_HT</x:v>
      </x:c>
      <x:c r="C412" s="9" t="str">
        <x:v>节点</x:v>
      </x:c>
      <x:c r="D412" s="11" t="n">
        <x:f>'全部组合'!D186</x:f>
        <x:v>6103</x:v>
      </x:c>
      <x:c r="E412" s="12" t="n">
        <x:f>'全部组合'!O186/$D412</x:f>
        <x:v>0.0039324922169424875</x:v>
      </x:c>
      <x:c r="F412" s="12" t="n">
        <x:f>'全部组合'!P186/$D412</x:f>
        <x:v>0.1576273963624447</x:v>
      </x:c>
      <x:c r="G412" s="12" t="n">
        <x:f>'全部组合'!Q186/$D412</x:f>
        <x:v>0.5723414714075045</x:v>
      </x:c>
      <x:c r="H412" s="12" t="n">
        <x:f>'全部组合'!R186/$D412</x:f>
        <x:v>0.14238898902179256</x:v>
      </x:c>
      <x:c r="I412" s="12" t="n">
        <x:f>'全部组合'!S186/$D412</x:f>
        <x:v>0.04653449123381943</x:v>
      </x:c>
      <x:c r="J412" s="12" t="n">
        <x:f>'全部组合'!T186/$D412</x:f>
        <x:v>0.015893822710142554</x:v>
      </x:c>
      <x:c r="K412" s="12" t="n">
        <x:f>'全部组合'!U186/$D412</x:f>
        <x:v>0.013272161232180895</x:v>
      </x:c>
      <x:c r="L412" s="12" t="n">
        <x:f>'全部组合'!V186/$D412</x:f>
        <x:v>0.026216614779616582</x:v>
      </x:c>
      <x:c r="M412" s="12" t="n">
        <x:f>'全部组合'!W186/$D412</x:f>
        <x:v>0.021792561035556282</x:v>
      </x:c>
      <x:c r="N412" s="13" t="n">
        <x:f>'全部组合'!X186/$D412</x:f>
        <x:v>0</x:v>
      </x:c>
    </x:row>
    <x:row r="413" ht="23" customHeight="1">
      <x:c r="A413" s="10" t="str">
        <x:v>M8</x:v>
      </x:c>
      <x:c r="B413" s="10" t="str">
        <x:v>NCG_HT</x:v>
      </x:c>
      <x:c r="C413" s="9" t="str">
        <x:v>源三角形</x:v>
      </x:c>
      <x:c r="D413" s="11" t="n">
        <x:f>'全部组合'!I186</x:f>
        <x:v>20703307</x:v>
      </x:c>
      <x:c r="E413" s="12" t="n">
        <x:f>'全部组合'!Y186/$D413</x:f>
        <x:v>0.000762486881926641</x:v>
      </x:c>
      <x:c r="F413" s="12" t="n">
        <x:f>'全部组合'!Z186/$D413</x:f>
        <x:v>0.04600946119380831</x:v>
      </x:c>
      <x:c r="G413" s="12" t="n">
        <x:f>'全部组合'!AA186/$D413</x:f>
        <x:v>0.3226223230907024</x:v>
      </x:c>
      <x:c r="H413" s="12" t="n">
        <x:f>'全部组合'!AB186/$D413</x:f>
        <x:v>0.1478856010781273</x:v>
      </x:c>
      <x:c r="I413" s="12" t="n">
        <x:f>'全部组合'!AC186/$D413</x:f>
        <x:v>0.11266378844693749</x:v>
      </x:c>
      <x:c r="J413" s="12" t="n">
        <x:f>'全部组合'!AD186/$D413</x:f>
        <x:v>0.05121085244980428</x:v>
      </x:c>
      <x:c r="K413" s="12" t="n">
        <x:f>'全部组合'!AE186/$D413</x:f>
        <x:v>0.01566846301414552</x:v>
      </x:c>
      <x:c r="L413" s="12" t="n">
        <x:f>'全部组合'!AF186/$D413</x:f>
        <x:v>0.22986583737564245</x:v>
      </x:c>
      <x:c r="M413" s="12" t="n">
        <x:f>'全部组合'!AG186/$D413</x:f>
        <x:v>0.07331118646890566</x:v>
      </x:c>
      <x:c r="N413" s="13" t="n">
        <x:f>'全部组合'!AH186/$D413</x:f>
        <x:v>0</x:v>
      </x:c>
    </x:row>
    <x:row r="414" ht="23" customHeight="1">
      <x:c r="A414" s="10" t="str">
        <x:v>M8</x:v>
      </x:c>
      <x:c r="B414" s="10" t="str">
        <x:v>NCG_H1</x:v>
      </x:c>
      <x:c r="C414" s="9" t="str">
        <x:v>节点</x:v>
      </x:c>
      <x:c r="D414" s="11" t="n">
        <x:f>'全部组合'!D187</x:f>
        <x:v>6103</x:v>
      </x:c>
      <x:c r="E414" s="12" t="n">
        <x:f>'全部组合'!O187/$D414</x:f>
        <x:v>0.0039324922169424875</x:v>
      </x:c>
      <x:c r="F414" s="12" t="n">
        <x:f>'全部组合'!P187/$D414</x:f>
        <x:v>0.15697198099295429</x:v>
      </x:c>
      <x:c r="G414" s="12" t="n">
        <x:f>'全部组合'!Q187/$D414</x:f>
        <x:v>0.5652957561854826</x:v>
      </x:c>
      <x:c r="H414" s="12" t="n">
        <x:f>'全部组合'!R187/$D414</x:f>
        <x:v>0.14238898902179256</x:v>
      </x:c>
      <x:c r="I414" s="12" t="n">
        <x:f>'全部组合'!S187/$D414</x:f>
        <x:v>0.045715222021956416</x:v>
      </x:c>
      <x:c r="J414" s="12" t="n">
        <x:f>'全部组合'!T187/$D414</x:f>
        <x:v>0.021956414877928886</x:v>
      </x:c>
      <x:c r="K414" s="12" t="n">
        <x:f>'全部组合'!U187/$D414</x:f>
        <x:v>0.01572996886776995</x:v>
      </x:c>
      <x:c r="L414" s="12" t="n">
        <x:f>'全部组合'!V187/$D414</x:f>
        <x:v>0.026216614779616582</x:v>
      </x:c>
      <x:c r="M414" s="12" t="n">
        <x:f>'全部组合'!W187/$D414</x:f>
        <x:v>0.021792561035556282</x:v>
      </x:c>
      <x:c r="N414" s="13" t="n">
        <x:f>'全部组合'!X187/$D414</x:f>
        <x:v>0</x:v>
      </x:c>
    </x:row>
    <x:row r="415" ht="23" customHeight="1">
      <x:c r="A415" s="10" t="str">
        <x:v>M8</x:v>
      </x:c>
      <x:c r="B415" s="10" t="str">
        <x:v>NCG_H1</x:v>
      </x:c>
      <x:c r="C415" s="9" t="str">
        <x:v>源三角形</x:v>
      </x:c>
      <x:c r="D415" s="11" t="n">
        <x:f>'全部组合'!I187</x:f>
        <x:v>20703307</x:v>
      </x:c>
      <x:c r="E415" s="12" t="n">
        <x:f>'全部组合'!Y187/$D415</x:f>
        <x:v>0.000762486881926641</x:v>
      </x:c>
      <x:c r="F415" s="12" t="n">
        <x:f>'全部组合'!Z187/$D415</x:f>
        <x:v>0.0459236777969819</x:v>
      </x:c>
      <x:c r="G415" s="12" t="n">
        <x:f>'全部组合'!AA187/$D415</x:f>
        <x:v>0.31868295243846795</x:v>
      </x:c>
      <x:c r="H415" s="12" t="n">
        <x:f>'全部组合'!AB187/$D415</x:f>
        <x:v>0.1478856010781273</x:v>
      </x:c>
      <x:c r="I415" s="12" t="n">
        <x:f>'全部组合'!AC187/$D415</x:f>
        <x:v>0.10793806999046095</x:v>
      </x:c>
      <x:c r="J415" s="12" t="n">
        <x:f>'全部组合'!AD187/$D415</x:f>
        <x:v>0.05878452171916303</x:v>
      </x:c>
      <x:c r="K415" s="12" t="n">
        <x:f>'全部组合'!AE187/$D415</x:f>
        <x:v>0.016845666250324163</x:v>
      </x:c>
      <x:c r="L415" s="12" t="n">
        <x:f>'全部组合'!AF187/$D415</x:f>
        <x:v>0.22986583737564245</x:v>
      </x:c>
      <x:c r="M415" s="12" t="n">
        <x:f>'全部组合'!AG187/$D415</x:f>
        <x:v>0.07331118646890566</x:v>
      </x:c>
      <x:c r="N415" s="13" t="n">
        <x:f>'全部组合'!AH187/$D415</x:f>
        <x:v>0</x:v>
      </x:c>
    </x:row>
    <x:row r="416" ht="23" customHeight="1">
      <x:c r="A416" s="10" t="str">
        <x:v>M8</x:v>
      </x:c>
      <x:c r="B416" s="10" t="str">
        <x:v>NCG_H0_M1</x:v>
      </x:c>
      <x:c r="C416" s="9" t="str">
        <x:v>节点</x:v>
      </x:c>
      <x:c r="D416" s="11" t="n">
        <x:f>'全部组合'!D188</x:f>
        <x:v>6103</x:v>
      </x:c>
      <x:c r="E416" s="12" t="n">
        <x:f>'全部组合'!O188/$D416</x:f>
        <x:v>0.007373422906767164</x:v>
      </x:c>
      <x:c r="F416" s="12" t="n">
        <x:f>'全部组合'!P188/$D416</x:f>
        <x:v>0.20580042601999016</x:v>
      </x:c>
      <x:c r="G416" s="12" t="n">
        <x:f>'全部组合'!Q188/$D416</x:f>
        <x:v>0.5110601343601507</x:v>
      </x:c>
      <x:c r="H416" s="12" t="n">
        <x:f>'全部组合'!R188/$D416</x:f>
        <x:v>0.12223496640996231</x:v>
      </x:c>
      <x:c r="I416" s="12" t="n">
        <x:f>'全部组合'!S188/$D416</x:f>
        <x:v>0.03916106832705227</x:v>
      </x:c>
      <x:c r="J416" s="12" t="n">
        <x:f>'全部组合'!T188/$D416</x:f>
        <x:v>0.01441913812878912</x:v>
      </x:c>
      <x:c r="K416" s="12" t="n">
        <x:f>'全部组合'!U188/$D416</x:f>
        <x:v>0.014255284286416517</x:v>
      </x:c>
      <x:c r="L416" s="12" t="n">
        <x:f>'全部组合'!V188/$D416</x:f>
        <x:v>0.03244306078977552</x:v>
      </x:c>
      <x:c r="M416" s="12" t="n">
        <x:f>'全部组合'!W188/$D416</x:f>
        <x:v>0.05161396034737015</x:v>
      </x:c>
      <x:c r="N416" s="13" t="n">
        <x:f>'全部组合'!X188/$D416</x:f>
        <x:v>0.0016385384237260364</x:v>
      </x:c>
    </x:row>
    <x:row r="417" ht="23" customHeight="1">
      <x:c r="A417" s="10" t="str">
        <x:v>M8</x:v>
      </x:c>
      <x:c r="B417" s="10" t="str">
        <x:v>NCG_H0_M1</x:v>
      </x:c>
      <x:c r="C417" s="9" t="str">
        <x:v>源三角形</x:v>
      </x:c>
      <x:c r="D417" s="11" t="n">
        <x:f>'全部组合'!I188</x:f>
        <x:v>20703307</x:v>
      </x:c>
      <x:c r="E417" s="12" t="n">
        <x:f>'全部组合'!Y188/$D417</x:f>
        <x:v>0.0016009036623955777</x:v>
      </x:c>
      <x:c r="F417" s="12" t="n">
        <x:f>'全部组合'!Z188/$D417</x:f>
        <x:v>0.07107115785898359</x:v>
      </x:c>
      <x:c r="G417" s="12" t="n">
        <x:f>'全部组合'!AA188/$D417</x:f>
        <x:v>0.29395753055296914</x:v>
      </x:c>
      <x:c r="H417" s="12" t="n">
        <x:f>'全部组合'!AB188/$D417</x:f>
        <x:v>0.1348938118919842</x:v>
      </x:c>
      <x:c r="I417" s="12" t="n">
        <x:f>'全部组合'!AC188/$D417</x:f>
        <x:v>0.057160626560771186</x:v>
      </x:c>
      <x:c r="J417" s="12" t="n">
        <x:f>'全部组合'!AD188/$D417</x:f>
        <x:v>0.03947939331624653</x:v>
      </x:c>
      <x:c r="K417" s="12" t="n">
        <x:f>'全部组合'!AE188/$D417</x:f>
        <x:v>0.015888621078748433</x:v>
      </x:c>
      <x:c r="L417" s="12" t="n">
        <x:f>'全部组合'!AF188/$D417</x:f>
        <x:v>0.27902571313848556</x:v>
      </x:c>
      <x:c r="M417" s="12" t="n">
        <x:f>'全部组合'!AG188/$D417</x:f>
        <x:v>0.0968038584367222</x:v>
      </x:c>
      <x:c r="N417" s="13" t="n">
        <x:f>'全部组合'!AH188/$D417</x:f>
        <x:v>0.010118383502693555</x:v>
      </x:c>
    </x:row>
    <x:row r="418" ht="23" customHeight="1">
      <x:c r="A418" s="10" t="str">
        <x:v>M8</x:v>
      </x:c>
      <x:c r="B418" s="10" t="str">
        <x:v>NCG_H1_M1</x:v>
      </x:c>
      <x:c r="C418" s="9" t="str">
        <x:v>节点</x:v>
      </x:c>
      <x:c r="D418" s="11" t="n">
        <x:f>'全部组合'!D189</x:f>
        <x:v>6103</x:v>
      </x:c>
      <x:c r="E418" s="12" t="n">
        <x:f>'全部组合'!O189/$D418</x:f>
        <x:v>0.007373422906767164</x:v>
      </x:c>
      <x:c r="F418" s="12" t="n">
        <x:f>'全部组合'!P189/$D418</x:f>
        <x:v>0.1486154350319515</x:v>
      </x:c>
      <x:c r="G418" s="12" t="n">
        <x:f>'全部组合'!Q189/$D418</x:f>
        <x:v>0.5380960183516303</x:v>
      </x:c>
      <x:c r="H418" s="12" t="n">
        <x:f>'全部组合'!R189/$D418</x:f>
        <x:v>0.13780108143535966</x:v>
      </x:c>
      <x:c r="I418" s="12" t="n">
        <x:f>'全部组合'!S189/$D418</x:f>
        <x:v>0.043585122071112564</x:v>
      </x:c>
      <x:c r="J418" s="12" t="n">
        <x:f>'全部组合'!T189/$D418</x:f>
        <x:v>0.022775684089791904</x:v>
      </x:c>
      <x:c r="K418" s="12" t="n">
        <x:f>'全部组合'!U189/$D418</x:f>
        <x:v>0.016057676552515155</x:v>
      </x:c>
      <x:c r="L418" s="12" t="n">
        <x:f>'全部组合'!V189/$D418</x:f>
        <x:v>0.03244306078977552</x:v>
      </x:c>
      <x:c r="M418" s="12" t="n">
        <x:f>'全部组合'!W189/$D418</x:f>
        <x:v>0.05161396034737015</x:v>
      </x:c>
      <x:c r="N418" s="13" t="n">
        <x:f>'全部组合'!X189/$D418</x:f>
        <x:v>0.0016385384237260364</x:v>
      </x:c>
    </x:row>
    <x:row r="419" ht="23" customHeight="1">
      <x:c r="A419" s="10" t="str">
        <x:v>M8</x:v>
      </x:c>
      <x:c r="B419" s="10" t="str">
        <x:v>NCG_H1_M1</x:v>
      </x:c>
      <x:c r="C419" s="9" t="str">
        <x:v>源三角形</x:v>
      </x:c>
      <x:c r="D419" s="11" t="n">
        <x:f>'全部组合'!I189</x:f>
        <x:v>20703307</x:v>
      </x:c>
      <x:c r="E419" s="12" t="n">
        <x:f>'全部组合'!Y189/$D419</x:f>
        <x:v>0.0016009036623955777</x:v>
      </x:c>
      <x:c r="F419" s="12" t="n">
        <x:f>'全部组合'!Z189/$D419</x:f>
        <x:v>0.04447260527025948</x:v>
      </x:c>
      <x:c r="G419" s="12" t="n">
        <x:f>'全部组合'!AA189/$D419</x:f>
        <x:v>0.29372954765149356</x:v>
      </x:c>
      <x:c r="H419" s="12" t="n">
        <x:f>'全部组合'!AB189/$D419</x:f>
        <x:v>0.146382459575178</x:v>
      </x:c>
      <x:c r="I419" s="12" t="n">
        <x:f>'全部组合'!AC189/$D419</x:f>
        <x:v>0.057727637425267375</x:v>
      </x:c>
      <x:c r="J419" s="12" t="n">
        <x:f>'全部组合'!AD189/$D419</x:f>
        <x:v>0.05362756780836994</x:v>
      </x:c>
      <x:c r="K419" s="12" t="n">
        <x:f>'全部组合'!AE189/$D419</x:f>
        <x:v>0.01651132352913474</x:v>
      </x:c>
      <x:c r="L419" s="12" t="n">
        <x:f>'全部组合'!AF189/$D419</x:f>
        <x:v>0.27902571313848556</x:v>
      </x:c>
      <x:c r="M419" s="12" t="n">
        <x:f>'全部组合'!AG189/$D419</x:f>
        <x:v>0.0968038584367222</x:v>
      </x:c>
      <x:c r="N419" s="13" t="n">
        <x:f>'全部组合'!AH189/$D419</x:f>
        <x:v>0.010118383502693555</x:v>
      </x:c>
    </x:row>
    <x:row r="420" ht="23" customHeight="1">
      <x:c r="A420" s="10" t="str">
        <x:v>M9</x:v>
      </x:c>
      <x:c r="B420" s="10" t="str">
        <x:v>N_H0</x:v>
      </x:c>
      <x:c r="C420" s="9" t="str">
        <x:v>节点</x:v>
      </x:c>
      <x:c r="D420" s="11" t="n">
        <x:f>'全部组合'!D190</x:f>
        <x:v>3118</x:v>
      </x:c>
      <x:c r="E420" s="12" t="n">
        <x:f>'全部组合'!O190/$D420</x:f>
        <x:v>0</x:v>
      </x:c>
      <x:c r="F420" s="12" t="n">
        <x:f>'全部组合'!P190/$D420</x:f>
        <x:v>0.07248236048749199</x:v>
      </x:c>
      <x:c r="G420" s="12" t="n">
        <x:f>'全部组合'!Q190/$D420</x:f>
        <x:v>0.011866581141757537</x:v>
      </x:c>
      <x:c r="H420" s="12" t="n">
        <x:f>'全部组合'!R190/$D420</x:f>
        <x:v>0</x:v>
      </x:c>
      <x:c r="I420" s="12" t="n">
        <x:f>'全部组合'!S190/$D420</x:f>
        <x:v>0.7023733162283515</x:v>
      </x:c>
      <x:c r="J420" s="12" t="n">
        <x:f>'全部组合'!T190/$D420</x:f>
        <x:v>0.005452212957023733</x:v>
      </x:c>
      <x:c r="K420" s="12" t="n">
        <x:f>'全部组合'!U190/$D420</x:f>
        <x:v>0.12796664528543938</x:v>
      </x:c>
      <x:c r="L420" s="12" t="n">
        <x:f>'全部组合'!V190/$D420</x:f>
        <x:v>0.024374599101988453</x:v>
      </x:c>
      <x:c r="M420" s="12" t="n">
        <x:f>'全部组合'!W190/$D420</x:f>
        <x:v>0.055484284797947404</x:v>
      </x:c>
      <x:c r="N420" s="13" t="n">
        <x:f>'全部组合'!X190/$D420</x:f>
        <x:v>0</x:v>
      </x:c>
    </x:row>
    <x:row r="421" ht="23" customHeight="1">
      <x:c r="A421" s="10" t="str">
        <x:v>M9</x:v>
      </x:c>
      <x:c r="B421" s="10" t="str">
        <x:v>N_H0</x:v>
      </x:c>
      <x:c r="C421" s="9" t="str">
        <x:v>源三角形</x:v>
      </x:c>
      <x:c r="D421" s="11" t="n">
        <x:f>'全部组合'!I190</x:f>
        <x:v>23921390</x:v>
      </x:c>
      <x:c r="E421" s="12" t="n">
        <x:f>'全部组合'!Y190/$D421</x:f>
        <x:v>0</x:v>
      </x:c>
      <x:c r="F421" s="12" t="n">
        <x:f>'全部组合'!Z190/$D421</x:f>
        <x:v>0.021641969801922047</x:v>
      </x:c>
      <x:c r="G421" s="12" t="n">
        <x:f>'全部组合'!AA190/$D421</x:f>
        <x:v>0.0026437426922097753</x:v>
      </x:c>
      <x:c r="H421" s="12" t="n">
        <x:f>'全部组合'!AB190/$D421</x:f>
        <x:v>0</x:v>
      </x:c>
      <x:c r="I421" s="12" t="n">
        <x:f>'全部组合'!AC190/$D421</x:f>
        <x:v>0.5467665131499465</x:v>
      </x:c>
      <x:c r="J421" s="12" t="n">
        <x:f>'全部组合'!AD190/$D421</x:f>
        <x:v>0.008397170900185984</x:v>
      </x:c>
      <x:c r="K421" s="12" t="n">
        <x:f>'全部组合'!AE190/$D421</x:f>
        <x:v>0.1194518378739697</x:v>
      </x:c>
      <x:c r="L421" s="12" t="n">
        <x:f>'全部组合'!AF190/$D421</x:f>
        <x:v>0.1867365148931563</x:v>
      </x:c>
      <x:c r="M421" s="12" t="n">
        <x:f>'全部组合'!AG190/$D421</x:f>
        <x:v>0.11436225068860965</x:v>
      </x:c>
      <x:c r="N421" s="13" t="n">
        <x:f>'全部组合'!AH190/$D421</x:f>
        <x:v>0</x:v>
      </x:c>
    </x:row>
    <x:row r="422" ht="23" customHeight="1">
      <x:c r="A422" s="10" t="str">
        <x:v>M9</x:v>
      </x:c>
      <x:c r="B422" s="10" t="str">
        <x:v>N_HT</x:v>
      </x:c>
      <x:c r="C422" s="9" t="str">
        <x:v>节点</x:v>
      </x:c>
      <x:c r="D422" s="11" t="n">
        <x:f>'全部组合'!D191</x:f>
        <x:v>3118</x:v>
      </x:c>
      <x:c r="E422" s="12" t="n">
        <x:f>'全部组合'!O191/$D422</x:f>
        <x:v>0</x:v>
      </x:c>
      <x:c r="F422" s="12" t="n">
        <x:f>'全部组合'!P191/$D422</x:f>
        <x:v>0.07248236048749199</x:v>
      </x:c>
      <x:c r="G422" s="12" t="n">
        <x:f>'全部组合'!Q191/$D422</x:f>
        <x:v>0.011866581141757537</x:v>
      </x:c>
      <x:c r="H422" s="12" t="n">
        <x:f>'全部组合'!R191/$D422</x:f>
        <x:v>0</x:v>
      </x:c>
      <x:c r="I422" s="12" t="n">
        <x:f>'全部组合'!S191/$D422</x:f>
        <x:v>0.7023733162283515</x:v>
      </x:c>
      <x:c r="J422" s="12" t="n">
        <x:f>'全部组合'!T191/$D422</x:f>
        <x:v>0.005452212957023733</x:v>
      </x:c>
      <x:c r="K422" s="12" t="n">
        <x:f>'全部组合'!U191/$D422</x:f>
        <x:v>0.12796664528543938</x:v>
      </x:c>
      <x:c r="L422" s="12" t="n">
        <x:f>'全部组合'!V191/$D422</x:f>
        <x:v>0.024374599101988453</x:v>
      </x:c>
      <x:c r="M422" s="12" t="n">
        <x:f>'全部组合'!W191/$D422</x:f>
        <x:v>0.055484284797947404</x:v>
      </x:c>
      <x:c r="N422" s="13" t="n">
        <x:f>'全部组合'!X191/$D422</x:f>
        <x:v>0</x:v>
      </x:c>
    </x:row>
    <x:row r="423" ht="23" customHeight="1">
      <x:c r="A423" s="10" t="str">
        <x:v>M9</x:v>
      </x:c>
      <x:c r="B423" s="10" t="str">
        <x:v>N_HT</x:v>
      </x:c>
      <x:c r="C423" s="9" t="str">
        <x:v>源三角形</x:v>
      </x:c>
      <x:c r="D423" s="11" t="n">
        <x:f>'全部组合'!I191</x:f>
        <x:v>23921390</x:v>
      </x:c>
      <x:c r="E423" s="12" t="n">
        <x:f>'全部组合'!Y191/$D423</x:f>
        <x:v>0</x:v>
      </x:c>
      <x:c r="F423" s="12" t="n">
        <x:f>'全部组合'!Z191/$D423</x:f>
        <x:v>0.021641969801922047</x:v>
      </x:c>
      <x:c r="G423" s="12" t="n">
        <x:f>'全部组合'!AA191/$D423</x:f>
        <x:v>0.0026437426922097753</x:v>
      </x:c>
      <x:c r="H423" s="12" t="n">
        <x:f>'全部组合'!AB191/$D423</x:f>
        <x:v>0</x:v>
      </x:c>
      <x:c r="I423" s="12" t="n">
        <x:f>'全部组合'!AC191/$D423</x:f>
        <x:v>0.5467665131499465</x:v>
      </x:c>
      <x:c r="J423" s="12" t="n">
        <x:f>'全部组合'!AD191/$D423</x:f>
        <x:v>0.008397170900185984</x:v>
      </x:c>
      <x:c r="K423" s="12" t="n">
        <x:f>'全部组合'!AE191/$D423</x:f>
        <x:v>0.1194518378739697</x:v>
      </x:c>
      <x:c r="L423" s="12" t="n">
        <x:f>'全部组合'!AF191/$D423</x:f>
        <x:v>0.1867365148931563</x:v>
      </x:c>
      <x:c r="M423" s="12" t="n">
        <x:f>'全部组合'!AG191/$D423</x:f>
        <x:v>0.11436225068860965</x:v>
      </x:c>
      <x:c r="N423" s="13" t="n">
        <x:f>'全部组合'!AH191/$D423</x:f>
        <x:v>0</x:v>
      </x:c>
    </x:row>
    <x:row r="424" ht="23" customHeight="1">
      <x:c r="A424" s="10" t="str">
        <x:v>M9</x:v>
      </x:c>
      <x:c r="B424" s="10" t="str">
        <x:v>N_H1</x:v>
      </x:c>
      <x:c r="C424" s="9" t="str">
        <x:v>节点</x:v>
      </x:c>
      <x:c r="D424" s="11" t="n">
        <x:f>'全部组合'!D192</x:f>
        <x:v>3118</x:v>
      </x:c>
      <x:c r="E424" s="12" t="n">
        <x:f>'全部组合'!O192/$D424</x:f>
        <x:v>0</x:v>
      </x:c>
      <x:c r="F424" s="12" t="n">
        <x:f>'全部组合'!P192/$D424</x:f>
        <x:v>0.07248236048749199</x:v>
      </x:c>
      <x:c r="G424" s="12" t="n">
        <x:f>'全部组合'!Q192/$D424</x:f>
        <x:v>0.010262989095574085</x:v>
      </x:c>
      <x:c r="H424" s="12" t="n">
        <x:f>'全部组合'!R192/$D424</x:f>
        <x:v>0</x:v>
      </x:c>
      <x:c r="I424" s="12" t="n">
        <x:f>'全部组合'!S192/$D424</x:f>
        <x:v>0.7023733162283515</x:v>
      </x:c>
      <x:c r="J424" s="12" t="n">
        <x:f>'全部组合'!T192/$D424</x:f>
        <x:v>0.007055805003207184</x:v>
      </x:c>
      <x:c r="K424" s="12" t="n">
        <x:f>'全部组合'!U192/$D424</x:f>
        <x:v>0.12796664528543938</x:v>
      </x:c>
      <x:c r="L424" s="12" t="n">
        <x:f>'全部组合'!V192/$D424</x:f>
        <x:v>0.024374599101988453</x:v>
      </x:c>
      <x:c r="M424" s="12" t="n">
        <x:f>'全部组合'!W192/$D424</x:f>
        <x:v>0.055484284797947404</x:v>
      </x:c>
      <x:c r="N424" s="13" t="n">
        <x:f>'全部组合'!X192/$D424</x:f>
        <x:v>0</x:v>
      </x:c>
    </x:row>
    <x:row r="425" ht="23" customHeight="1">
      <x:c r="A425" s="10" t="str">
        <x:v>M9</x:v>
      </x:c>
      <x:c r="B425" s="10" t="str">
        <x:v>N_H1</x:v>
      </x:c>
      <x:c r="C425" s="9" t="str">
        <x:v>源三角形</x:v>
      </x:c>
      <x:c r="D425" s="11" t="n">
        <x:f>'全部组合'!I192</x:f>
        <x:v>23921390</x:v>
      </x:c>
      <x:c r="E425" s="12" t="n">
        <x:f>'全部组合'!Y192/$D425</x:f>
        <x:v>0</x:v>
      </x:c>
      <x:c r="F425" s="12" t="n">
        <x:f>'全部组合'!Z192/$D425</x:f>
        <x:v>0.021641969801922047</x:v>
      </x:c>
      <x:c r="G425" s="12" t="n">
        <x:f>'全部组合'!AA192/$D425</x:f>
        <x:v>0.0009234413217626568</x:v>
      </x:c>
      <x:c r="H425" s="12" t="n">
        <x:f>'全部组合'!AB192/$D425</x:f>
        <x:v>0</x:v>
      </x:c>
      <x:c r="I425" s="12" t="n">
        <x:f>'全部组合'!AC192/$D425</x:f>
        <x:v>0.5467665131499465</x:v>
      </x:c>
      <x:c r="J425" s="12" t="n">
        <x:f>'全部组合'!AD192/$D425</x:f>
        <x:v>0.010117472270633103</x:v>
      </x:c>
      <x:c r="K425" s="12" t="n">
        <x:f>'全部组合'!AE192/$D425</x:f>
        <x:v>0.1194518378739697</x:v>
      </x:c>
      <x:c r="L425" s="12" t="n">
        <x:f>'全部组合'!AF192/$D425</x:f>
        <x:v>0.1867365148931563</x:v>
      </x:c>
      <x:c r="M425" s="12" t="n">
        <x:f>'全部组合'!AG192/$D425</x:f>
        <x:v>0.11436225068860965</x:v>
      </x:c>
      <x:c r="N425" s="13" t="n">
        <x:f>'全部组合'!AH192/$D425</x:f>
        <x:v>0</x:v>
      </x:c>
    </x:row>
    <x:row r="426" ht="23" customHeight="1">
      <x:c r="A426" s="10" t="str">
        <x:v>M9</x:v>
      </x:c>
      <x:c r="B426" s="10" t="str">
        <x:v>C_H0</x:v>
      </x:c>
      <x:c r="C426" s="9" t="str">
        <x:v>节点</x:v>
      </x:c>
      <x:c r="D426" s="11" t="n">
        <x:f>'全部组合'!D193</x:f>
        <x:v>3118</x:v>
      </x:c>
      <x:c r="E426" s="12" t="n">
        <x:f>'全部组合'!O193/$D426</x:f>
        <x:v>0</x:v>
      </x:c>
      <x:c r="F426" s="12" t="n">
        <x:f>'全部组合'!P193/$D426</x:f>
        <x:v>0.2450288646568313</x:v>
      </x:c>
      <x:c r="G426" s="12" t="n">
        <x:f>'全部组合'!Q193/$D426</x:f>
        <x:v>0</x:v>
      </x:c>
      <x:c r="H426" s="12" t="n">
        <x:f>'全部组合'!R193/$D426</x:f>
        <x:v>0</x:v>
      </x:c>
      <x:c r="I426" s="12" t="n">
        <x:f>'全部组合'!S193/$D426</x:f>
        <x:v>0.7520846696600385</x:v>
      </x:c>
      <x:c r="J426" s="12" t="n">
        <x:f>'全部组合'!T193/$D426</x:f>
        <x:v>0</x:v>
      </x:c>
      <x:c r="K426" s="12" t="n">
        <x:f>'全部组合'!U193/$D426</x:f>
        <x:v>0.0028864656831302116</x:v>
      </x:c>
      <x:c r="L426" s="12" t="n">
        <x:f>'全部组合'!V193/$D426</x:f>
        <x:v>0</x:v>
      </x:c>
      <x:c r="M426" s="12" t="n">
        <x:f>'全部组合'!W193/$D426</x:f>
        <x:v>0</x:v>
      </x:c>
      <x:c r="N426" s="13" t="n">
        <x:f>'全部组合'!X193/$D426</x:f>
        <x:v>0</x:v>
      </x:c>
    </x:row>
    <x:row r="427" ht="23" customHeight="1">
      <x:c r="A427" s="10" t="str">
        <x:v>M9</x:v>
      </x:c>
      <x:c r="B427" s="10" t="str">
        <x:v>C_H0</x:v>
      </x:c>
      <x:c r="C427" s="9" t="str">
        <x:v>源三角形</x:v>
      </x:c>
      <x:c r="D427" s="11" t="n">
        <x:f>'全部组合'!I193</x:f>
        <x:v>23921390</x:v>
      </x:c>
      <x:c r="E427" s="12" t="n">
        <x:f>'全部组合'!Y193/$D427</x:f>
        <x:v>0</x:v>
      </x:c>
      <x:c r="F427" s="12" t="n">
        <x:f>'全部组合'!Z193/$D427</x:f>
        <x:v>0.1294018031560875</x:v>
      </x:c>
      <x:c r="G427" s="12" t="n">
        <x:f>'全部组合'!AA193/$D427</x:f>
        <x:v>0</x:v>
      </x:c>
      <x:c r="H427" s="12" t="n">
        <x:f>'全部组合'!AB193/$D427</x:f>
        <x:v>0</x:v>
      </x:c>
      <x:c r="I427" s="12" t="n">
        <x:f>'全部组合'!AC193/$D427</x:f>
        <x:v>0.8681331226989736</x:v>
      </x:c>
      <x:c r="J427" s="12" t="n">
        <x:f>'全部组合'!AD193/$D427</x:f>
        <x:v>0</x:v>
      </x:c>
      <x:c r="K427" s="12" t="n">
        <x:f>'全部组合'!AE193/$D427</x:f>
        <x:v>0.002465074144938902</x:v>
      </x:c>
      <x:c r="L427" s="12" t="n">
        <x:f>'全部组合'!AF193/$D427</x:f>
        <x:v>0</x:v>
      </x:c>
      <x:c r="M427" s="12" t="n">
        <x:f>'全部组合'!AG193/$D427</x:f>
        <x:v>0</x:v>
      </x:c>
      <x:c r="N427" s="13" t="n">
        <x:f>'全部组合'!AH193/$D427</x:f>
        <x:v>0</x:v>
      </x:c>
    </x:row>
    <x:row r="428" ht="23" customHeight="1">
      <x:c r="A428" s="10" t="str">
        <x:v>M9</x:v>
      </x:c>
      <x:c r="B428" s="10" t="str">
        <x:v>C_HT</x:v>
      </x:c>
      <x:c r="C428" s="9" t="str">
        <x:v>节点</x:v>
      </x:c>
      <x:c r="D428" s="11" t="n">
        <x:f>'全部组合'!D194</x:f>
        <x:v>3118</x:v>
      </x:c>
      <x:c r="E428" s="12" t="n">
        <x:f>'全部组合'!O194/$D428</x:f>
        <x:v>0</x:v>
      </x:c>
      <x:c r="F428" s="12" t="n">
        <x:f>'全部组合'!P194/$D428</x:f>
        <x:v>0.2450288646568313</x:v>
      </x:c>
      <x:c r="G428" s="12" t="n">
        <x:f>'全部组合'!Q194/$D428</x:f>
        <x:v>0</x:v>
      </x:c>
      <x:c r="H428" s="12" t="n">
        <x:f>'全部组合'!R194/$D428</x:f>
        <x:v>0</x:v>
      </x:c>
      <x:c r="I428" s="12" t="n">
        <x:f>'全部组合'!S194/$D428</x:f>
        <x:v>0.7520846696600385</x:v>
      </x:c>
      <x:c r="J428" s="12" t="n">
        <x:f>'全部组合'!T194/$D428</x:f>
        <x:v>0</x:v>
      </x:c>
      <x:c r="K428" s="12" t="n">
        <x:f>'全部组合'!U194/$D428</x:f>
        <x:v>0.0028864656831302116</x:v>
      </x:c>
      <x:c r="L428" s="12" t="n">
        <x:f>'全部组合'!V194/$D428</x:f>
        <x:v>0</x:v>
      </x:c>
      <x:c r="M428" s="12" t="n">
        <x:f>'全部组合'!W194/$D428</x:f>
        <x:v>0</x:v>
      </x:c>
      <x:c r="N428" s="13" t="n">
        <x:f>'全部组合'!X194/$D428</x:f>
        <x:v>0</x:v>
      </x:c>
    </x:row>
    <x:row r="429" ht="23" customHeight="1">
      <x:c r="A429" s="10" t="str">
        <x:v>M9</x:v>
      </x:c>
      <x:c r="B429" s="10" t="str">
        <x:v>C_HT</x:v>
      </x:c>
      <x:c r="C429" s="9" t="str">
        <x:v>源三角形</x:v>
      </x:c>
      <x:c r="D429" s="11" t="n">
        <x:f>'全部组合'!I194</x:f>
        <x:v>23921390</x:v>
      </x:c>
      <x:c r="E429" s="12" t="n">
        <x:f>'全部组合'!Y194/$D429</x:f>
        <x:v>0</x:v>
      </x:c>
      <x:c r="F429" s="12" t="n">
        <x:f>'全部组合'!Z194/$D429</x:f>
        <x:v>0.1294018031560875</x:v>
      </x:c>
      <x:c r="G429" s="12" t="n">
        <x:f>'全部组合'!AA194/$D429</x:f>
        <x:v>0</x:v>
      </x:c>
      <x:c r="H429" s="12" t="n">
        <x:f>'全部组合'!AB194/$D429</x:f>
        <x:v>0</x:v>
      </x:c>
      <x:c r="I429" s="12" t="n">
        <x:f>'全部组合'!AC194/$D429</x:f>
        <x:v>0.8681331226989736</x:v>
      </x:c>
      <x:c r="J429" s="12" t="n">
        <x:f>'全部组合'!AD194/$D429</x:f>
        <x:v>0</x:v>
      </x:c>
      <x:c r="K429" s="12" t="n">
        <x:f>'全部组合'!AE194/$D429</x:f>
        <x:v>0.002465074144938902</x:v>
      </x:c>
      <x:c r="L429" s="12" t="n">
        <x:f>'全部组合'!AF194/$D429</x:f>
        <x:v>0</x:v>
      </x:c>
      <x:c r="M429" s="12" t="n">
        <x:f>'全部组合'!AG194/$D429</x:f>
        <x:v>0</x:v>
      </x:c>
      <x:c r="N429" s="13" t="n">
        <x:f>'全部组合'!AH194/$D429</x:f>
        <x:v>0</x:v>
      </x:c>
    </x:row>
    <x:row r="430" ht="23" customHeight="1">
      <x:c r="A430" s="10" t="str">
        <x:v>M9</x:v>
      </x:c>
      <x:c r="B430" s="10" t="str">
        <x:v>C_H1</x:v>
      </x:c>
      <x:c r="C430" s="9" t="str">
        <x:v>节点</x:v>
      </x:c>
      <x:c r="D430" s="11" t="n">
        <x:f>'全部组合'!D195</x:f>
        <x:v>3118</x:v>
      </x:c>
      <x:c r="E430" s="12" t="n">
        <x:f>'全部组合'!O195/$D430</x:f>
        <x:v>0</x:v>
      </x:c>
      <x:c r="F430" s="12" t="n">
        <x:f>'全部组合'!P195/$D430</x:f>
        <x:v>0.24246311738293777</x:v>
      </x:c>
      <x:c r="G430" s="12" t="n">
        <x:f>'全部组合'!Q195/$D430</x:f>
        <x:v>0</x:v>
      </x:c>
      <x:c r="H430" s="12" t="n">
        <x:f>'全部组合'!R195/$D430</x:f>
        <x:v>0</x:v>
      </x:c>
      <x:c r="I430" s="12" t="n">
        <x:f>'全部组合'!S195/$D430</x:f>
        <x:v>0.7520846696600385</x:v>
      </x:c>
      <x:c r="J430" s="12" t="n">
        <x:f>'全部组合'!T195/$D430</x:f>
        <x:v>0</x:v>
      </x:c>
      <x:c r="K430" s="12" t="n">
        <x:f>'全部组合'!U195/$D430</x:f>
        <x:v>0.005452212957023733</x:v>
      </x:c>
      <x:c r="L430" s="12" t="n">
        <x:f>'全部组合'!V195/$D430</x:f>
        <x:v>0</x:v>
      </x:c>
      <x:c r="M430" s="12" t="n">
        <x:f>'全部组合'!W195/$D430</x:f>
        <x:v>0</x:v>
      </x:c>
      <x:c r="N430" s="13" t="n">
        <x:f>'全部组合'!X195/$D430</x:f>
        <x:v>0</x:v>
      </x:c>
    </x:row>
    <x:row r="431" ht="23" customHeight="1">
      <x:c r="A431" s="10" t="str">
        <x:v>M9</x:v>
      </x:c>
      <x:c r="B431" s="10" t="str">
        <x:v>C_H1</x:v>
      </x:c>
      <x:c r="C431" s="9" t="str">
        <x:v>源三角形</x:v>
      </x:c>
      <x:c r="D431" s="11" t="n">
        <x:f>'全部组合'!I195</x:f>
        <x:v>23921390</x:v>
      </x:c>
      <x:c r="E431" s="12" t="n">
        <x:f>'全部组合'!Y195/$D431</x:f>
        <x:v>0</x:v>
      </x:c>
      <x:c r="F431" s="12" t="n">
        <x:f>'全部组合'!Z195/$D431</x:f>
        <x:v>0.12486226761906394</x:v>
      </x:c>
      <x:c r="G431" s="12" t="n">
        <x:f>'全部组合'!AA195/$D431</x:f>
        <x:v>0</x:v>
      </x:c>
      <x:c r="H431" s="12" t="n">
        <x:f>'全部组合'!AB195/$D431</x:f>
        <x:v>0</x:v>
      </x:c>
      <x:c r="I431" s="12" t="n">
        <x:f>'全部组合'!AC195/$D431</x:f>
        <x:v>0.8681331226989736</x:v>
      </x:c>
      <x:c r="J431" s="12" t="n">
        <x:f>'全部组合'!AD195/$D431</x:f>
        <x:v>0</x:v>
      </x:c>
      <x:c r="K431" s="12" t="n">
        <x:f>'全部组合'!AE195/$D431</x:f>
        <x:v>0.0070046096819624615</x:v>
      </x:c>
      <x:c r="L431" s="12" t="n">
        <x:f>'全部组合'!AF195/$D431</x:f>
        <x:v>0</x:v>
      </x:c>
      <x:c r="M431" s="12" t="n">
        <x:f>'全部组合'!AG195/$D431</x:f>
        <x:v>0</x:v>
      </x:c>
      <x:c r="N431" s="13" t="n">
        <x:f>'全部组合'!AH195/$D431</x:f>
        <x:v>0</x:v>
      </x:c>
    </x:row>
    <x:row r="432" ht="23" customHeight="1">
      <x:c r="A432" s="10" t="str">
        <x:v>M9</x:v>
      </x:c>
      <x:c r="B432" s="10" t="str">
        <x:v>G_H0</x:v>
      </x:c>
      <x:c r="C432" s="9" t="str">
        <x:v>节点</x:v>
      </x:c>
      <x:c r="D432" s="11" t="n">
        <x:f>'全部组合'!D196</x:f>
        <x:v>3118</x:v>
      </x:c>
      <x:c r="E432" s="12" t="n">
        <x:f>'全部组合'!O196/$D432</x:f>
        <x:v>0</x:v>
      </x:c>
      <x:c r="F432" s="12" t="n">
        <x:f>'全部组合'!P196/$D432</x:f>
        <x:v>0.08338678640153944</x:v>
      </x:c>
      <x:c r="G432" s="12" t="n">
        <x:f>'全部组合'!Q196/$D432</x:f>
        <x:v>0.5840282232200128</x:v>
      </x:c>
      <x:c r="H432" s="12" t="n">
        <x:f>'全部组合'!R196/$D432</x:f>
        <x:v>0.23123797305965363</x:v>
      </x:c>
      <x:c r="I432" s="12" t="n">
        <x:f>'全部组合'!S196/$D432</x:f>
        <x:v>0.0814624759461193</x:v>
      </x:c>
      <x:c r="J432" s="12" t="n">
        <x:f>'全部组合'!T196/$D432</x:f>
        <x:v>0.019884541372674792</x:v>
      </x:c>
      <x:c r="K432" s="12" t="n">
        <x:f>'全部组合'!U196/$D432</x:f>
        <x:v>0</x:v>
      </x:c>
      <x:c r="L432" s="12" t="n">
        <x:f>'全部组合'!V196/$D432</x:f>
        <x:v>0</x:v>
      </x:c>
      <x:c r="M432" s="12" t="n">
        <x:f>'全部组合'!W196/$D432</x:f>
        <x:v>0</x:v>
      </x:c>
      <x:c r="N432" s="13" t="n">
        <x:f>'全部组合'!X196/$D432</x:f>
        <x:v>0</x:v>
      </x:c>
    </x:row>
    <x:row r="433" ht="23" customHeight="1">
      <x:c r="A433" s="10" t="str">
        <x:v>M9</x:v>
      </x:c>
      <x:c r="B433" s="10" t="str">
        <x:v>G_H0</x:v>
      </x:c>
      <x:c r="C433" s="9" t="str">
        <x:v>源三角形</x:v>
      </x:c>
      <x:c r="D433" s="11" t="n">
        <x:f>'全部组合'!I196</x:f>
        <x:v>23921390</x:v>
      </x:c>
      <x:c r="E433" s="12" t="n">
        <x:f>'全部组合'!Y196/$D433</x:f>
        <x:v>0</x:v>
      </x:c>
      <x:c r="F433" s="12" t="n">
        <x:f>'全部组合'!Z196/$D433</x:f>
        <x:v>0.017228095858978096</x:v>
      </x:c>
      <x:c r="G433" s="12" t="n">
        <x:f>'全部组合'!AA196/$D433</x:f>
        <x:v>0.3535615614310038</x:v>
      </x:c>
      <x:c r="H433" s="12" t="n">
        <x:f>'全部组合'!AB196/$D433</x:f>
        <x:v>0.16751534923346845</x:v>
      </x:c>
      <x:c r="I433" s="12" t="n">
        <x:f>'全部组合'!AC196/$D433</x:f>
        <x:v>0.3710112999286413</x:v>
      </x:c>
      <x:c r="J433" s="12" t="n">
        <x:f>'全部组合'!AD196/$D433</x:f>
        <x:v>0.09068369354790838</x:v>
      </x:c>
      <x:c r="K433" s="12" t="n">
        <x:f>'全部组合'!AE196/$D433</x:f>
        <x:v>0</x:v>
      </x:c>
      <x:c r="L433" s="12" t="n">
        <x:f>'全部组合'!AF196/$D433</x:f>
        <x:v>0</x:v>
      </x:c>
      <x:c r="M433" s="12" t="n">
        <x:f>'全部组合'!AG196/$D433</x:f>
        <x:v>0</x:v>
      </x:c>
      <x:c r="N433" s="13" t="n">
        <x:f>'全部组合'!AH196/$D433</x:f>
        <x:v>0</x:v>
      </x:c>
    </x:row>
    <x:row r="434" ht="23" customHeight="1">
      <x:c r="A434" s="10" t="str">
        <x:v>M9</x:v>
      </x:c>
      <x:c r="B434" s="10" t="str">
        <x:v>G_HT</x:v>
      </x:c>
      <x:c r="C434" s="9" t="str">
        <x:v>节点</x:v>
      </x:c>
      <x:c r="D434" s="11" t="n">
        <x:f>'全部组合'!D197</x:f>
        <x:v>3118</x:v>
      </x:c>
      <x:c r="E434" s="12" t="n">
        <x:f>'全部组合'!O197/$D434</x:f>
        <x:v>0</x:v>
      </x:c>
      <x:c r="F434" s="12" t="n">
        <x:f>'全部组合'!P197/$D434</x:f>
        <x:v>0.05035279025016036</x:v>
      </x:c>
      <x:c r="G434" s="12" t="n">
        <x:f>'全部组合'!Q197/$D434</x:f>
        <x:v>0.5760102629890955</x:v>
      </x:c>
      <x:c r="H434" s="12" t="n">
        <x:f>'全部组合'!R197/$D434</x:f>
        <x:v>0.2652341244387428</x:v>
      </x:c>
      <x:c r="I434" s="12" t="n">
        <x:f>'全部组合'!S197/$D434</x:f>
        <x:v>0.0881975625400898</x:v>
      </x:c>
      <x:c r="J434" s="12" t="n">
        <x:f>'全部组合'!T197/$D434</x:f>
        <x:v>0.020205259781911483</x:v>
      </x:c>
      <x:c r="K434" s="12" t="n">
        <x:f>'全部组合'!U197/$D434</x:f>
        <x:v>0</x:v>
      </x:c>
      <x:c r="L434" s="12" t="n">
        <x:f>'全部组合'!V197/$D434</x:f>
        <x:v>0</x:v>
      </x:c>
      <x:c r="M434" s="12" t="n">
        <x:f>'全部组合'!W197/$D434</x:f>
        <x:v>0</x:v>
      </x:c>
      <x:c r="N434" s="13" t="n">
        <x:f>'全部组合'!X197/$D434</x:f>
        <x:v>0</x:v>
      </x:c>
    </x:row>
    <x:row r="435" ht="23" customHeight="1">
      <x:c r="A435" s="10" t="str">
        <x:v>M9</x:v>
      </x:c>
      <x:c r="B435" s="10" t="str">
        <x:v>G_HT</x:v>
      </x:c>
      <x:c r="C435" s="9" t="str">
        <x:v>源三角形</x:v>
      </x:c>
      <x:c r="D435" s="11" t="n">
        <x:f>'全部组合'!I197</x:f>
        <x:v>23921390</x:v>
      </x:c>
      <x:c r="E435" s="12" t="n">
        <x:f>'全部组合'!Y197/$D435</x:f>
        <x:v>0</x:v>
      </x:c>
      <x:c r="F435" s="12" t="n">
        <x:f>'全部组合'!Z197/$D435</x:f>
        <x:v>0.004587526059313443</x:v>
      </x:c>
      <x:c r="G435" s="12" t="n">
        <x:f>'全部组合'!AA197/$D435</x:f>
        <x:v>0.3493656514107249</x:v>
      </x:c>
      <x:c r="H435" s="12" t="n">
        <x:f>'全部组合'!AB197/$D435</x:f>
        <x:v>0.1619416764661251</x:v>
      </x:c>
      <x:c r="I435" s="12" t="n">
        <x:f>'全部组合'!AC197/$D435</x:f>
        <x:v>0.3897169019024396</x:v>
      </x:c>
      <x:c r="J435" s="12" t="n">
        <x:f>'全部组合'!AD197/$D435</x:f>
        <x:v>0.09438824416139698</x:v>
      </x:c>
      <x:c r="K435" s="12" t="n">
        <x:f>'全部组合'!AE197/$D435</x:f>
        <x:v>0</x:v>
      </x:c>
      <x:c r="L435" s="12" t="n">
        <x:f>'全部组合'!AF197/$D435</x:f>
        <x:v>0</x:v>
      </x:c>
      <x:c r="M435" s="12" t="n">
        <x:f>'全部组合'!AG197/$D435</x:f>
        <x:v>0</x:v>
      </x:c>
      <x:c r="N435" s="13" t="n">
        <x:f>'全部组合'!AH197/$D435</x:f>
        <x:v>0</x:v>
      </x:c>
    </x:row>
    <x:row r="436" ht="23" customHeight="1">
      <x:c r="A436" s="10" t="str">
        <x:v>M9</x:v>
      </x:c>
      <x:c r="B436" s="10" t="str">
        <x:v>G_H1</x:v>
      </x:c>
      <x:c r="C436" s="9" t="str">
        <x:v>节点</x:v>
      </x:c>
      <x:c r="D436" s="11" t="n">
        <x:f>'全部组合'!D198</x:f>
        <x:v>3118</x:v>
      </x:c>
      <x:c r="E436" s="12" t="n">
        <x:f>'全部组合'!O198/$D436</x:f>
        <x:v>0</x:v>
      </x:c>
      <x:c r="F436" s="12" t="n">
        <x:f>'全部组合'!P198/$D436</x:f>
        <x:v>0.05035279025016036</x:v>
      </x:c>
      <x:c r="G436" s="12" t="n">
        <x:f>'全部组合'!Q198/$D436</x:f>
        <x:v>0.5760102629890955</x:v>
      </x:c>
      <x:c r="H436" s="12" t="n">
        <x:f>'全部组合'!R198/$D436</x:f>
        <x:v>0.2652341244387428</x:v>
      </x:c>
      <x:c r="I436" s="12" t="n">
        <x:f>'全部组合'!S198/$D436</x:f>
        <x:v>0.0881975625400898</x:v>
      </x:c>
      <x:c r="J436" s="12" t="n">
        <x:f>'全部组合'!T198/$D436</x:f>
        <x:v>0.020205259781911483</x:v>
      </x:c>
      <x:c r="K436" s="12" t="n">
        <x:f>'全部组合'!U198/$D436</x:f>
        <x:v>0</x:v>
      </x:c>
      <x:c r="L436" s="12" t="n">
        <x:f>'全部组合'!V198/$D436</x:f>
        <x:v>0</x:v>
      </x:c>
      <x:c r="M436" s="12" t="n">
        <x:f>'全部组合'!W198/$D436</x:f>
        <x:v>0</x:v>
      </x:c>
      <x:c r="N436" s="13" t="n">
        <x:f>'全部组合'!X198/$D436</x:f>
        <x:v>0</x:v>
      </x:c>
    </x:row>
    <x:row r="437" ht="23" customHeight="1">
      <x:c r="A437" s="10" t="str">
        <x:v>M9</x:v>
      </x:c>
      <x:c r="B437" s="10" t="str">
        <x:v>G_H1</x:v>
      </x:c>
      <x:c r="C437" s="9" t="str">
        <x:v>源三角形</x:v>
      </x:c>
      <x:c r="D437" s="11" t="n">
        <x:f>'全部组合'!I198</x:f>
        <x:v>23921390</x:v>
      </x:c>
      <x:c r="E437" s="12" t="n">
        <x:f>'全部组合'!Y198/$D437</x:f>
        <x:v>0</x:v>
      </x:c>
      <x:c r="F437" s="12" t="n">
        <x:f>'全部组合'!Z198/$D437</x:f>
        <x:v>0.004587526059313443</x:v>
      </x:c>
      <x:c r="G437" s="12" t="n">
        <x:f>'全部组合'!AA198/$D437</x:f>
        <x:v>0.3493656514107249</x:v>
      </x:c>
      <x:c r="H437" s="12" t="n">
        <x:f>'全部组合'!AB198/$D437</x:f>
        <x:v>0.1619416764661251</x:v>
      </x:c>
      <x:c r="I437" s="12" t="n">
        <x:f>'全部组合'!AC198/$D437</x:f>
        <x:v>0.3897169019024396</x:v>
      </x:c>
      <x:c r="J437" s="12" t="n">
        <x:f>'全部组合'!AD198/$D437</x:f>
        <x:v>0.09438824416139698</x:v>
      </x:c>
      <x:c r="K437" s="12" t="n">
        <x:f>'全部组合'!AE198/$D437</x:f>
        <x:v>0</x:v>
      </x:c>
      <x:c r="L437" s="12" t="n">
        <x:f>'全部组合'!AF198/$D437</x:f>
        <x:v>0</x:v>
      </x:c>
      <x:c r="M437" s="12" t="n">
        <x:f>'全部组合'!AG198/$D437</x:f>
        <x:v>0</x:v>
      </x:c>
      <x:c r="N437" s="13" t="n">
        <x:f>'全部组合'!AH198/$D437</x:f>
        <x:v>0</x:v>
      </x:c>
    </x:row>
    <x:row r="438" ht="23" customHeight="1">
      <x:c r="A438" s="10" t="str">
        <x:v>M9</x:v>
      </x:c>
      <x:c r="B438" s="10" t="str">
        <x:v>NC_H0</x:v>
      </x:c>
      <x:c r="C438" s="9" t="str">
        <x:v>节点</x:v>
      </x:c>
      <x:c r="D438" s="11" t="n">
        <x:f>'全部组合'!D199</x:f>
        <x:v>3118</x:v>
      </x:c>
      <x:c r="E438" s="12" t="n">
        <x:f>'全部组合'!O199/$D438</x:f>
        <x:v>0</x:v>
      </x:c>
      <x:c r="F438" s="12" t="n">
        <x:f>'全部组合'!P199/$D438</x:f>
        <x:v>0.24278383579217447</x:v>
      </x:c>
      <x:c r="G438" s="12" t="n">
        <x:f>'全部组合'!Q199/$D438</x:f>
        <x:v>0.010904425914047467</x:v>
      </x:c>
      <x:c r="H438" s="12" t="n">
        <x:f>'全部组合'!R199/$D438</x:f>
        <x:v>0</x:v>
      </x:c>
      <x:c r="I438" s="12" t="n">
        <x:f>'全部组合'!S199/$D438</x:f>
        <x:v>0.563181526619628</x:v>
      </x:c>
      <x:c r="J438" s="12" t="n">
        <x:f>'全部组合'!T199/$D438</x:f>
        <x:v>0.005452212957023733</x:v>
      </x:c>
      <x:c r="K438" s="12" t="n">
        <x:f>'全部组合'!U199/$D438</x:f>
        <x:v>0.11738293778062861</x:v>
      </x:c>
      <x:c r="L438" s="12" t="n">
        <x:f>'全部组合'!V199/$D438</x:f>
        <x:v>0.021167415009621552</x:v>
      </x:c>
      <x:c r="M438" s="12" t="n">
        <x:f>'全部组合'!W199/$D438</x:f>
        <x:v>0.0391276459268762</x:v>
      </x:c>
      <x:c r="N438" s="13" t="n">
        <x:f>'全部组合'!X199/$D438</x:f>
        <x:v>0</x:v>
      </x:c>
    </x:row>
    <x:row r="439" ht="23" customHeight="1">
      <x:c r="A439" s="10" t="str">
        <x:v>M9</x:v>
      </x:c>
      <x:c r="B439" s="10" t="str">
        <x:v>NC_H0</x:v>
      </x:c>
      <x:c r="C439" s="9" t="str">
        <x:v>源三角形</x:v>
      </x:c>
      <x:c r="D439" s="11" t="n">
        <x:f>'全部组合'!I199</x:f>
        <x:v>23921390</x:v>
      </x:c>
      <x:c r="E439" s="12" t="n">
        <x:f>'全部组合'!Y199/$D439</x:f>
        <x:v>0</x:v>
      </x:c>
      <x:c r="F439" s="12" t="n">
        <x:f>'全部组合'!Z199/$D439</x:f>
        <x:v>0.12063299833329083</x:v>
      </x:c>
      <x:c r="G439" s="12" t="n">
        <x:f>'全部组合'!AA199/$D439</x:f>
        <x:v>0.0025365582852835892</x:v>
      </x:c>
      <x:c r="H439" s="12" t="n">
        <x:f>'全部组合'!AB199/$D439</x:f>
        <x:v>0</x:v>
      </x:c>
      <x:c r="I439" s="12" t="n">
        <x:f>'全部组合'!AC199/$D439</x:f>
        <x:v>0.4815981847208712</x:v>
      </x:c>
      <x:c r="J439" s="12" t="n">
        <x:f>'全部组合'!AD199/$D439</x:f>
        <x:v>0.008397170900185984</x:v>
      </x:c>
      <x:c r="K439" s="12" t="n">
        <x:f>'全部组合'!AE199/$D439</x:f>
        <x:v>0.1097252291777359</x:v>
      </x:c>
      <x:c r="L439" s="12" t="n">
        <x:f>'全部组合'!AF199/$D439</x:f>
        <x:v>0.18267320586303723</x:v>
      </x:c>
      <x:c r="M439" s="12" t="n">
        <x:f>'全部组合'!AG199/$D439</x:f>
        <x:v>0.09443665271959531</x:v>
      </x:c>
      <x:c r="N439" s="13" t="n">
        <x:f>'全部组合'!AH199/$D439</x:f>
        <x:v>0</x:v>
      </x:c>
    </x:row>
    <x:row r="440" ht="23" customHeight="1">
      <x:c r="A440" s="10" t="str">
        <x:v>M9</x:v>
      </x:c>
      <x:c r="B440" s="10" t="str">
        <x:v>NC_HT</x:v>
      </x:c>
      <x:c r="C440" s="9" t="str">
        <x:v>节点</x:v>
      </x:c>
      <x:c r="D440" s="11" t="n">
        <x:f>'全部组合'!D200</x:f>
        <x:v>3118</x:v>
      </x:c>
      <x:c r="E440" s="12" t="n">
        <x:f>'全部组合'!O200/$D440</x:f>
        <x:v>0</x:v>
      </x:c>
      <x:c r="F440" s="12" t="n">
        <x:f>'全部组合'!P200/$D440</x:f>
        <x:v>0.24278383579217447</x:v>
      </x:c>
      <x:c r="G440" s="12" t="n">
        <x:f>'全部组合'!Q200/$D440</x:f>
        <x:v>0.010904425914047467</x:v>
      </x:c>
      <x:c r="H440" s="12" t="n">
        <x:f>'全部组合'!R200/$D440</x:f>
        <x:v>0</x:v>
      </x:c>
      <x:c r="I440" s="12" t="n">
        <x:f>'全部组合'!S200/$D440</x:f>
        <x:v>0.563181526619628</x:v>
      </x:c>
      <x:c r="J440" s="12" t="n">
        <x:f>'全部组合'!T200/$D440</x:f>
        <x:v>0.005452212957023733</x:v>
      </x:c>
      <x:c r="K440" s="12" t="n">
        <x:f>'全部组合'!U200/$D440</x:f>
        <x:v>0.11738293778062861</x:v>
      </x:c>
      <x:c r="L440" s="12" t="n">
        <x:f>'全部组合'!V200/$D440</x:f>
        <x:v>0.021167415009621552</x:v>
      </x:c>
      <x:c r="M440" s="12" t="n">
        <x:f>'全部组合'!W200/$D440</x:f>
        <x:v>0.0391276459268762</x:v>
      </x:c>
      <x:c r="N440" s="13" t="n">
        <x:f>'全部组合'!X200/$D440</x:f>
        <x:v>0</x:v>
      </x:c>
    </x:row>
    <x:row r="441" ht="23" customHeight="1">
      <x:c r="A441" s="10" t="str">
        <x:v>M9</x:v>
      </x:c>
      <x:c r="B441" s="10" t="str">
        <x:v>NC_HT</x:v>
      </x:c>
      <x:c r="C441" s="9" t="str">
        <x:v>源三角形</x:v>
      </x:c>
      <x:c r="D441" s="11" t="n">
        <x:f>'全部组合'!I200</x:f>
        <x:v>23921390</x:v>
      </x:c>
      <x:c r="E441" s="12" t="n">
        <x:f>'全部组合'!Y200/$D441</x:f>
        <x:v>0</x:v>
      </x:c>
      <x:c r="F441" s="12" t="n">
        <x:f>'全部组合'!Z200/$D441</x:f>
        <x:v>0.12063299833329083</x:v>
      </x:c>
      <x:c r="G441" s="12" t="n">
        <x:f>'全部组合'!AA200/$D441</x:f>
        <x:v>0.0025365582852835892</x:v>
      </x:c>
      <x:c r="H441" s="12" t="n">
        <x:f>'全部组合'!AB200/$D441</x:f>
        <x:v>0</x:v>
      </x:c>
      <x:c r="I441" s="12" t="n">
        <x:f>'全部组合'!AC200/$D441</x:f>
        <x:v>0.4815981847208712</x:v>
      </x:c>
      <x:c r="J441" s="12" t="n">
        <x:f>'全部组合'!AD200/$D441</x:f>
        <x:v>0.008397170900185984</x:v>
      </x:c>
      <x:c r="K441" s="12" t="n">
        <x:f>'全部组合'!AE200/$D441</x:f>
        <x:v>0.1097252291777359</x:v>
      </x:c>
      <x:c r="L441" s="12" t="n">
        <x:f>'全部组合'!AF200/$D441</x:f>
        <x:v>0.18267320586303723</x:v>
      </x:c>
      <x:c r="M441" s="12" t="n">
        <x:f>'全部组合'!AG200/$D441</x:f>
        <x:v>0.09443665271959531</x:v>
      </x:c>
      <x:c r="N441" s="13" t="n">
        <x:f>'全部组合'!AH200/$D441</x:f>
        <x:v>0</x:v>
      </x:c>
    </x:row>
    <x:row r="442" ht="23" customHeight="1">
      <x:c r="A442" s="10" t="str">
        <x:v>M9</x:v>
      </x:c>
      <x:c r="B442" s="10" t="str">
        <x:v>NC_H1</x:v>
      </x:c>
      <x:c r="C442" s="9" t="str">
        <x:v>节点</x:v>
      </x:c>
      <x:c r="D442" s="11" t="n">
        <x:f>'全部组合'!D201</x:f>
        <x:v>3118</x:v>
      </x:c>
      <x:c r="E442" s="12" t="n">
        <x:f>'全部组合'!O201/$D442</x:f>
        <x:v>0</x:v>
      </x:c>
      <x:c r="F442" s="12" t="n">
        <x:f>'全部组合'!P201/$D442</x:f>
        <x:v>0.241180243745991</x:v>
      </x:c>
      <x:c r="G442" s="12" t="n">
        <x:f>'全部组合'!Q201/$D442</x:f>
        <x:v>0.009300833867864015</x:v>
      </x:c>
      <x:c r="H442" s="12" t="n">
        <x:f>'全部组合'!R201/$D442</x:f>
        <x:v>0</x:v>
      </x:c>
      <x:c r="I442" s="12" t="n">
        <x:f>'全部组合'!S201/$D442</x:f>
        <x:v>0.563181526619628</x:v>
      </x:c>
      <x:c r="J442" s="12" t="n">
        <x:f>'全部组合'!T201/$D442</x:f>
        <x:v>0.007055805003207184</x:v>
      </x:c>
      <x:c r="K442" s="12" t="n">
        <x:f>'全部组合'!U201/$D442</x:f>
        <x:v>0.11898652982681206</x:v>
      </x:c>
      <x:c r="L442" s="12" t="n">
        <x:f>'全部组合'!V201/$D442</x:f>
        <x:v>0.021167415009621552</x:v>
      </x:c>
      <x:c r="M442" s="12" t="n">
        <x:f>'全部组合'!W201/$D442</x:f>
        <x:v>0.0391276459268762</x:v>
      </x:c>
      <x:c r="N442" s="13" t="n">
        <x:f>'全部组合'!X201/$D442</x:f>
        <x:v>0</x:v>
      </x:c>
    </x:row>
    <x:row r="443" ht="23" customHeight="1">
      <x:c r="A443" s="10" t="str">
        <x:v>M9</x:v>
      </x:c>
      <x:c r="B443" s="10" t="str">
        <x:v>NC_H1</x:v>
      </x:c>
      <x:c r="C443" s="9" t="str">
        <x:v>源三角形</x:v>
      </x:c>
      <x:c r="D443" s="11" t="n">
        <x:f>'全部组合'!I201</x:f>
        <x:v>23921390</x:v>
      </x:c>
      <x:c r="E443" s="12" t="n">
        <x:f>'全部组合'!Y201/$D443</x:f>
        <x:v>0</x:v>
      </x:c>
      <x:c r="F443" s="12" t="n">
        <x:f>'全部组合'!Z201/$D443</x:f>
        <x:v>0.11779578862265111</x:v>
      </x:c>
      <x:c r="G443" s="12" t="n">
        <x:f>'全部组合'!AA201/$D443</x:f>
        <x:v>0.0008162569148364706</x:v>
      </x:c>
      <x:c r="H443" s="12" t="n">
        <x:f>'全部组合'!AB201/$D443</x:f>
        <x:v>0</x:v>
      </x:c>
      <x:c r="I443" s="12" t="n">
        <x:f>'全部组合'!AC201/$D443</x:f>
        <x:v>0.4815981847208712</x:v>
      </x:c>
      <x:c r="J443" s="12" t="n">
        <x:f>'全部组合'!AD201/$D443</x:f>
        <x:v>0.010117472270633103</x:v>
      </x:c>
      <x:c r="K443" s="12" t="n">
        <x:f>'全部组合'!AE201/$D443</x:f>
        <x:v>0.11256243888837564</x:v>
      </x:c>
      <x:c r="L443" s="12" t="n">
        <x:f>'全部组合'!AF201/$D443</x:f>
        <x:v>0.18267320586303723</x:v>
      </x:c>
      <x:c r="M443" s="12" t="n">
        <x:f>'全部组合'!AG201/$D443</x:f>
        <x:v>0.09443665271959531</x:v>
      </x:c>
      <x:c r="N443" s="13" t="n">
        <x:f>'全部组合'!AH201/$D443</x:f>
        <x:v>0</x:v>
      </x:c>
    </x:row>
    <x:row r="444" ht="23" customHeight="1">
      <x:c r="A444" s="10" t="str">
        <x:v>M9</x:v>
      </x:c>
      <x:c r="B444" s="10" t="str">
        <x:v>NG_H0</x:v>
      </x:c>
      <x:c r="C444" s="9" t="str">
        <x:v>节点</x:v>
      </x:c>
      <x:c r="D444" s="11" t="n">
        <x:f>'全部组合'!D202</x:f>
        <x:v>3118</x:v>
      </x:c>
      <x:c r="E444" s="12" t="n">
        <x:f>'全部组合'!O202/$D444</x:f>
        <x:v>0</x:v>
      </x:c>
      <x:c r="F444" s="12" t="n">
        <x:f>'全部组合'!P202/$D444</x:f>
        <x:v>0.09653624118024375</x:v>
      </x:c>
      <x:c r="G444" s="12" t="n">
        <x:f>'全部组合'!Q202/$D444</x:f>
        <x:v>0.3787684413085311</x:v>
      </x:c>
      <x:c r="H444" s="12" t="n">
        <x:f>'全部组合'!R202/$D444</x:f>
        <x:v>0.21456061577934574</x:v>
      </x:c>
      <x:c r="I444" s="12" t="n">
        <x:f>'全部组合'!S202/$D444</x:f>
        <x:v>0.07729313662604234</x:v>
      </x:c>
      <x:c r="J444" s="12" t="n">
        <x:f>'全部组合'!T202/$D444</x:f>
        <x:v>0.025016035920461834</x:v>
      </x:c>
      <x:c r="K444" s="12" t="n">
        <x:f>'全部组合'!U202/$D444</x:f>
        <x:v>0.12796664528543938</x:v>
      </x:c>
      <x:c r="L444" s="12" t="n">
        <x:f>'全部组合'!V202/$D444</x:f>
        <x:v>0.024374599101988453</x:v>
      </x:c>
      <x:c r="M444" s="12" t="n">
        <x:f>'全部组合'!W202/$D444</x:f>
        <x:v>0.055484284797947404</x:v>
      </x:c>
      <x:c r="N444" s="13" t="n">
        <x:f>'全部组合'!X202/$D444</x:f>
        <x:v>0</x:v>
      </x:c>
    </x:row>
    <x:row r="445" ht="23" customHeight="1">
      <x:c r="A445" s="10" t="str">
        <x:v>M9</x:v>
      </x:c>
      <x:c r="B445" s="10" t="str">
        <x:v>NG_H0</x:v>
      </x:c>
      <x:c r="C445" s="9" t="str">
        <x:v>源三角形</x:v>
      </x:c>
      <x:c r="D445" s="11" t="n">
        <x:f>'全部组合'!I202</x:f>
        <x:v>23921390</x:v>
      </x:c>
      <x:c r="E445" s="12" t="n">
        <x:f>'全部组合'!Y202/$D445</x:f>
        <x:v>0</x:v>
      </x:c>
      <x:c r="F445" s="12" t="n">
        <x:f>'全部组合'!Z202/$D445</x:f>
        <x:v>0.014757169211320914</x:v>
      </x:c>
      <x:c r="G445" s="12" t="n">
        <x:f>'全部组合'!AA202/$D445</x:f>
        <x:v>0.1093918873443391</x:v>
      </x:c>
      <x:c r="H445" s="12" t="n">
        <x:f>'全部组合'!AB202/$D445</x:f>
        <x:v>0.1103287894223538</x:v>
      </x:c>
      <x:c r="I445" s="12" t="n">
        <x:f>'全部组合'!AC202/$D445</x:f>
        <x:v>0.2655936381623309</x:v>
      </x:c>
      <x:c r="J445" s="12" t="n">
        <x:f>'全部组合'!AD202/$D445</x:f>
        <x:v>0.07937791240391967</x:v>
      </x:c>
      <x:c r="K445" s="12" t="n">
        <x:f>'全部组合'!AE202/$D445</x:f>
        <x:v>0.1194518378739697</x:v>
      </x:c>
      <x:c r="L445" s="12" t="n">
        <x:f>'全部组合'!AF202/$D445</x:f>
        <x:v>0.1867365148931563</x:v>
      </x:c>
      <x:c r="M445" s="12" t="n">
        <x:f>'全部组合'!AG202/$D445</x:f>
        <x:v>0.11436225068860965</x:v>
      </x:c>
      <x:c r="N445" s="13" t="n">
        <x:f>'全部组合'!AH202/$D445</x:f>
        <x:v>0</x:v>
      </x:c>
    </x:row>
    <x:row r="446" ht="23" customHeight="1">
      <x:c r="A446" s="10" t="str">
        <x:v>M9</x:v>
      </x:c>
      <x:c r="B446" s="10" t="str">
        <x:v>NG_HT</x:v>
      </x:c>
      <x:c r="C446" s="9" t="str">
        <x:v>节点</x:v>
      </x:c>
      <x:c r="D446" s="11" t="n">
        <x:f>'全部组合'!D203</x:f>
        <x:v>3118</x:v>
      </x:c>
      <x:c r="E446" s="12" t="n">
        <x:f>'全部组合'!O203/$D446</x:f>
        <x:v>0</x:v>
      </x:c>
      <x:c r="F446" s="12" t="n">
        <x:f>'全部组合'!P203/$D446</x:f>
        <x:v>0.07729313662604234</x:v>
      </x:c>
      <x:c r="G446" s="12" t="n">
        <x:f>'全部组合'!Q203/$D446</x:f>
        <x:v>0.36401539448364334</x:v>
      </x:c>
      <x:c r="H446" s="12" t="n">
        <x:f>'全部组合'!R203/$D446</x:f>
        <x:v>0.24342527261064786</x:v>
      </x:c>
      <x:c r="I446" s="12" t="n">
        <x:f>'全部组合'!S203/$D446</x:f>
        <x:v>0.08210391276459268</x:v>
      </x:c>
      <x:c r="J446" s="12" t="n">
        <x:f>'全部组合'!T203/$D446</x:f>
        <x:v>0.025336754329698525</x:v>
      </x:c>
      <x:c r="K446" s="12" t="n">
        <x:f>'全部组合'!U203/$D446</x:f>
        <x:v>0.12796664528543938</x:v>
      </x:c>
      <x:c r="L446" s="12" t="n">
        <x:f>'全部组合'!V203/$D446</x:f>
        <x:v>0.024374599101988453</x:v>
      </x:c>
      <x:c r="M446" s="12" t="n">
        <x:f>'全部组合'!W203/$D446</x:f>
        <x:v>0.055484284797947404</x:v>
      </x:c>
      <x:c r="N446" s="13" t="n">
        <x:f>'全部组合'!X203/$D446</x:f>
        <x:v>0</x:v>
      </x:c>
    </x:row>
    <x:row r="447" ht="23" customHeight="1">
      <x:c r="A447" s="10" t="str">
        <x:v>M9</x:v>
      </x:c>
      <x:c r="B447" s="10" t="str">
        <x:v>NG_HT</x:v>
      </x:c>
      <x:c r="C447" s="9" t="str">
        <x:v>源三角形</x:v>
      </x:c>
      <x:c r="D447" s="11" t="n">
        <x:f>'全部组合'!I203</x:f>
        <x:v>23921390</x:v>
      </x:c>
      <x:c r="E447" s="12" t="n">
        <x:f>'全部组合'!Y203/$D447</x:f>
        <x:v>0</x:v>
      </x:c>
      <x:c r="F447" s="12" t="n">
        <x:f>'全部组合'!Z203/$D447</x:f>
        <x:v>0.011082633576058916</x:v>
      </x:c>
      <x:c r="G447" s="12" t="n">
        <x:f>'全部组合'!AA203/$D447</x:f>
        <x:v>0.10200168134042378</x:v>
      </x:c>
      <x:c r="H447" s="12" t="n">
        <x:f>'全部组合'!AB203/$D447</x:f>
        <x:v>0.11967607233526145</x:v>
      </x:c>
      <x:c r="I447" s="12" t="n">
        <x:f>'全部组合'!AC203/$D447</x:f>
        <x:v>0.26360654627511193</x:v>
      </x:c>
      <x:c r="J447" s="12" t="n">
        <x:f>'全部组合'!AD203/$D447</x:f>
        <x:v>0.08308246301740826</x:v>
      </x:c>
      <x:c r="K447" s="12" t="n">
        <x:f>'全部组合'!AE203/$D447</x:f>
        <x:v>0.1194518378739697</x:v>
      </x:c>
      <x:c r="L447" s="12" t="n">
        <x:f>'全部组合'!AF203/$D447</x:f>
        <x:v>0.1867365148931563</x:v>
      </x:c>
      <x:c r="M447" s="12" t="n">
        <x:f>'全部组合'!AG203/$D447</x:f>
        <x:v>0.11436225068860965</x:v>
      </x:c>
      <x:c r="N447" s="13" t="n">
        <x:f>'全部组合'!AH203/$D447</x:f>
        <x:v>0</x:v>
      </x:c>
    </x:row>
    <x:row r="448" ht="23" customHeight="1">
      <x:c r="A448" s="10" t="str">
        <x:v>M9</x:v>
      </x:c>
      <x:c r="B448" s="10" t="str">
        <x:v>NG_H1</x:v>
      </x:c>
      <x:c r="C448" s="9" t="str">
        <x:v>节点</x:v>
      </x:c>
      <x:c r="D448" s="11" t="n">
        <x:f>'全部组合'!D204</x:f>
        <x:v>3118</x:v>
      </x:c>
      <x:c r="E448" s="12" t="n">
        <x:f>'全部组合'!O204/$D448</x:f>
        <x:v>0</x:v>
      </x:c>
      <x:c r="F448" s="12" t="n">
        <x:f>'全部组合'!P204/$D448</x:f>
        <x:v>0.07729313662604234</x:v>
      </x:c>
      <x:c r="G448" s="12" t="n">
        <x:f>'全部组合'!Q204/$D448</x:f>
        <x:v>0.3636946760744067</x:v>
      </x:c>
      <x:c r="H448" s="12" t="n">
        <x:f>'全部组合'!R204/$D448</x:f>
        <x:v>0.2421423989737011</x:v>
      </x:c>
      <x:c r="I448" s="12" t="n">
        <x:f>'全部组合'!S204/$D448</x:f>
        <x:v>0.08210391276459268</x:v>
      </x:c>
      <x:c r="J448" s="12" t="n">
        <x:f>'全部组合'!T204/$D448</x:f>
        <x:v>0.026940346375881975</x:v>
      </x:c>
      <x:c r="K448" s="12" t="n">
        <x:f>'全部组合'!U204/$D448</x:f>
        <x:v>0.12796664528543938</x:v>
      </x:c>
      <x:c r="L448" s="12" t="n">
        <x:f>'全部组合'!V204/$D448</x:f>
        <x:v>0.024374599101988453</x:v>
      </x:c>
      <x:c r="M448" s="12" t="n">
        <x:f>'全部组合'!W204/$D448</x:f>
        <x:v>0.055484284797947404</x:v>
      </x:c>
      <x:c r="N448" s="13" t="n">
        <x:f>'全部组合'!X204/$D448</x:f>
        <x:v>0</x:v>
      </x:c>
    </x:row>
    <x:row r="449" ht="23" customHeight="1">
      <x:c r="A449" s="10" t="str">
        <x:v>M9</x:v>
      </x:c>
      <x:c r="B449" s="10" t="str">
        <x:v>NG_H1</x:v>
      </x:c>
      <x:c r="C449" s="9" t="str">
        <x:v>源三角形</x:v>
      </x:c>
      <x:c r="D449" s="11" t="n">
        <x:f>'全部组合'!I204</x:f>
        <x:v>23921390</x:v>
      </x:c>
      <x:c r="E449" s="12" t="n">
        <x:f>'全部组合'!Y204/$D449</x:f>
        <x:v>0</x:v>
      </x:c>
      <x:c r="F449" s="12" t="n">
        <x:f>'全部组合'!Z204/$D449</x:f>
        <x:v>0.011082633576058916</x:v>
      </x:c>
      <x:c r="G449" s="12" t="n">
        <x:f>'全部组合'!AA204/$D449</x:f>
        <x:v>0.10196857289647467</x:v>
      </x:c>
      <x:c r="H449" s="12" t="n">
        <x:f>'全部组合'!AB204/$D449</x:f>
        <x:v>0.11798887940876346</x:v>
      </x:c>
      <x:c r="I449" s="12" t="n">
        <x:f>'全部组合'!AC204/$D449</x:f>
        <x:v>0.26360654627511193</x:v>
      </x:c>
      <x:c r="J449" s="12" t="n">
        <x:f>'全部组合'!AD204/$D449</x:f>
        <x:v>0.08480276438785539</x:v>
      </x:c>
      <x:c r="K449" s="12" t="n">
        <x:f>'全部组合'!AE204/$D449</x:f>
        <x:v>0.1194518378739697</x:v>
      </x:c>
      <x:c r="L449" s="12" t="n">
        <x:f>'全部组合'!AF204/$D449</x:f>
        <x:v>0.1867365148931563</x:v>
      </x:c>
      <x:c r="M449" s="12" t="n">
        <x:f>'全部组合'!AG204/$D449</x:f>
        <x:v>0.11436225068860965</x:v>
      </x:c>
      <x:c r="N449" s="13" t="n">
        <x:f>'全部组合'!AH204/$D449</x:f>
        <x:v>0</x:v>
      </x:c>
    </x:row>
    <x:row r="450" ht="23" customHeight="1">
      <x:c r="A450" s="10" t="str">
        <x:v>M9</x:v>
      </x:c>
      <x:c r="B450" s="10" t="str">
        <x:v>CG_H0</x:v>
      </x:c>
      <x:c r="C450" s="9" t="str">
        <x:v>节点</x:v>
      </x:c>
      <x:c r="D450" s="11" t="n">
        <x:f>'全部组合'!D205</x:f>
        <x:v>3118</x:v>
      </x:c>
      <x:c r="E450" s="12" t="n">
        <x:f>'全部组合'!O205/$D450</x:f>
        <x:v>0</x:v>
      </x:c>
      <x:c r="F450" s="12" t="n">
        <x:f>'全部组合'!P205/$D450</x:f>
        <x:v>0.13598460551635663</x:v>
      </x:c>
      <x:c r="G450" s="12" t="n">
        <x:f>'全部组合'!Q205/$D450</x:f>
        <x:v>0.5285439384220654</x:v>
      </x:c>
      <x:c r="H450" s="12" t="n">
        <x:f>'全部组合'!R205/$D450</x:f>
        <x:v>0.23123797305965363</x:v>
      </x:c>
      <x:c r="I450" s="12" t="n">
        <x:f>'全部组合'!S205/$D450</x:f>
        <x:v>0.0814624759461193</x:v>
      </x:c>
      <x:c r="J450" s="12" t="n">
        <x:f>'全部组合'!T205/$D450</x:f>
        <x:v>0.019884541372674792</x:v>
      </x:c>
      <x:c r="K450" s="12" t="n">
        <x:f>'全部组合'!U205/$D450</x:f>
        <x:v>0.0028864656831302116</x:v>
      </x:c>
      <x:c r="L450" s="12" t="n">
        <x:f>'全部组合'!V205/$D450</x:f>
        <x:v>0</x:v>
      </x:c>
      <x:c r="M450" s="12" t="n">
        <x:f>'全部组合'!W205/$D450</x:f>
        <x:v>0</x:v>
      </x:c>
      <x:c r="N450" s="13" t="n">
        <x:f>'全部组合'!X205/$D450</x:f>
        <x:v>0</x:v>
      </x:c>
    </x:row>
    <x:row r="451" ht="23" customHeight="1">
      <x:c r="A451" s="10" t="str">
        <x:v>M9</x:v>
      </x:c>
      <x:c r="B451" s="10" t="str">
        <x:v>CG_H0</x:v>
      </x:c>
      <x:c r="C451" s="9" t="str">
        <x:v>源三角形</x:v>
      </x:c>
      <x:c r="D451" s="11" t="n">
        <x:f>'全部组合'!I205</x:f>
        <x:v>23921390</x:v>
      </x:c>
      <x:c r="E451" s="12" t="n">
        <x:f>'全部组合'!Y205/$D451</x:f>
        <x:v>0</x:v>
      </x:c>
      <x:c r="F451" s="12" t="n">
        <x:f>'全部组合'!Z205/$D451</x:f>
        <x:v>0.032530467502097496</x:v>
      </x:c>
      <x:c r="G451" s="12" t="n">
        <x:f>'全部组合'!AA205/$D451</x:f>
        <x:v>0.3357941156429455</x:v>
      </x:c>
      <x:c r="H451" s="12" t="n">
        <x:f>'全部组合'!AB205/$D451</x:f>
        <x:v>0.16751534923346845</x:v>
      </x:c>
      <x:c r="I451" s="12" t="n">
        <x:f>'全部组合'!AC205/$D451</x:f>
        <x:v>0.3710112999286413</x:v>
      </x:c>
      <x:c r="J451" s="12" t="n">
        <x:f>'全部组合'!AD205/$D451</x:f>
        <x:v>0.09068369354790838</x:v>
      </x:c>
      <x:c r="K451" s="12" t="n">
        <x:f>'全部组合'!AE205/$D451</x:f>
        <x:v>0.002465074144938902</x:v>
      </x:c>
      <x:c r="L451" s="12" t="n">
        <x:f>'全部组合'!AF205/$D451</x:f>
        <x:v>0</x:v>
      </x:c>
      <x:c r="M451" s="12" t="n">
        <x:f>'全部组合'!AG205/$D451</x:f>
        <x:v>0</x:v>
      </x:c>
      <x:c r="N451" s="13" t="n">
        <x:f>'全部组合'!AH205/$D451</x:f>
        <x:v>0</x:v>
      </x:c>
    </x:row>
    <x:row r="452" ht="23" customHeight="1">
      <x:c r="A452" s="10" t="str">
        <x:v>M9</x:v>
      </x:c>
      <x:c r="B452" s="10" t="str">
        <x:v>CG_HT</x:v>
      </x:c>
      <x:c r="C452" s="9" t="str">
        <x:v>节点</x:v>
      </x:c>
      <x:c r="D452" s="11" t="n">
        <x:f>'全部组合'!D206</x:f>
        <x:v>3118</x:v>
      </x:c>
      <x:c r="E452" s="12" t="n">
        <x:f>'全部组合'!O206/$D452</x:f>
        <x:v>0</x:v>
      </x:c>
      <x:c r="F452" s="12" t="n">
        <x:f>'全部组合'!P206/$D452</x:f>
        <x:v>0.10872354073123797</x:v>
      </x:c>
      <x:c r="G452" s="12" t="n">
        <x:f>'全部组合'!Q206/$D452</x:f>
        <x:v>0.5147530468248878</x:v>
      </x:c>
      <x:c r="H452" s="12" t="n">
        <x:f>'全部组合'!R206/$D452</x:f>
        <x:v>0.2652341244387428</x:v>
      </x:c>
      <x:c r="I452" s="12" t="n">
        <x:f>'全部组合'!S206/$D452</x:f>
        <x:v>0.08691468890314304</x:v>
      </x:c>
      <x:c r="J452" s="12" t="n">
        <x:f>'全部组合'!T206/$D452</x:f>
        <x:v>0.020205259781911483</x:v>
      </x:c>
      <x:c r="K452" s="12" t="n">
        <x:f>'全部组合'!U206/$D452</x:f>
        <x:v>0.004169339320076972</x:v>
      </x:c>
      <x:c r="L452" s="12" t="n">
        <x:f>'全部组合'!V206/$D452</x:f>
        <x:v>0</x:v>
      </x:c>
      <x:c r="M452" s="12" t="n">
        <x:f>'全部组合'!W206/$D452</x:f>
        <x:v>0</x:v>
      </x:c>
      <x:c r="N452" s="13" t="n">
        <x:f>'全部组合'!X206/$D452</x:f>
        <x:v>0</x:v>
      </x:c>
    </x:row>
    <x:row r="453" ht="23" customHeight="1">
      <x:c r="A453" s="10" t="str">
        <x:v>M9</x:v>
      </x:c>
      <x:c r="B453" s="10" t="str">
        <x:v>CG_HT</x:v>
      </x:c>
      <x:c r="C453" s="9" t="str">
        <x:v>源三角形</x:v>
      </x:c>
      <x:c r="D453" s="11" t="n">
        <x:f>'全部组合'!I206</x:f>
        <x:v>23921390</x:v>
      </x:c>
      <x:c r="E453" s="12" t="n">
        <x:f>'全部组合'!Y206/$D453</x:f>
        <x:v>0</x:v>
      </x:c>
      <x:c r="F453" s="12" t="n">
        <x:f>'全部组合'!Z206/$D453</x:f>
        <x:v>0.02220598384960071</x:v>
      </x:c>
      <x:c r="G453" s="12" t="n">
        <x:f>'全部组合'!AA206/$D453</x:f>
        <x:v>0.3292821194754987</x:v>
      </x:c>
      <x:c r="H453" s="12" t="n">
        <x:f>'全部组合'!AB206/$D453</x:f>
        <x:v>0.1619416764661251</x:v>
      </x:c>
      <x:c r="I453" s="12" t="n">
        <x:f>'全部组合'!AC206/$D453</x:f>
        <x:v>0.38694716318742345</x:v>
      </x:c>
      <x:c r="J453" s="12" t="n">
        <x:f>'全部组合'!AD206/$D453</x:f>
        <x:v>0.09582227454173858</x:v>
      </x:c>
      <x:c r="K453" s="12" t="n">
        <x:f>'全部组合'!AE206/$D453</x:f>
        <x:v>0.003800782479613434</x:v>
      </x:c>
      <x:c r="L453" s="12" t="n">
        <x:f>'全部组合'!AF206/$D453</x:f>
        <x:v>0</x:v>
      </x:c>
      <x:c r="M453" s="12" t="n">
        <x:f>'全部组合'!AG206/$D453</x:f>
        <x:v>0</x:v>
      </x:c>
      <x:c r="N453" s="13" t="n">
        <x:f>'全部组合'!AH206/$D453</x:f>
        <x:v>0</x:v>
      </x:c>
    </x:row>
    <x:row r="454" ht="23" customHeight="1">
      <x:c r="A454" s="10" t="str">
        <x:v>M9</x:v>
      </x:c>
      <x:c r="B454" s="10" t="str">
        <x:v>CG_H1</x:v>
      </x:c>
      <x:c r="C454" s="9" t="str">
        <x:v>节点</x:v>
      </x:c>
      <x:c r="D454" s="11" t="n">
        <x:f>'全部组合'!D207</x:f>
        <x:v>3118</x:v>
      </x:c>
      <x:c r="E454" s="12" t="n">
        <x:f>'全部组合'!O207/$D454</x:f>
        <x:v>0</x:v>
      </x:c>
      <x:c r="F454" s="12" t="n">
        <x:f>'全部组合'!P207/$D454</x:f>
        <x:v>0.10872354073123797</x:v>
      </x:c>
      <x:c r="G454" s="12" t="n">
        <x:f>'全部组合'!Q207/$D454</x:f>
        <x:v>0.5121872995509942</x:v>
      </x:c>
      <x:c r="H454" s="12" t="n">
        <x:f>'全部组合'!R207/$D454</x:f>
        <x:v>0.2652341244387428</x:v>
      </x:c>
      <x:c r="I454" s="12" t="n">
        <x:f>'全部组合'!S207/$D454</x:f>
        <x:v>0.08691468890314304</x:v>
      </x:c>
      <x:c r="J454" s="12" t="n">
        <x:f>'全部组合'!T207/$D454</x:f>
        <x:v>0.020205259781911483</x:v>
      </x:c>
      <x:c r="K454" s="12" t="n">
        <x:f>'全部组合'!U207/$D454</x:f>
        <x:v>0.006735086593970494</x:v>
      </x:c>
      <x:c r="L454" s="12" t="n">
        <x:f>'全部组合'!V207/$D454</x:f>
        <x:v>0</x:v>
      </x:c>
      <x:c r="M454" s="12" t="n">
        <x:f>'全部组合'!W207/$D454</x:f>
        <x:v>0</x:v>
      </x:c>
      <x:c r="N454" s="13" t="n">
        <x:f>'全部组合'!X207/$D454</x:f>
        <x:v>0</x:v>
      </x:c>
    </x:row>
    <x:row r="455" ht="23" customHeight="1">
      <x:c r="A455" s="10" t="str">
        <x:v>M9</x:v>
      </x:c>
      <x:c r="B455" s="10" t="str">
        <x:v>CG_H1</x:v>
      </x:c>
      <x:c r="C455" s="9" t="str">
        <x:v>源三角形</x:v>
      </x:c>
      <x:c r="D455" s="11" t="n">
        <x:f>'全部组合'!I207</x:f>
        <x:v>23921390</x:v>
      </x:c>
      <x:c r="E455" s="12" t="n">
        <x:f>'全部组合'!Y207/$D455</x:f>
        <x:v>0</x:v>
      </x:c>
      <x:c r="F455" s="12" t="n">
        <x:f>'全部组合'!Z207/$D455</x:f>
        <x:v>0.02220598384960071</x:v>
      </x:c>
      <x:c r="G455" s="12" t="n">
        <x:f>'全部组合'!AA207/$D455</x:f>
        <x:v>0.32474258393847516</x:v>
      </x:c>
      <x:c r="H455" s="12" t="n">
        <x:f>'全部组合'!AB207/$D455</x:f>
        <x:v>0.1619416764661251</x:v>
      </x:c>
      <x:c r="I455" s="12" t="n">
        <x:f>'全部组合'!AC207/$D455</x:f>
        <x:v>0.38694716318742345</x:v>
      </x:c>
      <x:c r="J455" s="12" t="n">
        <x:f>'全部组合'!AD207/$D455</x:f>
        <x:v>0.09582227454173858</x:v>
      </x:c>
      <x:c r="K455" s="12" t="n">
        <x:f>'全部组合'!AE207/$D455</x:f>
        <x:v>0.008340318016636993</x:v>
      </x:c>
      <x:c r="L455" s="12" t="n">
        <x:f>'全部组合'!AF207/$D455</x:f>
        <x:v>0</x:v>
      </x:c>
      <x:c r="M455" s="12" t="n">
        <x:f>'全部组合'!AG207/$D455</x:f>
        <x:v>0</x:v>
      </x:c>
      <x:c r="N455" s="13" t="n">
        <x:f>'全部组合'!AH207/$D455</x:f>
        <x:v>0</x:v>
      </x:c>
    </x:row>
    <x:row r="456" ht="23" customHeight="1">
      <x:c r="A456" s="10" t="str">
        <x:v>M9</x:v>
      </x:c>
      <x:c r="B456" s="10" t="str">
        <x:v>NCG_H0</x:v>
      </x:c>
      <x:c r="C456" s="9" t="str">
        <x:v>节点</x:v>
      </x:c>
      <x:c r="D456" s="11" t="n">
        <x:f>'全部组合'!D208</x:f>
        <x:v>3118</x:v>
      </x:c>
      <x:c r="E456" s="12" t="n">
        <x:f>'全部组合'!O208/$D456</x:f>
        <x:v>0</x:v>
      </x:c>
      <x:c r="F456" s="12" t="n">
        <x:f>'全部组合'!P208/$D456</x:f>
        <x:v>0.09781911481719051</x:v>
      </x:c>
      <x:c r="G456" s="12" t="n">
        <x:f>'全部组合'!Q208/$D456</x:f>
        <x:v>0.38069275176395123</x:v>
      </x:c>
      <x:c r="H456" s="12" t="n">
        <x:f>'全部组合'!R208/$D456</x:f>
        <x:v>0.2254650416933932</x:v>
      </x:c>
      <x:c r="I456" s="12" t="n">
        <x:f>'全部组合'!S208/$D456</x:f>
        <x:v>0.08883899935856318</x:v>
      </x:c>
      <x:c r="J456" s="12" t="n">
        <x:f>'全部组合'!T208/$D456</x:f>
        <x:v>0.028864656831302116</x:v>
      </x:c>
      <x:c r="K456" s="12" t="n">
        <x:f>'全部组合'!U208/$D456</x:f>
        <x:v>0.11802437459910199</x:v>
      </x:c>
      <x:c r="L456" s="12" t="n">
        <x:f>'全部组合'!V208/$D456</x:f>
        <x:v>0.021167415009621552</x:v>
      </x:c>
      <x:c r="M456" s="12" t="n">
        <x:f>'全部组合'!W208/$D456</x:f>
        <x:v>0.0391276459268762</x:v>
      </x:c>
      <x:c r="N456" s="13" t="n">
        <x:f>'全部组合'!X208/$D456</x:f>
        <x:v>0</x:v>
      </x:c>
    </x:row>
    <x:row r="457" ht="23" customHeight="1">
      <x:c r="A457" s="10" t="str">
        <x:v>M9</x:v>
      </x:c>
      <x:c r="B457" s="10" t="str">
        <x:v>NCG_H0</x:v>
      </x:c>
      <x:c r="C457" s="9" t="str">
        <x:v>源三角形</x:v>
      </x:c>
      <x:c r="D457" s="11" t="n">
        <x:f>'全部组合'!I208</x:f>
        <x:v>23921390</x:v>
      </x:c>
      <x:c r="E457" s="12" t="n">
        <x:f>'全部组合'!Y208/$D457</x:f>
        <x:v>0</x:v>
      </x:c>
      <x:c r="F457" s="12" t="n">
        <x:f>'全部组合'!Z208/$D457</x:f>
        <x:v>0.012483471905269718</x:v>
      </x:c>
      <x:c r="G457" s="12" t="n">
        <x:f>'全部组合'!AA208/$D457</x:f>
        <x:v>0.1286486278598359</x:v>
      </x:c>
      <x:c r="H457" s="12" t="n">
        <x:f>'全部组合'!AB208/$D457</x:f>
        <x:v>0.12502041060323</x:v>
      </x:c>
      <x:c r="I457" s="12" t="n">
        <x:f>'全部组合'!AC208/$D457</x:f>
        <x:v>0.2511085267202282</x:v>
      </x:c>
      <x:c r="J457" s="12" t="n">
        <x:f>'全部组合'!AD208/$D457</x:f>
        <x:v>0.09523602098373046</x:v>
      </x:c>
      <x:c r="K457" s="12" t="n">
        <x:f>'全部组合'!AE208/$D457</x:f>
        <x:v>0.11039308334507318</x:v>
      </x:c>
      <x:c r="L457" s="12" t="n">
        <x:f>'全部组合'!AF208/$D457</x:f>
        <x:v>0.18267320586303723</x:v>
      </x:c>
      <x:c r="M457" s="12" t="n">
        <x:f>'全部组合'!AG208/$D457</x:f>
        <x:v>0.09443665271959531</x:v>
      </x:c>
      <x:c r="N457" s="13" t="n">
        <x:f>'全部组合'!AH208/$D457</x:f>
        <x:v>0</x:v>
      </x:c>
    </x:row>
    <x:row r="458" ht="23" customHeight="1">
      <x:c r="A458" s="10" t="str">
        <x:v>M9</x:v>
      </x:c>
      <x:c r="B458" s="10" t="str">
        <x:v>NCG_HT</x:v>
      </x:c>
      <x:c r="C458" s="9" t="str">
        <x:v>节点</x:v>
      </x:c>
      <x:c r="D458" s="11" t="n">
        <x:f>'全部组合'!D209</x:f>
        <x:v>3118</x:v>
      </x:c>
      <x:c r="E458" s="12" t="n">
        <x:f>'全部组合'!O209/$D458</x:f>
        <x:v>0</x:v>
      </x:c>
      <x:c r="F458" s="12" t="n">
        <x:f>'全部组合'!P209/$D458</x:f>
        <x:v>0.07921744708146247</x:v>
      </x:c>
      <x:c r="G458" s="12" t="n">
        <x:f>'全部组合'!Q209/$D458</x:f>
        <x:v>0.36465683130211674</x:v>
      </x:c>
      <x:c r="H458" s="12" t="n">
        <x:f>'全部组合'!R209/$D458</x:f>
        <x:v>0.2549711353431687</x:v>
      </x:c>
      <x:c r="I458" s="12" t="n">
        <x:f>'全部组合'!S209/$D458</x:f>
        <x:v>0.09397049390635022</x:v>
      </x:c>
      <x:c r="J458" s="12" t="n">
        <x:f>'全部组合'!T209/$D458</x:f>
        <x:v>0.028223220012828735</x:v>
      </x:c>
      <x:c r="K458" s="12" t="n">
        <x:f>'全部组合'!U209/$D458</x:f>
        <x:v>0.11866581141757537</x:v>
      </x:c>
      <x:c r="L458" s="12" t="n">
        <x:f>'全部组合'!V209/$D458</x:f>
        <x:v>0.021167415009621552</x:v>
      </x:c>
      <x:c r="M458" s="12" t="n">
        <x:f>'全部组合'!W209/$D458</x:f>
        <x:v>0.0391276459268762</x:v>
      </x:c>
      <x:c r="N458" s="13" t="n">
        <x:f>'全部组合'!X209/$D458</x:f>
        <x:v>0</x:v>
      </x:c>
    </x:row>
    <x:row r="459" ht="23" customHeight="1">
      <x:c r="A459" s="10" t="str">
        <x:v>M9</x:v>
      </x:c>
      <x:c r="B459" s="10" t="str">
        <x:v>NCG_HT</x:v>
      </x:c>
      <x:c r="C459" s="9" t="str">
        <x:v>源三角形</x:v>
      </x:c>
      <x:c r="D459" s="11" t="n">
        <x:f>'全部组合'!I209</x:f>
        <x:v>23921390</x:v>
      </x:c>
      <x:c r="E459" s="12" t="n">
        <x:f>'全部组合'!Y209/$D459</x:f>
        <x:v>0</x:v>
      </x:c>
      <x:c r="F459" s="12" t="n">
        <x:f>'全部组合'!Z209/$D459</x:f>
        <x:v>0.010230425573095878</x:v>
      </x:c>
      <x:c r="G459" s="12" t="n">
        <x:f>'全部组合'!AA209/$D459</x:f>
        <x:v>0.11946220516449922</x:v>
      </x:c>
      <x:c r="H459" s="12" t="n">
        <x:f>'全部组合'!AB209/$D459</x:f>
        <x:v>0.13474242090447086</x:v>
      </x:c>
      <x:c r="I459" s="12" t="n">
        <x:f>'全部组合'!AC209/$D459</x:f>
        <x:v>0.25282598544649787</x:v>
      </x:c>
      <x:c r="J459" s="12" t="n">
        <x:f>'全部组合'!AD209/$D459</x:f>
        <x:v>0.0945681668163932</x:v>
      </x:c>
      <x:c r="K459" s="12" t="n">
        <x:f>'全部组合'!AE209/$D459</x:f>
        <x:v>0.11106093751241045</x:v>
      </x:c>
      <x:c r="L459" s="12" t="n">
        <x:f>'全部组合'!AF209/$D459</x:f>
        <x:v>0.18267320586303723</x:v>
      </x:c>
      <x:c r="M459" s="12" t="n">
        <x:f>'全部组合'!AG209/$D459</x:f>
        <x:v>0.09443665271959531</x:v>
      </x:c>
      <x:c r="N459" s="13" t="n">
        <x:f>'全部组合'!AH209/$D459</x:f>
        <x:v>0</x:v>
      </x:c>
    </x:row>
    <x:row r="460" ht="23" customHeight="1">
      <x:c r="A460" s="10" t="str">
        <x:v>M9</x:v>
      </x:c>
      <x:c r="B460" s="10" t="str">
        <x:v>NCG_H1</x:v>
      </x:c>
      <x:c r="C460" s="9" t="str">
        <x:v>节点</x:v>
      </x:c>
      <x:c r="D460" s="11" t="n">
        <x:f>'全部组合'!D210</x:f>
        <x:v>3118</x:v>
      </x:c>
      <x:c r="E460" s="12" t="n">
        <x:f>'全部组合'!O210/$D460</x:f>
        <x:v>0</x:v>
      </x:c>
      <x:c r="F460" s="12" t="n">
        <x:f>'全部组合'!P210/$D460</x:f>
        <x:v>0.07921744708146247</x:v>
      </x:c>
      <x:c r="G460" s="12" t="n">
        <x:f>'全部组合'!Q210/$D460</x:f>
        <x:v>0.3627325208466966</x:v>
      </x:c>
      <x:c r="H460" s="12" t="n">
        <x:f>'全部组合'!R210/$D460</x:f>
        <x:v>0.25368826170622194</x:v>
      </x:c>
      <x:c r="I460" s="12" t="n">
        <x:f>'全部组合'!S210/$D460</x:f>
        <x:v>0.09397049390635022</x:v>
      </x:c>
      <x:c r="J460" s="12" t="n">
        <x:f>'全部组合'!T210/$D460</x:f>
        <x:v>0.02982681205901219</x:v>
      </x:c>
      <x:c r="K460" s="12" t="n">
        <x:f>'全部组合'!U210/$D460</x:f>
        <x:v>0.12026940346375882</x:v>
      </x:c>
      <x:c r="L460" s="12" t="n">
        <x:f>'全部组合'!V210/$D460</x:f>
        <x:v>0.021167415009621552</x:v>
      </x:c>
      <x:c r="M460" s="12" t="n">
        <x:f>'全部组合'!W210/$D460</x:f>
        <x:v>0.0391276459268762</x:v>
      </x:c>
      <x:c r="N460" s="13" t="n">
        <x:f>'全部组合'!X210/$D460</x:f>
        <x:v>0</x:v>
      </x:c>
    </x:row>
    <x:row r="461" ht="23" customHeight="1">
      <x:c r="A461" s="10" t="str">
        <x:v>M9</x:v>
      </x:c>
      <x:c r="B461" s="10" t="str">
        <x:v>NCG_H1</x:v>
      </x:c>
      <x:c r="C461" s="9" t="str">
        <x:v>源三角形</x:v>
      </x:c>
      <x:c r="D461" s="11" t="n">
        <x:f>'全部组合'!I210</x:f>
        <x:v>23921390</x:v>
      </x:c>
      <x:c r="E461" s="12" t="n">
        <x:f>'全部组合'!Y210/$D461</x:f>
        <x:v>0</x:v>
      </x:c>
      <x:c r="F461" s="12" t="n">
        <x:f>'全部组合'!Z210/$D461</x:f>
        <x:v>0.010230425573095878</x:v>
      </x:c>
      <x:c r="G461" s="12" t="n">
        <x:f>'全部组合'!AA210/$D461</x:f>
        <x:v>0.11659188700991038</x:v>
      </x:c>
      <x:c r="H461" s="12" t="n">
        <x:f>'全部组合'!AB210/$D461</x:f>
        <x:v>0.13305522797797284</x:v>
      </x:c>
      <x:c r="I461" s="12" t="n">
        <x:f>'全部组合'!AC210/$D461</x:f>
        <x:v>0.25282598544649787</x:v>
      </x:c>
      <x:c r="J461" s="12" t="n">
        <x:f>'全部组合'!AD210/$D461</x:f>
        <x:v>0.09628846818684031</x:v>
      </x:c>
      <x:c r="K461" s="12" t="n">
        <x:f>'全部组合'!AE210/$D461</x:f>
        <x:v>0.11389814722305017</x:v>
      </x:c>
      <x:c r="L461" s="12" t="n">
        <x:f>'全部组合'!AF210/$D461</x:f>
        <x:v>0.18267320586303723</x:v>
      </x:c>
      <x:c r="M461" s="12" t="n">
        <x:f>'全部组合'!AG210/$D461</x:f>
        <x:v>0.09443665271959531</x:v>
      </x:c>
      <x:c r="N461" s="13" t="n">
        <x:f>'全部组合'!AH210/$D461</x:f>
        <x:v>0</x:v>
      </x:c>
    </x:row>
    <x:row r="462" ht="23" customHeight="1">
      <x:c r="A462" s="10" t="str">
        <x:v>M9</x:v>
      </x:c>
      <x:c r="B462" s="10" t="str">
        <x:v>NCG_H0_M1</x:v>
      </x:c>
      <x:c r="C462" s="9" t="str">
        <x:v>节点</x:v>
      </x:c>
      <x:c r="D462" s="11" t="n">
        <x:f>'全部组合'!D211</x:f>
        <x:v>3118</x:v>
      </x:c>
      <x:c r="E462" s="12" t="n">
        <x:f>'全部组合'!O211/$D462</x:f>
        <x:v>0</x:v>
      </x:c>
      <x:c r="F462" s="12" t="n">
        <x:f>'全部组合'!P211/$D462</x:f>
        <x:v>0.09108402822322001</x:v>
      </x:c>
      <x:c r="G462" s="12" t="n">
        <x:f>'全部组合'!Q211/$D462</x:f>
        <x:v>0.31783194355356</x:v>
      </x:c>
      <x:c r="H462" s="12" t="n">
        <x:f>'全部组合'!R211/$D462</x:f>
        <x:v>0.18313021167415008</x:v>
      </x:c>
      <x:c r="I462" s="12" t="n">
        <x:f>'全部组合'!S211/$D462</x:f>
        <x:v>0.0753688261706222</x:v>
      </x:c>
      <x:c r="J462" s="12" t="n">
        <x:f>'全部组合'!T211/$D462</x:f>
        <x:v>0.02245028864656831</x:v>
      </x:c>
      <x:c r="K462" s="12" t="n">
        <x:f>'全部组合'!U211/$D462</x:f>
        <x:v>0.15266196279666452</x:v>
      </x:c>
      <x:c r="L462" s="12" t="n">
        <x:f>'全部组合'!V211/$D462</x:f>
        <x:v>0.06478511866581142</x:v>
      </x:c>
      <x:c r="M462" s="12" t="n">
        <x:f>'全部组合'!W211/$D462</x:f>
        <x:v>0.0881975625400898</x:v>
      </x:c>
      <x:c r="N462" s="13" t="n">
        <x:f>'全部组合'!X211/$D462</x:f>
        <x:v>0.004490057729313663</x:v>
      </x:c>
    </x:row>
    <x:row r="463" ht="23" customHeight="1">
      <x:c r="A463" s="10" t="str">
        <x:v>M9</x:v>
      </x:c>
      <x:c r="B463" s="10" t="str">
        <x:v>NCG_H0_M1</x:v>
      </x:c>
      <x:c r="C463" s="9" t="str">
        <x:v>源三角形</x:v>
      </x:c>
      <x:c r="D463" s="11" t="n">
        <x:f>'全部组合'!I211</x:f>
        <x:v>23921390</x:v>
      </x:c>
      <x:c r="E463" s="12" t="n">
        <x:f>'全部组合'!Y211/$D463</x:f>
        <x:v>0</x:v>
      </x:c>
      <x:c r="F463" s="12" t="n">
        <x:f>'全部组合'!Z211/$D463</x:f>
        <x:v>0.010725714517425617</x:v>
      </x:c>
      <x:c r="G463" s="12" t="n">
        <x:f>'全部组合'!AA211/$D463</x:f>
        <x:v>0.08895402817311202</x:v>
      </x:c>
      <x:c r="H463" s="12" t="n">
        <x:f>'全部组合'!AB211/$D463</x:f>
        <x:v>0.09052433825960782</x:v>
      </x:c>
      <x:c r="I463" s="12" t="n">
        <x:f>'全部组合'!AC211/$D463</x:f>
        <x:v>0.146599340590158</x:v>
      </x:c>
      <x:c r="J463" s="12" t="n">
        <x:f>'全部组合'!AD211/$D463</x:f>
        <x:v>0.07132185880502763</x:v>
      </x:c>
      <x:c r="K463" s="12" t="n">
        <x:f>'全部组合'!AE211/$D463</x:f>
        <x:v>0.22800489436441612</x:v>
      </x:c>
      <x:c r="L463" s="12" t="n">
        <x:f>'全部组合'!AF211/$D463</x:f>
        <x:v>0.2322880066751974</x:v>
      </x:c>
      <x:c r="M463" s="12" t="n">
        <x:f>'全部组合'!AG211/$D463</x:f>
        <x:v>0.12449075910722579</x:v>
      </x:c>
      <x:c r="N463" s="13" t="n">
        <x:f>'全部组合'!AH211/$D463</x:f>
        <x:v>0.007091059507829603</x:v>
      </x:c>
    </x:row>
    <x:row r="464" ht="23" customHeight="1">
      <x:c r="A464" s="10" t="str">
        <x:v>M9</x:v>
      </x:c>
      <x:c r="B464" s="10" t="str">
        <x:v>NCG_H1_M1</x:v>
      </x:c>
      <x:c r="C464" s="9" t="str">
        <x:v>节点</x:v>
      </x:c>
      <x:c r="D464" s="11" t="n">
        <x:f>'全部组合'!D212</x:f>
        <x:v>3118</x:v>
      </x:c>
      <x:c r="E464" s="12" t="n">
        <x:f>'全部组合'!O212/$D464</x:f>
        <x:v>0</x:v>
      </x:c>
      <x:c r="F464" s="12" t="n">
        <x:f>'全部组合'!P212/$D464</x:f>
        <x:v>0.07953816549069917</x:v>
      </x:c>
      <x:c r="G464" s="12" t="n">
        <x:f>'全部组合'!Q212/$D464</x:f>
        <x:v>0.290891597177678</x:v>
      </x:c>
      <x:c r="H464" s="12" t="n">
        <x:f>'全部组合'!R212/$D464</x:f>
        <x:v>0.20333547145606157</x:v>
      </x:c>
      <x:c r="I464" s="12" t="n">
        <x:f>'全部组合'!S212/$D464</x:f>
        <x:v>0.08050032071840924</x:v>
      </x:c>
      <x:c r="J464" s="12" t="n">
        <x:f>'全部组合'!T212/$D464</x:f>
        <x:v>0.03559974342527261</x:v>
      </x:c>
      <x:c r="K464" s="12" t="n">
        <x:f>'全部组合'!U212/$D464</x:f>
        <x:v>0.15266196279666452</x:v>
      </x:c>
      <x:c r="L464" s="12" t="n">
        <x:f>'全部组合'!V212/$D464</x:f>
        <x:v>0.06478511866581142</x:v>
      </x:c>
      <x:c r="M464" s="12" t="n">
        <x:f>'全部组合'!W212/$D464</x:f>
        <x:v>0.0881975625400898</x:v>
      </x:c>
      <x:c r="N464" s="13" t="n">
        <x:f>'全部组合'!X212/$D464</x:f>
        <x:v>0.004490057729313663</x:v>
      </x:c>
    </x:row>
    <x:row r="465" ht="23" customHeight="1">
      <x:c r="A465" s="10" t="str">
        <x:v>M9</x:v>
      </x:c>
      <x:c r="B465" s="10" t="str">
        <x:v>NCG_H1_M1</x:v>
      </x:c>
      <x:c r="C465" s="9" t="str">
        <x:v>源三角形</x:v>
      </x:c>
      <x:c r="D465" s="11" t="n">
        <x:f>'全部组合'!I212</x:f>
        <x:v>23921390</x:v>
      </x:c>
      <x:c r="E465" s="12" t="n">
        <x:f>'全部组合'!Y212/$D465</x:f>
        <x:v>0</x:v>
      </x:c>
      <x:c r="F465" s="12" t="n">
        <x:f>'全部组合'!Z212/$D465</x:f>
        <x:v>0.009826268456807903</x:v>
      </x:c>
      <x:c r="G465" s="12" t="n">
        <x:f>'全部组合'!AA212/$D465</x:f>
        <x:v>0.07778812184409016</x:v>
      </x:c>
      <x:c r="H465" s="12" t="n">
        <x:f>'全部组合'!AB212/$D465</x:f>
        <x:v>0.09408433205595494</x:v>
      </x:c>
      <x:c r="I465" s="12" t="n">
        <x:f>'全部组合'!AC212/$D465</x:f>
        <x:v>0.1483167993164277</x:v>
      </x:c>
      <x:c r="J465" s="12" t="n">
        <x:f>'全部组合'!AD212/$D465</x:f>
        <x:v>0.07810975867205042</x:v>
      </x:c>
      <x:c r="K465" s="12" t="n">
        <x:f>'全部组合'!AE212/$D465</x:f>
        <x:v>0.22800489436441612</x:v>
      </x:c>
      <x:c r="L465" s="12" t="n">
        <x:f>'全部组合'!AF212/$D465</x:f>
        <x:v>0.2322880066751974</x:v>
      </x:c>
      <x:c r="M465" s="12" t="n">
        <x:f>'全部组合'!AG212/$D465</x:f>
        <x:v>0.12449075910722579</x:v>
      </x:c>
      <x:c r="N465" s="13" t="n">
        <x:f>'全部组合'!AH212/$D465</x:f>
        <x:v>0.007091059507829603</x:v>
      </x:c>
    </x:row>
    <x:row r="466" ht="23" customHeight="1">
      <x:c r="A466" s="10" t="str">
        <x:v>M10</x:v>
      </x:c>
      <x:c r="B466" s="10" t="str">
        <x:v>N_H0</x:v>
      </x:c>
      <x:c r="C466" s="9" t="str">
        <x:v>节点</x:v>
      </x:c>
      <x:c r="D466" s="11" t="n">
        <x:f>'全部组合'!D213</x:f>
        <x:v>5198</x:v>
      </x:c>
      <x:c r="E466" s="12" t="n">
        <x:f>'全部组合'!O213/$D466</x:f>
        <x:v>0</x:v>
      </x:c>
      <x:c r="F466" s="12" t="n">
        <x:f>'全部组合'!P213/$D466</x:f>
        <x:v>0.10330896498653329</x:v>
      </x:c>
      <x:c r="G466" s="12" t="n">
        <x:f>'全部组合'!Q213/$D466</x:f>
        <x:v>0.03982300884955752</x:v>
      </x:c>
      <x:c r="H466" s="12" t="n">
        <x:f>'全部组合'!R213/$D466</x:f>
        <x:v>0</x:v>
      </x:c>
      <x:c r="I466" s="12" t="n">
        <x:f>'全部组合'!S213/$D466</x:f>
        <x:v>0.772412466333205</x:v>
      </x:c>
      <x:c r="J466" s="12" t="n">
        <x:f>'全部组合'!T213/$D466</x:f>
        <x:v>0.006733358984224702</x:v>
      </x:c>
      <x:c r="K466" s="12" t="n">
        <x:f>'全部组合'!U213/$D466</x:f>
        <x:v>0.020392458637937667</x:v>
      </x:c>
      <x:c r="L466" s="12" t="n">
        <x:f>'全部组合'!V213/$D466</x:f>
        <x:v>0.020392458637937667</x:v>
      </x:c>
      <x:c r="M466" s="12" t="n">
        <x:f>'全部组合'!W213/$D466</x:f>
        <x:v>0.03693728357060408</x:v>
      </x:c>
      <x:c r="N466" s="13" t="n">
        <x:f>'全部组合'!X213/$D466</x:f>
        <x:v>0</x:v>
      </x:c>
    </x:row>
    <x:row r="467" ht="23" customHeight="1">
      <x:c r="A467" s="10" t="str">
        <x:v>M10</x:v>
      </x:c>
      <x:c r="B467" s="10" t="str">
        <x:v>N_H0</x:v>
      </x:c>
      <x:c r="C467" s="9" t="str">
        <x:v>源三角形</x:v>
      </x:c>
      <x:c r="D467" s="11" t="n">
        <x:f>'全部组合'!I213</x:f>
        <x:v>47591131</x:v>
      </x:c>
      <x:c r="E467" s="12" t="n">
        <x:f>'全部组合'!Y213/$D467</x:f>
        <x:v>0</x:v>
      </x:c>
      <x:c r="F467" s="12" t="n">
        <x:f>'全部组合'!Z213/$D467</x:f>
        <x:v>0.02891286613886104</x:v>
      </x:c>
      <x:c r="G467" s="12" t="n">
        <x:f>'全部组合'!AA213/$D467</x:f>
        <x:v>0.013878930509132048</x:v>
      </x:c>
      <x:c r="H467" s="12" t="n">
        <x:f>'全部组合'!AB213/$D467</x:f>
        <x:v>0</x:v>
      </x:c>
      <x:c r="I467" s="12" t="n">
        <x:f>'全部组合'!AC213/$D467</x:f>
        <x:v>0.6535062804033802</x:v>
      </x:c>
      <x:c r="J467" s="12" t="n">
        <x:f>'全部组合'!AD213/$D467</x:f>
        <x:v>0.001512508706716804</x:v>
      </x:c>
      <x:c r="K467" s="12" t="n">
        <x:f>'全部组合'!AE213/$D467</x:f>
        <x:v>0.009500005368647365</x:v>
      </x:c>
      <x:c r="L467" s="12" t="n">
        <x:f>'全部组合'!AF213/$D467</x:f>
        <x:v>0.09248546751284394</x:v>
      </x:c>
      <x:c r="M467" s="12" t="n">
        <x:f>'全部组合'!AG213/$D467</x:f>
        <x:v>0.2002039413604186</x:v>
      </x:c>
      <x:c r="N467" s="13" t="n">
        <x:f>'全部组合'!AH213/$D467</x:f>
        <x:v>0</x:v>
      </x:c>
    </x:row>
    <x:row r="468" ht="23" customHeight="1">
      <x:c r="A468" s="10" t="str">
        <x:v>M10</x:v>
      </x:c>
      <x:c r="B468" s="10" t="str">
        <x:v>N_HT</x:v>
      </x:c>
      <x:c r="C468" s="9" t="str">
        <x:v>节点</x:v>
      </x:c>
      <x:c r="D468" s="11" t="n">
        <x:f>'全部组合'!D214</x:f>
        <x:v>5198</x:v>
      </x:c>
      <x:c r="E468" s="12" t="n">
        <x:f>'全部组合'!O214/$D468</x:f>
        <x:v>0</x:v>
      </x:c>
      <x:c r="F468" s="12" t="n">
        <x:f>'全部组合'!P214/$D468</x:f>
        <x:v>0.10330896498653329</x:v>
      </x:c>
      <x:c r="G468" s="12" t="n">
        <x:f>'全部组合'!Q214/$D468</x:f>
        <x:v>0.03982300884955752</x:v>
      </x:c>
      <x:c r="H468" s="12" t="n">
        <x:f>'全部组合'!R214/$D468</x:f>
        <x:v>0</x:v>
      </x:c>
      <x:c r="I468" s="12" t="n">
        <x:f>'全部组合'!S214/$D468</x:f>
        <x:v>0.772412466333205</x:v>
      </x:c>
      <x:c r="J468" s="12" t="n">
        <x:f>'全部组合'!T214/$D468</x:f>
        <x:v>0.006733358984224702</x:v>
      </x:c>
      <x:c r="K468" s="12" t="n">
        <x:f>'全部组合'!U214/$D468</x:f>
        <x:v>0.020392458637937667</x:v>
      </x:c>
      <x:c r="L468" s="12" t="n">
        <x:f>'全部组合'!V214/$D468</x:f>
        <x:v>0.020392458637937667</x:v>
      </x:c>
      <x:c r="M468" s="12" t="n">
        <x:f>'全部组合'!W214/$D468</x:f>
        <x:v>0.03693728357060408</x:v>
      </x:c>
      <x:c r="N468" s="13" t="n">
        <x:f>'全部组合'!X214/$D468</x:f>
        <x:v>0</x:v>
      </x:c>
    </x:row>
    <x:row r="469" ht="23" customHeight="1">
      <x:c r="A469" s="10" t="str">
        <x:v>M10</x:v>
      </x:c>
      <x:c r="B469" s="10" t="str">
        <x:v>N_HT</x:v>
      </x:c>
      <x:c r="C469" s="9" t="str">
        <x:v>源三角形</x:v>
      </x:c>
      <x:c r="D469" s="11" t="n">
        <x:f>'全部组合'!I214</x:f>
        <x:v>47591131</x:v>
      </x:c>
      <x:c r="E469" s="12" t="n">
        <x:f>'全部组合'!Y214/$D469</x:f>
        <x:v>0</x:v>
      </x:c>
      <x:c r="F469" s="12" t="n">
        <x:f>'全部组合'!Z214/$D469</x:f>
        <x:v>0.02891286613886104</x:v>
      </x:c>
      <x:c r="G469" s="12" t="n">
        <x:f>'全部组合'!AA214/$D469</x:f>
        <x:v>0.013878930509132048</x:v>
      </x:c>
      <x:c r="H469" s="12" t="n">
        <x:f>'全部组合'!AB214/$D469</x:f>
        <x:v>0</x:v>
      </x:c>
      <x:c r="I469" s="12" t="n">
        <x:f>'全部组合'!AC214/$D469</x:f>
        <x:v>0.6535062804033802</x:v>
      </x:c>
      <x:c r="J469" s="12" t="n">
        <x:f>'全部组合'!AD214/$D469</x:f>
        <x:v>0.001512508706716804</x:v>
      </x:c>
      <x:c r="K469" s="12" t="n">
        <x:f>'全部组合'!AE214/$D469</x:f>
        <x:v>0.009500005368647365</x:v>
      </x:c>
      <x:c r="L469" s="12" t="n">
        <x:f>'全部组合'!AF214/$D469</x:f>
        <x:v>0.09248546751284394</x:v>
      </x:c>
      <x:c r="M469" s="12" t="n">
        <x:f>'全部组合'!AG214/$D469</x:f>
        <x:v>0.2002039413604186</x:v>
      </x:c>
      <x:c r="N469" s="13" t="n">
        <x:f>'全部组合'!AH214/$D469</x:f>
        <x:v>0</x:v>
      </x:c>
    </x:row>
    <x:row r="470" ht="23" customHeight="1">
      <x:c r="A470" s="10" t="str">
        <x:v>M10</x:v>
      </x:c>
      <x:c r="B470" s="10" t="str">
        <x:v>N_H1</x:v>
      </x:c>
      <x:c r="C470" s="9" t="str">
        <x:v>节点</x:v>
      </x:c>
      <x:c r="D470" s="11" t="n">
        <x:f>'全部组合'!D215</x:f>
        <x:v>5198</x:v>
      </x:c>
      <x:c r="E470" s="12" t="n">
        <x:f>'全部组合'!O215/$D470</x:f>
        <x:v>0</x:v>
      </x:c>
      <x:c r="F470" s="12" t="n">
        <x:f>'全部组合'!P215/$D470</x:f>
        <x:v>0.10330896498653329</x:v>
      </x:c>
      <x:c r="G470" s="12" t="n">
        <x:f>'全部组合'!Q215/$D470</x:f>
        <x:v>0.0119276644863409</x:v>
      </x:c>
      <x:c r="H470" s="12" t="n">
        <x:f>'全部组合'!R215/$D470</x:f>
        <x:v>0</x:v>
      </x:c>
      <x:c r="I470" s="12" t="n">
        <x:f>'全部组合'!S215/$D470</x:f>
        <x:v>0.772412466333205</x:v>
      </x:c>
      <x:c r="J470" s="12" t="n">
        <x:f>'全部组合'!T215/$D470</x:f>
        <x:v>0.03462870334744132</x:v>
      </x:c>
      <x:c r="K470" s="12" t="n">
        <x:f>'全部组合'!U215/$D470</x:f>
        <x:v>0.020392458637937667</x:v>
      </x:c>
      <x:c r="L470" s="12" t="n">
        <x:f>'全部组合'!V215/$D470</x:f>
        <x:v>0.020392458637937667</x:v>
      </x:c>
      <x:c r="M470" s="12" t="n">
        <x:f>'全部组合'!W215/$D470</x:f>
        <x:v>0.03693728357060408</x:v>
      </x:c>
      <x:c r="N470" s="13" t="n">
        <x:f>'全部组合'!X215/$D470</x:f>
        <x:v>0</x:v>
      </x:c>
    </x:row>
    <x:row r="471" ht="23" customHeight="1">
      <x:c r="A471" s="10" t="str">
        <x:v>M10</x:v>
      </x:c>
      <x:c r="B471" s="10" t="str">
        <x:v>N_H1</x:v>
      </x:c>
      <x:c r="C471" s="9" t="str">
        <x:v>源三角形</x:v>
      </x:c>
      <x:c r="D471" s="11" t="n">
        <x:f>'全部组合'!I215</x:f>
        <x:v>47591131</x:v>
      </x:c>
      <x:c r="E471" s="12" t="n">
        <x:f>'全部组合'!Y215/$D471</x:f>
        <x:v>0</x:v>
      </x:c>
      <x:c r="F471" s="12" t="n">
        <x:f>'全部组合'!Z215/$D471</x:f>
        <x:v>0.02891286613886104</x:v>
      </x:c>
      <x:c r="G471" s="12" t="n">
        <x:f>'全部组合'!AA215/$D471</x:f>
        <x:v>0.009785478727118295</x:v>
      </x:c>
      <x:c r="H471" s="12" t="n">
        <x:f>'全部组合'!AB215/$D471</x:f>
        <x:v>0</x:v>
      </x:c>
      <x:c r="I471" s="12" t="n">
        <x:f>'全部组合'!AC215/$D471</x:f>
        <x:v>0.6535062804033802</x:v>
      </x:c>
      <x:c r="J471" s="12" t="n">
        <x:f>'全部组合'!AD215/$D471</x:f>
        <x:v>0.005605960488730558</x:v>
      </x:c>
      <x:c r="K471" s="12" t="n">
        <x:f>'全部组合'!AE215/$D471</x:f>
        <x:v>0.009500005368647365</x:v>
      </x:c>
      <x:c r="L471" s="12" t="n">
        <x:f>'全部组合'!AF215/$D471</x:f>
        <x:v>0.09248546751284394</x:v>
      </x:c>
      <x:c r="M471" s="12" t="n">
        <x:f>'全部组合'!AG215/$D471</x:f>
        <x:v>0.2002039413604186</x:v>
      </x:c>
      <x:c r="N471" s="13" t="n">
        <x:f>'全部组合'!AH215/$D471</x:f>
        <x:v>0</x:v>
      </x:c>
    </x:row>
    <x:row r="472" ht="23" customHeight="1">
      <x:c r="A472" s="10" t="str">
        <x:v>M10</x:v>
      </x:c>
      <x:c r="B472" s="10" t="str">
        <x:v>C_H0</x:v>
      </x:c>
      <x:c r="C472" s="9" t="str">
        <x:v>节点</x:v>
      </x:c>
      <x:c r="D472" s="11" t="n">
        <x:f>'全部组合'!D216</x:f>
        <x:v>5198</x:v>
      </x:c>
      <x:c r="E472" s="12" t="n">
        <x:f>'全部组合'!O216/$D472</x:f>
        <x:v>0</x:v>
      </x:c>
      <x:c r="F472" s="12" t="n">
        <x:f>'全部组合'!P216/$D472</x:f>
        <x:v>0.2235475182762601</x:v>
      </x:c>
      <x:c r="G472" s="12" t="n">
        <x:f>'全部组合'!Q216/$D472</x:f>
        <x:v>0</x:v>
      </x:c>
      <x:c r="H472" s="12" t="n">
        <x:f>'全部组合'!R216/$D472</x:f>
        <x:v>0</x:v>
      </x:c>
      <x:c r="I472" s="12" t="n">
        <x:f>'全部组合'!S216/$D472</x:f>
        <x:v>0.7756829549826857</x:v>
      </x:c>
      <x:c r="J472" s="12" t="n">
        <x:f>'全部组合'!T216/$D472</x:f>
        <x:v>0</x:v>
      </x:c>
      <x:c r="K472" s="12" t="n">
        <x:f>'全部组合'!U216/$D472</x:f>
        <x:v>0.0007695267410542517</x:v>
      </x:c>
      <x:c r="L472" s="12" t="n">
        <x:f>'全部组合'!V216/$D472</x:f>
        <x:v>0</x:v>
      </x:c>
      <x:c r="M472" s="12" t="n">
        <x:f>'全部组合'!W216/$D472</x:f>
        <x:v>0</x:v>
      </x:c>
      <x:c r="N472" s="13" t="n">
        <x:f>'全部组合'!X216/$D472</x:f>
        <x:v>0</x:v>
      </x:c>
    </x:row>
    <x:row r="473" ht="23" customHeight="1">
      <x:c r="A473" s="10" t="str">
        <x:v>M10</x:v>
      </x:c>
      <x:c r="B473" s="10" t="str">
        <x:v>C_H0</x:v>
      </x:c>
      <x:c r="C473" s="9" t="str">
        <x:v>源三角形</x:v>
      </x:c>
      <x:c r="D473" s="11" t="n">
        <x:f>'全部组合'!I216</x:f>
        <x:v>47591131</x:v>
      </x:c>
      <x:c r="E473" s="12" t="n">
        <x:f>'全部组合'!Y216/$D473</x:f>
        <x:v>0</x:v>
      </x:c>
      <x:c r="F473" s="12" t="n">
        <x:f>'全部组合'!Z216/$D473</x:f>
        <x:v>0.15594914102797852</x:v>
      </x:c>
      <x:c r="G473" s="12" t="n">
        <x:f>'全部组合'!AA216/$D473</x:f>
        <x:v>0</x:v>
      </x:c>
      <x:c r="H473" s="12" t="n">
        <x:f>'全部组合'!AB216/$D473</x:f>
        <x:v>0</x:v>
      </x:c>
      <x:c r="I473" s="12" t="n">
        <x:f>'全部组合'!AC216/$D473</x:f>
        <x:v>0.8436047674513135</x:v>
      </x:c>
      <x:c r="J473" s="12" t="n">
        <x:f>'全部组合'!AD216/$D473</x:f>
        <x:v>0</x:v>
      </x:c>
      <x:c r="K473" s="12" t="n">
        <x:f>'全部组合'!AE216/$D473</x:f>
        <x:v>0.0004460915207079235</x:v>
      </x:c>
      <x:c r="L473" s="12" t="n">
        <x:f>'全部组合'!AF216/$D473</x:f>
        <x:v>0</x:v>
      </x:c>
      <x:c r="M473" s="12" t="n">
        <x:f>'全部组合'!AG216/$D473</x:f>
        <x:v>0</x:v>
      </x:c>
      <x:c r="N473" s="13" t="n">
        <x:f>'全部组合'!AH216/$D473</x:f>
        <x:v>0</x:v>
      </x:c>
    </x:row>
    <x:row r="474" ht="23" customHeight="1">
      <x:c r="A474" s="10" t="str">
        <x:v>M10</x:v>
      </x:c>
      <x:c r="B474" s="10" t="str">
        <x:v>C_HT</x:v>
      </x:c>
      <x:c r="C474" s="9" t="str">
        <x:v>节点</x:v>
      </x:c>
      <x:c r="D474" s="11" t="n">
        <x:f>'全部组合'!D217</x:f>
        <x:v>5198</x:v>
      </x:c>
      <x:c r="E474" s="12" t="n">
        <x:f>'全部组合'!O217/$D474</x:f>
        <x:v>0</x:v>
      </x:c>
      <x:c r="F474" s="12" t="n">
        <x:f>'全部组合'!P217/$D474</x:f>
        <x:v>0.2235475182762601</x:v>
      </x:c>
      <x:c r="G474" s="12" t="n">
        <x:f>'全部组合'!Q217/$D474</x:f>
        <x:v>0</x:v>
      </x:c>
      <x:c r="H474" s="12" t="n">
        <x:f>'全部组合'!R217/$D474</x:f>
        <x:v>0</x:v>
      </x:c>
      <x:c r="I474" s="12" t="n">
        <x:f>'全部组合'!S217/$D474</x:f>
        <x:v>0.7756829549826857</x:v>
      </x:c>
      <x:c r="J474" s="12" t="n">
        <x:f>'全部组合'!T217/$D474</x:f>
        <x:v>0</x:v>
      </x:c>
      <x:c r="K474" s="12" t="n">
        <x:f>'全部组合'!U217/$D474</x:f>
        <x:v>0.0007695267410542517</x:v>
      </x:c>
      <x:c r="L474" s="12" t="n">
        <x:f>'全部组合'!V217/$D474</x:f>
        <x:v>0</x:v>
      </x:c>
      <x:c r="M474" s="12" t="n">
        <x:f>'全部组合'!W217/$D474</x:f>
        <x:v>0</x:v>
      </x:c>
      <x:c r="N474" s="13" t="n">
        <x:f>'全部组合'!X217/$D474</x:f>
        <x:v>0</x:v>
      </x:c>
    </x:row>
    <x:row r="475" ht="23" customHeight="1">
      <x:c r="A475" s="10" t="str">
        <x:v>M10</x:v>
      </x:c>
      <x:c r="B475" s="10" t="str">
        <x:v>C_HT</x:v>
      </x:c>
      <x:c r="C475" s="9" t="str">
        <x:v>源三角形</x:v>
      </x:c>
      <x:c r="D475" s="11" t="n">
        <x:f>'全部组合'!I217</x:f>
        <x:v>47591131</x:v>
      </x:c>
      <x:c r="E475" s="12" t="n">
        <x:f>'全部组合'!Y217/$D475</x:f>
        <x:v>0</x:v>
      </x:c>
      <x:c r="F475" s="12" t="n">
        <x:f>'全部组合'!Z217/$D475</x:f>
        <x:v>0.15594914102797852</x:v>
      </x:c>
      <x:c r="G475" s="12" t="n">
        <x:f>'全部组合'!AA217/$D475</x:f>
        <x:v>0</x:v>
      </x:c>
      <x:c r="H475" s="12" t="n">
        <x:f>'全部组合'!AB217/$D475</x:f>
        <x:v>0</x:v>
      </x:c>
      <x:c r="I475" s="12" t="n">
        <x:f>'全部组合'!AC217/$D475</x:f>
        <x:v>0.8436047674513135</x:v>
      </x:c>
      <x:c r="J475" s="12" t="n">
        <x:f>'全部组合'!AD217/$D475</x:f>
        <x:v>0</x:v>
      </x:c>
      <x:c r="K475" s="12" t="n">
        <x:f>'全部组合'!AE217/$D475</x:f>
        <x:v>0.0004460915207079235</x:v>
      </x:c>
      <x:c r="L475" s="12" t="n">
        <x:f>'全部组合'!AF217/$D475</x:f>
        <x:v>0</x:v>
      </x:c>
      <x:c r="M475" s="12" t="n">
        <x:f>'全部组合'!AG217/$D475</x:f>
        <x:v>0</x:v>
      </x:c>
      <x:c r="N475" s="13" t="n">
        <x:f>'全部组合'!AH217/$D475</x:f>
        <x:v>0</x:v>
      </x:c>
    </x:row>
    <x:row r="476" ht="23" customHeight="1">
      <x:c r="A476" s="10" t="str">
        <x:v>M10</x:v>
      </x:c>
      <x:c r="B476" s="10" t="str">
        <x:v>C_H1</x:v>
      </x:c>
      <x:c r="C476" s="9" t="str">
        <x:v>节点</x:v>
      </x:c>
      <x:c r="D476" s="11" t="n">
        <x:f>'全部组合'!D218</x:f>
        <x:v>5198</x:v>
      </x:c>
      <x:c r="E476" s="12" t="n">
        <x:f>'全部组合'!O218/$D476</x:f>
        <x:v>0</x:v>
      </x:c>
      <x:c r="F476" s="12" t="n">
        <x:f>'全部组合'!P218/$D476</x:f>
        <x:v>0.2235475182762601</x:v>
      </x:c>
      <x:c r="G476" s="12" t="n">
        <x:f>'全部组合'!Q218/$D476</x:f>
        <x:v>0</x:v>
      </x:c>
      <x:c r="H476" s="12" t="n">
        <x:f>'全部组合'!R218/$D476</x:f>
        <x:v>0</x:v>
      </x:c>
      <x:c r="I476" s="12" t="n">
        <x:f>'全部组合'!S218/$D476</x:f>
        <x:v>0.7756829549826857</x:v>
      </x:c>
      <x:c r="J476" s="12" t="n">
        <x:f>'全部组合'!T218/$D476</x:f>
        <x:v>0</x:v>
      </x:c>
      <x:c r="K476" s="12" t="n">
        <x:f>'全部组合'!U218/$D476</x:f>
        <x:v>0.0007695267410542517</x:v>
      </x:c>
      <x:c r="L476" s="12" t="n">
        <x:f>'全部组合'!V218/$D476</x:f>
        <x:v>0</x:v>
      </x:c>
      <x:c r="M476" s="12" t="n">
        <x:f>'全部组合'!W218/$D476</x:f>
        <x:v>0</x:v>
      </x:c>
      <x:c r="N476" s="13" t="n">
        <x:f>'全部组合'!X218/$D476</x:f>
        <x:v>0</x:v>
      </x:c>
    </x:row>
    <x:row r="477" ht="23" customHeight="1">
      <x:c r="A477" s="10" t="str">
        <x:v>M10</x:v>
      </x:c>
      <x:c r="B477" s="10" t="str">
        <x:v>C_H1</x:v>
      </x:c>
      <x:c r="C477" s="9" t="str">
        <x:v>源三角形</x:v>
      </x:c>
      <x:c r="D477" s="11" t="n">
        <x:f>'全部组合'!I218</x:f>
        <x:v>47591131</x:v>
      </x:c>
      <x:c r="E477" s="12" t="n">
        <x:f>'全部组合'!Y218/$D477</x:f>
        <x:v>0</x:v>
      </x:c>
      <x:c r="F477" s="12" t="n">
        <x:f>'全部组合'!Z218/$D477</x:f>
        <x:v>0.15594914102797852</x:v>
      </x:c>
      <x:c r="G477" s="12" t="n">
        <x:f>'全部组合'!AA218/$D477</x:f>
        <x:v>0</x:v>
      </x:c>
      <x:c r="H477" s="12" t="n">
        <x:f>'全部组合'!AB218/$D477</x:f>
        <x:v>0</x:v>
      </x:c>
      <x:c r="I477" s="12" t="n">
        <x:f>'全部组合'!AC218/$D477</x:f>
        <x:v>0.8436047674513135</x:v>
      </x:c>
      <x:c r="J477" s="12" t="n">
        <x:f>'全部组合'!AD218/$D477</x:f>
        <x:v>0</x:v>
      </x:c>
      <x:c r="K477" s="12" t="n">
        <x:f>'全部组合'!AE218/$D477</x:f>
        <x:v>0.0004460915207079235</x:v>
      </x:c>
      <x:c r="L477" s="12" t="n">
        <x:f>'全部组合'!AF218/$D477</x:f>
        <x:v>0</x:v>
      </x:c>
      <x:c r="M477" s="12" t="n">
        <x:f>'全部组合'!AG218/$D477</x:f>
        <x:v>0</x:v>
      </x:c>
      <x:c r="N477" s="13" t="n">
        <x:f>'全部组合'!AH218/$D477</x:f>
        <x:v>0</x:v>
      </x:c>
    </x:row>
    <x:row r="478" ht="23" customHeight="1">
      <x:c r="A478" s="10" t="str">
        <x:v>M10</x:v>
      </x:c>
      <x:c r="B478" s="10" t="str">
        <x:v>G_H0</x:v>
      </x:c>
      <x:c r="C478" s="9" t="str">
        <x:v>节点</x:v>
      </x:c>
      <x:c r="D478" s="11" t="n">
        <x:f>'全部组合'!D219</x:f>
        <x:v>5198</x:v>
      </x:c>
      <x:c r="E478" s="12" t="n">
        <x:f>'全部组合'!O219/$D478</x:f>
        <x:v>0</x:v>
      </x:c>
      <x:c r="F478" s="12" t="n">
        <x:f>'全部组合'!P219/$D478</x:f>
        <x:v>0.25971527510580994</x:v>
      </x:c>
      <x:c r="G478" s="12" t="n">
        <x:f>'全部组合'!Q219/$D478</x:f>
        <x:v>0.5423239707579839</x:v>
      </x:c>
      <x:c r="H478" s="12" t="n">
        <x:f>'全部组合'!R219/$D478</x:f>
        <x:v>0.14697960754136205</x:v>
      </x:c>
      <x:c r="I478" s="12" t="n">
        <x:f>'全部组合'!S219/$D478</x:f>
        <x:v>0.03866871873797614</x:v>
      </x:c>
      <x:c r="J478" s="12" t="n">
        <x:f>'全部组合'!T219/$D478</x:f>
        <x:v>0.012312427856868027</x:v>
      </x:c>
      <x:c r="K478" s="12" t="n">
        <x:f>'全部组合'!U219/$D478</x:f>
        <x:v>0</x:v>
      </x:c>
      <x:c r="L478" s="12" t="n">
        <x:f>'全部组合'!V219/$D478</x:f>
        <x:v>0</x:v>
      </x:c>
      <x:c r="M478" s="12" t="n">
        <x:f>'全部组合'!W219/$D478</x:f>
        <x:v>0</x:v>
      </x:c>
      <x:c r="N478" s="13" t="n">
        <x:f>'全部组合'!X219/$D478</x:f>
        <x:v>0</x:v>
      </x:c>
    </x:row>
    <x:row r="479" ht="23" customHeight="1">
      <x:c r="A479" s="10" t="str">
        <x:v>M10</x:v>
      </x:c>
      <x:c r="B479" s="10" t="str">
        <x:v>G_H0</x:v>
      </x:c>
      <x:c r="C479" s="9" t="str">
        <x:v>源三角形</x:v>
      </x:c>
      <x:c r="D479" s="11" t="n">
        <x:f>'全部组合'!I219</x:f>
        <x:v>47591131</x:v>
      </x:c>
      <x:c r="E479" s="12" t="n">
        <x:f>'全部组合'!Y219/$D479</x:f>
        <x:v>0</x:v>
      </x:c>
      <x:c r="F479" s="12" t="n">
        <x:f>'全部组合'!Z219/$D479</x:f>
        <x:v>0.05790545301392396</x:v>
      </x:c>
      <x:c r="G479" s="12" t="n">
        <x:f>'全部组合'!AA219/$D479</x:f>
        <x:v>0.6038624087332575</x:v>
      </x:c>
      <x:c r="H479" s="12" t="n">
        <x:f>'全部组合'!AB219/$D479</x:f>
        <x:v>0.11798618528313605</x:v>
      </x:c>
      <x:c r="I479" s="12" t="n">
        <x:f>'全部组合'!AC219/$D479</x:f>
        <x:v>0.14162231193875177</x:v>
      </x:c>
      <x:c r="J479" s="12" t="n">
        <x:f>'全部组合'!AD219/$D479</x:f>
        <x:v>0.07862364103093074</x:v>
      </x:c>
      <x:c r="K479" s="12" t="n">
        <x:f>'全部组合'!AE219/$D479</x:f>
        <x:v>0</x:v>
      </x:c>
      <x:c r="L479" s="12" t="n">
        <x:f>'全部组合'!AF219/$D479</x:f>
        <x:v>0</x:v>
      </x:c>
      <x:c r="M479" s="12" t="n">
        <x:f>'全部组合'!AG219/$D479</x:f>
        <x:v>0</x:v>
      </x:c>
      <x:c r="N479" s="13" t="n">
        <x:f>'全部组合'!AH219/$D479</x:f>
        <x:v>0</x:v>
      </x:c>
    </x:row>
    <x:row r="480" ht="23" customHeight="1">
      <x:c r="A480" s="10" t="str">
        <x:v>M10</x:v>
      </x:c>
      <x:c r="B480" s="10" t="str">
        <x:v>G_HT</x:v>
      </x:c>
      <x:c r="C480" s="9" t="str">
        <x:v>节点</x:v>
      </x:c>
      <x:c r="D480" s="11" t="n">
        <x:f>'全部组合'!D220</x:f>
        <x:v>5198</x:v>
      </x:c>
      <x:c r="E480" s="12" t="n">
        <x:f>'全部组合'!O220/$D480</x:f>
        <x:v>0</x:v>
      </x:c>
      <x:c r="F480" s="12" t="n">
        <x:f>'全部组合'!P220/$D480</x:f>
        <x:v>0.16063870719507503</x:v>
      </x:c>
      <x:c r="G480" s="12" t="n">
        <x:f>'全部组合'!Q220/$D480</x:f>
        <x:v>0.5817622162370142</x:v>
      </x:c>
      <x:c r="H480" s="12" t="n">
        <x:f>'全部组合'!R220/$D480</x:f>
        <x:v>0.20200076952674106</x:v>
      </x:c>
      <x:c r="I480" s="12" t="n">
        <x:f>'全部组合'!S220/$D480</x:f>
        <x:v>0.04078491727587533</x:v>
      </x:c>
      <x:c r="J480" s="12" t="n">
        <x:f>'全部组合'!T220/$D480</x:f>
        <x:v>0.014813389765294343</x:v>
      </x:c>
      <x:c r="K480" s="12" t="n">
        <x:f>'全部组合'!U220/$D480</x:f>
        <x:v>0</x:v>
      </x:c>
      <x:c r="L480" s="12" t="n">
        <x:f>'全部组合'!V220/$D480</x:f>
        <x:v>0</x:v>
      </x:c>
      <x:c r="M480" s="12" t="n">
        <x:f>'全部组合'!W220/$D480</x:f>
        <x:v>0</x:v>
      </x:c>
      <x:c r="N480" s="13" t="n">
        <x:f>'全部组合'!X220/$D480</x:f>
        <x:v>0</x:v>
      </x:c>
    </x:row>
    <x:row r="481" ht="23" customHeight="1">
      <x:c r="A481" s="10" t="str">
        <x:v>M10</x:v>
      </x:c>
      <x:c r="B481" s="10" t="str">
        <x:v>G_HT</x:v>
      </x:c>
      <x:c r="C481" s="9" t="str">
        <x:v>源三角形</x:v>
      </x:c>
      <x:c r="D481" s="11" t="n">
        <x:f>'全部组合'!I220</x:f>
        <x:v>47591131</x:v>
      </x:c>
      <x:c r="E481" s="12" t="n">
        <x:f>'全部组合'!Y220/$D481</x:f>
        <x:v>0</x:v>
      </x:c>
      <x:c r="F481" s="12" t="n">
        <x:f>'全部组合'!Z220/$D481</x:f>
        <x:v>0.03231148257434773</x:v>
      </x:c>
      <x:c r="G481" s="12" t="n">
        <x:f>'全部组合'!AA220/$D481</x:f>
        <x:v>0.5710465884914565</x:v>
      </x:c>
      <x:c r="H481" s="12" t="n">
        <x:f>'全部组合'!AB220/$D481</x:f>
        <x:v>0.1746202249322463</x:v>
      </x:c>
      <x:c r="I481" s="12" t="n">
        <x:f>'全部组合'!AC220/$D481</x:f>
        <x:v>0.13992409636156788</x:v>
      </x:c>
      <x:c r="J481" s="12" t="n">
        <x:f>'全部组合'!AD220/$D481</x:f>
        <x:v>0.08209760764038157</x:v>
      </x:c>
      <x:c r="K481" s="12" t="n">
        <x:f>'全部组合'!AE220/$D481</x:f>
        <x:v>0</x:v>
      </x:c>
      <x:c r="L481" s="12" t="n">
        <x:f>'全部组合'!AF220/$D481</x:f>
        <x:v>0</x:v>
      </x:c>
      <x:c r="M481" s="12" t="n">
        <x:f>'全部组合'!AG220/$D481</x:f>
        <x:v>0</x:v>
      </x:c>
      <x:c r="N481" s="13" t="n">
        <x:f>'全部组合'!AH220/$D481</x:f>
        <x:v>0</x:v>
      </x:c>
    </x:row>
    <x:row r="482" ht="23" customHeight="1">
      <x:c r="A482" s="10" t="str">
        <x:v>M10</x:v>
      </x:c>
      <x:c r="B482" s="10" t="str">
        <x:v>G_H1</x:v>
      </x:c>
      <x:c r="C482" s="9" t="str">
        <x:v>节点</x:v>
      </x:c>
      <x:c r="D482" s="11" t="n">
        <x:f>'全部组合'!D221</x:f>
        <x:v>5198</x:v>
      </x:c>
      <x:c r="E482" s="12" t="n">
        <x:f>'全部组合'!O221/$D482</x:f>
        <x:v>0</x:v>
      </x:c>
      <x:c r="F482" s="12" t="n">
        <x:f>'全部组合'!P221/$D482</x:f>
        <x:v>0.16063870719507503</x:v>
      </x:c>
      <x:c r="G482" s="12" t="n">
        <x:f>'全部组合'!Q221/$D482</x:f>
        <x:v>0.5817622162370142</x:v>
      </x:c>
      <x:c r="H482" s="12" t="n">
        <x:f>'全部组合'!R221/$D482</x:f>
        <x:v>0.20200076952674106</x:v>
      </x:c>
      <x:c r="I482" s="12" t="n">
        <x:f>'全部组合'!S221/$D482</x:f>
        <x:v>0.04078491727587533</x:v>
      </x:c>
      <x:c r="J482" s="12" t="n">
        <x:f>'全部组合'!T221/$D482</x:f>
        <x:v>0.014813389765294343</x:v>
      </x:c>
      <x:c r="K482" s="12" t="n">
        <x:f>'全部组合'!U221/$D482</x:f>
        <x:v>0</x:v>
      </x:c>
      <x:c r="L482" s="12" t="n">
        <x:f>'全部组合'!V221/$D482</x:f>
        <x:v>0</x:v>
      </x:c>
      <x:c r="M482" s="12" t="n">
        <x:f>'全部组合'!W221/$D482</x:f>
        <x:v>0</x:v>
      </x:c>
      <x:c r="N482" s="13" t="n">
        <x:f>'全部组合'!X221/$D482</x:f>
        <x:v>0</x:v>
      </x:c>
    </x:row>
    <x:row r="483" ht="23" customHeight="1">
      <x:c r="A483" s="10" t="str">
        <x:v>M10</x:v>
      </x:c>
      <x:c r="B483" s="10" t="str">
        <x:v>G_H1</x:v>
      </x:c>
      <x:c r="C483" s="9" t="str">
        <x:v>源三角形</x:v>
      </x:c>
      <x:c r="D483" s="11" t="n">
        <x:f>'全部组合'!I221</x:f>
        <x:v>47591131</x:v>
      </x:c>
      <x:c r="E483" s="12" t="n">
        <x:f>'全部组合'!Y221/$D483</x:f>
        <x:v>0</x:v>
      </x:c>
      <x:c r="F483" s="12" t="n">
        <x:f>'全部组合'!Z221/$D483</x:f>
        <x:v>0.03231148257434773</x:v>
      </x:c>
      <x:c r="G483" s="12" t="n">
        <x:f>'全部组合'!AA221/$D483</x:f>
        <x:v>0.5710465884914565</x:v>
      </x:c>
      <x:c r="H483" s="12" t="n">
        <x:f>'全部组合'!AB221/$D483</x:f>
        <x:v>0.1746202249322463</x:v>
      </x:c>
      <x:c r="I483" s="12" t="n">
        <x:f>'全部组合'!AC221/$D483</x:f>
        <x:v>0.13992409636156788</x:v>
      </x:c>
      <x:c r="J483" s="12" t="n">
        <x:f>'全部组合'!AD221/$D483</x:f>
        <x:v>0.08209760764038157</x:v>
      </x:c>
      <x:c r="K483" s="12" t="n">
        <x:f>'全部组合'!AE221/$D483</x:f>
        <x:v>0</x:v>
      </x:c>
      <x:c r="L483" s="12" t="n">
        <x:f>'全部组合'!AF221/$D483</x:f>
        <x:v>0</x:v>
      </x:c>
      <x:c r="M483" s="12" t="n">
        <x:f>'全部组合'!AG221/$D483</x:f>
        <x:v>0</x:v>
      </x:c>
      <x:c r="N483" s="13" t="n">
        <x:f>'全部组合'!AH221/$D483</x:f>
        <x:v>0</x:v>
      </x:c>
    </x:row>
    <x:row r="484" ht="23" customHeight="1">
      <x:c r="A484" s="10" t="str">
        <x:v>M10</x:v>
      </x:c>
      <x:c r="B484" s="10" t="str">
        <x:v>NC_H0</x:v>
      </x:c>
      <x:c r="C484" s="9" t="str">
        <x:v>节点</x:v>
      </x:c>
      <x:c r="D484" s="11" t="n">
        <x:f>'全部组合'!D222</x:f>
        <x:v>5198</x:v>
      </x:c>
      <x:c r="E484" s="12" t="n">
        <x:f>'全部组合'!O222/$D484</x:f>
        <x:v>0</x:v>
      </x:c>
      <x:c r="F484" s="12" t="n">
        <x:f>'全部组合'!P222/$D484</x:f>
        <x:v>0.2198922662562524</x:v>
      </x:c>
      <x:c r="G484" s="12" t="n">
        <x:f>'全部组合'!Q222/$D484</x:f>
        <x:v>0.03693728357060408</x:v>
      </x:c>
      <x:c r="H484" s="12" t="n">
        <x:f>'全部组合'!R222/$D484</x:f>
        <x:v>0</x:v>
      </x:c>
      <x:c r="I484" s="12" t="n">
        <x:f>'全部组合'!S222/$D484</x:f>
        <x:v>0.6746825702193151</x:v>
      </x:c>
      <x:c r="J484" s="12" t="n">
        <x:f>'全部组合'!T222/$D484</x:f>
        <x:v>0.006733358984224702</x:v>
      </x:c>
      <x:c r="K484" s="12" t="n">
        <x:f>'全部组合'!U222/$D484</x:f>
        <x:v>0.01846864178530204</x:v>
      </x:c>
      <x:c r="L484" s="12" t="n">
        <x:f>'全部组合'!V222/$D484</x:f>
        <x:v>0.009426702577914583</x:v>
      </x:c>
      <x:c r="M484" s="12" t="n">
        <x:f>'全部组合'!W222/$D484</x:f>
        <x:v>0.03385917660638707</x:v>
      </x:c>
      <x:c r="N484" s="13" t="n">
        <x:f>'全部组合'!X222/$D484</x:f>
        <x:v>0</x:v>
      </x:c>
    </x:row>
    <x:row r="485" ht="23" customHeight="1">
      <x:c r="A485" s="10" t="str">
        <x:v>M10</x:v>
      </x:c>
      <x:c r="B485" s="10" t="str">
        <x:v>NC_H0</x:v>
      </x:c>
      <x:c r="C485" s="9" t="str">
        <x:v>源三角形</x:v>
      </x:c>
      <x:c r="D485" s="11" t="n">
        <x:f>'全部组合'!I222</x:f>
        <x:v>47591131</x:v>
      </x:c>
      <x:c r="E485" s="12" t="n">
        <x:f>'全部组合'!Y222/$D485</x:f>
        <x:v>0</x:v>
      </x:c>
      <x:c r="F485" s="12" t="n">
        <x:f>'全部组合'!Z222/$D485</x:f>
        <x:v>0.1605515531875046</x:v>
      </x:c>
      <x:c r="G485" s="12" t="n">
        <x:f>'全部组合'!AA222/$D485</x:f>
        <x:v>0.011496049547551202</x:v>
      </x:c>
      <x:c r="H485" s="12" t="n">
        <x:f>'全部组合'!AB222/$D485</x:f>
        <x:v>0</x:v>
      </x:c>
      <x:c r="I485" s="12" t="n">
        <x:f>'全部组合'!AC222/$D485</x:f>
        <x:v>0.5330054669219776</x:v>
      </x:c>
      <x:c r="J485" s="12" t="n">
        <x:f>'全部组合'!AD222/$D485</x:f>
        <x:v>0.001512508706716804</x:v>
      </x:c>
      <x:c r="K485" s="12" t="n">
        <x:f>'全部组合'!AE222/$D485</x:f>
        <x:v>0.0089629725336849</x:v>
      </x:c>
      <x:c r="L485" s="12" t="n">
        <x:f>'全部组合'!AF222/$D485</x:f>
        <x:v>0.08616697930545084</x:v>
      </x:c>
      <x:c r="M485" s="12" t="n">
        <x:f>'全部组合'!AG222/$D485</x:f>
        <x:v>0.19830446979711408</x:v>
      </x:c>
      <x:c r="N485" s="13" t="n">
        <x:f>'全部组合'!AH222/$D485</x:f>
        <x:v>0</x:v>
      </x:c>
    </x:row>
    <x:row r="486" ht="23" customHeight="1">
      <x:c r="A486" s="10" t="str">
        <x:v>M10</x:v>
      </x:c>
      <x:c r="B486" s="10" t="str">
        <x:v>NC_HT</x:v>
      </x:c>
      <x:c r="C486" s="9" t="str">
        <x:v>节点</x:v>
      </x:c>
      <x:c r="D486" s="11" t="n">
        <x:f>'全部组合'!D223</x:f>
        <x:v>5198</x:v>
      </x:c>
      <x:c r="E486" s="12" t="n">
        <x:f>'全部组合'!O223/$D486</x:f>
        <x:v>0</x:v>
      </x:c>
      <x:c r="F486" s="12" t="n">
        <x:f>'全部组合'!P223/$D486</x:f>
        <x:v>0.2198922662562524</x:v>
      </x:c>
      <x:c r="G486" s="12" t="n">
        <x:f>'全部组合'!Q223/$D486</x:f>
        <x:v>0.03693728357060408</x:v>
      </x:c>
      <x:c r="H486" s="12" t="n">
        <x:f>'全部组合'!R223/$D486</x:f>
        <x:v>0</x:v>
      </x:c>
      <x:c r="I486" s="12" t="n">
        <x:f>'全部组合'!S223/$D486</x:f>
        <x:v>0.6746825702193151</x:v>
      </x:c>
      <x:c r="J486" s="12" t="n">
        <x:f>'全部组合'!T223/$D486</x:f>
        <x:v>0.006733358984224702</x:v>
      </x:c>
      <x:c r="K486" s="12" t="n">
        <x:f>'全部组合'!U223/$D486</x:f>
        <x:v>0.01846864178530204</x:v>
      </x:c>
      <x:c r="L486" s="12" t="n">
        <x:f>'全部组合'!V223/$D486</x:f>
        <x:v>0.009426702577914583</x:v>
      </x:c>
      <x:c r="M486" s="12" t="n">
        <x:f>'全部组合'!W223/$D486</x:f>
        <x:v>0.03385917660638707</x:v>
      </x:c>
      <x:c r="N486" s="13" t="n">
        <x:f>'全部组合'!X223/$D486</x:f>
        <x:v>0</x:v>
      </x:c>
    </x:row>
    <x:row r="487" ht="23" customHeight="1">
      <x:c r="A487" s="10" t="str">
        <x:v>M10</x:v>
      </x:c>
      <x:c r="B487" s="10" t="str">
        <x:v>NC_HT</x:v>
      </x:c>
      <x:c r="C487" s="9" t="str">
        <x:v>源三角形</x:v>
      </x:c>
      <x:c r="D487" s="11" t="n">
        <x:f>'全部组合'!I223</x:f>
        <x:v>47591131</x:v>
      </x:c>
      <x:c r="E487" s="12" t="n">
        <x:f>'全部组合'!Y223/$D487</x:f>
        <x:v>0</x:v>
      </x:c>
      <x:c r="F487" s="12" t="n">
        <x:f>'全部组合'!Z223/$D487</x:f>
        <x:v>0.1605515531875046</x:v>
      </x:c>
      <x:c r="G487" s="12" t="n">
        <x:f>'全部组合'!AA223/$D487</x:f>
        <x:v>0.011496049547551202</x:v>
      </x:c>
      <x:c r="H487" s="12" t="n">
        <x:f>'全部组合'!AB223/$D487</x:f>
        <x:v>0</x:v>
      </x:c>
      <x:c r="I487" s="12" t="n">
        <x:f>'全部组合'!AC223/$D487</x:f>
        <x:v>0.5330054669219776</x:v>
      </x:c>
      <x:c r="J487" s="12" t="n">
        <x:f>'全部组合'!AD223/$D487</x:f>
        <x:v>0.001512508706716804</x:v>
      </x:c>
      <x:c r="K487" s="12" t="n">
        <x:f>'全部组合'!AE223/$D487</x:f>
        <x:v>0.0089629725336849</x:v>
      </x:c>
      <x:c r="L487" s="12" t="n">
        <x:f>'全部组合'!AF223/$D487</x:f>
        <x:v>0.08616697930545084</x:v>
      </x:c>
      <x:c r="M487" s="12" t="n">
        <x:f>'全部组合'!AG223/$D487</x:f>
        <x:v>0.19830446979711408</x:v>
      </x:c>
      <x:c r="N487" s="13" t="n">
        <x:f>'全部组合'!AH223/$D487</x:f>
        <x:v>0</x:v>
      </x:c>
    </x:row>
    <x:row r="488" ht="23" customHeight="1">
      <x:c r="A488" s="10" t="str">
        <x:v>M10</x:v>
      </x:c>
      <x:c r="B488" s="10" t="str">
        <x:v>NC_H1</x:v>
      </x:c>
      <x:c r="C488" s="9" t="str">
        <x:v>节点</x:v>
      </x:c>
      <x:c r="D488" s="11" t="n">
        <x:f>'全部组合'!D224</x:f>
        <x:v>5198</x:v>
      </x:c>
      <x:c r="E488" s="12" t="n">
        <x:f>'全部组合'!O224/$D488</x:f>
        <x:v>0</x:v>
      </x:c>
      <x:c r="F488" s="12" t="n">
        <x:f>'全部组合'!P224/$D488</x:f>
        <x:v>0.2198922662562524</x:v>
      </x:c>
      <x:c r="G488" s="12" t="n">
        <x:f>'全部组合'!Q224/$D488</x:f>
        <x:v>0.009811465948441709</x:v>
      </x:c>
      <x:c r="H488" s="12" t="n">
        <x:f>'全部组合'!R224/$D488</x:f>
        <x:v>0</x:v>
      </x:c>
      <x:c r="I488" s="12" t="n">
        <x:f>'全部组合'!S224/$D488</x:f>
        <x:v>0.6746825702193151</x:v>
      </x:c>
      <x:c r="J488" s="12" t="n">
        <x:f>'全部组合'!T224/$D488</x:f>
        <x:v>0.03385917660638707</x:v>
      </x:c>
      <x:c r="K488" s="12" t="n">
        <x:f>'全部组合'!U224/$D488</x:f>
        <x:v>0.01846864178530204</x:v>
      </x:c>
      <x:c r="L488" s="12" t="n">
        <x:f>'全部组合'!V224/$D488</x:f>
        <x:v>0.009426702577914583</x:v>
      </x:c>
      <x:c r="M488" s="12" t="n">
        <x:f>'全部组合'!W224/$D488</x:f>
        <x:v>0.03385917660638707</x:v>
      </x:c>
      <x:c r="N488" s="13" t="n">
        <x:f>'全部组合'!X224/$D488</x:f>
        <x:v>0</x:v>
      </x:c>
    </x:row>
    <x:row r="489" ht="23" customHeight="1">
      <x:c r="A489" s="10" t="str">
        <x:v>M10</x:v>
      </x:c>
      <x:c r="B489" s="10" t="str">
        <x:v>NC_H1</x:v>
      </x:c>
      <x:c r="C489" s="9" t="str">
        <x:v>源三角形</x:v>
      </x:c>
      <x:c r="D489" s="11" t="n">
        <x:f>'全部组合'!I224</x:f>
        <x:v>47591131</x:v>
      </x:c>
      <x:c r="E489" s="12" t="n">
        <x:f>'全部组合'!Y224/$D489</x:f>
        <x:v>0</x:v>
      </x:c>
      <x:c r="F489" s="12" t="n">
        <x:f>'全部组合'!Z224/$D489</x:f>
        <x:v>0.1605515531875046</x:v>
      </x:c>
      <x:c r="G489" s="12" t="n">
        <x:f>'全部组合'!AA224/$D489</x:f>
        <x:v>0.007451850639985841</x:v>
      </x:c>
      <x:c r="H489" s="12" t="n">
        <x:f>'全部组合'!AB224/$D489</x:f>
        <x:v>0</x:v>
      </x:c>
      <x:c r="I489" s="12" t="n">
        <x:f>'全部组合'!AC224/$D489</x:f>
        <x:v>0.5330054669219776</x:v>
      </x:c>
      <x:c r="J489" s="12" t="n">
        <x:f>'全部组合'!AD224/$D489</x:f>
        <x:v>0.005556707614282165</x:v>
      </x:c>
      <x:c r="K489" s="12" t="n">
        <x:f>'全部组合'!AE224/$D489</x:f>
        <x:v>0.0089629725336849</x:v>
      </x:c>
      <x:c r="L489" s="12" t="n">
        <x:f>'全部组合'!AF224/$D489</x:f>
        <x:v>0.08616697930545084</x:v>
      </x:c>
      <x:c r="M489" s="12" t="n">
        <x:f>'全部组合'!AG224/$D489</x:f>
        <x:v>0.19830446979711408</x:v>
      </x:c>
      <x:c r="N489" s="13" t="n">
        <x:f>'全部组合'!AH224/$D489</x:f>
        <x:v>0</x:v>
      </x:c>
    </x:row>
    <x:row r="490" ht="23" customHeight="1">
      <x:c r="A490" s="10" t="str">
        <x:v>M10</x:v>
      </x:c>
      <x:c r="B490" s="10" t="str">
        <x:v>NG_H0</x:v>
      </x:c>
      <x:c r="C490" s="9" t="str">
        <x:v>节点</x:v>
      </x:c>
      <x:c r="D490" s="11" t="n">
        <x:f>'全部组合'!D225</x:f>
        <x:v>5198</x:v>
      </x:c>
      <x:c r="E490" s="12" t="n">
        <x:f>'全部组合'!O225/$D490</x:f>
        <x:v>0.04020777222008465</x:v>
      </x:c>
      <x:c r="F490" s="12" t="n">
        <x:f>'全部组合'!P225/$D490</x:f>
        <x:v>0.23124278568680262</x:v>
      </x:c>
      <x:c r="G490" s="12" t="n">
        <x:f>'全部组合'!Q225/$D490</x:f>
        <x:v>0.4605617545209696</x:v>
      </x:c>
      <x:c r="H490" s="12" t="n">
        <x:f>'全部组合'!R225/$D490</x:f>
        <x:v>0.1348595613697576</x:v>
      </x:c>
      <x:c r="I490" s="12" t="n">
        <x:f>'全部组合'!S225/$D490</x:f>
        <x:v>0.03636013851481339</x:v>
      </x:c>
      <x:c r="J490" s="12" t="n">
        <x:f>'全部组合'!T225/$D490</x:f>
        <x:v>0.01904578684109273</x:v>
      </x:c>
      <x:c r="K490" s="12" t="n">
        <x:f>'全部组合'!U225/$D490</x:f>
        <x:v>0.020392458637937667</x:v>
      </x:c>
      <x:c r="L490" s="12" t="n">
        <x:f>'全部组合'!V225/$D490</x:f>
        <x:v>0.020392458637937667</x:v>
      </x:c>
      <x:c r="M490" s="12" t="n">
        <x:f>'全部组合'!W225/$D490</x:f>
        <x:v>0.03636013851481339</x:v>
      </x:c>
      <x:c r="N490" s="13" t="n">
        <x:f>'全部组合'!X225/$D490</x:f>
        <x:v>0.0005771450557906887</x:v>
      </x:c>
    </x:row>
    <x:row r="491" ht="23" customHeight="1">
      <x:c r="A491" s="10" t="str">
        <x:v>M10</x:v>
      </x:c>
      <x:c r="B491" s="10" t="str">
        <x:v>NG_H0</x:v>
      </x:c>
      <x:c r="C491" s="9" t="str">
        <x:v>源三角形</x:v>
      </x:c>
      <x:c r="D491" s="11" t="n">
        <x:f>'全部组合'!I225</x:f>
        <x:v>47591131</x:v>
      </x:c>
      <x:c r="E491" s="12" t="n">
        <x:f>'全部组合'!Y225/$D491</x:f>
        <x:v>0.012753132511181547</x:v>
      </x:c>
      <x:c r="F491" s="12" t="n">
        <x:f>'全部组合'!Z225/$D491</x:f>
        <x:v>0.05379914169301839</x:v>
      </x:c>
      <x:c r="G491" s="12" t="n">
        <x:f>'全部组合'!AA225/$D491</x:f>
        <x:v>0.3711567392672387</x:v>
      </x:c>
      <x:c r="H491" s="12" t="n">
        <x:f>'全部组合'!AB225/$D491</x:f>
        <x:v>0.11353863391059145</x:v>
      </x:c>
      <x:c r="I491" s="12" t="n">
        <x:f>'全部组合'!AC225/$D491</x:f>
        <x:v>0.06642678863841248</x:v>
      </x:c>
      <x:c r="J491" s="12" t="n">
        <x:f>'全部组合'!AD225/$D491</x:f>
        <x:v>0.08013614973764754</x:v>
      </x:c>
      <x:c r="K491" s="12" t="n">
        <x:f>'全部组合'!AE225/$D491</x:f>
        <x:v>0.009500005368647365</x:v>
      </x:c>
      <x:c r="L491" s="12" t="n">
        <x:f>'全部组合'!AF225/$D491</x:f>
        <x:v>0.09248546751284394</x:v>
      </x:c>
      <x:c r="M491" s="12" t="n">
        <x:f>'全部组合'!AG225/$D491</x:f>
        <x:v>0.19979449532308866</x:v>
      </x:c>
      <x:c r="N491" s="13" t="n">
        <x:f>'全部组合'!AH225/$D491</x:f>
        <x:v>0.0004094460373299386</x:v>
      </x:c>
    </x:row>
    <x:row r="492" ht="23" customHeight="1">
      <x:c r="A492" s="10" t="str">
        <x:v>M10</x:v>
      </x:c>
      <x:c r="B492" s="10" t="str">
        <x:v>NG_HT</x:v>
      </x:c>
      <x:c r="C492" s="9" t="str">
        <x:v>节点</x:v>
      </x:c>
      <x:c r="D492" s="11" t="n">
        <x:f>'全部组合'!D226</x:f>
        <x:v>5198</x:v>
      </x:c>
      <x:c r="E492" s="12" t="n">
        <x:f>'全部组合'!O226/$D492</x:f>
        <x:v>0.04020777222008465</x:v>
      </x:c>
      <x:c r="F492" s="12" t="n">
        <x:f>'全部组合'!P226/$D492</x:f>
        <x:v>0.13389765294343978</x:v>
      </x:c>
      <x:c r="G492" s="12" t="n">
        <x:f>'全部组合'!Q226/$D492</x:f>
        <x:v>0.5088495575221239</x:v>
      </x:c>
      <x:c r="H492" s="12" t="n">
        <x:f>'全部组合'!R226/$D492</x:f>
        <x:v>0.17929973066564064</x:v>
      </x:c>
      <x:c r="I492" s="12" t="n">
        <x:f>'全部组合'!S226/$D492</x:f>
        <x:v>0.038476337052712584</x:v>
      </x:c>
      <x:c r="J492" s="12" t="n">
        <x:f>'全部组合'!T226/$D492</x:f>
        <x:v>0.021546748749519045</x:v>
      </x:c>
      <x:c r="K492" s="12" t="n">
        <x:f>'全部组合'!U226/$D492</x:f>
        <x:v>0.020392458637937667</x:v>
      </x:c>
      <x:c r="L492" s="12" t="n">
        <x:f>'全部组合'!V226/$D492</x:f>
        <x:v>0.020392458637937667</x:v>
      </x:c>
      <x:c r="M492" s="12" t="n">
        <x:f>'全部组合'!W226/$D492</x:f>
        <x:v>0.03636013851481339</x:v>
      </x:c>
      <x:c r="N492" s="13" t="n">
        <x:f>'全部组合'!X226/$D492</x:f>
        <x:v>0.0005771450557906887</x:v>
      </x:c>
    </x:row>
    <x:row r="493" ht="23" customHeight="1">
      <x:c r="A493" s="10" t="str">
        <x:v>M10</x:v>
      </x:c>
      <x:c r="B493" s="10" t="str">
        <x:v>NG_HT</x:v>
      </x:c>
      <x:c r="C493" s="9" t="str">
        <x:v>源三角形</x:v>
      </x:c>
      <x:c r="D493" s="11" t="n">
        <x:f>'全部组合'!I226</x:f>
        <x:v>47591131</x:v>
      </x:c>
      <x:c r="E493" s="12" t="n">
        <x:f>'全部组合'!Y226/$D493</x:f>
        <x:v>0.012753132511181547</x:v>
      </x:c>
      <x:c r="F493" s="12" t="n">
        <x:f>'全部组合'!Z226/$D493</x:f>
        <x:v>0.026133650826663482</x:v>
      </x:c>
      <x:c r="G493" s="12" t="n">
        <x:f>'全部组合'!AA226/$D493</x:f>
        <x:v>0.3450798637250289</x:v>
      </x:c>
      <x:c r="H493" s="12" t="n">
        <x:f>'全部组合'!AB226/$D493</x:f>
        <x:v>0.1655052492868892</x:v>
      </x:c>
      <x:c r="I493" s="12" t="n">
        <x:f>'全部组合'!AC226/$D493</x:f>
        <x:v>0.06472857306122858</x:v>
      </x:c>
      <x:c r="J493" s="12" t="n">
        <x:f>'全部组合'!AD226/$D493</x:f>
        <x:v>0.08361011634709838</x:v>
      </x:c>
      <x:c r="K493" s="12" t="n">
        <x:f>'全部组合'!AE226/$D493</x:f>
        <x:v>0.009500005368647365</x:v>
      </x:c>
      <x:c r="L493" s="12" t="n">
        <x:f>'全部组合'!AF226/$D493</x:f>
        <x:v>0.09248546751284394</x:v>
      </x:c>
      <x:c r="M493" s="12" t="n">
        <x:f>'全部组合'!AG226/$D493</x:f>
        <x:v>0.19979449532308866</x:v>
      </x:c>
      <x:c r="N493" s="13" t="n">
        <x:f>'全部组合'!AH226/$D493</x:f>
        <x:v>0.0004094460373299386</x:v>
      </x:c>
    </x:row>
    <x:row r="494" ht="23" customHeight="1">
      <x:c r="A494" s="10" t="str">
        <x:v>M10</x:v>
      </x:c>
      <x:c r="B494" s="10" t="str">
        <x:v>NG_H1</x:v>
      </x:c>
      <x:c r="C494" s="9" t="str">
        <x:v>节点</x:v>
      </x:c>
      <x:c r="D494" s="11" t="n">
        <x:f>'全部组合'!D227</x:f>
        <x:v>5198</x:v>
      </x:c>
      <x:c r="E494" s="12" t="n">
        <x:f>'全部组合'!O227/$D494</x:f>
        <x:v>0.04020777222008465</x:v>
      </x:c>
      <x:c r="F494" s="12" t="n">
        <x:f>'全部组合'!P227/$D494</x:f>
        <x:v>0.13389765294343978</x:v>
      </x:c>
      <x:c r="G494" s="12" t="n">
        <x:f>'全部组合'!Q227/$D494</x:f>
        <x:v>0.48210850327048865</x:v>
      </x:c>
      <x:c r="H494" s="12" t="n">
        <x:f>'全部组合'!R227/$D494</x:f>
        <x:v>0.17814544055405926</x:v>
      </x:c>
      <x:c r="I494" s="12" t="n">
        <x:f>'全部组合'!S227/$D494</x:f>
        <x:v>0.038476337052712584</x:v>
      </x:c>
      <x:c r="J494" s="12" t="n">
        <x:f>'全部组合'!T227/$D494</x:f>
        <x:v>0.04944209311273567</x:v>
      </x:c>
      <x:c r="K494" s="12" t="n">
        <x:f>'全部组合'!U227/$D494</x:f>
        <x:v>0.020392458637937667</x:v>
      </x:c>
      <x:c r="L494" s="12" t="n">
        <x:f>'全部组合'!V227/$D494</x:f>
        <x:v>0.020392458637937667</x:v>
      </x:c>
      <x:c r="M494" s="12" t="n">
        <x:f>'全部组合'!W227/$D494</x:f>
        <x:v>0.03636013851481339</x:v>
      </x:c>
      <x:c r="N494" s="13" t="n">
        <x:f>'全部组合'!X227/$D494</x:f>
        <x:v>0.0005771450557906887</x:v>
      </x:c>
    </x:row>
    <x:row r="495" ht="23" customHeight="1">
      <x:c r="A495" s="10" t="str">
        <x:v>M10</x:v>
      </x:c>
      <x:c r="B495" s="10" t="str">
        <x:v>NG_H1</x:v>
      </x:c>
      <x:c r="C495" s="9" t="str">
        <x:v>源三角形</x:v>
      </x:c>
      <x:c r="D495" s="11" t="n">
        <x:f>'全部组合'!I227</x:f>
        <x:v>47591131</x:v>
      </x:c>
      <x:c r="E495" s="12" t="n">
        <x:f>'全部组合'!Y227/$D495</x:f>
        <x:v>0.012753132511181547</x:v>
      </x:c>
      <x:c r="F495" s="12" t="n">
        <x:f>'全部组合'!Z227/$D495</x:f>
        <x:v>0.026133650826663482</x:v>
      </x:c>
      <x:c r="G495" s="12" t="n">
        <x:f>'全部组合'!AA227/$D495</x:f>
        <x:v>0.3411138306421001</x:v>
      </x:c>
      <x:c r="H495" s="12" t="n">
        <x:f>'全部组合'!AB227/$D495</x:f>
        <x:v>0.16537783058780428</x:v>
      </x:c>
      <x:c r="I495" s="12" t="n">
        <x:f>'全部组合'!AC227/$D495</x:f>
        <x:v>0.06472857306122858</x:v>
      </x:c>
      <x:c r="J495" s="12" t="n">
        <x:f>'全部组合'!AD227/$D495</x:f>
        <x:v>0.08770356812911212</x:v>
      </x:c>
      <x:c r="K495" s="12" t="n">
        <x:f>'全部组合'!AE227/$D495</x:f>
        <x:v>0.009500005368647365</x:v>
      </x:c>
      <x:c r="L495" s="12" t="n">
        <x:f>'全部组合'!AF227/$D495</x:f>
        <x:v>0.09248546751284394</x:v>
      </x:c>
      <x:c r="M495" s="12" t="n">
        <x:f>'全部组合'!AG227/$D495</x:f>
        <x:v>0.19979449532308866</x:v>
      </x:c>
      <x:c r="N495" s="13" t="n">
        <x:f>'全部组合'!AH227/$D495</x:f>
        <x:v>0.0004094460373299386</x:v>
      </x:c>
    </x:row>
    <x:row r="496" ht="23" customHeight="1">
      <x:c r="A496" s="10" t="str">
        <x:v>M10</x:v>
      </x:c>
      <x:c r="B496" s="10" t="str">
        <x:v>CG_H0</x:v>
      </x:c>
      <x:c r="C496" s="9" t="str">
        <x:v>节点</x:v>
      </x:c>
      <x:c r="D496" s="11" t="n">
        <x:f>'全部组合'!D228</x:f>
        <x:v>5198</x:v>
      </x:c>
      <x:c r="E496" s="12" t="n">
        <x:f>'全部组合'!O228/$D496</x:f>
        <x:v>0.006925740669488265</x:v>
      </x:c>
      <x:c r="F496" s="12" t="n">
        <x:f>'全部组合'!P228/$D496</x:f>
        <x:v>0.3189688341669873</x:v>
      </x:c>
      <x:c r="G496" s="12" t="n">
        <x:f>'全部组合'!Q228/$D496</x:f>
        <x:v>0.4892266256252405</x:v>
      </x:c>
      <x:c r="H496" s="12" t="n">
        <x:f>'全部组合'!R228/$D496</x:f>
        <x:v>0.13312812620238554</x:v>
      </x:c>
      <x:c r="I496" s="12" t="n">
        <x:f>'全部组合'!S228/$D496</x:f>
        <x:v>0.03866871873797614</x:v>
      </x:c>
      <x:c r="J496" s="12" t="n">
        <x:f>'全部组合'!T228/$D496</x:f>
        <x:v>0.012312427856868027</x:v>
      </x:c>
      <x:c r="K496" s="12" t="n">
        <x:f>'全部组合'!U228/$D496</x:f>
        <x:v>0.0007695267410542517</x:v>
      </x:c>
      <x:c r="L496" s="12" t="n">
        <x:f>'全部组合'!V228/$D496</x:f>
        <x:v>0</x:v>
      </x:c>
      <x:c r="M496" s="12" t="n">
        <x:f>'全部组合'!W228/$D496</x:f>
        <x:v>0</x:v>
      </x:c>
      <x:c r="N496" s="13" t="n">
        <x:f>'全部组合'!X228/$D496</x:f>
        <x:v>0</x:v>
      </x:c>
    </x:row>
    <x:row r="497" ht="23" customHeight="1">
      <x:c r="A497" s="10" t="str">
        <x:v>M10</x:v>
      </x:c>
      <x:c r="B497" s="10" t="str">
        <x:v>CG_H0</x:v>
      </x:c>
      <x:c r="C497" s="9" t="str">
        <x:v>源三角形</x:v>
      </x:c>
      <x:c r="D497" s="11" t="n">
        <x:f>'全部组合'!I228</x:f>
        <x:v>47591131</x:v>
      </x:c>
      <x:c r="E497" s="12" t="n">
        <x:f>'全部组合'!Y228/$D497</x:f>
        <x:v>0.0021967118201078263</x:v>
      </x:c>
      <x:c r="F497" s="12" t="n">
        <x:f>'全部组合'!Z228/$D497</x:f>
        <x:v>0.07643722524686375</x:v>
      </x:c>
      <x:c r="G497" s="12" t="n">
        <x:f>'全部组合'!AA228/$D497</x:f>
        <x:v>0.5951453223500824</x:v>
      </x:c>
      <x:c r="H497" s="12" t="n">
        <x:f>'全部组合'!AB228/$D497</x:f>
        <x:v>0.10552869609255557</x:v>
      </x:c>
      <x:c r="I497" s="12" t="n">
        <x:f>'全部组合'!AC228/$D497</x:f>
        <x:v>0.14162231193875177</x:v>
      </x:c>
      <x:c r="J497" s="12" t="n">
        <x:f>'全部组合'!AD228/$D497</x:f>
        <x:v>0.07862364103093074</x:v>
      </x:c>
      <x:c r="K497" s="12" t="n">
        <x:f>'全部组合'!AE228/$D497</x:f>
        <x:v>0.0004460915207079235</x:v>
      </x:c>
      <x:c r="L497" s="12" t="n">
        <x:f>'全部组合'!AF228/$D497</x:f>
        <x:v>0</x:v>
      </x:c>
      <x:c r="M497" s="12" t="n">
        <x:f>'全部组合'!AG228/$D497</x:f>
        <x:v>0</x:v>
      </x:c>
      <x:c r="N497" s="13" t="n">
        <x:f>'全部组合'!AH228/$D497</x:f>
        <x:v>0</x:v>
      </x:c>
    </x:row>
    <x:row r="498" ht="23" customHeight="1">
      <x:c r="A498" s="10" t="str">
        <x:v>M10</x:v>
      </x:c>
      <x:c r="B498" s="10" t="str">
        <x:v>CG_HT</x:v>
      </x:c>
      <x:c r="C498" s="9" t="str">
        <x:v>节点</x:v>
      </x:c>
      <x:c r="D498" s="11" t="n">
        <x:f>'全部组合'!D229</x:f>
        <x:v>5198</x:v>
      </x:c>
      <x:c r="E498" s="12" t="n">
        <x:f>'全部组合'!O229/$D498</x:f>
        <x:v>0.006925740669488265</x:v>
      </x:c>
      <x:c r="F498" s="12" t="n">
        <x:f>'全部组合'!P229/$D498</x:f>
        <x:v>0.2110427087341285</x:v>
      </x:c>
      <x:c r="G498" s="12" t="n">
        <x:f>'全部组合'!Q229/$D498</x:f>
        <x:v>0.5577145055790689</x:v>
      </x:c>
      <x:c r="H498" s="12" t="n">
        <x:f>'全部组合'!R229/$D498</x:f>
        <x:v>0.1679492112350904</x:v>
      </x:c>
      <x:c r="I498" s="12" t="n">
        <x:f>'全部组合'!S229/$D498</x:f>
        <x:v>0.04078491727587533</x:v>
      </x:c>
      <x:c r="J498" s="12" t="n">
        <x:f>'全部组合'!T229/$D498</x:f>
        <x:v>0.014621008080030782</x:v>
      </x:c>
      <x:c r="K498" s="12" t="n">
        <x:f>'全部组合'!U229/$D498</x:f>
        <x:v>0.0009619084263178145</x:v>
      </x:c>
      <x:c r="L498" s="12" t="n">
        <x:f>'全部组合'!V229/$D498</x:f>
        <x:v>0</x:v>
      </x:c>
      <x:c r="M498" s="12" t="n">
        <x:f>'全部组合'!W229/$D498</x:f>
        <x:v>0</x:v>
      </x:c>
      <x:c r="N498" s="13" t="n">
        <x:f>'全部组合'!X229/$D498</x:f>
        <x:v>0</x:v>
      </x:c>
    </x:row>
    <x:row r="499" ht="23" customHeight="1">
      <x:c r="A499" s="10" t="str">
        <x:v>M10</x:v>
      </x:c>
      <x:c r="B499" s="10" t="str">
        <x:v>CG_HT</x:v>
      </x:c>
      <x:c r="C499" s="9" t="str">
        <x:v>源三角形</x:v>
      </x:c>
      <x:c r="D499" s="11" t="n">
        <x:f>'全部组合'!I229</x:f>
        <x:v>47591131</x:v>
      </x:c>
      <x:c r="E499" s="12" t="n">
        <x:f>'全部组合'!Y229/$D499</x:f>
        <x:v>0.0021967118201078263</x:v>
      </x:c>
      <x:c r="F499" s="12" t="n">
        <x:f>'全部组合'!Z229/$D499</x:f>
        <x:v>0.04339241275858731</x:v>
      </x:c>
      <x:c r="G499" s="12" t="n">
        <x:f>'全部组合'!AA229/$D499</x:f>
        <x:v>0.5785693767185318</x:v>
      </x:c>
      <x:c r="H499" s="12" t="n">
        <x:f>'全部组合'!AB229/$D499</x:f>
        <x:v>0.15337370318011564</x:v>
      </x:c>
      <x:c r="I499" s="12" t="n">
        <x:f>'全部组合'!AC229/$D499</x:f>
        <x:v>0.13992409636156788</x:v>
      </x:c>
      <x:c r="J499" s="12" t="n">
        <x:f>'全部组合'!AD229/$D499</x:f>
        <x:v>0.08154700084769996</x:v>
      </x:c>
      <x:c r="K499" s="12" t="n">
        <x:f>'全部组合'!AE229/$D499</x:f>
        <x:v>0.0009966983133895262</x:v>
      </x:c>
      <x:c r="L499" s="12" t="n">
        <x:f>'全部组合'!AF229/$D499</x:f>
        <x:v>0</x:v>
      </x:c>
      <x:c r="M499" s="12" t="n">
        <x:f>'全部组合'!AG229/$D499</x:f>
        <x:v>0</x:v>
      </x:c>
      <x:c r="N499" s="13" t="n">
        <x:f>'全部组合'!AH229/$D499</x:f>
        <x:v>0</x:v>
      </x:c>
    </x:row>
    <x:row r="500" ht="23" customHeight="1">
      <x:c r="A500" s="10" t="str">
        <x:v>M10</x:v>
      </x:c>
      <x:c r="B500" s="10" t="str">
        <x:v>CG_H1</x:v>
      </x:c>
      <x:c r="C500" s="9" t="str">
        <x:v>节点</x:v>
      </x:c>
      <x:c r="D500" s="11" t="n">
        <x:f>'全部组合'!D230</x:f>
        <x:v>5198</x:v>
      </x:c>
      <x:c r="E500" s="12" t="n">
        <x:f>'全部组合'!O230/$D500</x:f>
        <x:v>0.006925740669488265</x:v>
      </x:c>
      <x:c r="F500" s="12" t="n">
        <x:f>'全部组合'!P230/$D500</x:f>
        <x:v>0.2110427087341285</x:v>
      </x:c>
      <x:c r="G500" s="12" t="n">
        <x:f>'全部组合'!Q230/$D500</x:f>
        <x:v>0.5577145055790689</x:v>
      </x:c>
      <x:c r="H500" s="12" t="n">
        <x:f>'全部组合'!R230/$D500</x:f>
        <x:v>0.1679492112350904</x:v>
      </x:c>
      <x:c r="I500" s="12" t="n">
        <x:f>'全部组合'!S230/$D500</x:f>
        <x:v>0.04078491727587533</x:v>
      </x:c>
      <x:c r="J500" s="12" t="n">
        <x:f>'全部组合'!T230/$D500</x:f>
        <x:v>0.014621008080030782</x:v>
      </x:c>
      <x:c r="K500" s="12" t="n">
        <x:f>'全部组合'!U230/$D500</x:f>
        <x:v>0.0009619084263178145</x:v>
      </x:c>
      <x:c r="L500" s="12" t="n">
        <x:f>'全部组合'!V230/$D500</x:f>
        <x:v>0</x:v>
      </x:c>
      <x:c r="M500" s="12" t="n">
        <x:f>'全部组合'!W230/$D500</x:f>
        <x:v>0</x:v>
      </x:c>
      <x:c r="N500" s="13" t="n">
        <x:f>'全部组合'!X230/$D500</x:f>
        <x:v>0</x:v>
      </x:c>
    </x:row>
    <x:row r="501" ht="23" customHeight="1">
      <x:c r="A501" s="10" t="str">
        <x:v>M10</x:v>
      </x:c>
      <x:c r="B501" s="10" t="str">
        <x:v>CG_H1</x:v>
      </x:c>
      <x:c r="C501" s="9" t="str">
        <x:v>源三角形</x:v>
      </x:c>
      <x:c r="D501" s="11" t="n">
        <x:f>'全部组合'!I230</x:f>
        <x:v>47591131</x:v>
      </x:c>
      <x:c r="E501" s="12" t="n">
        <x:f>'全部组合'!Y230/$D501</x:f>
        <x:v>0.0021967118201078263</x:v>
      </x:c>
      <x:c r="F501" s="12" t="n">
        <x:f>'全部组合'!Z230/$D501</x:f>
        <x:v>0.04339241275858731</x:v>
      </x:c>
      <x:c r="G501" s="12" t="n">
        <x:f>'全部组合'!AA230/$D501</x:f>
        <x:v>0.5785693767185318</x:v>
      </x:c>
      <x:c r="H501" s="12" t="n">
        <x:f>'全部组合'!AB230/$D501</x:f>
        <x:v>0.15337370318011564</x:v>
      </x:c>
      <x:c r="I501" s="12" t="n">
        <x:f>'全部组合'!AC230/$D501</x:f>
        <x:v>0.13992409636156788</x:v>
      </x:c>
      <x:c r="J501" s="12" t="n">
        <x:f>'全部组合'!AD230/$D501</x:f>
        <x:v>0.08154700084769996</x:v>
      </x:c>
      <x:c r="K501" s="12" t="n">
        <x:f>'全部组合'!AE230/$D501</x:f>
        <x:v>0.0009966983133895262</x:v>
      </x:c>
      <x:c r="L501" s="12" t="n">
        <x:f>'全部组合'!AF230/$D501</x:f>
        <x:v>0</x:v>
      </x:c>
      <x:c r="M501" s="12" t="n">
        <x:f>'全部组合'!AG230/$D501</x:f>
        <x:v>0</x:v>
      </x:c>
      <x:c r="N501" s="13" t="n">
        <x:f>'全部组合'!AH230/$D501</x:f>
        <x:v>0</x:v>
      </x:c>
    </x:row>
    <x:row r="502" ht="23" customHeight="1">
      <x:c r="A502" s="10" t="str">
        <x:v>M10</x:v>
      </x:c>
      <x:c r="B502" s="10" t="str">
        <x:v>NCG_H0</x:v>
      </x:c>
      <x:c r="C502" s="9" t="str">
        <x:v>节点</x:v>
      </x:c>
      <x:c r="D502" s="11" t="n">
        <x:f>'全部组合'!D231</x:f>
        <x:v>5198</x:v>
      </x:c>
      <x:c r="E502" s="12" t="n">
        <x:f>'全部组合'!O231/$D502</x:f>
        <x:v>0.028857252789534438</x:v>
      </x:c>
      <x:c r="F502" s="12" t="n">
        <x:f>'全部组合'!P231/$D502</x:f>
        <x:v>0.23970757983839938</x:v>
      </x:c>
      <x:c r="G502" s="12" t="n">
        <x:f>'全部组合'!Q231/$D502</x:f>
        <x:v>0.45652173913043476</x:v>
      </x:c>
      <x:c r="H502" s="12" t="n">
        <x:f>'全部组合'!R231/$D502</x:f>
        <x:v>0.15313582146979607</x:v>
      </x:c>
      <x:c r="I502" s="12" t="n">
        <x:f>'全部组合'!S231/$D502</x:f>
        <x:v>0.039438245479030395</x:v>
      </x:c>
      <x:c r="J502" s="12" t="n">
        <x:f>'全部组合'!T231/$D502</x:f>
        <x:v>0.02058484032320123</x:v>
      </x:c>
      <x:c r="K502" s="12" t="n">
        <x:f>'全部组合'!U231/$D502</x:f>
        <x:v>0.01846864178530204</x:v>
      </x:c>
      <x:c r="L502" s="12" t="n">
        <x:f>'全部组合'!V231/$D502</x:f>
        <x:v>0.009426702577914583</x:v>
      </x:c>
      <x:c r="M502" s="12" t="n">
        <x:f>'全部组合'!W231/$D502</x:f>
        <x:v>0.03366679492112351</x:v>
      </x:c>
      <x:c r="N502" s="13" t="n">
        <x:f>'全部组合'!X231/$D502</x:f>
        <x:v>0.00019238168526356292</x:v>
      </x:c>
    </x:row>
    <x:row r="503" ht="23" customHeight="1">
      <x:c r="A503" s="10" t="str">
        <x:v>M10</x:v>
      </x:c>
      <x:c r="B503" s="10" t="str">
        <x:v>NCG_H0</x:v>
      </x:c>
      <x:c r="C503" s="9" t="str">
        <x:v>源三角形</x:v>
      </x:c>
      <x:c r="D503" s="11" t="n">
        <x:f>'全部组合'!I231</x:f>
        <x:v>47591131</x:v>
      </x:c>
      <x:c r="E503" s="12" t="n">
        <x:f>'全部组合'!Y231/$D503</x:f>
        <x:v>0.009152965917115943</x:v>
      </x:c>
      <x:c r="F503" s="12" t="n">
        <x:f>'全部组合'!Z231/$D503</x:f>
        <x:v>0.0600254278470499</x:v>
      </x:c>
      <x:c r="G503" s="12" t="n">
        <x:f>'全部组合'!AA231/$D503</x:f>
        <x:v>0.38196908999704166</x:v>
      </x:c>
      <x:c r="H503" s="12" t="n">
        <x:f>'全部组合'!AB231/$D503</x:f>
        <x:v>0.10574743432762714</x:v>
      </x:c>
      <x:c r="I503" s="12" t="n">
        <x:f>'全部组合'!AC231/$D503</x:f>
        <x:v>0.06284549110631558</x:v>
      </x:c>
      <x:c r="J503" s="12" t="n">
        <x:f>'全部组合'!AD231/$D503</x:f>
        <x:v>0.08682516916859992</x:v>
      </x:c>
      <x:c r="K503" s="12" t="n">
        <x:f>'全部组合'!AE231/$D503</x:f>
        <x:v>0.0089629725336849</x:v>
      </x:c>
      <x:c r="L503" s="12" t="n">
        <x:f>'全部组合'!AF231/$D503</x:f>
        <x:v>0.08616697930545084</x:v>
      </x:c>
      <x:c r="M503" s="12" t="n">
        <x:f>'全部组合'!AG231/$D503</x:f>
        <x:v>0.19803446150502285</x:v>
      </x:c>
      <x:c r="N503" s="13" t="n">
        <x:f>'全部组合'!AH231/$D503</x:f>
        <x:v>0.0002700082920912302</x:v>
      </x:c>
    </x:row>
    <x:row r="504" ht="23" customHeight="1">
      <x:c r="A504" s="10" t="str">
        <x:v>M10</x:v>
      </x:c>
      <x:c r="B504" s="10" t="str">
        <x:v>NCG_HT</x:v>
      </x:c>
      <x:c r="C504" s="9" t="str">
        <x:v>节点</x:v>
      </x:c>
      <x:c r="D504" s="11" t="n">
        <x:f>'全部组合'!D232</x:f>
        <x:v>5198</x:v>
      </x:c>
      <x:c r="E504" s="12" t="n">
        <x:f>'全部组合'!O232/$D504</x:f>
        <x:v>0.028857252789534438</x:v>
      </x:c>
      <x:c r="F504" s="12" t="n">
        <x:f>'全部组合'!P232/$D504</x:f>
        <x:v>0.1415929203539823</x:v>
      </x:c>
      <x:c r="G504" s="12" t="n">
        <x:f>'全部组合'!Q232/$D504</x:f>
        <x:v>0.5080800307810697</x:v>
      </x:c>
      <x:c r="H504" s="12" t="n">
        <x:f>'全部组合'!R232/$D504</x:f>
        <x:v>0.18949595998460947</x:v>
      </x:c>
      <x:c r="I504" s="12" t="n">
        <x:f>'全部组合'!S232/$D504</x:f>
        <x:v>0.04809542131589073</x:v>
      </x:c>
      <x:c r="J504" s="12" t="n">
        <x:f>'全部组合'!T232/$D504</x:f>
        <x:v>0.02193151212004617</x:v>
      </x:c>
      <x:c r="K504" s="12" t="n">
        <x:f>'全部组合'!U232/$D504</x:f>
        <x:v>0.018661023470565603</x:v>
      </x:c>
      <x:c r="L504" s="12" t="n">
        <x:f>'全部组合'!V232/$D504</x:f>
        <x:v>0.009426702577914583</x:v>
      </x:c>
      <x:c r="M504" s="12" t="n">
        <x:f>'全部组合'!W232/$D504</x:f>
        <x:v>0.03366679492112351</x:v>
      </x:c>
      <x:c r="N504" s="13" t="n">
        <x:f>'全部组合'!X232/$D504</x:f>
        <x:v>0.00019238168526356292</x:v>
      </x:c>
    </x:row>
    <x:row r="505" ht="23" customHeight="1">
      <x:c r="A505" s="10" t="str">
        <x:v>M10</x:v>
      </x:c>
      <x:c r="B505" s="10" t="str">
        <x:v>NCG_HT</x:v>
      </x:c>
      <x:c r="C505" s="9" t="str">
        <x:v>源三角形</x:v>
      </x:c>
      <x:c r="D505" s="11" t="n">
        <x:f>'全部组合'!I232</x:f>
        <x:v>47591131</x:v>
      </x:c>
      <x:c r="E505" s="12" t="n">
        <x:f>'全部组合'!Y232/$D505</x:f>
        <x:v>0.009152965917115943</x:v>
      </x:c>
      <x:c r="F505" s="12" t="n">
        <x:f>'全部组合'!Z232/$D505</x:f>
        <x:v>0.028564523923585678</x:v>
      </x:c>
      <x:c r="G505" s="12" t="n">
        <x:f>'全部组合'!AA232/$D505</x:f>
        <x:v>0.35304496125549106</x:v>
      </x:c>
      <x:c r="H505" s="12" t="n">
        <x:f>'全部组合'!AB232/$D505</x:f>
        <x:v>0.16284626646086642</x:v>
      </x:c>
      <x:c r="I505" s="12" t="n">
        <x:f>'全部组合'!AC232/$D505</x:f>
        <x:v>0.06488801453363233</x:v>
      </x:c>
      <x:c r="J505" s="12" t="n">
        <x:f>'全部组合'!AD232/$D505</x:f>
        <x:v>0.08751823948037714</x:v>
      </x:c>
      <x:c r="K505" s="12" t="n">
        <x:f>'全部组合'!AE232/$D505</x:f>
        <x:v>0.009513579326366503</x:v>
      </x:c>
      <x:c r="L505" s="12" t="n">
        <x:f>'全部组合'!AF232/$D505</x:f>
        <x:v>0.08616697930545084</x:v>
      </x:c>
      <x:c r="M505" s="12" t="n">
        <x:f>'全部组合'!AG232/$D505</x:f>
        <x:v>0.19803446150502285</x:v>
      </x:c>
      <x:c r="N505" s="13" t="n">
        <x:f>'全部组合'!AH232/$D505</x:f>
        <x:v>0.0002700082920912302</x:v>
      </x:c>
    </x:row>
    <x:row r="506" ht="23" customHeight="1">
      <x:c r="A506" s="10" t="str">
        <x:v>M10</x:v>
      </x:c>
      <x:c r="B506" s="10" t="str">
        <x:v>NCG_H1</x:v>
      </x:c>
      <x:c r="C506" s="9" t="str">
        <x:v>节点</x:v>
      </x:c>
      <x:c r="D506" s="11" t="n">
        <x:f>'全部组合'!D233</x:f>
        <x:v>5198</x:v>
      </x:c>
      <x:c r="E506" s="12" t="n">
        <x:f>'全部组合'!O233/$D506</x:f>
        <x:v>0.028857252789534438</x:v>
      </x:c>
      <x:c r="F506" s="12" t="n">
        <x:f>'全部组合'!P233/$D506</x:f>
        <x:v>0.1415929203539823</x:v>
      </x:c>
      <x:c r="G506" s="12" t="n">
        <x:f>'全部组合'!Q233/$D506</x:f>
        <x:v>0.4813389765294344</x:v>
      </x:c>
      <x:c r="H506" s="12" t="n">
        <x:f>'全部组合'!R233/$D506</x:f>
        <x:v>0.18911119661408235</x:v>
      </x:c>
      <x:c r="I506" s="12" t="n">
        <x:f>'全部组合'!S233/$D506</x:f>
        <x:v>0.04809542131589073</x:v>
      </x:c>
      <x:c r="J506" s="12" t="n">
        <x:f>'全部组合'!T233/$D506</x:f>
        <x:v>0.04905732974220854</x:v>
      </x:c>
      <x:c r="K506" s="12" t="n">
        <x:f>'全部组合'!U233/$D506</x:f>
        <x:v>0.018661023470565603</x:v>
      </x:c>
      <x:c r="L506" s="12" t="n">
        <x:f>'全部组合'!V233/$D506</x:f>
        <x:v>0.009426702577914583</x:v>
      </x:c>
      <x:c r="M506" s="12" t="n">
        <x:f>'全部组合'!W233/$D506</x:f>
        <x:v>0.03366679492112351</x:v>
      </x:c>
      <x:c r="N506" s="13" t="n">
        <x:f>'全部组合'!X233/$D506</x:f>
        <x:v>0.00019238168526356292</x:v>
      </x:c>
    </x:row>
    <x:row r="507" ht="23" customHeight="1">
      <x:c r="A507" s="10" t="str">
        <x:v>M10</x:v>
      </x:c>
      <x:c r="B507" s="10" t="str">
        <x:v>NCG_H1</x:v>
      </x:c>
      <x:c r="C507" s="9" t="str">
        <x:v>源三角形</x:v>
      </x:c>
      <x:c r="D507" s="11" t="n">
        <x:f>'全部组合'!I233</x:f>
        <x:v>47591131</x:v>
      </x:c>
      <x:c r="E507" s="12" t="n">
        <x:f>'全部组合'!Y233/$D507</x:f>
        <x:v>0.009152965917115943</x:v>
      </x:c>
      <x:c r="F507" s="12" t="n">
        <x:f>'全部组合'!Z233/$D507</x:f>
        <x:v>0.028564523923585678</x:v>
      </x:c>
      <x:c r="G507" s="12" t="n">
        <x:f>'全部组合'!AA233/$D507</x:f>
        <x:v>0.34907892817256225</x:v>
      </x:c>
      <x:c r="H507" s="12" t="n">
        <x:f>'全部组合'!AB233/$D507</x:f>
        <x:v>0.1627681006362299</x:v>
      </x:c>
      <x:c r="I507" s="12" t="n">
        <x:f>'全部组合'!AC233/$D507</x:f>
        <x:v>0.06488801453363233</x:v>
      </x:c>
      <x:c r="J507" s="12" t="n">
        <x:f>'全部组合'!AD233/$D507</x:f>
        <x:v>0.0915624383879425</x:v>
      </x:c>
      <x:c r="K507" s="12" t="n">
        <x:f>'全部组合'!AE233/$D507</x:f>
        <x:v>0.009513579326366503</x:v>
      </x:c>
      <x:c r="L507" s="12" t="n">
        <x:f>'全部组合'!AF233/$D507</x:f>
        <x:v>0.08616697930545084</x:v>
      </x:c>
      <x:c r="M507" s="12" t="n">
        <x:f>'全部组合'!AG233/$D507</x:f>
        <x:v>0.19803446150502285</x:v>
      </x:c>
      <x:c r="N507" s="13" t="n">
        <x:f>'全部组合'!AH233/$D507</x:f>
        <x:v>0.0002700082920912302</x:v>
      </x:c>
    </x:row>
    <x:row r="508" ht="23" customHeight="1">
      <x:c r="A508" s="10" t="str">
        <x:v>M10</x:v>
      </x:c>
      <x:c r="B508" s="10" t="str">
        <x:v>NCG_H0_M1</x:v>
      </x:c>
      <x:c r="C508" s="9" t="str">
        <x:v>节点</x:v>
      </x:c>
      <x:c r="D508" s="11" t="n">
        <x:f>'全部组合'!D234</x:f>
        <x:v>5198</x:v>
      </x:c>
      <x:c r="E508" s="12" t="n">
        <x:f>'全部组合'!O234/$D508</x:f>
        <x:v>0.04694113120430935</x:v>
      </x:c>
      <x:c r="F508" s="12" t="n">
        <x:f>'全部组合'!P234/$D508</x:f>
        <x:v>0.1794921123509042</x:v>
      </x:c>
      <x:c r="G508" s="12" t="n">
        <x:f>'全部组合'!Q234/$D508</x:f>
        <x:v>0.4305502116198538</x:v>
      </x:c>
      <x:c r="H508" s="12" t="n">
        <x:f>'全部组合'!R234/$D508</x:f>
        <x:v>0.14871104270873411</x:v>
      </x:c>
      <x:c r="I508" s="12" t="n">
        <x:f>'全部组合'!S234/$D508</x:f>
        <x:v>0.03828395536744902</x:v>
      </x:c>
      <x:c r="J508" s="12" t="n">
        <x:f>'全部组合'!T234/$D508</x:f>
        <x:v>0.01519815313582147</x:v>
      </x:c>
      <x:c r="K508" s="12" t="n">
        <x:f>'全部组合'!U234/$D508</x:f>
        <x:v>0.02366294728741824</x:v>
      </x:c>
      <x:c r="L508" s="12" t="n">
        <x:f>'全部组合'!V234/$D508</x:f>
        <x:v>0.02308580223162755</x:v>
      </x:c>
      <x:c r="M508" s="12" t="n">
        <x:f>'全部组合'!W234/$D508</x:f>
        <x:v>0.0938822624086187</x:v>
      </x:c>
      <x:c r="N508" s="13" t="n">
        <x:f>'全部组合'!X234/$D508</x:f>
        <x:v>0.00019238168526356292</x:v>
      </x:c>
    </x:row>
    <x:row r="509" ht="23" customHeight="1">
      <x:c r="A509" s="10" t="str">
        <x:v>M10</x:v>
      </x:c>
      <x:c r="B509" s="10" t="str">
        <x:v>NCG_H0_M1</x:v>
      </x:c>
      <x:c r="C509" s="9" t="str">
        <x:v>源三角形</x:v>
      </x:c>
      <x:c r="D509" s="11" t="n">
        <x:f>'全部组合'!I234</x:f>
        <x:v>47591131</x:v>
      </x:c>
      <x:c r="E509" s="12" t="n">
        <x:f>'全部组合'!Y234/$D509</x:f>
        <x:v>0.0148888245585086</x:v>
      </x:c>
      <x:c r="F509" s="12" t="n">
        <x:f>'全部组合'!Z234/$D509</x:f>
        <x:v>0.04536467099300498</x:v>
      </x:c>
      <x:c r="G509" s="12" t="n">
        <x:f>'全部组合'!AA234/$D509</x:f>
        <x:v>0.37213977957363525</x:v>
      </x:c>
      <x:c r="H509" s="12" t="n">
        <x:f>'全部组合'!AB234/$D509</x:f>
        <x:v>0.0695171963868646</x:v>
      </x:c>
      <x:c r="I509" s="12" t="n">
        <x:f>'全部组合'!AC234/$D509</x:f>
        <x:v>0.06267974593837662</x:v>
      </x:c>
      <x:c r="J509" s="12" t="n">
        <x:f>'全部组合'!AD234/$D509</x:f>
        <x:v>0.08580850915268225</x:v>
      </x:c>
      <x:c r="K509" s="12" t="n">
        <x:f>'全部组合'!AE234/$D509</x:f>
        <x:v>0.010767468417592345</x:v>
      </x:c>
      <x:c r="L509" s="12" t="n">
        <x:f>'全部组合'!AF234/$D509</x:f>
        <x:v>0.09096757965260376</x:v>
      </x:c>
      <x:c r="M509" s="12" t="n">
        <x:f>'全部组合'!AG234/$D509</x:f>
        <x:v>0.24759621703464035</x:v>
      </x:c>
      <x:c r="N509" s="13" t="n">
        <x:f>'全部组合'!AH234/$D509</x:f>
        <x:v>0.0002700082920912302</x:v>
      </x:c>
    </x:row>
    <x:row r="510" ht="23" customHeight="1">
      <x:c r="A510" s="10" t="str">
        <x:v>M10</x:v>
      </x:c>
      <x:c r="B510" s="10" t="str">
        <x:v>NCG_H1_M1</x:v>
      </x:c>
      <x:c r="C510" s="9" t="str">
        <x:v>节点</x:v>
      </x:c>
      <x:c r="D510" s="11" t="n">
        <x:f>'全部组合'!D235</x:f>
        <x:v>5198</x:v>
      </x:c>
      <x:c r="E510" s="12" t="n">
        <x:f>'全部组合'!O235/$D510</x:f>
        <x:v>0.04694113120430935</x:v>
      </x:c>
      <x:c r="F510" s="12" t="n">
        <x:f>'全部组合'!P235/$D510</x:f>
        <x:v>0.09599846094651789</x:v>
      </x:c>
      <x:c r="G510" s="12" t="n">
        <x:f>'全部组合'!Q235/$D510</x:f>
        <x:v>0.45421315890727204</x:v>
      </x:c>
      <x:c r="H510" s="12" t="n">
        <x:f>'全部组合'!R235/$D510</x:f>
        <x:v>0.180454020777222</x:v>
      </x:c>
      <x:c r="I510" s="12" t="n">
        <x:f>'全部组合'!S235/$D510</x:f>
        <x:v>0.04193920738745671</x:v>
      </x:c>
      <x:c r="J510" s="12" t="n">
        <x:f>'全部组合'!T235/$D510</x:f>
        <x:v>0.03289726818006926</x:v>
      </x:c>
      <x:c r="K510" s="12" t="n">
        <x:f>'全部组合'!U235/$D510</x:f>
        <x:v>0.03039630627164294</x:v>
      </x:c>
      <x:c r="L510" s="12" t="n">
        <x:f>'全部组合'!V235/$D510</x:f>
        <x:v>0.02308580223162755</x:v>
      </x:c>
      <x:c r="M510" s="12" t="n">
        <x:f>'全部组合'!W235/$D510</x:f>
        <x:v>0.0938822624086187</x:v>
      </x:c>
      <x:c r="N510" s="13" t="n">
        <x:f>'全部组合'!X235/$D510</x:f>
        <x:v>0.00019238168526356292</x:v>
      </x:c>
    </x:row>
    <x:row r="511" ht="23" customHeight="1">
      <x:c r="A511" s="10" t="str">
        <x:v>M10</x:v>
      </x:c>
      <x:c r="B511" s="10" t="str">
        <x:v>NCG_H1_M1</x:v>
      </x:c>
      <x:c r="C511" s="9" t="str">
        <x:v>源三角形</x:v>
      </x:c>
      <x:c r="D511" s="11" t="n">
        <x:f>'全部组合'!I235</x:f>
        <x:v>47591131</x:v>
      </x:c>
      <x:c r="E511" s="12" t="n">
        <x:f>'全部组合'!Y235/$D511</x:f>
        <x:v>0.0148888245585086</x:v>
      </x:c>
      <x:c r="F511" s="12" t="n">
        <x:f>'全部组合'!Z235/$D511</x:f>
        <x:v>0.014792966361736602</x:v>
      </x:c>
      <x:c r="G511" s="12" t="n">
        <x:f>'全部组合'!AA235/$D511</x:f>
        <x:v>0.33992196991494067</x:v>
      </x:c>
      <x:c r="H511" s="12" t="n">
        <x:f>'全部组合'!AB235/$D511</x:f>
        <x:v>0.1263043738128434</x:v>
      </x:c>
      <x:c r="I511" s="12" t="n">
        <x:f>'全部组合'!AC235/$D511</x:f>
        <x:v>0.06313529300238736</x:v>
      </x:c>
      <x:c r="J511" s="12" t="n">
        <x:f>'全部组合'!AD235/$D511</x:f>
        <x:v>0.08965830208994192</x:v>
      </x:c>
      <x:c r="K511" s="12" t="n">
        <x:f>'全部组合'!AE235/$D511</x:f>
        <x:v>0.012464465280306114</x:v>
      </x:c>
      <x:c r="L511" s="12" t="n">
        <x:f>'全部组合'!AF235/$D511</x:f>
        <x:v>0.09096757965260376</x:v>
      </x:c>
      <x:c r="M511" s="12" t="n">
        <x:f>'全部组合'!AG235/$D511</x:f>
        <x:v>0.24759621703464035</x:v>
      </x:c>
      <x:c r="N511" s="13" t="n">
        <x:f>'全部组合'!AH235/$D511</x:f>
        <x:v>0.0002700082920912302</x:v>
      </x:c>
    </x:row>
    <x:row r="512" ht="23" customHeight="1">
      <x:c r="A512" s="10" t="str">
        <x:v>M11</x:v>
      </x:c>
      <x:c r="B512" s="10" t="str">
        <x:v>N_H0</x:v>
      </x:c>
      <x:c r="C512" s="9" t="str">
        <x:v>节点</x:v>
      </x:c>
      <x:c r="D512" s="11" t="n">
        <x:f>'全部组合'!D236</x:f>
        <x:v>15723</x:v>
      </x:c>
      <x:c r="E512" s="12" t="n">
        <x:f>'全部组合'!O236/$D512</x:f>
        <x:v>0</x:v>
      </x:c>
      <x:c r="F512" s="12" t="n">
        <x:f>'全部组合'!P236/$D512</x:f>
        <x:v>0.0929211982446098</x:v>
      </x:c>
      <x:c r="G512" s="12" t="n">
        <x:f>'全部组合'!Q236/$D512</x:f>
        <x:v>0.020415951154359856</x:v>
      </x:c>
      <x:c r="H512" s="12" t="n">
        <x:f>'全部组合'!R236/$D512</x:f>
        <x:v>0</x:v>
      </x:c>
      <x:c r="I512" s="12" t="n">
        <x:f>'全部组合'!S236/$D512</x:f>
        <x:v>0.7295681485721555</x:v>
      </x:c>
      <x:c r="J512" s="12" t="n">
        <x:f>'全部组合'!T236/$D512</x:f>
        <x:v>0.0038796667302677607</x:v>
      </x:c>
      <x:c r="K512" s="12" t="n">
        <x:f>'全部组合'!U236/$D512</x:f>
        <x:v>0.017172295363480253</x:v>
      </x:c>
      <x:c r="L512" s="12" t="n">
        <x:f>'全部组合'!V236/$D512</x:f>
        <x:v>0.09673726388093876</x:v>
      </x:c>
      <x:c r="M512" s="12" t="n">
        <x:f>'全部组合'!W236/$D512</x:f>
        <x:v>0.03930547605418813</x:v>
      </x:c>
      <x:c r="N512" s="13" t="n">
        <x:f>'全部组合'!X236/$D512</x:f>
        <x:v>0</x:v>
      </x:c>
    </x:row>
    <x:row r="513" ht="23" customHeight="1">
      <x:c r="A513" s="10" t="str">
        <x:v>M11</x:v>
      </x:c>
      <x:c r="B513" s="10" t="str">
        <x:v>N_H0</x:v>
      </x:c>
      <x:c r="C513" s="9" t="str">
        <x:v>源三角形</x:v>
      </x:c>
      <x:c r="D513" s="11" t="n">
        <x:f>'全部组合'!I236</x:f>
        <x:v>37068620</x:v>
      </x:c>
      <x:c r="E513" s="12" t="n">
        <x:f>'全部组合'!Y236/$D513</x:f>
        <x:v>0</x:v>
      </x:c>
      <x:c r="F513" s="12" t="n">
        <x:f>'全部组合'!Z236/$D513</x:f>
        <x:v>0.024237805453777347</x:v>
      </x:c>
      <x:c r="G513" s="12" t="n">
        <x:f>'全部组合'!AA236/$D513</x:f>
        <x:v>0.0095460257220258</x:v>
      </x:c>
      <x:c r="H513" s="12" t="n">
        <x:f>'全部组合'!AB236/$D513</x:f>
        <x:v>0</x:v>
      </x:c>
      <x:c r="I513" s="12" t="n">
        <x:f>'全部组合'!AC236/$D513</x:f>
        <x:v>0.8458964212857129</x:v>
      </x:c>
      <x:c r="J513" s="12" t="n">
        <x:f>'全部组合'!AD236/$D513</x:f>
        <x:v>0.007423961291248501</x:v>
      </x:c>
      <x:c r="K513" s="12" t="n">
        <x:f>'全部组合'!AE236/$D513</x:f>
        <x:v>0.01573829832348763</x:v>
      </x:c>
      <x:c r="L513" s="12" t="n">
        <x:f>'全部组合'!AF236/$D513</x:f>
        <x:v>0.06086760176127409</x:v>
      </x:c>
      <x:c r="M513" s="12" t="n">
        <x:f>'全部组合'!AG236/$D513</x:f>
        <x:v>0.03628988616247381</x:v>
      </x:c>
      <x:c r="N513" s="13" t="n">
        <x:f>'全部组合'!AH236/$D513</x:f>
        <x:v>0</x:v>
      </x:c>
    </x:row>
    <x:row r="514" ht="23" customHeight="1">
      <x:c r="A514" s="10" t="str">
        <x:v>M11</x:v>
      </x:c>
      <x:c r="B514" s="10" t="str">
        <x:v>N_HT</x:v>
      </x:c>
      <x:c r="C514" s="9" t="str">
        <x:v>节点</x:v>
      </x:c>
      <x:c r="D514" s="11" t="n">
        <x:f>'全部组合'!D237</x:f>
        <x:v>15723</x:v>
      </x:c>
      <x:c r="E514" s="12" t="n">
        <x:f>'全部组合'!O237/$D514</x:f>
        <x:v>0</x:v>
      </x:c>
      <x:c r="F514" s="12" t="n">
        <x:f>'全部组合'!P237/$D514</x:f>
        <x:v>0.0929211982446098</x:v>
      </x:c>
      <x:c r="G514" s="12" t="n">
        <x:f>'全部组合'!Q237/$D514</x:f>
        <x:v>0.020415951154359856</x:v>
      </x:c>
      <x:c r="H514" s="12" t="n">
        <x:f>'全部组合'!R237/$D514</x:f>
        <x:v>0</x:v>
      </x:c>
      <x:c r="I514" s="12" t="n">
        <x:f>'全部组合'!S237/$D514</x:f>
        <x:v>0.7295681485721555</x:v>
      </x:c>
      <x:c r="J514" s="12" t="n">
        <x:f>'全部组合'!T237/$D514</x:f>
        <x:v>0.0038796667302677607</x:v>
      </x:c>
      <x:c r="K514" s="12" t="n">
        <x:f>'全部组合'!U237/$D514</x:f>
        <x:v>0.017172295363480253</x:v>
      </x:c>
      <x:c r="L514" s="12" t="n">
        <x:f>'全部组合'!V237/$D514</x:f>
        <x:v>0.09673726388093876</x:v>
      </x:c>
      <x:c r="M514" s="12" t="n">
        <x:f>'全部组合'!W237/$D514</x:f>
        <x:v>0.03930547605418813</x:v>
      </x:c>
      <x:c r="N514" s="13" t="n">
        <x:f>'全部组合'!X237/$D514</x:f>
        <x:v>0</x:v>
      </x:c>
    </x:row>
    <x:row r="515" ht="23" customHeight="1">
      <x:c r="A515" s="10" t="str">
        <x:v>M11</x:v>
      </x:c>
      <x:c r="B515" s="10" t="str">
        <x:v>N_HT</x:v>
      </x:c>
      <x:c r="C515" s="9" t="str">
        <x:v>源三角形</x:v>
      </x:c>
      <x:c r="D515" s="11" t="n">
        <x:f>'全部组合'!I237</x:f>
        <x:v>37068620</x:v>
      </x:c>
      <x:c r="E515" s="12" t="n">
        <x:f>'全部组合'!Y237/$D515</x:f>
        <x:v>0</x:v>
      </x:c>
      <x:c r="F515" s="12" t="n">
        <x:f>'全部组合'!Z237/$D515</x:f>
        <x:v>0.024237805453777347</x:v>
      </x:c>
      <x:c r="G515" s="12" t="n">
        <x:f>'全部组合'!AA237/$D515</x:f>
        <x:v>0.0095460257220258</x:v>
      </x:c>
      <x:c r="H515" s="12" t="n">
        <x:f>'全部组合'!AB237/$D515</x:f>
        <x:v>0</x:v>
      </x:c>
      <x:c r="I515" s="12" t="n">
        <x:f>'全部组合'!AC237/$D515</x:f>
        <x:v>0.8458964212857129</x:v>
      </x:c>
      <x:c r="J515" s="12" t="n">
        <x:f>'全部组合'!AD237/$D515</x:f>
        <x:v>0.007423961291248501</x:v>
      </x:c>
      <x:c r="K515" s="12" t="n">
        <x:f>'全部组合'!AE237/$D515</x:f>
        <x:v>0.01573829832348763</x:v>
      </x:c>
      <x:c r="L515" s="12" t="n">
        <x:f>'全部组合'!AF237/$D515</x:f>
        <x:v>0.06086760176127409</x:v>
      </x:c>
      <x:c r="M515" s="12" t="n">
        <x:f>'全部组合'!AG237/$D515</x:f>
        <x:v>0.03628988616247381</x:v>
      </x:c>
      <x:c r="N515" s="13" t="n">
        <x:f>'全部组合'!AH237/$D515</x:f>
        <x:v>0</x:v>
      </x:c>
    </x:row>
    <x:row r="516" ht="23" customHeight="1">
      <x:c r="A516" s="10" t="str">
        <x:v>M11</x:v>
      </x:c>
      <x:c r="B516" s="10" t="str">
        <x:v>N_H1</x:v>
      </x:c>
      <x:c r="C516" s="9" t="str">
        <x:v>节点</x:v>
      </x:c>
      <x:c r="D516" s="11" t="n">
        <x:f>'全部组合'!D238</x:f>
        <x:v>15723</x:v>
      </x:c>
      <x:c r="E516" s="12" t="n">
        <x:f>'全部组合'!O238/$D516</x:f>
        <x:v>0</x:v>
      </x:c>
      <x:c r="F516" s="12" t="n">
        <x:f>'全部组合'!P238/$D516</x:f>
        <x:v>0.08204541118107231</x:v>
      </x:c>
      <x:c r="G516" s="12" t="n">
        <x:f>'全部组合'!Q238/$D516</x:f>
        <x:v>0.006868918145392101</x:v>
      </x:c>
      <x:c r="H516" s="12" t="n">
        <x:f>'全部组合'!R238/$D516</x:f>
        <x:v>0</x:v>
      </x:c>
      <x:c r="I516" s="12" t="n">
        <x:f>'全部组合'!S238/$D516</x:f>
        <x:v>0.7295681485721555</x:v>
      </x:c>
      <x:c r="J516" s="12" t="n">
        <x:f>'全部组合'!T238/$D516</x:f>
        <x:v>0.017108694269541435</x:v>
      </x:c>
      <x:c r="K516" s="12" t="n">
        <x:f>'全部组合'!U238/$D516</x:f>
        <x:v>0.028366087896711824</x:v>
      </x:c>
      <x:c r="L516" s="12" t="n">
        <x:f>'全部组合'!V238/$D516</x:f>
        <x:v>0.09673726388093876</x:v>
      </x:c>
      <x:c r="M516" s="12" t="n">
        <x:f>'全部组合'!W238/$D516</x:f>
        <x:v>0.03930547605418813</x:v>
      </x:c>
      <x:c r="N516" s="13" t="n">
        <x:f>'全部组合'!X238/$D516</x:f>
        <x:v>0</x:v>
      </x:c>
    </x:row>
    <x:row r="517" ht="23" customHeight="1">
      <x:c r="A517" s="10" t="str">
        <x:v>M11</x:v>
      </x:c>
      <x:c r="B517" s="10" t="str">
        <x:v>N_H1</x:v>
      </x:c>
      <x:c r="C517" s="9" t="str">
        <x:v>源三角形</x:v>
      </x:c>
      <x:c r="D517" s="11" t="n">
        <x:f>'全部组合'!I238</x:f>
        <x:v>37068620</x:v>
      </x:c>
      <x:c r="E517" s="12" t="n">
        <x:f>'全部组合'!Y238/$D517</x:f>
        <x:v>0</x:v>
      </x:c>
      <x:c r="F517" s="12" t="n">
        <x:f>'全部组合'!Z238/$D517</x:f>
        <x:v>0.022084933293982888</x:v>
      </x:c>
      <x:c r="G517" s="12" t="n">
        <x:f>'全部组合'!AA238/$D517</x:f>
        <x:v>0.0019161760000776938</x:v>
      </x:c>
      <x:c r="H517" s="12" t="n">
        <x:f>'全部组合'!AB238/$D517</x:f>
        <x:v>0</x:v>
      </x:c>
      <x:c r="I517" s="12" t="n">
        <x:f>'全部组合'!AC238/$D517</x:f>
        <x:v>0.8458964212857129</x:v>
      </x:c>
      <x:c r="J517" s="12" t="n">
        <x:f>'全部组合'!AD238/$D517</x:f>
        <x:v>0.015008165936579242</x:v>
      </x:c>
      <x:c r="K517" s="12" t="n">
        <x:f>'全部组合'!AE238/$D517</x:f>
        <x:v>0.01793681555989945</x:v>
      </x:c>
      <x:c r="L517" s="12" t="n">
        <x:f>'全部组合'!AF238/$D517</x:f>
        <x:v>0.06086760176127409</x:v>
      </x:c>
      <x:c r="M517" s="12" t="n">
        <x:f>'全部组合'!AG238/$D517</x:f>
        <x:v>0.03628988616247381</x:v>
      </x:c>
      <x:c r="N517" s="13" t="n">
        <x:f>'全部组合'!AH238/$D517</x:f>
        <x:v>0</x:v>
      </x:c>
    </x:row>
    <x:row r="518" ht="23" customHeight="1">
      <x:c r="A518" s="10" t="str">
        <x:v>M11</x:v>
      </x:c>
      <x:c r="B518" s="10" t="str">
        <x:v>C_H0</x:v>
      </x:c>
      <x:c r="C518" s="9" t="str">
        <x:v>节点</x:v>
      </x:c>
      <x:c r="D518" s="11" t="n">
        <x:f>'全部组合'!D239</x:f>
        <x:v>15723</x:v>
      </x:c>
      <x:c r="E518" s="12" t="n">
        <x:f>'全部组合'!O239/$D518</x:f>
        <x:v>0</x:v>
      </x:c>
      <x:c r="F518" s="12" t="n">
        <x:f>'全部组合'!P239/$D518</x:f>
        <x:v>0.2849965019398334</x:v>
      </x:c>
      <x:c r="G518" s="12" t="n">
        <x:f>'全部组合'!Q239/$D518</x:f>
        <x:v>0</x:v>
      </x:c>
      <x:c r="H518" s="12" t="n">
        <x:f>'全部组合'!R239/$D518</x:f>
        <x:v>0</x:v>
      </x:c>
      <x:c r="I518" s="12" t="n">
        <x:f>'全部组合'!S239/$D518</x:f>
        <x:v>0.7144946893086561</x:v>
      </x:c>
      <x:c r="J518" s="12" t="n">
        <x:f>'全部组合'!T239/$D518</x:f>
        <x:v>0</x:v>
      </x:c>
      <x:c r="K518" s="12" t="n">
        <x:f>'全部组合'!U239/$D518</x:f>
        <x:v>0.00006360109393881575</x:v>
      </x:c>
      <x:c r="L518" s="12" t="n">
        <x:f>'全部组合'!V239/$D518</x:f>
        <x:v>0</x:v>
      </x:c>
      <x:c r="M518" s="12" t="n">
        <x:f>'全部组合'!W239/$D518</x:f>
        <x:v>0.0004452076575717102</x:v>
      </x:c>
      <x:c r="N518" s="13" t="n">
        <x:f>'全部组合'!X239/$D518</x:f>
        <x:v>0</x:v>
      </x:c>
    </x:row>
    <x:row r="519" ht="23" customHeight="1">
      <x:c r="A519" s="10" t="str">
        <x:v>M11</x:v>
      </x:c>
      <x:c r="B519" s="10" t="str">
        <x:v>C_H0</x:v>
      </x:c>
      <x:c r="C519" s="9" t="str">
        <x:v>源三角形</x:v>
      </x:c>
      <x:c r="D519" s="11" t="n">
        <x:f>'全部组合'!I239</x:f>
        <x:v>37068620</x:v>
      </x:c>
      <x:c r="E519" s="12" t="n">
        <x:f>'全部组合'!Y239/$D519</x:f>
        <x:v>0</x:v>
      </x:c>
      <x:c r="F519" s="12" t="n">
        <x:f>'全部组合'!Z239/$D519</x:f>
        <x:v>0.18132857387191645</x:v>
      </x:c>
      <x:c r="G519" s="12" t="n">
        <x:f>'全部组合'!AA239/$D519</x:f>
        <x:v>0</x:v>
      </x:c>
      <x:c r="H519" s="12" t="n">
        <x:f>'全部组合'!AB239/$D519</x:f>
        <x:v>0</x:v>
      </x:c>
      <x:c r="I519" s="12" t="n">
        <x:f>'全部组合'!AC239/$D519</x:f>
        <x:v>0.8181535757198407</x:v>
      </x:c>
      <x:c r="J519" s="12" t="n">
        <x:f>'全部组合'!AD239/$D519</x:f>
        <x:v>0</x:v>
      </x:c>
      <x:c r="K519" s="12" t="n">
        <x:f>'全部组合'!AE239/$D519</x:f>
        <x:v>0.00007656071361707018</x:v>
      </x:c>
      <x:c r="L519" s="12" t="n">
        <x:f>'全部组合'!AF239/$D519</x:f>
        <x:v>0</x:v>
      </x:c>
      <x:c r="M519" s="12" t="n">
        <x:f>'全部组合'!AG239/$D519</x:f>
        <x:v>0.0004412896946258048</x:v>
      </x:c>
      <x:c r="N519" s="13" t="n">
        <x:f>'全部组合'!AH239/$D519</x:f>
        <x:v>0</x:v>
      </x:c>
    </x:row>
    <x:row r="520" ht="23" customHeight="1">
      <x:c r="A520" s="10" t="str">
        <x:v>M11</x:v>
      </x:c>
      <x:c r="B520" s="10" t="str">
        <x:v>C_HT</x:v>
      </x:c>
      <x:c r="C520" s="9" t="str">
        <x:v>节点</x:v>
      </x:c>
      <x:c r="D520" s="11" t="n">
        <x:f>'全部组合'!D240</x:f>
        <x:v>15723</x:v>
      </x:c>
      <x:c r="E520" s="12" t="n">
        <x:f>'全部组合'!O240/$D520</x:f>
        <x:v>0</x:v>
      </x:c>
      <x:c r="F520" s="12" t="n">
        <x:f>'全部组合'!P240/$D520</x:f>
        <x:v>0.2849965019398334</x:v>
      </x:c>
      <x:c r="G520" s="12" t="n">
        <x:f>'全部组合'!Q240/$D520</x:f>
        <x:v>0</x:v>
      </x:c>
      <x:c r="H520" s="12" t="n">
        <x:f>'全部组合'!R240/$D520</x:f>
        <x:v>0</x:v>
      </x:c>
      <x:c r="I520" s="12" t="n">
        <x:f>'全部组合'!S240/$D520</x:f>
        <x:v>0.7144946893086561</x:v>
      </x:c>
      <x:c r="J520" s="12" t="n">
        <x:f>'全部组合'!T240/$D520</x:f>
        <x:v>0</x:v>
      </x:c>
      <x:c r="K520" s="12" t="n">
        <x:f>'全部组合'!U240/$D520</x:f>
        <x:v>0.00006360109393881575</x:v>
      </x:c>
      <x:c r="L520" s="12" t="n">
        <x:f>'全部组合'!V240/$D520</x:f>
        <x:v>0</x:v>
      </x:c>
      <x:c r="M520" s="12" t="n">
        <x:f>'全部组合'!W240/$D520</x:f>
        <x:v>0.0004452076575717102</x:v>
      </x:c>
      <x:c r="N520" s="13" t="n">
        <x:f>'全部组合'!X240/$D520</x:f>
        <x:v>0</x:v>
      </x:c>
    </x:row>
    <x:row r="521" ht="23" customHeight="1">
      <x:c r="A521" s="10" t="str">
        <x:v>M11</x:v>
      </x:c>
      <x:c r="B521" s="10" t="str">
        <x:v>C_HT</x:v>
      </x:c>
      <x:c r="C521" s="9" t="str">
        <x:v>源三角形</x:v>
      </x:c>
      <x:c r="D521" s="11" t="n">
        <x:f>'全部组合'!I240</x:f>
        <x:v>37068620</x:v>
      </x:c>
      <x:c r="E521" s="12" t="n">
        <x:f>'全部组合'!Y240/$D521</x:f>
        <x:v>0</x:v>
      </x:c>
      <x:c r="F521" s="12" t="n">
        <x:f>'全部组合'!Z240/$D521</x:f>
        <x:v>0.18132857387191645</x:v>
      </x:c>
      <x:c r="G521" s="12" t="n">
        <x:f>'全部组合'!AA240/$D521</x:f>
        <x:v>0</x:v>
      </x:c>
      <x:c r="H521" s="12" t="n">
        <x:f>'全部组合'!AB240/$D521</x:f>
        <x:v>0</x:v>
      </x:c>
      <x:c r="I521" s="12" t="n">
        <x:f>'全部组合'!AC240/$D521</x:f>
        <x:v>0.8181535757198407</x:v>
      </x:c>
      <x:c r="J521" s="12" t="n">
        <x:f>'全部组合'!AD240/$D521</x:f>
        <x:v>0</x:v>
      </x:c>
      <x:c r="K521" s="12" t="n">
        <x:f>'全部组合'!AE240/$D521</x:f>
        <x:v>0.00007656071361707018</x:v>
      </x:c>
      <x:c r="L521" s="12" t="n">
        <x:f>'全部组合'!AF240/$D521</x:f>
        <x:v>0</x:v>
      </x:c>
      <x:c r="M521" s="12" t="n">
        <x:f>'全部组合'!AG240/$D521</x:f>
        <x:v>0.0004412896946258048</x:v>
      </x:c>
      <x:c r="N521" s="13" t="n">
        <x:f>'全部组合'!AH240/$D521</x:f>
        <x:v>0</x:v>
      </x:c>
    </x:row>
    <x:row r="522" ht="23" customHeight="1">
      <x:c r="A522" s="10" t="str">
        <x:v>M11</x:v>
      </x:c>
      <x:c r="B522" s="10" t="str">
        <x:v>C_H1</x:v>
      </x:c>
      <x:c r="C522" s="9" t="str">
        <x:v>节点</x:v>
      </x:c>
      <x:c r="D522" s="11" t="n">
        <x:f>'全部组合'!D241</x:f>
        <x:v>15723</x:v>
      </x:c>
      <x:c r="E522" s="12" t="n">
        <x:f>'全部组合'!O241/$D522</x:f>
        <x:v>0</x:v>
      </x:c>
      <x:c r="F522" s="12" t="n">
        <x:f>'全部组合'!P241/$D522</x:f>
        <x:v>0.2731030973732748</x:v>
      </x:c>
      <x:c r="G522" s="12" t="n">
        <x:f>'全部组合'!Q241/$D522</x:f>
        <x:v>0</x:v>
      </x:c>
      <x:c r="H522" s="12" t="n">
        <x:f>'全部组合'!R241/$D522</x:f>
        <x:v>0</x:v>
      </x:c>
      <x:c r="I522" s="12" t="n">
        <x:f>'全部组合'!S241/$D522</x:f>
        <x:v>0.7144946893086561</x:v>
      </x:c>
      <x:c r="J522" s="12" t="n">
        <x:f>'全部组合'!T241/$D522</x:f>
        <x:v>0</x:v>
      </x:c>
      <x:c r="K522" s="12" t="n">
        <x:f>'全部组合'!U241/$D522</x:f>
        <x:v>0.011957005660497361</x:v>
      </x:c>
      <x:c r="L522" s="12" t="n">
        <x:f>'全部组合'!V241/$D522</x:f>
        <x:v>0</x:v>
      </x:c>
      <x:c r="M522" s="12" t="n">
        <x:f>'全部组合'!W241/$D522</x:f>
        <x:v>0.0004452076575717102</x:v>
      </x:c>
      <x:c r="N522" s="13" t="n">
        <x:f>'全部组合'!X241/$D522</x:f>
        <x:v>0</x:v>
      </x:c>
    </x:row>
    <x:row r="523" ht="23" customHeight="1">
      <x:c r="A523" s="10" t="str">
        <x:v>M11</x:v>
      </x:c>
      <x:c r="B523" s="10" t="str">
        <x:v>C_H1</x:v>
      </x:c>
      <x:c r="C523" s="9" t="str">
        <x:v>源三角形</x:v>
      </x:c>
      <x:c r="D523" s="11" t="n">
        <x:f>'全部组合'!I241</x:f>
        <x:v>37068620</x:v>
      </x:c>
      <x:c r="E523" s="12" t="n">
        <x:f>'全部组合'!Y241/$D523</x:f>
        <x:v>0</x:v>
      </x:c>
      <x:c r="F523" s="12" t="n">
        <x:f>'全部组合'!Z241/$D523</x:f>
        <x:v>0.17990494385817438</x:v>
      </x:c>
      <x:c r="G523" s="12" t="n">
        <x:f>'全部组合'!AA241/$D523</x:f>
        <x:v>0</x:v>
      </x:c>
      <x:c r="H523" s="12" t="n">
        <x:f>'全部组合'!AB241/$D523</x:f>
        <x:v>0</x:v>
      </x:c>
      <x:c r="I523" s="12" t="n">
        <x:f>'全部组合'!AC241/$D523</x:f>
        <x:v>0.8181535757198407</x:v>
      </x:c>
      <x:c r="J523" s="12" t="n">
        <x:f>'全部组合'!AD241/$D523</x:f>
        <x:v>0</x:v>
      </x:c>
      <x:c r="K523" s="12" t="n">
        <x:f>'全部组合'!AE241/$D523</x:f>
        <x:v>0.0015001907273591518</x:v>
      </x:c>
      <x:c r="L523" s="12" t="n">
        <x:f>'全部组合'!AF241/$D523</x:f>
        <x:v>0</x:v>
      </x:c>
      <x:c r="M523" s="12" t="n">
        <x:f>'全部组合'!AG241/$D523</x:f>
        <x:v>0.0004412896946258048</x:v>
      </x:c>
      <x:c r="N523" s="13" t="n">
        <x:f>'全部组合'!AH241/$D523</x:f>
        <x:v>0</x:v>
      </x:c>
    </x:row>
    <x:row r="524" ht="23" customHeight="1">
      <x:c r="A524" s="10" t="str">
        <x:v>M11</x:v>
      </x:c>
      <x:c r="B524" s="10" t="str">
        <x:v>G_H0</x:v>
      </x:c>
      <x:c r="C524" s="9" t="str">
        <x:v>节点</x:v>
      </x:c>
      <x:c r="D524" s="11" t="n">
        <x:f>'全部组合'!D242</x:f>
        <x:v>15723</x:v>
      </x:c>
      <x:c r="E524" s="12" t="n">
        <x:f>'全部组合'!O242/$D524</x:f>
        <x:v>0</x:v>
      </x:c>
      <x:c r="F524" s="12" t="n">
        <x:f>'全部组合'!P242/$D524</x:f>
        <x:v>0.45697385995039114</x:v>
      </x:c>
      <x:c r="G524" s="12" t="n">
        <x:f>'全部组合'!Q242/$D524</x:f>
        <x:v>0.39477199007822933</x:v>
      </x:c>
      <x:c r="H524" s="12" t="n">
        <x:f>'全部组合'!R242/$D524</x:f>
        <x:v>0.11804363035044203</x:v>
      </x:c>
      <x:c r="I524" s="12" t="n">
        <x:f>'全部组合'!S242/$D524</x:f>
        <x:v>0.027284869299751956</x:v>
      </x:c>
      <x:c r="J524" s="12" t="n">
        <x:f>'全部组合'!T242/$D524</x:f>
        <x:v>0.0029256503211855245</x:v>
      </x:c>
      <x:c r="K524" s="12" t="n">
        <x:f>'全部组合'!U242/$D524</x:f>
        <x:v>0</x:v>
      </x:c>
      <x:c r="L524" s="12" t="n">
        <x:f>'全部组合'!V242/$D524</x:f>
        <x:v>0</x:v>
      </x:c>
      <x:c r="M524" s="12" t="n">
        <x:f>'全部组合'!W242/$D524</x:f>
        <x:v>0</x:v>
      </x:c>
      <x:c r="N524" s="13" t="n">
        <x:f>'全部组合'!X242/$D524</x:f>
        <x:v>0</x:v>
      </x:c>
    </x:row>
    <x:row r="525" ht="23" customHeight="1">
      <x:c r="A525" s="10" t="str">
        <x:v>M11</x:v>
      </x:c>
      <x:c r="B525" s="10" t="str">
        <x:v>G_H0</x:v>
      </x:c>
      <x:c r="C525" s="9" t="str">
        <x:v>源三角形</x:v>
      </x:c>
      <x:c r="D525" s="11" t="n">
        <x:f>'全部组合'!I242</x:f>
        <x:v>37068620</x:v>
      </x:c>
      <x:c r="E525" s="12" t="n">
        <x:f>'全部组合'!Y242/$D525</x:f>
        <x:v>0</x:v>
      </x:c>
      <x:c r="F525" s="12" t="n">
        <x:f>'全部组合'!Z242/$D525</x:f>
        <x:v>0.1816125337279888</x:v>
      </x:c>
      <x:c r="G525" s="12" t="n">
        <x:f>'全部组合'!AA242/$D525</x:f>
        <x:v>0.29592946810536785</x:v>
      </x:c>
      <x:c r="H525" s="12" t="n">
        <x:f>'全部组合'!AB242/$D525</x:f>
        <x:v>0.41845245385450014</x:v>
      </x:c>
      <x:c r="I525" s="12" t="n">
        <x:f>'全部组合'!AC242/$D525</x:f>
        <x:v>0.08785015465911598</x:v>
      </x:c>
      <x:c r="J525" s="12" t="n">
        <x:f>'全部组合'!AD242/$D525</x:f>
        <x:v>0.016155389653027277</x:v>
      </x:c>
      <x:c r="K525" s="12" t="n">
        <x:f>'全部组合'!AE242/$D525</x:f>
        <x:v>0</x:v>
      </x:c>
      <x:c r="L525" s="12" t="n">
        <x:f>'全部组合'!AF242/$D525</x:f>
        <x:v>0</x:v>
      </x:c>
      <x:c r="M525" s="12" t="n">
        <x:f>'全部组合'!AG242/$D525</x:f>
        <x:v>0</x:v>
      </x:c>
      <x:c r="N525" s="13" t="n">
        <x:f>'全部组合'!AH242/$D525</x:f>
        <x:v>0</x:v>
      </x:c>
    </x:row>
    <x:row r="526" ht="23" customHeight="1">
      <x:c r="A526" s="10" t="str">
        <x:v>M11</x:v>
      </x:c>
      <x:c r="B526" s="10" t="str">
        <x:v>G_HT</x:v>
      </x:c>
      <x:c r="C526" s="9" t="str">
        <x:v>节点</x:v>
      </x:c>
      <x:c r="D526" s="11" t="n">
        <x:f>'全部组合'!D243</x:f>
        <x:v>15723</x:v>
      </x:c>
      <x:c r="E526" s="12" t="n">
        <x:f>'全部组合'!O243/$D526</x:f>
        <x:v>0</x:v>
      </x:c>
      <x:c r="F526" s="12" t="n">
        <x:f>'全部组合'!P243/$D526</x:f>
        <x:v>0.2997519557336386</x:v>
      </x:c>
      <x:c r="G526" s="12" t="n">
        <x:f>'全部组合'!Q243/$D526</x:f>
        <x:v>0.48387712268651023</x:v>
      </x:c>
      <x:c r="H526" s="12" t="n">
        <x:f>'全部组合'!R243/$D526</x:f>
        <x:v>0.17757425427717358</x:v>
      </x:c>
      <x:c r="I526" s="12" t="n">
        <x:f>'全部组合'!S243/$D526</x:f>
        <x:v>0.03529860713604274</x:v>
      </x:c>
      <x:c r="J526" s="12" t="n">
        <x:f>'全部组合'!T243/$D526</x:f>
        <x:v>0.003498060166634866</x:v>
      </x:c>
      <x:c r="K526" s="12" t="n">
        <x:f>'全部组合'!U243/$D526</x:f>
        <x:v>0</x:v>
      </x:c>
      <x:c r="L526" s="12" t="n">
        <x:f>'全部组合'!V243/$D526</x:f>
        <x:v>0</x:v>
      </x:c>
      <x:c r="M526" s="12" t="n">
        <x:f>'全部组合'!W243/$D526</x:f>
        <x:v>0</x:v>
      </x:c>
      <x:c r="N526" s="13" t="n">
        <x:f>'全部组合'!X243/$D526</x:f>
        <x:v>0</x:v>
      </x:c>
    </x:row>
    <x:row r="527" ht="23" customHeight="1">
      <x:c r="A527" s="10" t="str">
        <x:v>M11</x:v>
      </x:c>
      <x:c r="B527" s="10" t="str">
        <x:v>G_HT</x:v>
      </x:c>
      <x:c r="C527" s="9" t="str">
        <x:v>源三角形</x:v>
      </x:c>
      <x:c r="D527" s="11" t="n">
        <x:f>'全部组合'!I243</x:f>
        <x:v>37068620</x:v>
      </x:c>
      <x:c r="E527" s="12" t="n">
        <x:f>'全部组合'!Y243/$D527</x:f>
        <x:v>0</x:v>
      </x:c>
      <x:c r="F527" s="12" t="n">
        <x:f>'全部组合'!Z243/$D527</x:f>
        <x:v>0.07967720406100902</x:v>
      </x:c>
      <x:c r="G527" s="12" t="n">
        <x:f>'全部组合'!AA243/$D527</x:f>
        <x:v>0.36610089612184105</x:v>
      </x:c>
      <x:c r="H527" s="12" t="n">
        <x:f>'全部组合'!AB243/$D527</x:f>
        <x:v>0.4356352893633483</x:v>
      </x:c>
      <x:c r="I527" s="12" t="n">
        <x:f>'全部组合'!AC243/$D527</x:f>
        <x:v>0.10154378555230813</x:v>
      </x:c>
      <x:c r="J527" s="12" t="n">
        <x:f>'全部组合'!AD243/$D527</x:f>
        <x:v>0.0170428249014935</x:v>
      </x:c>
      <x:c r="K527" s="12" t="n">
        <x:f>'全部组合'!AE243/$D527</x:f>
        <x:v>0</x:v>
      </x:c>
      <x:c r="L527" s="12" t="n">
        <x:f>'全部组合'!AF243/$D527</x:f>
        <x:v>0</x:v>
      </x:c>
      <x:c r="M527" s="12" t="n">
        <x:f>'全部组合'!AG243/$D527</x:f>
        <x:v>0</x:v>
      </x:c>
      <x:c r="N527" s="13" t="n">
        <x:f>'全部组合'!AH243/$D527</x:f>
        <x:v>0</x:v>
      </x:c>
    </x:row>
    <x:row r="528" ht="23" customHeight="1">
      <x:c r="A528" s="10" t="str">
        <x:v>M11</x:v>
      </x:c>
      <x:c r="B528" s="10" t="str">
        <x:v>G_H1</x:v>
      </x:c>
      <x:c r="C528" s="9" t="str">
        <x:v>节点</x:v>
      </x:c>
      <x:c r="D528" s="11" t="n">
        <x:f>'全部组合'!D244</x:f>
        <x:v>15723</x:v>
      </x:c>
      <x:c r="E528" s="12" t="n">
        <x:f>'全部组合'!O244/$D528</x:f>
        <x:v>0</x:v>
      </x:c>
      <x:c r="F528" s="12" t="n">
        <x:f>'全部组合'!P244/$D528</x:f>
        <x:v>0.2997519557336386</x:v>
      </x:c>
      <x:c r="G528" s="12" t="n">
        <x:f>'全部组合'!Q244/$D528</x:f>
        <x:v>0.48387712268651023</x:v>
      </x:c>
      <x:c r="H528" s="12" t="n">
        <x:f>'全部组合'!R244/$D528</x:f>
        <x:v>0.17757425427717358</x:v>
      </x:c>
      <x:c r="I528" s="12" t="n">
        <x:f>'全部组合'!S244/$D528</x:f>
        <x:v>0.03529860713604274</x:v>
      </x:c>
      <x:c r="J528" s="12" t="n">
        <x:f>'全部组合'!T244/$D528</x:f>
        <x:v>0.003498060166634866</x:v>
      </x:c>
      <x:c r="K528" s="12" t="n">
        <x:f>'全部组合'!U244/$D528</x:f>
        <x:v>0</x:v>
      </x:c>
      <x:c r="L528" s="12" t="n">
        <x:f>'全部组合'!V244/$D528</x:f>
        <x:v>0</x:v>
      </x:c>
      <x:c r="M528" s="12" t="n">
        <x:f>'全部组合'!W244/$D528</x:f>
        <x:v>0</x:v>
      </x:c>
      <x:c r="N528" s="13" t="n">
        <x:f>'全部组合'!X244/$D528</x:f>
        <x:v>0</x:v>
      </x:c>
    </x:row>
    <x:row r="529" ht="23" customHeight="1">
      <x:c r="A529" s="10" t="str">
        <x:v>M11</x:v>
      </x:c>
      <x:c r="B529" s="10" t="str">
        <x:v>G_H1</x:v>
      </x:c>
      <x:c r="C529" s="9" t="str">
        <x:v>源三角形</x:v>
      </x:c>
      <x:c r="D529" s="11" t="n">
        <x:f>'全部组合'!I244</x:f>
        <x:v>37068620</x:v>
      </x:c>
      <x:c r="E529" s="12" t="n">
        <x:f>'全部组合'!Y244/$D529</x:f>
        <x:v>0</x:v>
      </x:c>
      <x:c r="F529" s="12" t="n">
        <x:f>'全部组合'!Z244/$D529</x:f>
        <x:v>0.07967720406100902</x:v>
      </x:c>
      <x:c r="G529" s="12" t="n">
        <x:f>'全部组合'!AA244/$D529</x:f>
        <x:v>0.36610089612184105</x:v>
      </x:c>
      <x:c r="H529" s="12" t="n">
        <x:f>'全部组合'!AB244/$D529</x:f>
        <x:v>0.4356352893633483</x:v>
      </x:c>
      <x:c r="I529" s="12" t="n">
        <x:f>'全部组合'!AC244/$D529</x:f>
        <x:v>0.10154378555230813</x:v>
      </x:c>
      <x:c r="J529" s="12" t="n">
        <x:f>'全部组合'!AD244/$D529</x:f>
        <x:v>0.0170428249014935</x:v>
      </x:c>
      <x:c r="K529" s="12" t="n">
        <x:f>'全部组合'!AE244/$D529</x:f>
        <x:v>0</x:v>
      </x:c>
      <x:c r="L529" s="12" t="n">
        <x:f>'全部组合'!AF244/$D529</x:f>
        <x:v>0</x:v>
      </x:c>
      <x:c r="M529" s="12" t="n">
        <x:f>'全部组合'!AG244/$D529</x:f>
        <x:v>0</x:v>
      </x:c>
      <x:c r="N529" s="13" t="n">
        <x:f>'全部组合'!AH244/$D529</x:f>
        <x:v>0</x:v>
      </x:c>
    </x:row>
    <x:row r="530" ht="23" customHeight="1">
      <x:c r="A530" s="10" t="str">
        <x:v>M11</x:v>
      </x:c>
      <x:c r="B530" s="10" t="str">
        <x:v>NC_H0</x:v>
      </x:c>
      <x:c r="C530" s="9" t="str">
        <x:v>节点</x:v>
      </x:c>
      <x:c r="D530" s="11" t="n">
        <x:f>'全部组合'!D245</x:f>
        <x:v>15723</x:v>
      </x:c>
      <x:c r="E530" s="12" t="n">
        <x:f>'全部组合'!O245/$D530</x:f>
        <x:v>0</x:v>
      </x:c>
      <x:c r="F530" s="12" t="n">
        <x:f>'全部组合'!P245/$D530</x:f>
        <x:v>0.24321058322203143</x:v>
      </x:c>
      <x:c r="G530" s="12" t="n">
        <x:f>'全部组合'!Q245/$D530</x:f>
        <x:v>0.01704509317560262</x:v>
      </x:c>
      <x:c r="H530" s="12" t="n">
        <x:f>'全部组合'!R245/$D530</x:f>
        <x:v>0</x:v>
      </x:c>
      <x:c r="I530" s="12" t="n">
        <x:f>'全部组合'!S245/$D530</x:f>
        <x:v>0.6617693824333779</x:v>
      </x:c>
      <x:c r="J530" s="12" t="n">
        <x:f>'全部组合'!T245/$D530</x:f>
        <x:v>0.003816065636328945</x:v>
      </x:c>
      <x:c r="K530" s="12" t="n">
        <x:f>'全部组合'!U245/$D530</x:f>
        <x:v>0.015900273484703936</x:v>
      </x:c>
      <x:c r="L530" s="12" t="n">
        <x:f>'全部组合'!V245/$D530</x:f>
        <x:v>0.029701710869426953</x:v>
      </x:c>
      <x:c r="M530" s="12" t="n">
        <x:f>'全部组合'!W245/$D530</x:f>
        <x:v>0.02855689117852827</x:v>
      </x:c>
      <x:c r="N530" s="13" t="n">
        <x:f>'全部组合'!X245/$D530</x:f>
        <x:v>0</x:v>
      </x:c>
    </x:row>
    <x:row r="531" ht="23" customHeight="1">
      <x:c r="A531" s="10" t="str">
        <x:v>M11</x:v>
      </x:c>
      <x:c r="B531" s="10" t="str">
        <x:v>NC_H0</x:v>
      </x:c>
      <x:c r="C531" s="9" t="str">
        <x:v>源三角形</x:v>
      </x:c>
      <x:c r="D531" s="11" t="n">
        <x:f>'全部组合'!I245</x:f>
        <x:v>37068620</x:v>
      </x:c>
      <x:c r="E531" s="12" t="n">
        <x:f>'全部组合'!Y245/$D531</x:f>
        <x:v>0</x:v>
      </x:c>
      <x:c r="F531" s="12" t="n">
        <x:f>'全部组合'!Z245/$D531</x:f>
        <x:v>0.1253388445536953</x:v>
      </x:c>
      <x:c r="G531" s="12" t="n">
        <x:f>'全部组合'!AA245/$D531</x:f>
        <x:v>0.008764286342464327</x:v>
      </x:c>
      <x:c r="H531" s="12" t="n">
        <x:f>'全部组合'!AB245/$D531</x:f>
        <x:v>0</x:v>
      </x:c>
      <x:c r="I531" s="12" t="n">
        <x:f>'全部组合'!AC245/$D531</x:f>
        <x:v>0.7738800365376429</x:v>
      </x:c>
      <x:c r="J531" s="12" t="n">
        <x:f>'全部组合'!AD245/$D531</x:f>
        <x:v>0.0073388758470102206</x:v>
      </x:c>
      <x:c r="K531" s="12" t="n">
        <x:f>'全部组合'!AE245/$D531</x:f>
        <x:v>0.01462868053895721</x:v>
      </x:c>
      <x:c r="L531" s="12" t="n">
        <x:f>'全部组合'!AF245/$D531</x:f>
        <x:v>0.0421997365966146</x:v>
      </x:c>
      <x:c r="M531" s="12" t="n">
        <x:f>'全部组合'!AG245/$D531</x:f>
        <x:v>0.027849539583615468</x:v>
      </x:c>
      <x:c r="N531" s="13" t="n">
        <x:f>'全部组合'!AH245/$D531</x:f>
        <x:v>0</x:v>
      </x:c>
    </x:row>
    <x:row r="532" ht="23" customHeight="1">
      <x:c r="A532" s="10" t="str">
        <x:v>M11</x:v>
      </x:c>
      <x:c r="B532" s="10" t="str">
        <x:v>NC_HT</x:v>
      </x:c>
      <x:c r="C532" s="9" t="str">
        <x:v>节点</x:v>
      </x:c>
      <x:c r="D532" s="11" t="n">
        <x:f>'全部组合'!D246</x:f>
        <x:v>15723</x:v>
      </x:c>
      <x:c r="E532" s="12" t="n">
        <x:f>'全部组合'!O246/$D532</x:f>
        <x:v>0</x:v>
      </x:c>
      <x:c r="F532" s="12" t="n">
        <x:f>'全部组合'!P246/$D532</x:f>
        <x:v>0.24321058322203143</x:v>
      </x:c>
      <x:c r="G532" s="12" t="n">
        <x:f>'全部组合'!Q246/$D532</x:f>
        <x:v>0.01704509317560262</x:v>
      </x:c>
      <x:c r="H532" s="12" t="n">
        <x:f>'全部组合'!R246/$D532</x:f>
        <x:v>0</x:v>
      </x:c>
      <x:c r="I532" s="12" t="n">
        <x:f>'全部组合'!S246/$D532</x:f>
        <x:v>0.6617693824333779</x:v>
      </x:c>
      <x:c r="J532" s="12" t="n">
        <x:f>'全部组合'!T246/$D532</x:f>
        <x:v>0.003816065636328945</x:v>
      </x:c>
      <x:c r="K532" s="12" t="n">
        <x:f>'全部组合'!U246/$D532</x:f>
        <x:v>0.015900273484703936</x:v>
      </x:c>
      <x:c r="L532" s="12" t="n">
        <x:f>'全部组合'!V246/$D532</x:f>
        <x:v>0.029701710869426953</x:v>
      </x:c>
      <x:c r="M532" s="12" t="n">
        <x:f>'全部组合'!W246/$D532</x:f>
        <x:v>0.02855689117852827</x:v>
      </x:c>
      <x:c r="N532" s="13" t="n">
        <x:f>'全部组合'!X246/$D532</x:f>
        <x:v>0</x:v>
      </x:c>
    </x:row>
    <x:row r="533" ht="23" customHeight="1">
      <x:c r="A533" s="10" t="str">
        <x:v>M11</x:v>
      </x:c>
      <x:c r="B533" s="10" t="str">
        <x:v>NC_HT</x:v>
      </x:c>
      <x:c r="C533" s="9" t="str">
        <x:v>源三角形</x:v>
      </x:c>
      <x:c r="D533" s="11" t="n">
        <x:f>'全部组合'!I246</x:f>
        <x:v>37068620</x:v>
      </x:c>
      <x:c r="E533" s="12" t="n">
        <x:f>'全部组合'!Y246/$D533</x:f>
        <x:v>0</x:v>
      </x:c>
      <x:c r="F533" s="12" t="n">
        <x:f>'全部组合'!Z246/$D533</x:f>
        <x:v>0.1253388445536953</x:v>
      </x:c>
      <x:c r="G533" s="12" t="n">
        <x:f>'全部组合'!AA246/$D533</x:f>
        <x:v>0.008764286342464327</x:v>
      </x:c>
      <x:c r="H533" s="12" t="n">
        <x:f>'全部组合'!AB246/$D533</x:f>
        <x:v>0</x:v>
      </x:c>
      <x:c r="I533" s="12" t="n">
        <x:f>'全部组合'!AC246/$D533</x:f>
        <x:v>0.7738800365376429</x:v>
      </x:c>
      <x:c r="J533" s="12" t="n">
        <x:f>'全部组合'!AD246/$D533</x:f>
        <x:v>0.0073388758470102206</x:v>
      </x:c>
      <x:c r="K533" s="12" t="n">
        <x:f>'全部组合'!AE246/$D533</x:f>
        <x:v>0.01462868053895721</x:v>
      </x:c>
      <x:c r="L533" s="12" t="n">
        <x:f>'全部组合'!AF246/$D533</x:f>
        <x:v>0.0421997365966146</x:v>
      </x:c>
      <x:c r="M533" s="12" t="n">
        <x:f>'全部组合'!AG246/$D533</x:f>
        <x:v>0.027849539583615468</x:v>
      </x:c>
      <x:c r="N533" s="13" t="n">
        <x:f>'全部组合'!AH246/$D533</x:f>
        <x:v>0</x:v>
      </x:c>
    </x:row>
    <x:row r="534" ht="23" customHeight="1">
      <x:c r="A534" s="10" t="str">
        <x:v>M11</x:v>
      </x:c>
      <x:c r="B534" s="10" t="str">
        <x:v>NC_H1</x:v>
      </x:c>
      <x:c r="C534" s="9" t="str">
        <x:v>节点</x:v>
      </x:c>
      <x:c r="D534" s="11" t="n">
        <x:f>'全部组合'!D247</x:f>
        <x:v>15723</x:v>
      </x:c>
      <x:c r="E534" s="12" t="n">
        <x:f>'全部组合'!O247/$D534</x:f>
        <x:v>0</x:v>
      </x:c>
      <x:c r="F534" s="12" t="n">
        <x:f>'全部组合'!P247/$D534</x:f>
        <x:v>0.2266106977040005</x:v>
      </x:c>
      <x:c r="G534" s="12" t="n">
        <x:f>'全部组合'!Q247/$D534</x:f>
        <x:v>0.005724098454493417</x:v>
      </x:c>
      <x:c r="H534" s="12" t="n">
        <x:f>'全部组合'!R247/$D534</x:f>
        <x:v>0</x:v>
      </x:c>
      <x:c r="I534" s="12" t="n">
        <x:f>'全部组合'!S247/$D534</x:f>
        <x:v>0.6617693824333779</x:v>
      </x:c>
      <x:c r="J534" s="12" t="n">
        <x:f>'全部组合'!T247/$D534</x:f>
        <x:v>0.01481905488774407</x:v>
      </x:c>
      <x:c r="K534" s="12" t="n">
        <x:f>'全部组合'!U247/$D534</x:f>
        <x:v>0.032818164472428926</x:v>
      </x:c>
      <x:c r="L534" s="12" t="n">
        <x:f>'全部组合'!V247/$D534</x:f>
        <x:v>0.029701710869426953</x:v>
      </x:c>
      <x:c r="M534" s="12" t="n">
        <x:f>'全部组合'!W247/$D534</x:f>
        <x:v>0.02855689117852827</x:v>
      </x:c>
      <x:c r="N534" s="13" t="n">
        <x:f>'全部组合'!X247/$D534</x:f>
        <x:v>0</x:v>
      </x:c>
    </x:row>
    <x:row r="535" ht="23" customHeight="1">
      <x:c r="A535" s="10" t="str">
        <x:v>M11</x:v>
      </x:c>
      <x:c r="B535" s="10" t="str">
        <x:v>NC_H1</x:v>
      </x:c>
      <x:c r="C535" s="9" t="str">
        <x:v>源三角形</x:v>
      </x:c>
      <x:c r="D535" s="11" t="n">
        <x:f>'全部组合'!I247</x:f>
        <x:v>37068620</x:v>
      </x:c>
      <x:c r="E535" s="12" t="n">
        <x:f>'全部组合'!Y247/$D535</x:f>
        <x:v>0</x:v>
      </x:c>
      <x:c r="F535" s="12" t="n">
        <x:f>'全部组合'!Z247/$D535</x:f>
        <x:v>0.12262614578044718</x:v>
      </x:c>
      <x:c r="G535" s="12" t="n">
        <x:f>'全部组合'!AA247/$D535</x:f>
        <x:v>0.0016842817455842705</x:v>
      </x:c>
      <x:c r="H535" s="12" t="n">
        <x:f>'全部组合'!AB247/$D535</x:f>
        <x:v>0</x:v>
      </x:c>
      <x:c r="I535" s="12" t="n">
        <x:f>'全部组合'!AC247/$D535</x:f>
        <x:v>0.7738800365376429</x:v>
      </x:c>
      <x:c r="J535" s="12" t="n">
        <x:f>'全部组合'!AD247/$D535</x:f>
        <x:v>0.014373235367272912</x:v>
      </x:c>
      <x:c r="K535" s="12" t="n">
        <x:f>'全部组合'!AE247/$D535</x:f>
        <x:v>0.017387024388822676</x:v>
      </x:c>
      <x:c r="L535" s="12" t="n">
        <x:f>'全部组合'!AF247/$D535</x:f>
        <x:v>0.0421997365966146</x:v>
      </x:c>
      <x:c r="M535" s="12" t="n">
        <x:f>'全部组合'!AG247/$D535</x:f>
        <x:v>0.027849539583615468</x:v>
      </x:c>
      <x:c r="N535" s="13" t="n">
        <x:f>'全部组合'!AH247/$D535</x:f>
        <x:v>0</x:v>
      </x:c>
    </x:row>
    <x:row r="536" ht="23" customHeight="1">
      <x:c r="A536" s="10" t="str">
        <x:v>M11</x:v>
      </x:c>
      <x:c r="B536" s="10" t="str">
        <x:v>NG_H0</x:v>
      </x:c>
      <x:c r="C536" s="9" t="str">
        <x:v>节点</x:v>
      </x:c>
      <x:c r="D536" s="11" t="n">
        <x:f>'全部组合'!D248</x:f>
        <x:v>15723</x:v>
      </x:c>
      <x:c r="E536" s="12" t="n">
        <x:f>'全部组合'!O248/$D536</x:f>
        <x:v>0.0030528525090631558</x:v>
      </x:c>
      <x:c r="F536" s="12" t="n">
        <x:f>'全部组合'!P248/$D536</x:f>
        <x:v>0.392482350696432</x:v>
      </x:c>
      <x:c r="G536" s="12" t="n">
        <x:f>'全部组合'!Q248/$D536</x:f>
        <x:v>0.30484004324874386</x:v>
      </x:c>
      <x:c r="H536" s="12" t="n">
        <x:f>'全部组合'!R248/$D536</x:f>
        <x:v>0.11244673408382624</x:v>
      </x:c>
      <x:c r="I536" s="12" t="n">
        <x:f>'全部组合'!S248/$D536</x:f>
        <x:v>0.02722126820581314</x:v>
      </x:c>
      <x:c r="J536" s="12" t="n">
        <x:f>'全部组合'!T248/$D536</x:f>
        <x:v>0.006741715957514469</x:v>
      </x:c>
      <x:c r="K536" s="12" t="n">
        <x:f>'全部组合'!U248/$D536</x:f>
        <x:v>0.017172295363480253</x:v>
      </x:c>
      <x:c r="L536" s="12" t="n">
        <x:f>'全部组合'!V248/$D536</x:f>
        <x:v>0.09673726388093876</x:v>
      </x:c>
      <x:c r="M536" s="12" t="n">
        <x:f>'全部组合'!W248/$D536</x:f>
        <x:v>0.03930547605418813</x:v>
      </x:c>
      <x:c r="N536" s="13" t="n">
        <x:f>'全部组合'!X248/$D536</x:f>
        <x:v>0</x:v>
      </x:c>
    </x:row>
    <x:row r="537" ht="23" customHeight="1">
      <x:c r="A537" s="10" t="str">
        <x:v>M11</x:v>
      </x:c>
      <x:c r="B537" s="10" t="str">
        <x:v>NG_H0</x:v>
      </x:c>
      <x:c r="C537" s="9" t="str">
        <x:v>源三角形</x:v>
      </x:c>
      <x:c r="D537" s="11" t="n">
        <x:f>'全部组合'!I248</x:f>
        <x:v>37068620</x:v>
      </x:c>
      <x:c r="E537" s="12" t="n">
        <x:f>'全部组合'!Y248/$D537</x:f>
        <x:v>0.00039105852875019354</x:v>
      </x:c>
      <x:c r="F537" s="12" t="n">
        <x:f>'全部组合'!Z248/$D537</x:f>
        <x:v>0.12431916807261775</x:v>
      </x:c>
      <x:c r="G537" s="12" t="n">
        <x:f>'全部组合'!AA248/$D537</x:f>
        <x:v>0.26021656592557263</x:v>
      </x:c>
      <x:c r="H537" s="12" t="n">
        <x:f>'全部组合'!AB248/$D537</x:f>
        <x:v>0.3926192558557616</x:v>
      </x:c>
      <x:c r="I537" s="12" t="n">
        <x:f>'全部组合'!AC248/$D537</x:f>
        <x:v>0.0875581556583439</x:v>
      </x:c>
      <x:c r="J537" s="12" t="n">
        <x:f>'全部组合'!AD248/$D537</x:f>
        <x:v>0.022000009711718428</x:v>
      </x:c>
      <x:c r="K537" s="12" t="n">
        <x:f>'全部组合'!AE248/$D537</x:f>
        <x:v>0.01573829832348763</x:v>
      </x:c>
      <x:c r="L537" s="12" t="n">
        <x:f>'全部组合'!AF248/$D537</x:f>
        <x:v>0.06086760176127409</x:v>
      </x:c>
      <x:c r="M537" s="12" t="n">
        <x:f>'全部组合'!AG248/$D537</x:f>
        <x:v>0.03628988616247381</x:v>
      </x:c>
      <x:c r="N537" s="13" t="n">
        <x:f>'全部组合'!AH248/$D537</x:f>
        <x:v>0</x:v>
      </x:c>
    </x:row>
    <x:row r="538" ht="23" customHeight="1">
      <x:c r="A538" s="10" t="str">
        <x:v>M11</x:v>
      </x:c>
      <x:c r="B538" s="10" t="str">
        <x:v>NG_HT</x:v>
      </x:c>
      <x:c r="C538" s="9" t="str">
        <x:v>节点</x:v>
      </x:c>
      <x:c r="D538" s="11" t="n">
        <x:f>'全部组合'!D249</x:f>
        <x:v>15723</x:v>
      </x:c>
      <x:c r="E538" s="12" t="n">
        <x:f>'全部组合'!O249/$D538</x:f>
        <x:v>0.0030528525090631558</x:v>
      </x:c>
      <x:c r="F538" s="12" t="n">
        <x:f>'全部组合'!P249/$D538</x:f>
        <x:v>0.3053488520002544</x:v>
      </x:c>
      <x:c r="G538" s="12" t="n">
        <x:f>'全部组合'!Q249/$D538</x:f>
        <x:v>0.3356229727151307</x:v>
      </x:c>
      <x:c r="H538" s="12" t="n">
        <x:f>'全部组合'!R249/$D538</x:f>
        <x:v>0.1603383578197545</x:v>
      </x:c>
      <x:c r="I538" s="12" t="n">
        <x:f>'全部组合'!S249/$D538</x:f>
        <x:v>0.035107803854226294</x:v>
      </x:c>
      <x:c r="J538" s="12" t="n">
        <x:f>'全部组合'!T249/$D538</x:f>
        <x:v>0.007314125802963811</x:v>
      </x:c>
      <x:c r="K538" s="12" t="n">
        <x:f>'全部组合'!U249/$D538</x:f>
        <x:v>0.017172295363480253</x:v>
      </x:c>
      <x:c r="L538" s="12" t="n">
        <x:f>'全部组合'!V249/$D538</x:f>
        <x:v>0.09673726388093876</x:v>
      </x:c>
      <x:c r="M538" s="12" t="n">
        <x:f>'全部组合'!W249/$D538</x:f>
        <x:v>0.03930547605418813</x:v>
      </x:c>
      <x:c r="N538" s="13" t="n">
        <x:f>'全部组合'!X249/$D538</x:f>
        <x:v>0</x:v>
      </x:c>
    </x:row>
    <x:row r="539" ht="23" customHeight="1">
      <x:c r="A539" s="10" t="str">
        <x:v>M11</x:v>
      </x:c>
      <x:c r="B539" s="10" t="str">
        <x:v>NG_HT</x:v>
      </x:c>
      <x:c r="C539" s="9" t="str">
        <x:v>源三角形</x:v>
      </x:c>
      <x:c r="D539" s="11" t="n">
        <x:f>'全部组合'!I249</x:f>
        <x:v>37068620</x:v>
      </x:c>
      <x:c r="E539" s="12" t="n">
        <x:f>'全部组合'!Y249/$D539</x:f>
        <x:v>0.00039105852875019354</x:v>
      </x:c>
      <x:c r="F539" s="12" t="n">
        <x:f>'全部组合'!Z249/$D539</x:f>
        <x:v>0.07879408513184467</x:v>
      </x:c>
      <x:c r="G539" s="12" t="n">
        <x:f>'全部组合'!AA249/$D539</x:f>
        <x:v>0.2865416354857559</x:v>
      </x:c>
      <x:c r="H539" s="12" t="n">
        <x:f>'全部组合'!AB249/$D539</x:f>
        <x:v>0.4015718955817616</x:v>
      </x:c>
      <x:c r="I539" s="12" t="n">
        <x:f>'全部组合'!AC249/$D539</x:f>
        <x:v>0.09691809406446747</x:v>
      </x:c>
      <x:c r="J539" s="12" t="n">
        <x:f>'全部组合'!AD249/$D539</x:f>
        <x:v>0.022887444960184654</x:v>
      </x:c>
      <x:c r="K539" s="12" t="n">
        <x:f>'全部组合'!AE249/$D539</x:f>
        <x:v>0.01573829832348763</x:v>
      </x:c>
      <x:c r="L539" s="12" t="n">
        <x:f>'全部组合'!AF249/$D539</x:f>
        <x:v>0.06086760176127409</x:v>
      </x:c>
      <x:c r="M539" s="12" t="n">
        <x:f>'全部组合'!AG249/$D539</x:f>
        <x:v>0.03628988616247381</x:v>
      </x:c>
      <x:c r="N539" s="13" t="n">
        <x:f>'全部组合'!AH249/$D539</x:f>
        <x:v>0</x:v>
      </x:c>
    </x:row>
    <x:row r="540" ht="23" customHeight="1">
      <x:c r="A540" s="10" t="str">
        <x:v>M11</x:v>
      </x:c>
      <x:c r="B540" s="10" t="str">
        <x:v>NG_H1</x:v>
      </x:c>
      <x:c r="C540" s="9" t="str">
        <x:v>节点</x:v>
      </x:c>
      <x:c r="D540" s="11" t="n">
        <x:f>'全部组合'!D250</x:f>
        <x:v>15723</x:v>
      </x:c>
      <x:c r="E540" s="12" t="n">
        <x:f>'全部组合'!O250/$D540</x:f>
        <x:v>0.0030528525090631558</x:v>
      </x:c>
      <x:c r="F540" s="12" t="n">
        <x:f>'全部组合'!P250/$D540</x:f>
        <x:v>0.29447306493671693</x:v>
      </x:c>
      <x:c r="G540" s="12" t="n">
        <x:f>'全部组合'!Q250/$D540</x:f>
        <x:v>0.3226483495516123</x:v>
      </x:c>
      <x:c r="H540" s="12" t="n">
        <x:f>'全部组合'!R250/$D540</x:f>
        <x:v>0.15976594797430516</x:v>
      </x:c>
      <x:c r="I540" s="12" t="n">
        <x:f>'全部组合'!S250/$D540</x:f>
        <x:v>0.035107803854226294</x:v>
      </x:c>
      <x:c r="J540" s="12" t="n">
        <x:f>'全部组合'!T250/$D540</x:f>
        <x:v>0.020543153342237486</x:v>
      </x:c>
      <x:c r="K540" s="12" t="n">
        <x:f>'全部组合'!U250/$D540</x:f>
        <x:v>0.028366087896711824</x:v>
      </x:c>
      <x:c r="L540" s="12" t="n">
        <x:f>'全部组合'!V250/$D540</x:f>
        <x:v>0.09673726388093876</x:v>
      </x:c>
      <x:c r="M540" s="12" t="n">
        <x:f>'全部组合'!W250/$D540</x:f>
        <x:v>0.03930547605418813</x:v>
      </x:c>
      <x:c r="N540" s="13" t="n">
        <x:f>'全部组合'!X250/$D540</x:f>
        <x:v>0</x:v>
      </x:c>
    </x:row>
    <x:row r="541" ht="23" customHeight="1">
      <x:c r="A541" s="10" t="str">
        <x:v>M11</x:v>
      </x:c>
      <x:c r="B541" s="10" t="str">
        <x:v>NG_H1</x:v>
      </x:c>
      <x:c r="C541" s="9" t="str">
        <x:v>源三角形</x:v>
      </x:c>
      <x:c r="D541" s="11" t="n">
        <x:f>'全部组合'!I250</x:f>
        <x:v>37068620</x:v>
      </x:c>
      <x:c r="E541" s="12" t="n">
        <x:f>'全部组合'!Y250/$D541</x:f>
        <x:v>0.00039105852875019354</x:v>
      </x:c>
      <x:c r="F541" s="12" t="n">
        <x:f>'全部组合'!Z250/$D541</x:f>
        <x:v>0.07664121297205022</x:v>
      </x:c>
      <x:c r="G541" s="12" t="n">
        <x:f>'全部组合'!AA250/$D541</x:f>
        <x:v>0.2833994089879796</x:v>
      </x:c>
      <x:c r="H541" s="12" t="n">
        <x:f>'全部组合'!AB250/$D541</x:f>
        <x:v>0.3970842723575898</x:v>
      </x:c>
      <x:c r="I541" s="12" t="n">
        <x:f>'全部组合'!AC250/$D541</x:f>
        <x:v>0.09691809406446747</x:v>
      </x:c>
      <x:c r="J541" s="12" t="n">
        <x:f>'全部组合'!AD250/$D541</x:f>
        <x:v>0.03047164960551539</x:v>
      </x:c>
      <x:c r="K541" s="12" t="n">
        <x:f>'全部组合'!AE250/$D541</x:f>
        <x:v>0.01793681555989945</x:v>
      </x:c>
      <x:c r="L541" s="12" t="n">
        <x:f>'全部组合'!AF250/$D541</x:f>
        <x:v>0.06086760176127409</x:v>
      </x:c>
      <x:c r="M541" s="12" t="n">
        <x:f>'全部组合'!AG250/$D541</x:f>
        <x:v>0.03628988616247381</x:v>
      </x:c>
      <x:c r="N541" s="13" t="n">
        <x:f>'全部组合'!AH250/$D541</x:f>
        <x:v>0</x:v>
      </x:c>
    </x:row>
    <x:row r="542" ht="23" customHeight="1">
      <x:c r="A542" s="10" t="str">
        <x:v>M11</x:v>
      </x:c>
      <x:c r="B542" s="10" t="str">
        <x:v>CG_H0</x:v>
      </x:c>
      <x:c r="C542" s="9" t="str">
        <x:v>节点</x:v>
      </x:c>
      <x:c r="D542" s="11" t="n">
        <x:f>'全部组合'!D251</x:f>
        <x:v>15723</x:v>
      </x:c>
      <x:c r="E542" s="12" t="n">
        <x:f>'全部组合'!O251/$D542</x:f>
        <x:v>0.001780830630286841</x:v>
      </x:c>
      <x:c r="F542" s="12" t="n">
        <x:f>'全部组合'!P251/$D542</x:f>
        <x:v>0.5968962666157858</x:v>
      </x:c>
      <x:c r="G542" s="12" t="n">
        <x:f>'全部组合'!Q251/$D542</x:f>
        <x:v>0.2652165617248617</x:v>
      </x:c>
      <x:c r="H542" s="12" t="n">
        <x:f>'全部组合'!R251/$D542</x:f>
        <x:v>0.10538701265661769</x:v>
      </x:c>
      <x:c r="I542" s="12" t="n">
        <x:f>'全部组合'!S251/$D542</x:f>
        <x:v>0.027284869299751956</x:v>
      </x:c>
      <x:c r="J542" s="12" t="n">
        <x:f>'全部组合'!T251/$D542</x:f>
        <x:v>0.0029256503211855245</x:v>
      </x:c>
      <x:c r="K542" s="12" t="n">
        <x:f>'全部组合'!U251/$D542</x:f>
        <x:v>0.00006360109393881575</x:v>
      </x:c>
      <x:c r="L542" s="12" t="n">
        <x:f>'全部组合'!V251/$D542</x:f>
        <x:v>0</x:v>
      </x:c>
      <x:c r="M542" s="12" t="n">
        <x:f>'全部组合'!W251/$D542</x:f>
        <x:v>0.0004452076575717102</x:v>
      </x:c>
      <x:c r="N542" s="13" t="n">
        <x:f>'全部组合'!X251/$D542</x:f>
        <x:v>0</x:v>
      </x:c>
    </x:row>
    <x:row r="543" ht="23" customHeight="1">
      <x:c r="A543" s="10" t="str">
        <x:v>M11</x:v>
      </x:c>
      <x:c r="B543" s="10" t="str">
        <x:v>CG_H0</x:v>
      </x:c>
      <x:c r="C543" s="9" t="str">
        <x:v>源三角形</x:v>
      </x:c>
      <x:c r="D543" s="11" t="n">
        <x:f>'全部组合'!I251</x:f>
        <x:v>37068620</x:v>
      </x:c>
      <x:c r="E543" s="12" t="n">
        <x:f>'全部组合'!Y251/$D543</x:f>
        <x:v>0.00027797096304097644</x:v>
      </x:c>
      <x:c r="F543" s="12" t="n">
        <x:f>'全部组合'!Z251/$D543</x:f>
        <x:v>0.22264324919568088</x:v>
      </x:c>
      <x:c r="G543" s="12" t="n">
        <x:f>'全部组合'!AA251/$D543</x:f>
        <x:v>0.2562205175158935</x:v>
      </x:c>
      <x:c r="H543" s="12" t="n">
        <x:f>'全部组合'!AB251/$D543</x:f>
        <x:v>0.4163348676049985</x:v>
      </x:c>
      <x:c r="I543" s="12" t="n">
        <x:f>'全部组合'!AC251/$D543</x:f>
        <x:v>0.08785015465911598</x:v>
      </x:c>
      <x:c r="J543" s="12" t="n">
        <x:f>'全部组合'!AD251/$D543</x:f>
        <x:v>0.016155389653027277</x:v>
      </x:c>
      <x:c r="K543" s="12" t="n">
        <x:f>'全部组合'!AE251/$D543</x:f>
        <x:v>0.00007656071361707018</x:v>
      </x:c>
      <x:c r="L543" s="12" t="n">
        <x:f>'全部组合'!AF251/$D543</x:f>
        <x:v>0</x:v>
      </x:c>
      <x:c r="M543" s="12" t="n">
        <x:f>'全部组合'!AG251/$D543</x:f>
        <x:v>0.0004412896946258048</x:v>
      </x:c>
      <x:c r="N543" s="13" t="n">
        <x:f>'全部组合'!AH251/$D543</x:f>
        <x:v>0</x:v>
      </x:c>
    </x:row>
    <x:row r="544" ht="23" customHeight="1">
      <x:c r="A544" s="10" t="str">
        <x:v>M11</x:v>
      </x:c>
      <x:c r="B544" s="10" t="str">
        <x:v>CG_HT</x:v>
      </x:c>
      <x:c r="C544" s="9" t="str">
        <x:v>节点</x:v>
      </x:c>
      <x:c r="D544" s="11" t="n">
        <x:f>'全部组合'!D252</x:f>
        <x:v>15723</x:v>
      </x:c>
      <x:c r="E544" s="12" t="n">
        <x:f>'全部组合'!O252/$D544</x:f>
        <x:v>0.001780830630286841</x:v>
      </x:c>
      <x:c r="F544" s="12" t="n">
        <x:f>'全部组合'!P252/$D544</x:f>
        <x:v>0.44775170132926284</x:v>
      </x:c>
      <x:c r="G544" s="12" t="n">
        <x:f>'全部组合'!Q252/$D544</x:f>
        <x:v>0.3594097818482478</x:v>
      </x:c>
      <x:c r="H544" s="12" t="n">
        <x:f>'全部组合'!R252/$D544</x:f>
        <x:v>0.15175221013801438</x:v>
      </x:c>
      <x:c r="I544" s="12" t="n">
        <x:f>'全部组合'!S252/$D544</x:f>
        <x:v>0.03529860713604274</x:v>
      </x:c>
      <x:c r="J544" s="12" t="n">
        <x:f>'全部组合'!T252/$D544</x:f>
        <x:v>0.003498060166634866</x:v>
      </x:c>
      <x:c r="K544" s="12" t="n">
        <x:f>'全部组合'!U252/$D544</x:f>
        <x:v>0.00006360109393881575</x:v>
      </x:c>
      <x:c r="L544" s="12" t="n">
        <x:f>'全部组合'!V252/$D544</x:f>
        <x:v>0</x:v>
      </x:c>
      <x:c r="M544" s="12" t="n">
        <x:f>'全部组合'!W252/$D544</x:f>
        <x:v>0.0004452076575717102</x:v>
      </x:c>
      <x:c r="N544" s="13" t="n">
        <x:f>'全部组合'!X252/$D544</x:f>
        <x:v>0</x:v>
      </x:c>
    </x:row>
    <x:row r="545" ht="23" customHeight="1">
      <x:c r="A545" s="10" t="str">
        <x:v>M11</x:v>
      </x:c>
      <x:c r="B545" s="10" t="str">
        <x:v>CG_HT</x:v>
      </x:c>
      <x:c r="C545" s="9" t="str">
        <x:v>源三角形</x:v>
      </x:c>
      <x:c r="D545" s="11" t="n">
        <x:f>'全部组合'!I252</x:f>
        <x:v>37068620</x:v>
      </x:c>
      <x:c r="E545" s="12" t="n">
        <x:f>'全部组合'!Y252/$D545</x:f>
        <x:v>0.00027797096304097644</x:v>
      </x:c>
      <x:c r="F545" s="12" t="n">
        <x:f>'全部组合'!Z252/$D545</x:f>
        <x:v>0.12915495640247734</x:v>
      </x:c>
      <x:c r="G545" s="12" t="n">
        <x:f>'全部组合'!AA252/$D545</x:f>
        <x:v>0.3193593125398248</x:v>
      </x:c>
      <x:c r="H545" s="12" t="n">
        <x:f>'全部组合'!AB252/$D545</x:f>
        <x:v>0.43210329923261237</x:v>
      </x:c>
      <x:c r="I545" s="12" t="n">
        <x:f>'全部组合'!AC252/$D545</x:f>
        <x:v>0.10154378555230813</x:v>
      </x:c>
      <x:c r="J545" s="12" t="n">
        <x:f>'全部组合'!AD252/$D545</x:f>
        <x:v>0.0170428249014935</x:v>
      </x:c>
      <x:c r="K545" s="12" t="n">
        <x:f>'全部组合'!AE252/$D545</x:f>
        <x:v>0.00007656071361707018</x:v>
      </x:c>
      <x:c r="L545" s="12" t="n">
        <x:f>'全部组合'!AF252/$D545</x:f>
        <x:v>0</x:v>
      </x:c>
      <x:c r="M545" s="12" t="n">
        <x:f>'全部组合'!AG252/$D545</x:f>
        <x:v>0.0004412896946258048</x:v>
      </x:c>
      <x:c r="N545" s="13" t="n">
        <x:f>'全部组合'!AH252/$D545</x:f>
        <x:v>0</x:v>
      </x:c>
    </x:row>
    <x:row r="546" ht="23" customHeight="1">
      <x:c r="A546" s="10" t="str">
        <x:v>M11</x:v>
      </x:c>
      <x:c r="B546" s="10" t="str">
        <x:v>CG_H1</x:v>
      </x:c>
      <x:c r="C546" s="9" t="str">
        <x:v>节点</x:v>
      </x:c>
      <x:c r="D546" s="11" t="n">
        <x:f>'全部组合'!D253</x:f>
        <x:v>15723</x:v>
      </x:c>
      <x:c r="E546" s="12" t="n">
        <x:f>'全部组合'!O253/$D546</x:f>
        <x:v>0.001780830630286841</x:v>
      </x:c>
      <x:c r="F546" s="12" t="n">
        <x:f>'全部组合'!P253/$D546</x:f>
        <x:v>0.43592189785664315</x:v>
      </x:c>
      <x:c r="G546" s="12" t="n">
        <x:f>'全部组合'!Q253/$D546</x:f>
        <x:v>0.35934618075430896</x:v>
      </x:c>
      <x:c r="H546" s="12" t="n">
        <x:f>'全部组合'!R253/$D546</x:f>
        <x:v>0.15175221013801438</x:v>
      </x:c>
      <x:c r="I546" s="12" t="n">
        <x:f>'全部组合'!S253/$D546</x:f>
        <x:v>0.03529860713604274</x:v>
      </x:c>
      <x:c r="J546" s="12" t="n">
        <x:f>'全部组合'!T253/$D546</x:f>
        <x:v>0.003498060166634866</x:v>
      </x:c>
      <x:c r="K546" s="12" t="n">
        <x:f>'全部组合'!U253/$D546</x:f>
        <x:v>0.011957005660497361</x:v>
      </x:c>
      <x:c r="L546" s="12" t="n">
        <x:f>'全部组合'!V253/$D546</x:f>
        <x:v>0</x:v>
      </x:c>
      <x:c r="M546" s="12" t="n">
        <x:f>'全部组合'!W253/$D546</x:f>
        <x:v>0.0004452076575717102</x:v>
      </x:c>
      <x:c r="N546" s="13" t="n">
        <x:f>'全部组合'!X253/$D546</x:f>
        <x:v>0</x:v>
      </x:c>
    </x:row>
    <x:row r="547" ht="23" customHeight="1">
      <x:c r="A547" s="10" t="str">
        <x:v>M11</x:v>
      </x:c>
      <x:c r="B547" s="10" t="str">
        <x:v>CG_H1</x:v>
      </x:c>
      <x:c r="C547" s="9" t="str">
        <x:v>源三角形</x:v>
      </x:c>
      <x:c r="D547" s="11" t="n">
        <x:f>'全部组合'!I253</x:f>
        <x:v>37068620</x:v>
      </x:c>
      <x:c r="E547" s="12" t="n">
        <x:f>'全部组合'!Y253/$D547</x:f>
        <x:v>0.00027797096304097644</x:v>
      </x:c>
      <x:c r="F547" s="12" t="n">
        <x:f>'全部组合'!Z253/$D547</x:f>
        <x:v>0.1278146853052528</x:v>
      </x:c>
      <x:c r="G547" s="12" t="n">
        <x:f>'全部组合'!AA253/$D547</x:f>
        <x:v>0.31927595362330724</x:v>
      </x:c>
      <x:c r="H547" s="12" t="n">
        <x:f>'全部组合'!AB253/$D547</x:f>
        <x:v>0.43210329923261237</x:v>
      </x:c>
      <x:c r="I547" s="12" t="n">
        <x:f>'全部组合'!AC253/$D547</x:f>
        <x:v>0.10154378555230813</x:v>
      </x:c>
      <x:c r="J547" s="12" t="n">
        <x:f>'全部组合'!AD253/$D547</x:f>
        <x:v>0.0170428249014935</x:v>
      </x:c>
      <x:c r="K547" s="12" t="n">
        <x:f>'全部组合'!AE253/$D547</x:f>
        <x:v>0.0015001907273591518</x:v>
      </x:c>
      <x:c r="L547" s="12" t="n">
        <x:f>'全部组合'!AF253/$D547</x:f>
        <x:v>0</x:v>
      </x:c>
      <x:c r="M547" s="12" t="n">
        <x:f>'全部组合'!AG253/$D547</x:f>
        <x:v>0.0004412896946258048</x:v>
      </x:c>
      <x:c r="N547" s="13" t="n">
        <x:f>'全部组合'!AH253/$D547</x:f>
        <x:v>0</x:v>
      </x:c>
    </x:row>
    <x:row r="548" ht="23" customHeight="1">
      <x:c r="A548" s="10" t="str">
        <x:v>M11</x:v>
      </x:c>
      <x:c r="B548" s="10" t="str">
        <x:v>NCG_H0</x:v>
      </x:c>
      <x:c r="C548" s="9" t="str">
        <x:v>节点</x:v>
      </x:c>
      <x:c r="D548" s="11" t="n">
        <x:f>'全部组合'!D254</x:f>
        <x:v>15723</x:v>
      </x:c>
      <x:c r="E548" s="12" t="n">
        <x:f>'全部组合'!O254/$D548</x:f>
        <x:v>0.001780830630286841</x:v>
      </x:c>
      <x:c r="F548" s="12" t="n">
        <x:f>'全部组合'!P254/$D548</x:f>
        <x:v>0.4011320994721109</x:v>
      </x:c>
      <x:c r="G548" s="12" t="n">
        <x:f>'全部组合'!Q254/$D548</x:f>
        <x:v>0.35470330089677543</x:v>
      </x:c>
      <x:c r="H548" s="12" t="n">
        <x:f>'全部组合'!R254/$D548</x:f>
        <x:v>0.13235387648667557</x:v>
      </x:c>
      <x:c r="I548" s="12" t="n">
        <x:f>'全部组合'!S254/$D548</x:f>
        <x:v>0.028811295554283533</x:v>
      </x:c>
      <x:c r="J548" s="12" t="n">
        <x:f>'全部组合'!T254/$D548</x:f>
        <x:v>0.007059721427208548</x:v>
      </x:c>
      <x:c r="K548" s="12" t="n">
        <x:f>'全部组合'!U254/$D548</x:f>
        <x:v>0.015900273484703936</x:v>
      </x:c>
      <x:c r="L548" s="12" t="n">
        <x:f>'全部组合'!V254/$D548</x:f>
        <x:v>0.029701710869426953</x:v>
      </x:c>
      <x:c r="M548" s="12" t="n">
        <x:f>'全部组合'!W254/$D548</x:f>
        <x:v>0.02855689117852827</x:v>
      </x:c>
      <x:c r="N548" s="13" t="n">
        <x:f>'全部组合'!X254/$D548</x:f>
        <x:v>0</x:v>
      </x:c>
    </x:row>
    <x:row r="549" ht="23" customHeight="1">
      <x:c r="A549" s="10" t="str">
        <x:v>M11</x:v>
      </x:c>
      <x:c r="B549" s="10" t="str">
        <x:v>NCG_H0</x:v>
      </x:c>
      <x:c r="C549" s="9" t="str">
        <x:v>源三角形</x:v>
      </x:c>
      <x:c r="D549" s="11" t="n">
        <x:f>'全部组合'!I254</x:f>
        <x:v>37068620</x:v>
      </x:c>
      <x:c r="E549" s="12" t="n">
        <x:f>'全部组合'!Y254/$D549</x:f>
        <x:v>0.00027797096304097644</x:v>
      </x:c>
      <x:c r="F549" s="12" t="n">
        <x:f>'全部组合'!Z254/$D549</x:f>
        <x:v>0.1223835686356816</x:v>
      </x:c>
      <x:c r="G549" s="12" t="n">
        <x:f>'全部组合'!AA254/$D549</x:f>
        <x:v>0.26845733669071037</x:v>
      </x:c>
      <x:c r="H549" s="12" t="n">
        <x:f>'全部组合'!AB254/$D549</x:f>
        <x:v>0.41361286176825574</x:v>
      </x:c>
      <x:c r="I549" s="12" t="n">
        <x:f>'全部组合'!AC254/$D549</x:f>
        <x:v>0.0885203171847239</x:v>
      </x:c>
      <x:c r="J549" s="12" t="n">
        <x:f>'全部组合'!AD254/$D549</x:f>
        <x:v>0.022069988038400136</x:v>
      </x:c>
      <x:c r="K549" s="12" t="n">
        <x:f>'全部组合'!AE254/$D549</x:f>
        <x:v>0.01462868053895721</x:v>
      </x:c>
      <x:c r="L549" s="12" t="n">
        <x:f>'全部组合'!AF254/$D549</x:f>
        <x:v>0.0421997365966146</x:v>
      </x:c>
      <x:c r="M549" s="12" t="n">
        <x:f>'全部组合'!AG254/$D549</x:f>
        <x:v>0.027849539583615468</x:v>
      </x:c>
      <x:c r="N549" s="13" t="n">
        <x:f>'全部组合'!AH254/$D549</x:f>
        <x:v>0</x:v>
      </x:c>
    </x:row>
    <x:row r="550" ht="23" customHeight="1">
      <x:c r="A550" s="10" t="str">
        <x:v>M11</x:v>
      </x:c>
      <x:c r="B550" s="10" t="str">
        <x:v>NCG_HT</x:v>
      </x:c>
      <x:c r="C550" s="9" t="str">
        <x:v>节点</x:v>
      </x:c>
      <x:c r="D550" s="11" t="n">
        <x:f>'全部组合'!D255</x:f>
        <x:v>15723</x:v>
      </x:c>
      <x:c r="E550" s="12" t="n">
        <x:f>'全部组合'!O255/$D550</x:f>
        <x:v>0.001780830630286841</x:v>
      </x:c>
      <x:c r="F550" s="12" t="n">
        <x:f>'全部组合'!P255/$D550</x:f>
        <x:v>0.33167970489092413</x:v>
      </x:c>
      <x:c r="G550" s="12" t="n">
        <x:f>'全部组合'!Q255/$D550</x:f>
        <x:v>0.3686955415633149</x:v>
      </x:c>
      <x:c r="H550" s="12" t="n">
        <x:f>'全部组合'!R255/$D550</x:f>
        <x:v>0.178464669592317</x:v>
      </x:c>
      <x:c r="I550" s="12" t="n">
        <x:f>'全部组合'!S255/$D550</x:f>
        <x:v>0.03771544870571774</x:v>
      </x:c>
      <x:c r="J550" s="12" t="n">
        <x:f>'全部组合'!T255/$D550</x:f>
        <x:v>0.007504929084780258</x:v>
      </x:c>
      <x:c r="K550" s="12" t="n">
        <x:f>'全部组合'!U255/$D550</x:f>
        <x:v>0.015900273484703936</x:v>
      </x:c>
      <x:c r="L550" s="12" t="n">
        <x:f>'全部组合'!V255/$D550</x:f>
        <x:v>0.029701710869426953</x:v>
      </x:c>
      <x:c r="M550" s="12" t="n">
        <x:f>'全部组合'!W255/$D550</x:f>
        <x:v>0.02855689117852827</x:v>
      </x:c>
      <x:c r="N550" s="13" t="n">
        <x:f>'全部组合'!X255/$D550</x:f>
        <x:v>0</x:v>
      </x:c>
    </x:row>
    <x:row r="551" ht="23" customHeight="1">
      <x:c r="A551" s="10" t="str">
        <x:v>M11</x:v>
      </x:c>
      <x:c r="B551" s="10" t="str">
        <x:v>NCG_HT</x:v>
      </x:c>
      <x:c r="C551" s="9" t="str">
        <x:v>源三角形</x:v>
      </x:c>
      <x:c r="D551" s="11" t="n">
        <x:f>'全部组合'!I255</x:f>
        <x:v>37068620</x:v>
      </x:c>
      <x:c r="E551" s="12" t="n">
        <x:f>'全部组合'!Y255/$D551</x:f>
        <x:v>0.00027797096304097644</x:v>
      </x:c>
      <x:c r="F551" s="12" t="n">
        <x:f>'全部组合'!Z255/$D551</x:f>
        <x:v>0.08933642525672658</x:v>
      </x:c>
      <x:c r="G551" s="12" t="n">
        <x:f>'全部组合'!AA255/$D551</x:f>
        <x:v>0.28234066981722006</x:v>
      </x:c>
      <x:c r="H551" s="12" t="n">
        <x:f>'全部组合'!AB255/$D551</x:f>
        <x:v>0.4222515432190354</x:v>
      </x:c>
      <x:c r="I551" s="12" t="n">
        <x:f>'全部组合'!AC255/$D551</x:f>
        <x:v>0.09810902051384703</x:v>
      </x:c>
      <x:c r="J551" s="12" t="n">
        <x:f>'全部组合'!AD255/$D551</x:f>
        <x:v>0.02300641351094268</x:v>
      </x:c>
      <x:c r="K551" s="12" t="n">
        <x:f>'全部组合'!AE255/$D551</x:f>
        <x:v>0.01462868053895721</x:v>
      </x:c>
      <x:c r="L551" s="12" t="n">
        <x:f>'全部组合'!AF255/$D551</x:f>
        <x:v>0.0421997365966146</x:v>
      </x:c>
      <x:c r="M551" s="12" t="n">
        <x:f>'全部组合'!AG255/$D551</x:f>
        <x:v>0.027849539583615468</x:v>
      </x:c>
      <x:c r="N551" s="13" t="n">
        <x:f>'全部组合'!AH255/$D551</x:f>
        <x:v>0</x:v>
      </x:c>
    </x:row>
    <x:row r="552" ht="23" customHeight="1">
      <x:c r="A552" s="10" t="str">
        <x:v>M11</x:v>
      </x:c>
      <x:c r="B552" s="10" t="str">
        <x:v>NCG_H1</x:v>
      </x:c>
      <x:c r="C552" s="9" t="str">
        <x:v>节点</x:v>
      </x:c>
      <x:c r="D552" s="11" t="n">
        <x:f>'全部组合'!D256</x:f>
        <x:v>15723</x:v>
      </x:c>
      <x:c r="E552" s="12" t="n">
        <x:f>'全部组合'!O256/$D552</x:f>
        <x:v>0.001780830630286841</x:v>
      </x:c>
      <x:c r="F552" s="12" t="n">
        <x:f>'全部组合'!P256/$D552</x:f>
        <x:v>0.3206131145455702</x:v>
      </x:c>
      <x:c r="G552" s="12" t="n">
        <x:f>'全部组合'!Q256/$D552</x:f>
        <x:v>0.3522864593271004</x:v>
      </x:c>
      <x:c r="H552" s="12" t="n">
        <x:f>'全部组合'!R256/$D552</x:f>
        <x:v>0.17801946193474527</x:v>
      </x:c>
      <x:c r="I552" s="12" t="n">
        <x:f>'全部组合'!S256/$D552</x:f>
        <x:v>0.03771544870571774</x:v>
      </x:c>
      <x:c r="J552" s="12" t="n">
        <x:f>'全部组合'!T256/$D552</x:f>
        <x:v>0.018507918336195382</x:v>
      </x:c>
      <x:c r="K552" s="12" t="n">
        <x:f>'全部组合'!U256/$D552</x:f>
        <x:v>0.032818164472428926</x:v>
      </x:c>
      <x:c r="L552" s="12" t="n">
        <x:f>'全部组合'!V256/$D552</x:f>
        <x:v>0.029701710869426953</x:v>
      </x:c>
      <x:c r="M552" s="12" t="n">
        <x:f>'全部组合'!W256/$D552</x:f>
        <x:v>0.02855689117852827</x:v>
      </x:c>
      <x:c r="N552" s="13" t="n">
        <x:f>'全部组合'!X256/$D552</x:f>
        <x:v>0</x:v>
      </x:c>
    </x:row>
    <x:row r="553" ht="23" customHeight="1">
      <x:c r="A553" s="10" t="str">
        <x:v>M11</x:v>
      </x:c>
      <x:c r="B553" s="10" t="str">
        <x:v>NCG_H1</x:v>
      </x:c>
      <x:c r="C553" s="9" t="str">
        <x:v>源三角形</x:v>
      </x:c>
      <x:c r="D553" s="11" t="n">
        <x:f>'全部组合'!I256</x:f>
        <x:v>37068620</x:v>
      </x:c>
      <x:c r="E553" s="12" t="n">
        <x:f>'全部组合'!Y256/$D553</x:f>
        <x:v>0.00027797096304097644</x:v>
      </x:c>
      <x:c r="F553" s="12" t="n">
        <x:f>'全部组合'!Z256/$D553</x:f>
        <x:v>0.08713699080246311</x:v>
      </x:c>
      <x:c r="G553" s="12" t="n">
        <x:f>'全部组合'!AA256/$D553</x:f>
        <x:v>0.2792107448294541</x:v>
      </x:c>
      <x:c r="H553" s="12" t="n">
        <x:f>'全部组合'!AB256/$D553</x:f>
        <x:v>0.41778819929093663</x:v>
      </x:c>
      <x:c r="I553" s="12" t="n">
        <x:f>'全部组合'!AC256/$D553</x:f>
        <x:v>0.09810902051384703</x:v>
      </x:c>
      <x:c r="J553" s="12" t="n">
        <x:f>'全部组合'!AD256/$D553</x:f>
        <x:v>0.03004077303120537</x:v>
      </x:c>
      <x:c r="K553" s="12" t="n">
        <x:f>'全部组合'!AE256/$D553</x:f>
        <x:v>0.017387024388822676</x:v>
      </x:c>
      <x:c r="L553" s="12" t="n">
        <x:f>'全部组合'!AF256/$D553</x:f>
        <x:v>0.0421997365966146</x:v>
      </x:c>
      <x:c r="M553" s="12" t="n">
        <x:f>'全部组合'!AG256/$D553</x:f>
        <x:v>0.027849539583615468</x:v>
      </x:c>
      <x:c r="N553" s="13" t="n">
        <x:f>'全部组合'!AH256/$D553</x:f>
        <x:v>0</x:v>
      </x:c>
    </x:row>
    <x:row r="554" ht="23" customHeight="1">
      <x:c r="A554" s="10" t="str">
        <x:v>M11</x:v>
      </x:c>
      <x:c r="B554" s="10" t="str">
        <x:v>NCG_H0_M1</x:v>
      </x:c>
      <x:c r="C554" s="9" t="str">
        <x:v>节点</x:v>
      </x:c>
      <x:c r="D554" s="11" t="n">
        <x:f>'全部组合'!D257</x:f>
        <x:v>15723</x:v>
      </x:c>
      <x:c r="E554" s="12" t="n">
        <x:f>'全部组合'!O257/$D554</x:f>
        <x:v>0.001780830630286841</x:v>
      </x:c>
      <x:c r="F554" s="12" t="n">
        <x:f>'全部组合'!P257/$D554</x:f>
        <x:v>0.36030019716339123</x:v>
      </x:c>
      <x:c r="G554" s="12" t="n">
        <x:f>'全部组合'!Q257/$D554</x:f>
        <x:v>0.3084017045093176</x:v>
      </x:c>
      <x:c r="H554" s="12" t="n">
        <x:f>'全部组合'!R257/$D554</x:f>
        <x:v>0.12911022069579597</x:v>
      </x:c>
      <x:c r="I554" s="12" t="n">
        <x:f>'全部组合'!S257/$D554</x:f>
        <x:v>0.028684093366405903</x:v>
      </x:c>
      <x:c r="J554" s="12" t="n">
        <x:f>'全部组合'!T257/$D554</x:f>
        <x:v>0.006042103924187496</x:v>
      </x:c>
      <x:c r="K554" s="12" t="n">
        <x:f>'全部组合'!U257/$D554</x:f>
        <x:v>0.02276919163009604</x:v>
      </x:c>
      <x:c r="L554" s="12" t="n">
        <x:f>'全部组合'!V257/$D554</x:f>
        <x:v>0.046428798575335495</x:v>
      </x:c>
      <x:c r="M554" s="12" t="n">
        <x:f>'全部组合'!W257/$D554</x:f>
        <x:v>0.09552884309610125</x:v>
      </x:c>
      <x:c r="N554" s="13" t="n">
        <x:f>'全部组合'!X257/$D554</x:f>
        <x:v>0.0009540164090822362</x:v>
      </x:c>
    </x:row>
    <x:row r="555" ht="23" customHeight="1">
      <x:c r="A555" s="10" t="str">
        <x:v>M11</x:v>
      </x:c>
      <x:c r="B555" s="10" t="str">
        <x:v>NCG_H0_M1</x:v>
      </x:c>
      <x:c r="C555" s="9" t="str">
        <x:v>源三角形</x:v>
      </x:c>
      <x:c r="D555" s="11" t="n">
        <x:f>'全部组合'!I257</x:f>
        <x:v>37068620</x:v>
      </x:c>
      <x:c r="E555" s="12" t="n">
        <x:f>'全部组合'!Y257/$D555</x:f>
        <x:v>0.00027797096304097644</x:v>
      </x:c>
      <x:c r="F555" s="12" t="n">
        <x:f>'全部组合'!Z257/$D555</x:f>
        <x:v>0.1087456182614837</x:v>
      </x:c>
      <x:c r="G555" s="12" t="n">
        <x:f>'全部组合'!AA257/$D555</x:f>
        <x:v>0.18379704990366516</x:v>
      </x:c>
      <x:c r="H555" s="12" t="n">
        <x:f>'全部组合'!AB257/$D555</x:f>
        <x:v>0.3761859491936846</x:v>
      </x:c>
      <x:c r="I555" s="12" t="n">
        <x:f>'全部组合'!AC257/$D555</x:f>
        <x:v>0.08913900760265692</x:v>
      </x:c>
      <x:c r="J555" s="12" t="n">
        <x:f>'全部组合'!AD257/$D555</x:f>
        <x:v>0.021282205811816033</x:v>
      </x:c>
      <x:c r="K555" s="12" t="n">
        <x:f>'全部组合'!AE257/$D555</x:f>
        <x:v>0.019781124843600867</x:v>
      </x:c>
      <x:c r="L555" s="12" t="n">
        <x:f>'全部组合'!AF257/$D555</x:f>
        <x:v>0.08275689788289933</x:v>
      </x:c>
      <x:c r="M555" s="12" t="n">
        <x:f>'全部组合'!AG257/$D555</x:f>
        <x:v>0.11648483272374316</x:v>
      </x:c>
      <x:c r="N555" s="13" t="n">
        <x:f>'全部组合'!AH257/$D555</x:f>
        <x:v>0.0015493428134092933</x:v>
      </x:c>
    </x:row>
    <x:row r="556" ht="23" customHeight="1">
      <x:c r="A556" s="10" t="str">
        <x:v>M11</x:v>
      </x:c>
      <x:c r="B556" s="10" t="str">
        <x:v>NCG_H1_M1</x:v>
      </x:c>
      <x:c r="C556" s="9" t="str">
        <x:v>节点</x:v>
      </x:c>
      <x:c r="D556" s="11" t="n">
        <x:f>'全部组合'!D258</x:f>
        <x:v>15723</x:v>
      </x:c>
      <x:c r="E556" s="12" t="n">
        <x:f>'全部组合'!O258/$D556</x:f>
        <x:v>0.001780830630286841</x:v>
      </x:c>
      <x:c r="F556" s="12" t="n">
        <x:f>'全部组合'!P258/$D556</x:f>
        <x:v>0.2984799338548623</x:v>
      </x:c>
      <x:c r="G556" s="12" t="n">
        <x:f>'全部组合'!Q258/$D556</x:f>
        <x:v>0.26547096610061693</x:v>
      </x:c>
      <x:c r="H556" s="12" t="n">
        <x:f>'全部组合'!R258/$D556</x:f>
        <x:v>0.17095974050753673</x:v>
      </x:c>
      <x:c r="I556" s="12" t="n">
        <x:f>'全部组合'!S258/$D556</x:f>
        <x:v>0.036761432296635504</x:v>
      </x:c>
      <x:c r="J556" s="12" t="n">
        <x:f>'全部组合'!T258/$D556</x:f>
        <x:v>0.040513896839025634</x:v>
      </x:c>
      <x:c r="K556" s="12" t="n">
        <x:f>'全部组合'!U258/$D556</x:f>
        <x:v>0.04312154169051708</x:v>
      </x:c>
      <x:c r="L556" s="12" t="n">
        <x:f>'全部组合'!V258/$D556</x:f>
        <x:v>0.046428798575335495</x:v>
      </x:c>
      <x:c r="M556" s="12" t="n">
        <x:f>'全部组合'!W258/$D556</x:f>
        <x:v>0.09552884309610125</x:v>
      </x:c>
      <x:c r="N556" s="13" t="n">
        <x:f>'全部组合'!X258/$D556</x:f>
        <x:v>0.0009540164090822362</x:v>
      </x:c>
    </x:row>
    <x:row r="557" ht="23" customHeight="1">
      <x:c r="A557" s="10" t="str">
        <x:v>M11</x:v>
      </x:c>
      <x:c r="B557" s="10" t="str">
        <x:v>NCG_H1_M1</x:v>
      </x:c>
      <x:c r="C557" s="9" t="str">
        <x:v>源三角形</x:v>
      </x:c>
      <x:c r="D557" s="11" t="n">
        <x:f>'全部组合'!I258</x:f>
        <x:v>37068620</x:v>
      </x:c>
      <x:c r="E557" s="12" t="n">
        <x:f>'全部组合'!Y258/$D557</x:f>
        <x:v>0.00027797096304097644</x:v>
      </x:c>
      <x:c r="F557" s="12" t="n">
        <x:f>'全部组合'!Z258/$D557</x:f>
        <x:v>0.08167425709400566</x:v>
      </x:c>
      <x:c r="G557" s="12" t="n">
        <x:f>'全部组合'!AA258/$D557</x:f>
        <x:v>0.1769396055207882</x:v>
      </x:c>
      <x:c r="H557" s="12" t="n">
        <x:f>'全部组合'!AB258/$D557</x:f>
        <x:v>0.3767832738310733</x:v>
      </x:c>
      <x:c r="I557" s="12" t="n">
        <x:f>'全部组合'!AC258/$D557</x:f>
        <x:v>0.09551890520877228</x:v>
      </x:c>
      <x:c r="J557" s="12" t="n">
        <x:f>'全部组合'!AD258/$D557</x:f>
        <x:v>0.04424939477110289</x:v>
      </x:c>
      <x:c r="K557" s="12" t="n">
        <x:f>'全部组合'!AE258/$D557</x:f>
        <x:v>0.023765519191164926</x:v>
      </x:c>
      <x:c r="L557" s="12" t="n">
        <x:f>'全部组合'!AF258/$D557</x:f>
        <x:v>0.08275689788289933</x:v>
      </x:c>
      <x:c r="M557" s="12" t="n">
        <x:f>'全部组合'!AG258/$D557</x:f>
        <x:v>0.11648483272374316</x:v>
      </x:c>
      <x:c r="N557" s="13" t="n">
        <x:f>'全部组合'!AH258/$D557</x:f>
        <x:v>0.0015493428134092933</x:v>
      </x:c>
    </x:row>
    <x:row r="558" ht="23" customHeight="1">
      <x:c r="A558" s="10" t="str">
        <x:v>M12</x:v>
      </x:c>
      <x:c r="B558" s="10" t="str">
        <x:v>N_H0</x:v>
      </x:c>
      <x:c r="C558" s="9" t="str">
        <x:v>节点</x:v>
      </x:c>
      <x:c r="D558" s="11" t="n">
        <x:f>'全部组合'!D259</x:f>
        <x:v>7163</x:v>
      </x:c>
      <x:c r="E558" s="12" t="n">
        <x:f>'全部组合'!O259/$D558</x:f>
        <x:v>0</x:v>
      </x:c>
      <x:c r="F558" s="12" t="n">
        <x:f>'全部组合'!P259/$D558</x:f>
        <x:v>0.04844338964121178</x:v>
      </x:c>
      <x:c r="G558" s="12" t="n">
        <x:f>'全部组合'!Q259/$D558</x:f>
        <x:v>0.15147284657266508</x:v>
      </x:c>
      <x:c r="H558" s="12" t="n">
        <x:f>'全部组合'!R259/$D558</x:f>
        <x:v>0</x:v>
      </x:c>
      <x:c r="I558" s="12" t="n">
        <x:f>'全部组合'!S259/$D558</x:f>
        <x:v>0.743822420773419</x:v>
      </x:c>
      <x:c r="J558" s="12" t="n">
        <x:f>'全部组合'!T259/$D558</x:f>
        <x:v>0.005584252408208851</x:v>
      </x:c>
      <x:c r="K558" s="12" t="n">
        <x:f>'全部组合'!U259/$D558</x:f>
        <x:v>0.0058634650286192936</x:v>
      </x:c>
      <x:c r="L558" s="12" t="n">
        <x:f>'全部组合'!V259/$D558</x:f>
        <x:v>0.00991204802457071</x:v>
      </x:c>
      <x:c r="M558" s="12" t="n">
        <x:f>'全部组合'!W259/$D558</x:f>
        <x:v>0.03490157755130532</x:v>
      </x:c>
      <x:c r="N558" s="13" t="n">
        <x:f>'全部组合'!X259/$D558</x:f>
        <x:v>0</x:v>
      </x:c>
    </x:row>
    <x:row r="559" ht="23" customHeight="1">
      <x:c r="A559" s="10" t="str">
        <x:v>M12</x:v>
      </x:c>
      <x:c r="B559" s="10" t="str">
        <x:v>N_H0</x:v>
      </x:c>
      <x:c r="C559" s="9" t="str">
        <x:v>源三角形</x:v>
      </x:c>
      <x:c r="D559" s="11" t="n">
        <x:f>'全部组合'!I259</x:f>
        <x:v>51857040</x:v>
      </x:c>
      <x:c r="E559" s="12" t="n">
        <x:f>'全部组合'!Y259/$D559</x:f>
        <x:v>0</x:v>
      </x:c>
      <x:c r="F559" s="12" t="n">
        <x:f>'全部组合'!Z259/$D559</x:f>
        <x:v>0.007519249073992654</x:v>
      </x:c>
      <x:c r="G559" s="12" t="n">
        <x:f>'全部组合'!AA259/$D559</x:f>
        <x:v>0.035309612735320024</x:v>
      </x:c>
      <x:c r="H559" s="12" t="n">
        <x:f>'全部组合'!AB259/$D559</x:f>
        <x:v>0</x:v>
      </x:c>
      <x:c r="I559" s="12" t="n">
        <x:f>'全部组合'!AC259/$D559</x:f>
        <x:v>0.621573232872528</x:v>
      </x:c>
      <x:c r="J559" s="12" t="n">
        <x:f>'全部组合'!AD259/$D559</x:f>
        <x:v>0.03288459966091393</x:v>
      </x:c>
      <x:c r="K559" s="12" t="n">
        <x:f>'全部组合'!AE259/$D559</x:f>
        <x:v>0.009934890228983374</x:v>
      </x:c>
      <x:c r="L559" s="12" t="n">
        <x:f>'全部组合'!AF259/$D559</x:f>
        <x:v>0.2898561506788664</x:v>
      </x:c>
      <x:c r="M559" s="12" t="n">
        <x:f>'全部组合'!AG259/$D559</x:f>
        <x:v>0.002922264749395646</x:v>
      </x:c>
      <x:c r="N559" s="13" t="n">
        <x:f>'全部组合'!AH259/$D559</x:f>
        <x:v>0</x:v>
      </x:c>
    </x:row>
    <x:row r="560" ht="23" customHeight="1">
      <x:c r="A560" s="10" t="str">
        <x:v>M12</x:v>
      </x:c>
      <x:c r="B560" s="10" t="str">
        <x:v>N_HT</x:v>
      </x:c>
      <x:c r="C560" s="9" t="str">
        <x:v>节点</x:v>
      </x:c>
      <x:c r="D560" s="11" t="n">
        <x:f>'全部组合'!D260</x:f>
        <x:v>7163</x:v>
      </x:c>
      <x:c r="E560" s="12" t="n">
        <x:f>'全部组合'!O260/$D560</x:f>
        <x:v>0</x:v>
      </x:c>
      <x:c r="F560" s="12" t="n">
        <x:f>'全部组合'!P260/$D560</x:f>
        <x:v>0.04844338964121178</x:v>
      </x:c>
      <x:c r="G560" s="12" t="n">
        <x:f>'全部组合'!Q260/$D560</x:f>
        <x:v>0.15147284657266508</x:v>
      </x:c>
      <x:c r="H560" s="12" t="n">
        <x:f>'全部组合'!R260/$D560</x:f>
        <x:v>0</x:v>
      </x:c>
      <x:c r="I560" s="12" t="n">
        <x:f>'全部组合'!S260/$D560</x:f>
        <x:v>0.743822420773419</x:v>
      </x:c>
      <x:c r="J560" s="12" t="n">
        <x:f>'全部组合'!T260/$D560</x:f>
        <x:v>0.005584252408208851</x:v>
      </x:c>
      <x:c r="K560" s="12" t="n">
        <x:f>'全部组合'!U260/$D560</x:f>
        <x:v>0.0058634650286192936</x:v>
      </x:c>
      <x:c r="L560" s="12" t="n">
        <x:f>'全部组合'!V260/$D560</x:f>
        <x:v>0.00991204802457071</x:v>
      </x:c>
      <x:c r="M560" s="12" t="n">
        <x:f>'全部组合'!W260/$D560</x:f>
        <x:v>0.03490157755130532</x:v>
      </x:c>
      <x:c r="N560" s="13" t="n">
        <x:f>'全部组合'!X260/$D560</x:f>
        <x:v>0</x:v>
      </x:c>
    </x:row>
    <x:row r="561" ht="23" customHeight="1">
      <x:c r="A561" s="10" t="str">
        <x:v>M12</x:v>
      </x:c>
      <x:c r="B561" s="10" t="str">
        <x:v>N_HT</x:v>
      </x:c>
      <x:c r="C561" s="9" t="str">
        <x:v>源三角形</x:v>
      </x:c>
      <x:c r="D561" s="11" t="n">
        <x:f>'全部组合'!I260</x:f>
        <x:v>51857040</x:v>
      </x:c>
      <x:c r="E561" s="12" t="n">
        <x:f>'全部组合'!Y260/$D561</x:f>
        <x:v>0</x:v>
      </x:c>
      <x:c r="F561" s="12" t="n">
        <x:f>'全部组合'!Z260/$D561</x:f>
        <x:v>0.007519249073992654</x:v>
      </x:c>
      <x:c r="G561" s="12" t="n">
        <x:f>'全部组合'!AA260/$D561</x:f>
        <x:v>0.035309612735320024</x:v>
      </x:c>
      <x:c r="H561" s="12" t="n">
        <x:f>'全部组合'!AB260/$D561</x:f>
        <x:v>0</x:v>
      </x:c>
      <x:c r="I561" s="12" t="n">
        <x:f>'全部组合'!AC260/$D561</x:f>
        <x:v>0.621573232872528</x:v>
      </x:c>
      <x:c r="J561" s="12" t="n">
        <x:f>'全部组合'!AD260/$D561</x:f>
        <x:v>0.03288459966091393</x:v>
      </x:c>
      <x:c r="K561" s="12" t="n">
        <x:f>'全部组合'!AE260/$D561</x:f>
        <x:v>0.009934890228983374</x:v>
      </x:c>
      <x:c r="L561" s="12" t="n">
        <x:f>'全部组合'!AF260/$D561</x:f>
        <x:v>0.2898561506788664</x:v>
      </x:c>
      <x:c r="M561" s="12" t="n">
        <x:f>'全部组合'!AG260/$D561</x:f>
        <x:v>0.002922264749395646</x:v>
      </x:c>
      <x:c r="N561" s="13" t="n">
        <x:f>'全部组合'!AH260/$D561</x:f>
        <x:v>0</x:v>
      </x:c>
    </x:row>
    <x:row r="562" ht="23" customHeight="1">
      <x:c r="A562" s="10" t="str">
        <x:v>M12</x:v>
      </x:c>
      <x:c r="B562" s="10" t="str">
        <x:v>N_H1</x:v>
      </x:c>
      <x:c r="C562" s="9" t="str">
        <x:v>节点</x:v>
      </x:c>
      <x:c r="D562" s="11" t="n">
        <x:f>'全部组合'!D261</x:f>
        <x:v>7163</x:v>
      </x:c>
      <x:c r="E562" s="12" t="n">
        <x:f>'全部组合'!O261/$D562</x:f>
        <x:v>0</x:v>
      </x:c>
      <x:c r="F562" s="12" t="n">
        <x:f>'全部组合'!P261/$D562</x:f>
        <x:v>0.04844338964121178</x:v>
      </x:c>
      <x:c r="G562" s="12" t="n">
        <x:f>'全部组合'!Q261/$D562</x:f>
        <x:v>0.15147284657266508</x:v>
      </x:c>
      <x:c r="H562" s="12" t="n">
        <x:f>'全部组合'!R261/$D562</x:f>
        <x:v>0</x:v>
      </x:c>
      <x:c r="I562" s="12" t="n">
        <x:f>'全部组合'!S261/$D562</x:f>
        <x:v>0.743822420773419</x:v>
      </x:c>
      <x:c r="J562" s="12" t="n">
        <x:f>'全部组合'!T261/$D562</x:f>
        <x:v>0.005584252408208851</x:v>
      </x:c>
      <x:c r="K562" s="12" t="n">
        <x:f>'全部组合'!U261/$D562</x:f>
        <x:v>0.0058634650286192936</x:v>
      </x:c>
      <x:c r="L562" s="12" t="n">
        <x:f>'全部组合'!V261/$D562</x:f>
        <x:v>0.00991204802457071</x:v>
      </x:c>
      <x:c r="M562" s="12" t="n">
        <x:f>'全部组合'!W261/$D562</x:f>
        <x:v>0.03490157755130532</x:v>
      </x:c>
      <x:c r="N562" s="13" t="n">
        <x:f>'全部组合'!X261/$D562</x:f>
        <x:v>0</x:v>
      </x:c>
    </x:row>
    <x:row r="563" ht="23" customHeight="1">
      <x:c r="A563" s="10" t="str">
        <x:v>M12</x:v>
      </x:c>
      <x:c r="B563" s="10" t="str">
        <x:v>N_H1</x:v>
      </x:c>
      <x:c r="C563" s="9" t="str">
        <x:v>源三角形</x:v>
      </x:c>
      <x:c r="D563" s="11" t="n">
        <x:f>'全部组合'!I261</x:f>
        <x:v>51857040</x:v>
      </x:c>
      <x:c r="E563" s="12" t="n">
        <x:f>'全部组合'!Y261/$D563</x:f>
        <x:v>0</x:v>
      </x:c>
      <x:c r="F563" s="12" t="n">
        <x:f>'全部组合'!Z261/$D563</x:f>
        <x:v>0.007519249073992654</x:v>
      </x:c>
      <x:c r="G563" s="12" t="n">
        <x:f>'全部组合'!AA261/$D563</x:f>
        <x:v>0.035309612735320024</x:v>
      </x:c>
      <x:c r="H563" s="12" t="n">
        <x:f>'全部组合'!AB261/$D563</x:f>
        <x:v>0</x:v>
      </x:c>
      <x:c r="I563" s="12" t="n">
        <x:f>'全部组合'!AC261/$D563</x:f>
        <x:v>0.621573232872528</x:v>
      </x:c>
      <x:c r="J563" s="12" t="n">
        <x:f>'全部组合'!AD261/$D563</x:f>
        <x:v>0.03288459966091393</x:v>
      </x:c>
      <x:c r="K563" s="12" t="n">
        <x:f>'全部组合'!AE261/$D563</x:f>
        <x:v>0.009934890228983374</x:v>
      </x:c>
      <x:c r="L563" s="12" t="n">
        <x:f>'全部组合'!AF261/$D563</x:f>
        <x:v>0.2898561506788664</x:v>
      </x:c>
      <x:c r="M563" s="12" t="n">
        <x:f>'全部组合'!AG261/$D563</x:f>
        <x:v>0.002922264749395646</x:v>
      </x:c>
      <x:c r="N563" s="13" t="n">
        <x:f>'全部组合'!AH261/$D563</x:f>
        <x:v>0</x:v>
      </x:c>
    </x:row>
    <x:row r="564" ht="23" customHeight="1">
      <x:c r="A564" s="10" t="str">
        <x:v>M12</x:v>
      </x:c>
      <x:c r="B564" s="10" t="str">
        <x:v>C_H0</x:v>
      </x:c>
      <x:c r="C564" s="9" t="str">
        <x:v>节点</x:v>
      </x:c>
      <x:c r="D564" s="11" t="n">
        <x:f>'全部组合'!D262</x:f>
        <x:v>7163</x:v>
      </x:c>
      <x:c r="E564" s="12" t="n">
        <x:f>'全部组合'!O262/$D564</x:f>
        <x:v>0</x:v>
      </x:c>
      <x:c r="F564" s="12" t="n">
        <x:f>'全部组合'!P262/$D564</x:f>
        <x:v>0.22560379729163757</x:v>
      </x:c>
      <x:c r="G564" s="12" t="n">
        <x:f>'全部组合'!Q262/$D564</x:f>
        <x:v>0</x:v>
      </x:c>
      <x:c r="H564" s="12" t="n">
        <x:f>'全部组合'!R262/$D564</x:f>
        <x:v>0</x:v>
      </x:c>
      <x:c r="I564" s="12" t="n">
        <x:f>'全部组合'!S262/$D564</x:f>
        <x:v>0.7743962027083624</x:v>
      </x:c>
      <x:c r="J564" s="12" t="n">
        <x:f>'全部组合'!T262/$D564</x:f>
        <x:v>0</x:v>
      </x:c>
      <x:c r="K564" s="12" t="n">
        <x:f>'全部组合'!U262/$D564</x:f>
        <x:v>0</x:v>
      </x:c>
      <x:c r="L564" s="12" t="n">
        <x:f>'全部组合'!V262/$D564</x:f>
        <x:v>0</x:v>
      </x:c>
      <x:c r="M564" s="12" t="n">
        <x:f>'全部组合'!W262/$D564</x:f>
        <x:v>0</x:v>
      </x:c>
      <x:c r="N564" s="13" t="n">
        <x:f>'全部组合'!X262/$D564</x:f>
        <x:v>0</x:v>
      </x:c>
    </x:row>
    <x:row r="565" ht="23" customHeight="1">
      <x:c r="A565" s="10" t="str">
        <x:v>M12</x:v>
      </x:c>
      <x:c r="B565" s="10" t="str">
        <x:v>C_H0</x:v>
      </x:c>
      <x:c r="C565" s="9" t="str">
        <x:v>源三角形</x:v>
      </x:c>
      <x:c r="D565" s="11" t="n">
        <x:f>'全部组合'!I262</x:f>
        <x:v>51857040</x:v>
      </x:c>
      <x:c r="E565" s="12" t="n">
        <x:f>'全部组合'!Y262/$D565</x:f>
        <x:v>0</x:v>
      </x:c>
      <x:c r="F565" s="12" t="n">
        <x:f>'全部组合'!Z262/$D565</x:f>
        <x:v>0.030457773910736133</x:v>
      </x:c>
      <x:c r="G565" s="12" t="n">
        <x:f>'全部组合'!AA262/$D565</x:f>
        <x:v>0</x:v>
      </x:c>
      <x:c r="H565" s="12" t="n">
        <x:f>'全部组合'!AB262/$D565</x:f>
        <x:v>0</x:v>
      </x:c>
      <x:c r="I565" s="12" t="n">
        <x:f>'全部组合'!AC262/$D565</x:f>
        <x:v>0.9695422260892639</x:v>
      </x:c>
      <x:c r="J565" s="12" t="n">
        <x:f>'全部组合'!AD262/$D565</x:f>
        <x:v>0</x:v>
      </x:c>
      <x:c r="K565" s="12" t="n">
        <x:f>'全部组合'!AE262/$D565</x:f>
        <x:v>0</x:v>
      </x:c>
      <x:c r="L565" s="12" t="n">
        <x:f>'全部组合'!AF262/$D565</x:f>
        <x:v>0</x:v>
      </x:c>
      <x:c r="M565" s="12" t="n">
        <x:f>'全部组合'!AG262/$D565</x:f>
        <x:v>0</x:v>
      </x:c>
      <x:c r="N565" s="13" t="n">
        <x:f>'全部组合'!AH262/$D565</x:f>
        <x:v>0</x:v>
      </x:c>
    </x:row>
    <x:row r="566" ht="23" customHeight="1">
      <x:c r="A566" s="10" t="str">
        <x:v>M12</x:v>
      </x:c>
      <x:c r="B566" s="10" t="str">
        <x:v>C_HT</x:v>
      </x:c>
      <x:c r="C566" s="9" t="str">
        <x:v>节点</x:v>
      </x:c>
      <x:c r="D566" s="11" t="n">
        <x:f>'全部组合'!D263</x:f>
        <x:v>7163</x:v>
      </x:c>
      <x:c r="E566" s="12" t="n">
        <x:f>'全部组合'!O263/$D566</x:f>
        <x:v>0</x:v>
      </x:c>
      <x:c r="F566" s="12" t="n">
        <x:f>'全部组合'!P263/$D566</x:f>
        <x:v>0.22560379729163757</x:v>
      </x:c>
      <x:c r="G566" s="12" t="n">
        <x:f>'全部组合'!Q263/$D566</x:f>
        <x:v>0</x:v>
      </x:c>
      <x:c r="H566" s="12" t="n">
        <x:f>'全部组合'!R263/$D566</x:f>
        <x:v>0</x:v>
      </x:c>
      <x:c r="I566" s="12" t="n">
        <x:f>'全部组合'!S263/$D566</x:f>
        <x:v>0.7743962027083624</x:v>
      </x:c>
      <x:c r="J566" s="12" t="n">
        <x:f>'全部组合'!T263/$D566</x:f>
        <x:v>0</x:v>
      </x:c>
      <x:c r="K566" s="12" t="n">
        <x:f>'全部组合'!U263/$D566</x:f>
        <x:v>0</x:v>
      </x:c>
      <x:c r="L566" s="12" t="n">
        <x:f>'全部组合'!V263/$D566</x:f>
        <x:v>0</x:v>
      </x:c>
      <x:c r="M566" s="12" t="n">
        <x:f>'全部组合'!W263/$D566</x:f>
        <x:v>0</x:v>
      </x:c>
      <x:c r="N566" s="13" t="n">
        <x:f>'全部组合'!X263/$D566</x:f>
        <x:v>0</x:v>
      </x:c>
    </x:row>
    <x:row r="567" ht="23" customHeight="1">
      <x:c r="A567" s="10" t="str">
        <x:v>M12</x:v>
      </x:c>
      <x:c r="B567" s="10" t="str">
        <x:v>C_HT</x:v>
      </x:c>
      <x:c r="C567" s="9" t="str">
        <x:v>源三角形</x:v>
      </x:c>
      <x:c r="D567" s="11" t="n">
        <x:f>'全部组合'!I263</x:f>
        <x:v>51857040</x:v>
      </x:c>
      <x:c r="E567" s="12" t="n">
        <x:f>'全部组合'!Y263/$D567</x:f>
        <x:v>0</x:v>
      </x:c>
      <x:c r="F567" s="12" t="n">
        <x:f>'全部组合'!Z263/$D567</x:f>
        <x:v>0.030457773910736133</x:v>
      </x:c>
      <x:c r="G567" s="12" t="n">
        <x:f>'全部组合'!AA263/$D567</x:f>
        <x:v>0</x:v>
      </x:c>
      <x:c r="H567" s="12" t="n">
        <x:f>'全部组合'!AB263/$D567</x:f>
        <x:v>0</x:v>
      </x:c>
      <x:c r="I567" s="12" t="n">
        <x:f>'全部组合'!AC263/$D567</x:f>
        <x:v>0.9695422260892639</x:v>
      </x:c>
      <x:c r="J567" s="12" t="n">
        <x:f>'全部组合'!AD263/$D567</x:f>
        <x:v>0</x:v>
      </x:c>
      <x:c r="K567" s="12" t="n">
        <x:f>'全部组合'!AE263/$D567</x:f>
        <x:v>0</x:v>
      </x:c>
      <x:c r="L567" s="12" t="n">
        <x:f>'全部组合'!AF263/$D567</x:f>
        <x:v>0</x:v>
      </x:c>
      <x:c r="M567" s="12" t="n">
        <x:f>'全部组合'!AG263/$D567</x:f>
        <x:v>0</x:v>
      </x:c>
      <x:c r="N567" s="13" t="n">
        <x:f>'全部组合'!AH263/$D567</x:f>
        <x:v>0</x:v>
      </x:c>
    </x:row>
    <x:row r="568" ht="23" customHeight="1">
      <x:c r="A568" s="10" t="str">
        <x:v>M12</x:v>
      </x:c>
      <x:c r="B568" s="10" t="str">
        <x:v>C_H1</x:v>
      </x:c>
      <x:c r="C568" s="9" t="str">
        <x:v>节点</x:v>
      </x:c>
      <x:c r="D568" s="11" t="n">
        <x:f>'全部组合'!D264</x:f>
        <x:v>7163</x:v>
      </x:c>
      <x:c r="E568" s="12" t="n">
        <x:f>'全部组合'!O264/$D568</x:f>
        <x:v>0</x:v>
      </x:c>
      <x:c r="F568" s="12" t="n">
        <x:f>'全部组合'!P264/$D568</x:f>
        <x:v>0.22560379729163757</x:v>
      </x:c>
      <x:c r="G568" s="12" t="n">
        <x:f>'全部组合'!Q264/$D568</x:f>
        <x:v>0</x:v>
      </x:c>
      <x:c r="H568" s="12" t="n">
        <x:f>'全部组合'!R264/$D568</x:f>
        <x:v>0</x:v>
      </x:c>
      <x:c r="I568" s="12" t="n">
        <x:f>'全部组合'!S264/$D568</x:f>
        <x:v>0.7743962027083624</x:v>
      </x:c>
      <x:c r="J568" s="12" t="n">
        <x:f>'全部组合'!T264/$D568</x:f>
        <x:v>0</x:v>
      </x:c>
      <x:c r="K568" s="12" t="n">
        <x:f>'全部组合'!U264/$D568</x:f>
        <x:v>0</x:v>
      </x:c>
      <x:c r="L568" s="12" t="n">
        <x:f>'全部组合'!V264/$D568</x:f>
        <x:v>0</x:v>
      </x:c>
      <x:c r="M568" s="12" t="n">
        <x:f>'全部组合'!W264/$D568</x:f>
        <x:v>0</x:v>
      </x:c>
      <x:c r="N568" s="13" t="n">
        <x:f>'全部组合'!X264/$D568</x:f>
        <x:v>0</x:v>
      </x:c>
    </x:row>
    <x:row r="569" ht="23" customHeight="1">
      <x:c r="A569" s="10" t="str">
        <x:v>M12</x:v>
      </x:c>
      <x:c r="B569" s="10" t="str">
        <x:v>C_H1</x:v>
      </x:c>
      <x:c r="C569" s="9" t="str">
        <x:v>源三角形</x:v>
      </x:c>
      <x:c r="D569" s="11" t="n">
        <x:f>'全部组合'!I264</x:f>
        <x:v>51857040</x:v>
      </x:c>
      <x:c r="E569" s="12" t="n">
        <x:f>'全部组合'!Y264/$D569</x:f>
        <x:v>0</x:v>
      </x:c>
      <x:c r="F569" s="12" t="n">
        <x:f>'全部组合'!Z264/$D569</x:f>
        <x:v>0.030457773910736133</x:v>
      </x:c>
      <x:c r="G569" s="12" t="n">
        <x:f>'全部组合'!AA264/$D569</x:f>
        <x:v>0</x:v>
      </x:c>
      <x:c r="H569" s="12" t="n">
        <x:f>'全部组合'!AB264/$D569</x:f>
        <x:v>0</x:v>
      </x:c>
      <x:c r="I569" s="12" t="n">
        <x:f>'全部组合'!AC264/$D569</x:f>
        <x:v>0.9695422260892639</x:v>
      </x:c>
      <x:c r="J569" s="12" t="n">
        <x:f>'全部组合'!AD264/$D569</x:f>
        <x:v>0</x:v>
      </x:c>
      <x:c r="K569" s="12" t="n">
        <x:f>'全部组合'!AE264/$D569</x:f>
        <x:v>0</x:v>
      </x:c>
      <x:c r="L569" s="12" t="n">
        <x:f>'全部组合'!AF264/$D569</x:f>
        <x:v>0</x:v>
      </x:c>
      <x:c r="M569" s="12" t="n">
        <x:f>'全部组合'!AG264/$D569</x:f>
        <x:v>0</x:v>
      </x:c>
      <x:c r="N569" s="13" t="n">
        <x:f>'全部组合'!AH264/$D569</x:f>
        <x:v>0</x:v>
      </x:c>
    </x:row>
    <x:row r="570" ht="23" customHeight="1">
      <x:c r="A570" s="10" t="str">
        <x:v>M12</x:v>
      </x:c>
      <x:c r="B570" s="10" t="str">
        <x:v>G_H0</x:v>
      </x:c>
      <x:c r="C570" s="9" t="str">
        <x:v>节点</x:v>
      </x:c>
      <x:c r="D570" s="11" t="n">
        <x:f>'全部组合'!D265</x:f>
        <x:v>7163</x:v>
      </x:c>
      <x:c r="E570" s="12" t="n">
        <x:f>'全部组合'!O265/$D570</x:f>
        <x:v>0</x:v>
      </x:c>
      <x:c r="F570" s="12" t="n">
        <x:f>'全部组合'!P265/$D570</x:f>
        <x:v>0.7064079296384197</x:v>
      </x:c>
      <x:c r="G570" s="12" t="n">
        <x:f>'全部组合'!Q265/$D570</x:f>
        <x:v>0.21694820605891385</x:v>
      </x:c>
      <x:c r="H570" s="12" t="n">
        <x:f>'全部组合'!R265/$D570</x:f>
        <x:v>0.03895016054725674</x:v>
      </x:c>
      <x:c r="I570" s="12" t="n">
        <x:f>'全部组合'!S265/$D570</x:f>
        <x:v>0.03490157755130532</x:v>
      </x:c>
      <x:c r="J570" s="12" t="n">
        <x:f>'全部组合'!T265/$D570</x:f>
        <x:v>0.0027921262041044254</x:v>
      </x:c>
      <x:c r="K570" s="12" t="n">
        <x:f>'全部组合'!U265/$D570</x:f>
        <x:v>0</x:v>
      </x:c>
      <x:c r="L570" s="12" t="n">
        <x:f>'全部组合'!V265/$D570</x:f>
        <x:v>0</x:v>
      </x:c>
      <x:c r="M570" s="12" t="n">
        <x:f>'全部组合'!W265/$D570</x:f>
        <x:v>0</x:v>
      </x:c>
      <x:c r="N570" s="13" t="n">
        <x:f>'全部组合'!X265/$D570</x:f>
        <x:v>0</x:v>
      </x:c>
    </x:row>
    <x:row r="571" ht="23" customHeight="1">
      <x:c r="A571" s="10" t="str">
        <x:v>M12</x:v>
      </x:c>
      <x:c r="B571" s="10" t="str">
        <x:v>G_H0</x:v>
      </x:c>
      <x:c r="C571" s="9" t="str">
        <x:v>源三角形</x:v>
      </x:c>
      <x:c r="D571" s="11" t="n">
        <x:f>'全部组合'!I265</x:f>
        <x:v>51857040</x:v>
      </x:c>
      <x:c r="E571" s="12" t="n">
        <x:f>'全部组合'!Y265/$D571</x:f>
        <x:v>0</x:v>
      </x:c>
      <x:c r="F571" s="12" t="n">
        <x:f>'全部组合'!Z265/$D571</x:f>
        <x:v>0.24273390845293136</x:v>
      </x:c>
      <x:c r="G571" s="12" t="n">
        <x:f>'全部组合'!AA265/$D571</x:f>
        <x:v>0.06601892433505653</x:v>
      </x:c>
      <x:c r="H571" s="12" t="n">
        <x:f>'全部组合'!AB265/$D571</x:f>
        <x:v>0.036794464165328375</x:v>
      </x:c>
      <x:c r="I571" s="12" t="n">
        <x:f>'全部组合'!AC265/$D571</x:f>
        <x:v>0.5215660593045804</x:v>
      </x:c>
      <x:c r="J571" s="12" t="n">
        <x:f>'全部组合'!AD265/$D571</x:f>
        <x:v>0.1328866437421033</x:v>
      </x:c>
      <x:c r="K571" s="12" t="n">
        <x:f>'全部组合'!AE265/$D571</x:f>
        <x:v>0</x:v>
      </x:c>
      <x:c r="L571" s="12" t="n">
        <x:f>'全部组合'!AF265/$D571</x:f>
        <x:v>0</x:v>
      </x:c>
      <x:c r="M571" s="12" t="n">
        <x:f>'全部组合'!AG265/$D571</x:f>
        <x:v>0</x:v>
      </x:c>
      <x:c r="N571" s="13" t="n">
        <x:f>'全部组合'!AH265/$D571</x:f>
        <x:v>0</x:v>
      </x:c>
    </x:row>
    <x:row r="572" ht="23" customHeight="1">
      <x:c r="A572" s="10" t="str">
        <x:v>M12</x:v>
      </x:c>
      <x:c r="B572" s="10" t="str">
        <x:v>G_HT</x:v>
      </x:c>
      <x:c r="C572" s="9" t="str">
        <x:v>节点</x:v>
      </x:c>
      <x:c r="D572" s="11" t="n">
        <x:f>'全部组合'!D266</x:f>
        <x:v>7163</x:v>
      </x:c>
      <x:c r="E572" s="12" t="n">
        <x:f>'全部组合'!O266/$D572</x:f>
        <x:v>0</x:v>
      </x:c>
      <x:c r="F572" s="12" t="n">
        <x:f>'全部组合'!P266/$D572</x:f>
        <x:v>0.27209269858997626</x:v>
      </x:c>
      <x:c r="G572" s="12" t="n">
        <x:f>'全部组合'!Q266/$D572</x:f>
        <x:v>0.5543766578249337</x:v>
      </x:c>
      <x:c r="H572" s="12" t="n">
        <x:f>'全部组合'!R266/$D572</x:f>
        <x:v>0.13402205779701243</x:v>
      </x:c>
      <x:c r="I572" s="12" t="n">
        <x:f>'全部组合'!S266/$D572</x:f>
        <x:v>0.03615803434315231</x:v>
      </x:c>
      <x:c r="J572" s="12" t="n">
        <x:f>'全部组合'!T266/$D572</x:f>
        <x:v>0.003350551444925311</x:v>
      </x:c>
      <x:c r="K572" s="12" t="n">
        <x:f>'全部组合'!U266/$D572</x:f>
        <x:v>0</x:v>
      </x:c>
      <x:c r="L572" s="12" t="n">
        <x:f>'全部组合'!V266/$D572</x:f>
        <x:v>0</x:v>
      </x:c>
      <x:c r="M572" s="12" t="n">
        <x:f>'全部组合'!W266/$D572</x:f>
        <x:v>0</x:v>
      </x:c>
      <x:c r="N572" s="13" t="n">
        <x:f>'全部组合'!X266/$D572</x:f>
        <x:v>0</x:v>
      </x:c>
    </x:row>
    <x:row r="573" ht="23" customHeight="1">
      <x:c r="A573" s="10" t="str">
        <x:v>M12</x:v>
      </x:c>
      <x:c r="B573" s="10" t="str">
        <x:v>G_HT</x:v>
      </x:c>
      <x:c r="C573" s="9" t="str">
        <x:v>源三角形</x:v>
      </x:c>
      <x:c r="D573" s="11" t="n">
        <x:f>'全部组合'!I266</x:f>
        <x:v>51857040</x:v>
      </x:c>
      <x:c r="E573" s="12" t="n">
        <x:f>'全部组合'!Y266/$D573</x:f>
        <x:v>0</x:v>
      </x:c>
      <x:c r="F573" s="12" t="n">
        <x:f>'全部组合'!Z266/$D573</x:f>
        <x:v>0.07154696835762318</x:v>
      </x:c>
      <x:c r="G573" s="12" t="n">
        <x:f>'全部组合'!AA266/$D573</x:f>
        <x:v>0.22596534626735348</x:v>
      </x:c>
      <x:c r="H573" s="12" t="n">
        <x:f>'全部组合'!AB266/$D573</x:f>
        <x:v>0.04775883852992766</x:v>
      </x:c>
      <x:c r="I573" s="12" t="n">
        <x:f>'全部组合'!AC266/$D573</x:f>
        <x:v>0.44392506784035496</x:v>
      </x:c>
      <x:c r="J573" s="12" t="n">
        <x:f>'全部组合'!AD266/$D573</x:f>
        <x:v>0.21080377900474073</x:v>
      </x:c>
      <x:c r="K573" s="12" t="n">
        <x:f>'全部组合'!AE266/$D573</x:f>
        <x:v>0</x:v>
      </x:c>
      <x:c r="L573" s="12" t="n">
        <x:f>'全部组合'!AF266/$D573</x:f>
        <x:v>0</x:v>
      </x:c>
      <x:c r="M573" s="12" t="n">
        <x:f>'全部组合'!AG266/$D573</x:f>
        <x:v>0</x:v>
      </x:c>
      <x:c r="N573" s="13" t="n">
        <x:f>'全部组合'!AH266/$D573</x:f>
        <x:v>0</x:v>
      </x:c>
    </x:row>
    <x:row r="574" ht="23" customHeight="1">
      <x:c r="A574" s="10" t="str">
        <x:v>M12</x:v>
      </x:c>
      <x:c r="B574" s="10" t="str">
        <x:v>G_H1</x:v>
      </x:c>
      <x:c r="C574" s="9" t="str">
        <x:v>节点</x:v>
      </x:c>
      <x:c r="D574" s="11" t="n">
        <x:f>'全部组合'!D267</x:f>
        <x:v>7163</x:v>
      </x:c>
      <x:c r="E574" s="12" t="n">
        <x:f>'全部组合'!O267/$D574</x:f>
        <x:v>0</x:v>
      </x:c>
      <x:c r="F574" s="12" t="n">
        <x:f>'全部组合'!P267/$D574</x:f>
        <x:v>0.27209269858997626</x:v>
      </x:c>
      <x:c r="G574" s="12" t="n">
        <x:f>'全部组合'!Q267/$D574</x:f>
        <x:v>0.5543766578249337</x:v>
      </x:c>
      <x:c r="H574" s="12" t="n">
        <x:f>'全部组合'!R267/$D574</x:f>
        <x:v>0.13402205779701243</x:v>
      </x:c>
      <x:c r="I574" s="12" t="n">
        <x:f>'全部组合'!S267/$D574</x:f>
        <x:v>0.03615803434315231</x:v>
      </x:c>
      <x:c r="J574" s="12" t="n">
        <x:f>'全部组合'!T267/$D574</x:f>
        <x:v>0.003350551444925311</x:v>
      </x:c>
      <x:c r="K574" s="12" t="n">
        <x:f>'全部组合'!U267/$D574</x:f>
        <x:v>0</x:v>
      </x:c>
      <x:c r="L574" s="12" t="n">
        <x:f>'全部组合'!V267/$D574</x:f>
        <x:v>0</x:v>
      </x:c>
      <x:c r="M574" s="12" t="n">
        <x:f>'全部组合'!W267/$D574</x:f>
        <x:v>0</x:v>
      </x:c>
      <x:c r="N574" s="13" t="n">
        <x:f>'全部组合'!X267/$D574</x:f>
        <x:v>0</x:v>
      </x:c>
    </x:row>
    <x:row r="575" ht="23" customHeight="1">
      <x:c r="A575" s="10" t="str">
        <x:v>M12</x:v>
      </x:c>
      <x:c r="B575" s="10" t="str">
        <x:v>G_H1</x:v>
      </x:c>
      <x:c r="C575" s="9" t="str">
        <x:v>源三角形</x:v>
      </x:c>
      <x:c r="D575" s="11" t="n">
        <x:f>'全部组合'!I267</x:f>
        <x:v>51857040</x:v>
      </x:c>
      <x:c r="E575" s="12" t="n">
        <x:f>'全部组合'!Y267/$D575</x:f>
        <x:v>0</x:v>
      </x:c>
      <x:c r="F575" s="12" t="n">
        <x:f>'全部组合'!Z267/$D575</x:f>
        <x:v>0.07154696835762318</x:v>
      </x:c>
      <x:c r="G575" s="12" t="n">
        <x:f>'全部组合'!AA267/$D575</x:f>
        <x:v>0.22596534626735348</x:v>
      </x:c>
      <x:c r="H575" s="12" t="n">
        <x:f>'全部组合'!AB267/$D575</x:f>
        <x:v>0.04775883852992766</x:v>
      </x:c>
      <x:c r="I575" s="12" t="n">
        <x:f>'全部组合'!AC267/$D575</x:f>
        <x:v>0.44392506784035496</x:v>
      </x:c>
      <x:c r="J575" s="12" t="n">
        <x:f>'全部组合'!AD267/$D575</x:f>
        <x:v>0.21080377900474073</x:v>
      </x:c>
      <x:c r="K575" s="12" t="n">
        <x:f>'全部组合'!AE267/$D575</x:f>
        <x:v>0</x:v>
      </x:c>
      <x:c r="L575" s="12" t="n">
        <x:f>'全部组合'!AF267/$D575</x:f>
        <x:v>0</x:v>
      </x:c>
      <x:c r="M575" s="12" t="n">
        <x:f>'全部组合'!AG267/$D575</x:f>
        <x:v>0</x:v>
      </x:c>
      <x:c r="N575" s="13" t="n">
        <x:f>'全部组合'!AH267/$D575</x:f>
        <x:v>0</x:v>
      </x:c>
    </x:row>
    <x:row r="576" ht="23" customHeight="1">
      <x:c r="A576" s="10" t="str">
        <x:v>M12</x:v>
      </x:c>
      <x:c r="B576" s="10" t="str">
        <x:v>NC_H0</x:v>
      </x:c>
      <x:c r="C576" s="9" t="str">
        <x:v>节点</x:v>
      </x:c>
      <x:c r="D576" s="11" t="n">
        <x:f>'全部组合'!D268</x:f>
        <x:v>7163</x:v>
      </x:c>
      <x:c r="E576" s="12" t="n">
        <x:f>'全部组合'!O268/$D576</x:f>
        <x:v>0</x:v>
      </x:c>
      <x:c r="F576" s="12" t="n">
        <x:f>'全部组合'!P268/$D576</x:f>
        <x:v>0.22518497836102191</x:v>
      </x:c>
      <x:c r="G576" s="12" t="n">
        <x:f>'全部组合'!Q268/$D576</x:f>
        <x:v>0.11014937875191959</x:v>
      </x:c>
      <x:c r="H576" s="12" t="n">
        <x:f>'全部组合'!R268/$D576</x:f>
        <x:v>0</x:v>
      </x:c>
      <x:c r="I576" s="12" t="n">
        <x:f>'全部组合'!S268/$D576</x:f>
        <x:v>0.6106380008376379</x:v>
      </x:c>
      <x:c r="J576" s="12" t="n">
        <x:f>'全部组合'!T268/$D576</x:f>
        <x:v>0.005584252408208851</x:v>
      </x:c>
      <x:c r="K576" s="12" t="n">
        <x:f>'全部组合'!U268/$D576</x:f>
        <x:v>0.003908976685746196</x:v>
      </x:c>
      <x:c r="L576" s="12" t="n">
        <x:f>'全部组合'!V268/$D576</x:f>
        <x:v>0.009632835404160269</x:v>
      </x:c>
      <x:c r="M576" s="12" t="n">
        <x:f>'全部组合'!W268/$D576</x:f>
        <x:v>0.03490157755130532</x:v>
      </x:c>
      <x:c r="N576" s="13" t="n">
        <x:f>'全部组合'!X268/$D576</x:f>
        <x:v>0</x:v>
      </x:c>
    </x:row>
    <x:row r="577" ht="23" customHeight="1">
      <x:c r="A577" s="10" t="str">
        <x:v>M12</x:v>
      </x:c>
      <x:c r="B577" s="10" t="str">
        <x:v>NC_H0</x:v>
      </x:c>
      <x:c r="C577" s="9" t="str">
        <x:v>源三角形</x:v>
      </x:c>
      <x:c r="D577" s="11" t="n">
        <x:f>'全部组合'!I268</x:f>
        <x:v>51857040</x:v>
      </x:c>
      <x:c r="E577" s="12" t="n">
        <x:f>'全部组合'!Y268/$D577</x:f>
        <x:v>0</x:v>
      </x:c>
      <x:c r="F577" s="12" t="n">
        <x:f>'全部组合'!Z268/$D577</x:f>
        <x:v>0.03102062902163332</x:v>
      </x:c>
      <x:c r="G577" s="12" t="n">
        <x:f>'全部组合'!AA268/$D577</x:f>
        <x:v>0.013259337594278425</x:v>
      </x:c>
      <x:c r="H577" s="12" t="n">
        <x:f>'全部组合'!AB268/$D577</x:f>
        <x:v>0</x:v>
      </x:c>
      <x:c r="I577" s="12" t="n">
        <x:f>'全部组合'!AC268/$D577</x:f>
        <x:v>0.6217248419886673</x:v>
      </x:c>
      <x:c r="J577" s="12" t="n">
        <x:f>'全部组合'!AD268/$D577</x:f>
        <x:v>0.03288459966091393</x:v>
      </x:c>
      <x:c r="K577" s="12" t="n">
        <x:f>'全部组合'!AE268/$D577</x:f>
        <x:v>0.008551162966494039</x:v>
      </x:c>
      <x:c r="L577" s="12" t="n">
        <x:f>'全部组合'!AF268/$D577</x:f>
        <x:v>0.28963716401861733</x:v>
      </x:c>
      <x:c r="M577" s="12" t="n">
        <x:f>'全部组合'!AG268/$D577</x:f>
        <x:v>0.002922264749395646</x:v>
      </x:c>
      <x:c r="N577" s="13" t="n">
        <x:f>'全部组合'!AH268/$D577</x:f>
        <x:v>0</x:v>
      </x:c>
    </x:row>
    <x:row r="578" ht="23" customHeight="1">
      <x:c r="A578" s="10" t="str">
        <x:v>M12</x:v>
      </x:c>
      <x:c r="B578" s="10" t="str">
        <x:v>NC_HT</x:v>
      </x:c>
      <x:c r="C578" s="9" t="str">
        <x:v>节点</x:v>
      </x:c>
      <x:c r="D578" s="11" t="n">
        <x:f>'全部组合'!D269</x:f>
        <x:v>7163</x:v>
      </x:c>
      <x:c r="E578" s="12" t="n">
        <x:f>'全部组合'!O269/$D578</x:f>
        <x:v>0</x:v>
      </x:c>
      <x:c r="F578" s="12" t="n">
        <x:f>'全部组合'!P269/$D578</x:f>
        <x:v>0.22518497836102191</x:v>
      </x:c>
      <x:c r="G578" s="12" t="n">
        <x:f>'全部组合'!Q269/$D578</x:f>
        <x:v>0.11014937875191959</x:v>
      </x:c>
      <x:c r="H578" s="12" t="n">
        <x:f>'全部组合'!R269/$D578</x:f>
        <x:v>0</x:v>
      </x:c>
      <x:c r="I578" s="12" t="n">
        <x:f>'全部组合'!S269/$D578</x:f>
        <x:v>0.6106380008376379</x:v>
      </x:c>
      <x:c r="J578" s="12" t="n">
        <x:f>'全部组合'!T269/$D578</x:f>
        <x:v>0.005584252408208851</x:v>
      </x:c>
      <x:c r="K578" s="12" t="n">
        <x:f>'全部组合'!U269/$D578</x:f>
        <x:v>0.003908976685746196</x:v>
      </x:c>
      <x:c r="L578" s="12" t="n">
        <x:f>'全部组合'!V269/$D578</x:f>
        <x:v>0.009632835404160269</x:v>
      </x:c>
      <x:c r="M578" s="12" t="n">
        <x:f>'全部组合'!W269/$D578</x:f>
        <x:v>0.03490157755130532</x:v>
      </x:c>
      <x:c r="N578" s="13" t="n">
        <x:f>'全部组合'!X269/$D578</x:f>
        <x:v>0</x:v>
      </x:c>
    </x:row>
    <x:row r="579" ht="23" customHeight="1">
      <x:c r="A579" s="10" t="str">
        <x:v>M12</x:v>
      </x:c>
      <x:c r="B579" s="10" t="str">
        <x:v>NC_HT</x:v>
      </x:c>
      <x:c r="C579" s="9" t="str">
        <x:v>源三角形</x:v>
      </x:c>
      <x:c r="D579" s="11" t="n">
        <x:f>'全部组合'!I269</x:f>
        <x:v>51857040</x:v>
      </x:c>
      <x:c r="E579" s="12" t="n">
        <x:f>'全部组合'!Y269/$D579</x:f>
        <x:v>0</x:v>
      </x:c>
      <x:c r="F579" s="12" t="n">
        <x:f>'全部组合'!Z269/$D579</x:f>
        <x:v>0.03102062902163332</x:v>
      </x:c>
      <x:c r="G579" s="12" t="n">
        <x:f>'全部组合'!AA269/$D579</x:f>
        <x:v>0.013259337594278425</x:v>
      </x:c>
      <x:c r="H579" s="12" t="n">
        <x:f>'全部组合'!AB269/$D579</x:f>
        <x:v>0</x:v>
      </x:c>
      <x:c r="I579" s="12" t="n">
        <x:f>'全部组合'!AC269/$D579</x:f>
        <x:v>0.6217248419886673</x:v>
      </x:c>
      <x:c r="J579" s="12" t="n">
        <x:f>'全部组合'!AD269/$D579</x:f>
        <x:v>0.03288459966091393</x:v>
      </x:c>
      <x:c r="K579" s="12" t="n">
        <x:f>'全部组合'!AE269/$D579</x:f>
        <x:v>0.008551162966494039</x:v>
      </x:c>
      <x:c r="L579" s="12" t="n">
        <x:f>'全部组合'!AF269/$D579</x:f>
        <x:v>0.28963716401861733</x:v>
      </x:c>
      <x:c r="M579" s="12" t="n">
        <x:f>'全部组合'!AG269/$D579</x:f>
        <x:v>0.002922264749395646</x:v>
      </x:c>
      <x:c r="N579" s="13" t="n">
        <x:f>'全部组合'!AH269/$D579</x:f>
        <x:v>0</x:v>
      </x:c>
    </x:row>
    <x:row r="580" ht="23" customHeight="1">
      <x:c r="A580" s="10" t="str">
        <x:v>M12</x:v>
      </x:c>
      <x:c r="B580" s="10" t="str">
        <x:v>NC_H1</x:v>
      </x:c>
      <x:c r="C580" s="9" t="str">
        <x:v>节点</x:v>
      </x:c>
      <x:c r="D580" s="11" t="n">
        <x:f>'全部组合'!D270</x:f>
        <x:v>7163</x:v>
      </x:c>
      <x:c r="E580" s="12" t="n">
        <x:f>'全部组合'!O270/$D580</x:f>
        <x:v>0</x:v>
      </x:c>
      <x:c r="F580" s="12" t="n">
        <x:f>'全部组合'!P270/$D580</x:f>
        <x:v>0.22518497836102191</x:v>
      </x:c>
      <x:c r="G580" s="12" t="n">
        <x:f>'全部组合'!Q270/$D580</x:f>
        <x:v>0.11014937875191959</x:v>
      </x:c>
      <x:c r="H580" s="12" t="n">
        <x:f>'全部组合'!R270/$D580</x:f>
        <x:v>0</x:v>
      </x:c>
      <x:c r="I580" s="12" t="n">
        <x:f>'全部组合'!S270/$D580</x:f>
        <x:v>0.6106380008376379</x:v>
      </x:c>
      <x:c r="J580" s="12" t="n">
        <x:f>'全部组合'!T270/$D580</x:f>
        <x:v>0.005584252408208851</x:v>
      </x:c>
      <x:c r="K580" s="12" t="n">
        <x:f>'全部组合'!U270/$D580</x:f>
        <x:v>0.003908976685746196</x:v>
      </x:c>
      <x:c r="L580" s="12" t="n">
        <x:f>'全部组合'!V270/$D580</x:f>
        <x:v>0.009632835404160269</x:v>
      </x:c>
      <x:c r="M580" s="12" t="n">
        <x:f>'全部组合'!W270/$D580</x:f>
        <x:v>0.03490157755130532</x:v>
      </x:c>
      <x:c r="N580" s="13" t="n">
        <x:f>'全部组合'!X270/$D580</x:f>
        <x:v>0</x:v>
      </x:c>
    </x:row>
    <x:row r="581" ht="23" customHeight="1">
      <x:c r="A581" s="10" t="str">
        <x:v>M12</x:v>
      </x:c>
      <x:c r="B581" s="10" t="str">
        <x:v>NC_H1</x:v>
      </x:c>
      <x:c r="C581" s="9" t="str">
        <x:v>源三角形</x:v>
      </x:c>
      <x:c r="D581" s="11" t="n">
        <x:f>'全部组合'!I270</x:f>
        <x:v>51857040</x:v>
      </x:c>
      <x:c r="E581" s="12" t="n">
        <x:f>'全部组合'!Y270/$D581</x:f>
        <x:v>0</x:v>
      </x:c>
      <x:c r="F581" s="12" t="n">
        <x:f>'全部组合'!Z270/$D581</x:f>
        <x:v>0.03102062902163332</x:v>
      </x:c>
      <x:c r="G581" s="12" t="n">
        <x:f>'全部组合'!AA270/$D581</x:f>
        <x:v>0.013259337594278425</x:v>
      </x:c>
      <x:c r="H581" s="12" t="n">
        <x:f>'全部组合'!AB270/$D581</x:f>
        <x:v>0</x:v>
      </x:c>
      <x:c r="I581" s="12" t="n">
        <x:f>'全部组合'!AC270/$D581</x:f>
        <x:v>0.6217248419886673</x:v>
      </x:c>
      <x:c r="J581" s="12" t="n">
        <x:f>'全部组合'!AD270/$D581</x:f>
        <x:v>0.03288459966091393</x:v>
      </x:c>
      <x:c r="K581" s="12" t="n">
        <x:f>'全部组合'!AE270/$D581</x:f>
        <x:v>0.008551162966494039</x:v>
      </x:c>
      <x:c r="L581" s="12" t="n">
        <x:f>'全部组合'!AF270/$D581</x:f>
        <x:v>0.28963716401861733</x:v>
      </x:c>
      <x:c r="M581" s="12" t="n">
        <x:f>'全部组合'!AG270/$D581</x:f>
        <x:v>0.002922264749395646</x:v>
      </x:c>
      <x:c r="N581" s="13" t="n">
        <x:f>'全部组合'!AH270/$D581</x:f>
        <x:v>0</x:v>
      </x:c>
    </x:row>
    <x:row r="582" ht="23" customHeight="1">
      <x:c r="A582" s="10" t="str">
        <x:v>M12</x:v>
      </x:c>
      <x:c r="B582" s="10" t="str">
        <x:v>NG_H0</x:v>
      </x:c>
      <x:c r="C582" s="9" t="str">
        <x:v>节点</x:v>
      </x:c>
      <x:c r="D582" s="11" t="n">
        <x:f>'全部组合'!D271</x:f>
        <x:v>7163</x:v>
      </x:c>
      <x:c r="E582" s="12" t="n">
        <x:f>'全部组合'!O271/$D582</x:f>
        <x:v>0</x:v>
      </x:c>
      <x:c r="F582" s="12" t="n">
        <x:f>'全部组合'!P271/$D582</x:f>
        <x:v>0.5291079156777886</x:v>
      </x:c>
      <x:c r="G582" s="12" t="n">
        <x:f>'全部组合'!Q271/$D582</x:f>
        <x:v>0.3407790032109451</x:v>
      </x:c>
      <x:c r="H582" s="12" t="n">
        <x:f>'全部组合'!R271/$D582</x:f>
        <x:v>0.037693703755409744</x:v>
      </x:c>
      <x:c r="I582" s="12" t="n">
        <x:f>'全部组合'!S271/$D582</x:f>
        <x:v>0.033365908139047884</x:v>
      </x:c>
      <x:c r="J582" s="12" t="n">
        <x:f>'全部组合'!T271/$D582</x:f>
        <x:v>0.008376378612313277</x:v>
      </x:c>
      <x:c r="K582" s="12" t="n">
        <x:f>'全部组合'!U271/$D582</x:f>
        <x:v>0.0058634650286192936</x:v>
      </x:c>
      <x:c r="L582" s="12" t="n">
        <x:f>'全部组合'!V271/$D582</x:f>
        <x:v>0.00991204802457071</x:v>
      </x:c>
      <x:c r="M582" s="12" t="n">
        <x:f>'全部组合'!W271/$D582</x:f>
        <x:v>0.03490157755130532</x:v>
      </x:c>
      <x:c r="N582" s="13" t="n">
        <x:f>'全部组合'!X271/$D582</x:f>
        <x:v>0</x:v>
      </x:c>
    </x:row>
    <x:row r="583" ht="23" customHeight="1">
      <x:c r="A583" s="10" t="str">
        <x:v>M12</x:v>
      </x:c>
      <x:c r="B583" s="10" t="str">
        <x:v>NG_H0</x:v>
      </x:c>
      <x:c r="C583" s="9" t="str">
        <x:v>源三角形</x:v>
      </x:c>
      <x:c r="D583" s="11" t="n">
        <x:f>'全部组合'!I271</x:f>
        <x:v>51857040</x:v>
      </x:c>
      <x:c r="E583" s="12" t="n">
        <x:f>'全部组合'!Y271/$D583</x:f>
        <x:v>0</x:v>
      </x:c>
      <x:c r="F583" s="12" t="n">
        <x:f>'全部组合'!Z271/$D583</x:f>
        <x:v>0.2060682214025328</x:v>
      </x:c>
      <x:c r="G583" s="12" t="n">
        <x:f>'全部组合'!AA271/$D583</x:f>
        <x:v>0.0744036296711112</x:v>
      </x:c>
      <x:c r="H583" s="12" t="n">
        <x:f>'全部组合'!AB271/$D583</x:f>
        <x:v>0.03302560269541031</x:v>
      </x:c>
      <x:c r="I583" s="12" t="n">
        <x:f>'全部组合'!AC271/$D583</x:f>
        <x:v>0.2180179971706831</x:v>
      </x:c>
      <x:c r="J583" s="12" t="n">
        <x:f>'全部组合'!AD271/$D583</x:f>
        <x:v>0.16577124340301722</x:v>
      </x:c>
      <x:c r="K583" s="12" t="n">
        <x:f>'全部组合'!AE271/$D583</x:f>
        <x:v>0.009934890228983374</x:v>
      </x:c>
      <x:c r="L583" s="12" t="n">
        <x:f>'全部组合'!AF271/$D583</x:f>
        <x:v>0.2898561506788664</x:v>
      </x:c>
      <x:c r="M583" s="12" t="n">
        <x:f>'全部组合'!AG271/$D583</x:f>
        <x:v>0.002922264749395646</x:v>
      </x:c>
      <x:c r="N583" s="13" t="n">
        <x:f>'全部组合'!AH271/$D583</x:f>
        <x:v>0</x:v>
      </x:c>
    </x:row>
    <x:row r="584" ht="23" customHeight="1">
      <x:c r="A584" s="10" t="str">
        <x:v>M12</x:v>
      </x:c>
      <x:c r="B584" s="10" t="str">
        <x:v>NG_HT</x:v>
      </x:c>
      <x:c r="C584" s="9" t="str">
        <x:v>节点</x:v>
      </x:c>
      <x:c r="D584" s="11" t="n">
        <x:f>'全部组合'!D272</x:f>
        <x:v>7163</x:v>
      </x:c>
      <x:c r="E584" s="12" t="n">
        <x:f>'全部组合'!O272/$D584</x:f>
        <x:v>0</x:v>
      </x:c>
      <x:c r="F584" s="12" t="n">
        <x:f>'全部组合'!P272/$D584</x:f>
        <x:v>0.2172274186793243</x:v>
      </x:c>
      <x:c r="G584" s="12" t="n">
        <x:f>'全部组合'!Q272/$D584</x:f>
        <x:v>0.5561915398576016</x:v>
      </x:c>
      <x:c r="H584" s="12" t="n">
        <x:f>'全部组合'!R272/$D584</x:f>
        <x:v>0.13234678207454978</x:v>
      </x:c>
      <x:c r="I584" s="12" t="n">
        <x:f>'全部组合'!S272/$D584</x:f>
        <x:v>0.0347619712411001</x:v>
      </x:c>
      <x:c r="J584" s="12" t="n">
        <x:f>'全部组合'!T272/$D584</x:f>
        <x:v>0.00879519754292894</x:v>
      </x:c>
      <x:c r="K584" s="12" t="n">
        <x:f>'全部组合'!U272/$D584</x:f>
        <x:v>0.0058634650286192936</x:v>
      </x:c>
      <x:c r="L584" s="12" t="n">
        <x:f>'全部组合'!V272/$D584</x:f>
        <x:v>0.00991204802457071</x:v>
      </x:c>
      <x:c r="M584" s="12" t="n">
        <x:f>'全部组合'!W272/$D584</x:f>
        <x:v>0.03490157755130532</x:v>
      </x:c>
      <x:c r="N584" s="13" t="n">
        <x:f>'全部组合'!X272/$D584</x:f>
        <x:v>0</x:v>
      </x:c>
    </x:row>
    <x:row r="585" ht="23" customHeight="1">
      <x:c r="A585" s="10" t="str">
        <x:v>M12</x:v>
      </x:c>
      <x:c r="B585" s="10" t="str">
        <x:v>NG_HT</x:v>
      </x:c>
      <x:c r="C585" s="9" t="str">
        <x:v>源三角形</x:v>
      </x:c>
      <x:c r="D585" s="11" t="n">
        <x:f>'全部组合'!I272</x:f>
        <x:v>51857040</x:v>
      </x:c>
      <x:c r="E585" s="12" t="n">
        <x:f>'全部组合'!Y272/$D585</x:f>
        <x:v>0</x:v>
      </x:c>
      <x:c r="F585" s="12" t="n">
        <x:f>'全部组合'!Z272/$D585</x:f>
        <x:v>0.07044941246164456</x:v>
      </x:c>
      <x:c r="G585" s="12" t="n">
        <x:f>'全部组合'!AA272/$D585</x:f>
        <x:v>0.19880945769369018</x:v>
      </x:c>
      <x:c r="H585" s="12" t="n">
        <x:f>'全部组合'!AB272/$D585</x:f>
        <x:v>0.043962439815307626</x:v>
      </x:c>
      <x:c r="I585" s="12" t="n">
        <x:f>'全部组合'!AC272/$D585</x:f>
        <x:v>0.15985628952211695</x:v>
      </x:c>
      <x:c r="J585" s="12" t="n">
        <x:f>'全部组合'!AD272/$D585</x:f>
        <x:v>0.2242090948499953</x:v>
      </x:c>
      <x:c r="K585" s="12" t="n">
        <x:f>'全部组合'!AE272/$D585</x:f>
        <x:v>0.009934890228983374</x:v>
      </x:c>
      <x:c r="L585" s="12" t="n">
        <x:f>'全部组合'!AF272/$D585</x:f>
        <x:v>0.2898561506788664</x:v>
      </x:c>
      <x:c r="M585" s="12" t="n">
        <x:f>'全部组合'!AG272/$D585</x:f>
        <x:v>0.002922264749395646</x:v>
      </x:c>
      <x:c r="N585" s="13" t="n">
        <x:f>'全部组合'!AH272/$D585</x:f>
        <x:v>0</x:v>
      </x:c>
    </x:row>
    <x:row r="586" ht="23" customHeight="1">
      <x:c r="A586" s="10" t="str">
        <x:v>M12</x:v>
      </x:c>
      <x:c r="B586" s="10" t="str">
        <x:v>NG_H1</x:v>
      </x:c>
      <x:c r="C586" s="9" t="str">
        <x:v>节点</x:v>
      </x:c>
      <x:c r="D586" s="11" t="n">
        <x:f>'全部组合'!D273</x:f>
        <x:v>7163</x:v>
      </x:c>
      <x:c r="E586" s="12" t="n">
        <x:f>'全部组合'!O273/$D586</x:f>
        <x:v>0</x:v>
      </x:c>
      <x:c r="F586" s="12" t="n">
        <x:f>'全部组合'!P273/$D586</x:f>
        <x:v>0.2172274186793243</x:v>
      </x:c>
      <x:c r="G586" s="12" t="n">
        <x:f>'全部组合'!Q273/$D586</x:f>
        <x:v>0.5561915398576016</x:v>
      </x:c>
      <x:c r="H586" s="12" t="n">
        <x:f>'全部组合'!R273/$D586</x:f>
        <x:v>0.13234678207454978</x:v>
      </x:c>
      <x:c r="I586" s="12" t="n">
        <x:f>'全部组合'!S273/$D586</x:f>
        <x:v>0.0347619712411001</x:v>
      </x:c>
      <x:c r="J586" s="12" t="n">
        <x:f>'全部组合'!T273/$D586</x:f>
        <x:v>0.00879519754292894</x:v>
      </x:c>
      <x:c r="K586" s="12" t="n">
        <x:f>'全部组合'!U273/$D586</x:f>
        <x:v>0.0058634650286192936</x:v>
      </x:c>
      <x:c r="L586" s="12" t="n">
        <x:f>'全部组合'!V273/$D586</x:f>
        <x:v>0.00991204802457071</x:v>
      </x:c>
      <x:c r="M586" s="12" t="n">
        <x:f>'全部组合'!W273/$D586</x:f>
        <x:v>0.03490157755130532</x:v>
      </x:c>
      <x:c r="N586" s="13" t="n">
        <x:f>'全部组合'!X273/$D586</x:f>
        <x:v>0</x:v>
      </x:c>
    </x:row>
    <x:row r="587" ht="23" customHeight="1">
      <x:c r="A587" s="10" t="str">
        <x:v>M12</x:v>
      </x:c>
      <x:c r="B587" s="10" t="str">
        <x:v>NG_H1</x:v>
      </x:c>
      <x:c r="C587" s="9" t="str">
        <x:v>源三角形</x:v>
      </x:c>
      <x:c r="D587" s="11" t="n">
        <x:f>'全部组合'!I273</x:f>
        <x:v>51857040</x:v>
      </x:c>
      <x:c r="E587" s="12" t="n">
        <x:f>'全部组合'!Y273/$D587</x:f>
        <x:v>0</x:v>
      </x:c>
      <x:c r="F587" s="12" t="n">
        <x:f>'全部组合'!Z273/$D587</x:f>
        <x:v>0.07044941246164456</x:v>
      </x:c>
      <x:c r="G587" s="12" t="n">
        <x:f>'全部组合'!AA273/$D587</x:f>
        <x:v>0.19880945769369018</x:v>
      </x:c>
      <x:c r="H587" s="12" t="n">
        <x:f>'全部组合'!AB273/$D587</x:f>
        <x:v>0.043962439815307626</x:v>
      </x:c>
      <x:c r="I587" s="12" t="n">
        <x:f>'全部组合'!AC273/$D587</x:f>
        <x:v>0.15985628952211695</x:v>
      </x:c>
      <x:c r="J587" s="12" t="n">
        <x:f>'全部组合'!AD273/$D587</x:f>
        <x:v>0.2242090948499953</x:v>
      </x:c>
      <x:c r="K587" s="12" t="n">
        <x:f>'全部组合'!AE273/$D587</x:f>
        <x:v>0.009934890228983374</x:v>
      </x:c>
      <x:c r="L587" s="12" t="n">
        <x:f>'全部组合'!AF273/$D587</x:f>
        <x:v>0.2898561506788664</x:v>
      </x:c>
      <x:c r="M587" s="12" t="n">
        <x:f>'全部组合'!AG273/$D587</x:f>
        <x:v>0.002922264749395646</x:v>
      </x:c>
      <x:c r="N587" s="13" t="n">
        <x:f>'全部组合'!AH273/$D587</x:f>
        <x:v>0</x:v>
      </x:c>
    </x:row>
    <x:row r="588" ht="23" customHeight="1">
      <x:c r="A588" s="10" t="str">
        <x:v>M12</x:v>
      </x:c>
      <x:c r="B588" s="10" t="str">
        <x:v>CG_H0</x:v>
      </x:c>
      <x:c r="C588" s="9" t="str">
        <x:v>节点</x:v>
      </x:c>
      <x:c r="D588" s="11" t="n">
        <x:f>'全部组合'!D274</x:f>
        <x:v>7163</x:v>
      </x:c>
      <x:c r="E588" s="12" t="n">
        <x:f>'全部组合'!O274/$D588</x:f>
        <x:v>0</x:v>
      </x:c>
      <x:c r="F588" s="12" t="n">
        <x:f>'全部组合'!P274/$D588</x:f>
        <x:v>0.8165573083903392</x:v>
      </x:c>
      <x:c r="G588" s="12" t="n">
        <x:f>'全部组合'!Q274/$D588</x:f>
        <x:v>0.10945134720089349</x:v>
      </x:c>
      <x:c r="H588" s="12" t="n">
        <x:f>'全部组合'!R274/$D588</x:f>
        <x:v>0.036297640653357534</x:v>
      </x:c>
      <x:c r="I588" s="12" t="n">
        <x:f>'全部组合'!S274/$D588</x:f>
        <x:v>0.03490157755130532</x:v>
      </x:c>
      <x:c r="J588" s="12" t="n">
        <x:f>'全部组合'!T274/$D588</x:f>
        <x:v>0.0027921262041044254</x:v>
      </x:c>
      <x:c r="K588" s="12" t="n">
        <x:f>'全部组合'!U274/$D588</x:f>
        <x:v>0</x:v>
      </x:c>
      <x:c r="L588" s="12" t="n">
        <x:f>'全部组合'!V274/$D588</x:f>
        <x:v>0</x:v>
      </x:c>
      <x:c r="M588" s="12" t="n">
        <x:f>'全部组合'!W274/$D588</x:f>
        <x:v>0</x:v>
      </x:c>
      <x:c r="N588" s="13" t="n">
        <x:f>'全部组合'!X274/$D588</x:f>
        <x:v>0</x:v>
      </x:c>
    </x:row>
    <x:row r="589" ht="23" customHeight="1">
      <x:c r="A589" s="10" t="str">
        <x:v>M12</x:v>
      </x:c>
      <x:c r="B589" s="10" t="str">
        <x:v>CG_H0</x:v>
      </x:c>
      <x:c r="C589" s="9" t="str">
        <x:v>源三角形</x:v>
      </x:c>
      <x:c r="D589" s="11" t="n">
        <x:f>'全部组合'!I274</x:f>
        <x:v>51857040</x:v>
      </x:c>
      <x:c r="E589" s="12" t="n">
        <x:f>'全部组合'!Y274/$D589</x:f>
        <x:v>0</x:v>
      </x:c>
      <x:c r="F589" s="12" t="n">
        <x:f>'全部组合'!Z274/$D589</x:f>
        <x:v>0.24833152837107555</x:v>
      </x:c>
      <x:c r="G589" s="12" t="n">
        <x:f>'全部组合'!AA274/$D589</x:f>
        <x:v>0.060587376371655614</x:v>
      </x:c>
      <x:c r="H589" s="12" t="n">
        <x:f>'全部组合'!AB274/$D589</x:f>
        <x:v>0.0366283922105851</x:v>
      </x:c>
      <x:c r="I589" s="12" t="n">
        <x:f>'全部组合'!AC274/$D589</x:f>
        <x:v>0.5215660593045804</x:v>
      </x:c>
      <x:c r="J589" s="12" t="n">
        <x:f>'全部组合'!AD274/$D589</x:f>
        <x:v>0.1328866437421033</x:v>
      </x:c>
      <x:c r="K589" s="12" t="n">
        <x:f>'全部组合'!AE274/$D589</x:f>
        <x:v>0</x:v>
      </x:c>
      <x:c r="L589" s="12" t="n">
        <x:f>'全部组合'!AF274/$D589</x:f>
        <x:v>0</x:v>
      </x:c>
      <x:c r="M589" s="12" t="n">
        <x:f>'全部组合'!AG274/$D589</x:f>
        <x:v>0</x:v>
      </x:c>
      <x:c r="N589" s="13" t="n">
        <x:f>'全部组合'!AH274/$D589</x:f>
        <x:v>0</x:v>
      </x:c>
    </x:row>
    <x:row r="590" ht="23" customHeight="1">
      <x:c r="A590" s="10" t="str">
        <x:v>M12</x:v>
      </x:c>
      <x:c r="B590" s="10" t="str">
        <x:v>CG_HT</x:v>
      </x:c>
      <x:c r="C590" s="9" t="str">
        <x:v>节点</x:v>
      </x:c>
      <x:c r="D590" s="11" t="n">
        <x:f>'全部组合'!D275</x:f>
        <x:v>7163</x:v>
      </x:c>
      <x:c r="E590" s="12" t="n">
        <x:f>'全部组合'!O275/$D590</x:f>
        <x:v>0</x:v>
      </x:c>
      <x:c r="F590" s="12" t="n">
        <x:f>'全部组合'!P275/$D590</x:f>
        <x:v>0.3477593187212062</x:v>
      </x:c>
      <x:c r="G590" s="12" t="n">
        <x:f>'全部组合'!Q275/$D590</x:f>
        <x:v>0.5666620131229931</x:v>
      </x:c>
      <x:c r="H590" s="12" t="n">
        <x:f>'全部组合'!R275/$D590</x:f>
        <x:v>0.046070082367723024</x:v>
      </x:c>
      <x:c r="I590" s="12" t="n">
        <x:f>'全部组合'!S275/$D590</x:f>
        <x:v>0.03615803434315231</x:v>
      </x:c>
      <x:c r="J590" s="12" t="n">
        <x:f>'全部组合'!T275/$D590</x:f>
        <x:v>0.003350551444925311</x:v>
      </x:c>
      <x:c r="K590" s="12" t="n">
        <x:f>'全部组合'!U275/$D590</x:f>
        <x:v>0</x:v>
      </x:c>
      <x:c r="L590" s="12" t="n">
        <x:f>'全部组合'!V275/$D590</x:f>
        <x:v>0</x:v>
      </x:c>
      <x:c r="M590" s="12" t="n">
        <x:f>'全部组合'!W275/$D590</x:f>
        <x:v>0</x:v>
      </x:c>
      <x:c r="N590" s="13" t="n">
        <x:f>'全部组合'!X275/$D590</x:f>
        <x:v>0</x:v>
      </x:c>
    </x:row>
    <x:row r="591" ht="23" customHeight="1">
      <x:c r="A591" s="10" t="str">
        <x:v>M12</x:v>
      </x:c>
      <x:c r="B591" s="10" t="str">
        <x:v>CG_HT</x:v>
      </x:c>
      <x:c r="C591" s="9" t="str">
        <x:v>源三角形</x:v>
      </x:c>
      <x:c r="D591" s="11" t="n">
        <x:f>'全部组合'!I275</x:f>
        <x:v>51857040</x:v>
      </x:c>
      <x:c r="E591" s="12" t="n">
        <x:f>'全部组合'!Y275/$D591</x:f>
        <x:v>0</x:v>
      </x:c>
      <x:c r="F591" s="12" t="n">
        <x:f>'全部组合'!Z275/$D591</x:f>
        <x:v>0.0823179649281949</x:v>
      </x:c>
      <x:c r="G591" s="12" t="n">
        <x:f>'全部组合'!AA275/$D591</x:f>
        <x:v>0.2158122407295133</x:v>
      </x:c>
      <x:c r="H591" s="12" t="n">
        <x:f>'全部组合'!AB275/$D591</x:f>
        <x:v>0.04714094749719614</x:v>
      </x:c>
      <x:c r="I591" s="12" t="n">
        <x:f>'全部组合'!AC275/$D591</x:f>
        <x:v>0.44392506784035496</x:v>
      </x:c>
      <x:c r="J591" s="12" t="n">
        <x:f>'全部组合'!AD275/$D591</x:f>
        <x:v>0.21080377900474073</x:v>
      </x:c>
      <x:c r="K591" s="12" t="n">
        <x:f>'全部组合'!AE275/$D591</x:f>
        <x:v>0</x:v>
      </x:c>
      <x:c r="L591" s="12" t="n">
        <x:f>'全部组合'!AF275/$D591</x:f>
        <x:v>0</x:v>
      </x:c>
      <x:c r="M591" s="12" t="n">
        <x:f>'全部组合'!AG275/$D591</x:f>
        <x:v>0</x:v>
      </x:c>
      <x:c r="N591" s="13" t="n">
        <x:f>'全部组合'!AH275/$D591</x:f>
        <x:v>0</x:v>
      </x:c>
    </x:row>
    <x:row r="592" ht="23" customHeight="1">
      <x:c r="A592" s="10" t="str">
        <x:v>M12</x:v>
      </x:c>
      <x:c r="B592" s="10" t="str">
        <x:v>CG_H1</x:v>
      </x:c>
      <x:c r="C592" s="9" t="str">
        <x:v>节点</x:v>
      </x:c>
      <x:c r="D592" s="11" t="n">
        <x:f>'全部组合'!D276</x:f>
        <x:v>7163</x:v>
      </x:c>
      <x:c r="E592" s="12" t="n">
        <x:f>'全部组合'!O276/$D592</x:f>
        <x:v>0</x:v>
      </x:c>
      <x:c r="F592" s="12" t="n">
        <x:f>'全部组合'!P276/$D592</x:f>
        <x:v>0.3477593187212062</x:v>
      </x:c>
      <x:c r="G592" s="12" t="n">
        <x:f>'全部组合'!Q276/$D592</x:f>
        <x:v>0.5666620131229931</x:v>
      </x:c>
      <x:c r="H592" s="12" t="n">
        <x:f>'全部组合'!R276/$D592</x:f>
        <x:v>0.046070082367723024</x:v>
      </x:c>
      <x:c r="I592" s="12" t="n">
        <x:f>'全部组合'!S276/$D592</x:f>
        <x:v>0.03615803434315231</x:v>
      </x:c>
      <x:c r="J592" s="12" t="n">
        <x:f>'全部组合'!T276/$D592</x:f>
        <x:v>0.003350551444925311</x:v>
      </x:c>
      <x:c r="K592" s="12" t="n">
        <x:f>'全部组合'!U276/$D592</x:f>
        <x:v>0</x:v>
      </x:c>
      <x:c r="L592" s="12" t="n">
        <x:f>'全部组合'!V276/$D592</x:f>
        <x:v>0</x:v>
      </x:c>
      <x:c r="M592" s="12" t="n">
        <x:f>'全部组合'!W276/$D592</x:f>
        <x:v>0</x:v>
      </x:c>
      <x:c r="N592" s="13" t="n">
        <x:f>'全部组合'!X276/$D592</x:f>
        <x:v>0</x:v>
      </x:c>
    </x:row>
    <x:row r="593" ht="23" customHeight="1">
      <x:c r="A593" s="10" t="str">
        <x:v>M12</x:v>
      </x:c>
      <x:c r="B593" s="10" t="str">
        <x:v>CG_H1</x:v>
      </x:c>
      <x:c r="C593" s="9" t="str">
        <x:v>源三角形</x:v>
      </x:c>
      <x:c r="D593" s="11" t="n">
        <x:f>'全部组合'!I276</x:f>
        <x:v>51857040</x:v>
      </x:c>
      <x:c r="E593" s="12" t="n">
        <x:f>'全部组合'!Y276/$D593</x:f>
        <x:v>0</x:v>
      </x:c>
      <x:c r="F593" s="12" t="n">
        <x:f>'全部组合'!Z276/$D593</x:f>
        <x:v>0.0823179649281949</x:v>
      </x:c>
      <x:c r="G593" s="12" t="n">
        <x:f>'全部组合'!AA276/$D593</x:f>
        <x:v>0.2158122407295133</x:v>
      </x:c>
      <x:c r="H593" s="12" t="n">
        <x:f>'全部组合'!AB276/$D593</x:f>
        <x:v>0.04714094749719614</x:v>
      </x:c>
      <x:c r="I593" s="12" t="n">
        <x:f>'全部组合'!AC276/$D593</x:f>
        <x:v>0.44392506784035496</x:v>
      </x:c>
      <x:c r="J593" s="12" t="n">
        <x:f>'全部组合'!AD276/$D593</x:f>
        <x:v>0.21080377900474073</x:v>
      </x:c>
      <x:c r="K593" s="12" t="n">
        <x:f>'全部组合'!AE276/$D593</x:f>
        <x:v>0</x:v>
      </x:c>
      <x:c r="L593" s="12" t="n">
        <x:f>'全部组合'!AF276/$D593</x:f>
        <x:v>0</x:v>
      </x:c>
      <x:c r="M593" s="12" t="n">
        <x:f>'全部组合'!AG276/$D593</x:f>
        <x:v>0</x:v>
      </x:c>
      <x:c r="N593" s="13" t="n">
        <x:f>'全部组合'!AH276/$D593</x:f>
        <x:v>0</x:v>
      </x:c>
    </x:row>
    <x:row r="594" ht="23" customHeight="1">
      <x:c r="A594" s="10" t="str">
        <x:v>M12</x:v>
      </x:c>
      <x:c r="B594" s="10" t="str">
        <x:v>NCG_H0</x:v>
      </x:c>
      <x:c r="C594" s="9" t="str">
        <x:v>节点</x:v>
      </x:c>
      <x:c r="D594" s="11" t="n">
        <x:f>'全部组合'!D277</x:f>
        <x:v>7163</x:v>
      </x:c>
      <x:c r="E594" s="12" t="n">
        <x:f>'全部组合'!O277/$D594</x:f>
        <x:v>0</x:v>
      </x:c>
      <x:c r="F594" s="12" t="n">
        <x:f>'全部组合'!P277/$D594</x:f>
        <x:v>0.5536786262739076</x:v>
      </x:c>
      <x:c r="G594" s="12" t="n">
        <x:f>'全部组合'!Q277/$D594</x:f>
        <x:v>0.3128577411699009</x:v>
      </x:c>
      <x:c r="H594" s="12" t="n">
        <x:f>'全部组合'!R277/$D594</x:f>
        <x:v>0.042440318302387266</x:v>
      </x:c>
      <x:c r="I594" s="12" t="n">
        <x:f>'全部组合'!S277/$D594</x:f>
        <x:v>0.03406393969007399</x:v>
      </x:c>
      <x:c r="J594" s="12" t="n">
        <x:f>'全部组合'!T277/$D594</x:f>
        <x:v>0.008515984922518498</x:v>
      </x:c>
      <x:c r="K594" s="12" t="n">
        <x:f>'全部组合'!U277/$D594</x:f>
        <x:v>0.003908976685746196</x:v>
      </x:c>
      <x:c r="L594" s="12" t="n">
        <x:f>'全部组合'!V277/$D594</x:f>
        <x:v>0.009632835404160269</x:v>
      </x:c>
      <x:c r="M594" s="12" t="n">
        <x:f>'全部组合'!W277/$D594</x:f>
        <x:v>0.03490157755130532</x:v>
      </x:c>
      <x:c r="N594" s="13" t="n">
        <x:f>'全部组合'!X277/$D594</x:f>
        <x:v>0</x:v>
      </x:c>
    </x:row>
    <x:row r="595" ht="23" customHeight="1">
      <x:c r="A595" s="10" t="str">
        <x:v>M12</x:v>
      </x:c>
      <x:c r="B595" s="10" t="str">
        <x:v>NCG_H0</x:v>
      </x:c>
      <x:c r="C595" s="9" t="str">
        <x:v>源三角形</x:v>
      </x:c>
      <x:c r="D595" s="11" t="n">
        <x:f>'全部组合'!I277</x:f>
        <x:v>51857040</x:v>
      </x:c>
      <x:c r="E595" s="12" t="n">
        <x:f>'全部组合'!Y277/$D595</x:f>
        <x:v>0</x:v>
      </x:c>
      <x:c r="F595" s="12" t="n">
        <x:f>'全部组合'!Z277/$D595</x:f>
        <x:v>0.18334494217178612</x:v>
      </x:c>
      <x:c r="G595" s="12" t="n">
        <x:f>'全部组合'!AA277/$D595</x:f>
        <x:v>0.09741319597107741</x:v>
      </x:c>
      <x:c r="H595" s="12" t="n">
        <x:f>'全部组合'!AB277/$D595</x:f>
        <x:v>0.03421965465055468</x:v>
      </x:c>
      <x:c r="I595" s="12" t="n">
        <x:f>'全部组合'!AC277/$D595</x:f>
        <x:v>0.21811503317582337</x:v>
      </x:c>
      <x:c r="J595" s="12" t="n">
        <x:f>'全部组合'!AD277/$D595</x:f>
        <x:v>0.16579658229625138</x:v>
      </x:c>
      <x:c r="K595" s="12" t="n">
        <x:f>'全部组合'!AE277/$D595</x:f>
        <x:v>0.008551162966494039</x:v>
      </x:c>
      <x:c r="L595" s="12" t="n">
        <x:f>'全部组合'!AF277/$D595</x:f>
        <x:v>0.28963716401861733</x:v>
      </x:c>
      <x:c r="M595" s="12" t="n">
        <x:f>'全部组合'!AG277/$D595</x:f>
        <x:v>0.002922264749395646</x:v>
      </x:c>
      <x:c r="N595" s="13" t="n">
        <x:f>'全部组合'!AH277/$D595</x:f>
        <x:v>0</x:v>
      </x:c>
    </x:row>
    <x:row r="596" ht="23" customHeight="1">
      <x:c r="A596" s="10" t="str">
        <x:v>M12</x:v>
      </x:c>
      <x:c r="B596" s="10" t="str">
        <x:v>NCG_HT</x:v>
      </x:c>
      <x:c r="C596" s="9" t="str">
        <x:v>节点</x:v>
      </x:c>
      <x:c r="D596" s="11" t="n">
        <x:f>'全部组合'!D278</x:f>
        <x:v>7163</x:v>
      </x:c>
      <x:c r="E596" s="12" t="n">
        <x:f>'全部组合'!O278/$D596</x:f>
        <x:v>0</x:v>
      </x:c>
      <x:c r="F596" s="12" t="n">
        <x:f>'全部组合'!P278/$D596</x:f>
        <x:v>0.2237889152589697</x:v>
      </x:c>
      <x:c r="G596" s="12" t="n">
        <x:f>'全部组合'!Q278/$D596</x:f>
        <x:v>0.6297640653357531</x:v>
      </x:c>
      <x:c r="H596" s="12" t="n">
        <x:f>'全部组合'!R278/$D596</x:f>
        <x:v>0.05193354739634232</x:v>
      </x:c>
      <x:c r="I596" s="12" t="n">
        <x:f>'全部组合'!S278/$D596</x:f>
        <x:v>0.03713527851458886</x:v>
      </x:c>
      <x:c r="J596" s="12" t="n">
        <x:f>'全部组合'!T278/$D596</x:f>
        <x:v>0.008934803853134162</x:v>
      </x:c>
      <x:c r="K596" s="12" t="n">
        <x:f>'全部组合'!U278/$D596</x:f>
        <x:v>0.003908976685746196</x:v>
      </x:c>
      <x:c r="L596" s="12" t="n">
        <x:f>'全部组合'!V278/$D596</x:f>
        <x:v>0.009632835404160269</x:v>
      </x:c>
      <x:c r="M596" s="12" t="n">
        <x:f>'全部组合'!W278/$D596</x:f>
        <x:v>0.03490157755130532</x:v>
      </x:c>
      <x:c r="N596" s="13" t="n">
        <x:f>'全部组合'!X278/$D596</x:f>
        <x:v>0</x:v>
      </x:c>
    </x:row>
    <x:row r="597" ht="23" customHeight="1">
      <x:c r="A597" s="10" t="str">
        <x:v>M12</x:v>
      </x:c>
      <x:c r="B597" s="10" t="str">
        <x:v>NCG_HT</x:v>
      </x:c>
      <x:c r="C597" s="9" t="str">
        <x:v>源三角形</x:v>
      </x:c>
      <x:c r="D597" s="11" t="n">
        <x:f>'全部组合'!I278</x:f>
        <x:v>51857040</x:v>
      </x:c>
      <x:c r="E597" s="12" t="n">
        <x:f>'全部组合'!Y278/$D597</x:f>
        <x:v>0</x:v>
      </x:c>
      <x:c r="F597" s="12" t="n">
        <x:f>'全部组合'!Z278/$D597</x:f>
        <x:v>0.056138684352211386</x:v>
      </x:c>
      <x:c r="G597" s="12" t="n">
        <x:f>'全部组合'!AA278/$D597</x:f>
        <x:v>0.21377247910794756</x:v>
      </x:c>
      <x:c r="H597" s="12" t="n">
        <x:f>'全部组合'!AB278/$D597</x:f>
        <x:v>0.044579405226368496</x:v>
      </x:c>
      <x:c r="I597" s="12" t="n">
        <x:f>'全部组合'!AC278/$D597</x:f>
        <x:v>0.1601644058357361</x:v>
      </x:c>
      <x:c r="J597" s="12" t="n">
        <x:f>'全部组合'!AD278/$D597</x:f>
        <x:v>0.22423443374322946</x:v>
      </x:c>
      <x:c r="K597" s="12" t="n">
        <x:f>'全部组合'!AE278/$D597</x:f>
        <x:v>0.008551162966494039</x:v>
      </x:c>
      <x:c r="L597" s="12" t="n">
        <x:f>'全部组合'!AF278/$D597</x:f>
        <x:v>0.28963716401861733</x:v>
      </x:c>
      <x:c r="M597" s="12" t="n">
        <x:f>'全部组合'!AG278/$D597</x:f>
        <x:v>0.002922264749395646</x:v>
      </x:c>
      <x:c r="N597" s="13" t="n">
        <x:f>'全部组合'!AH278/$D597</x:f>
        <x:v>0</x:v>
      </x:c>
    </x:row>
    <x:row r="598" ht="23" customHeight="1">
      <x:c r="A598" s="10" t="str">
        <x:v>M12</x:v>
      </x:c>
      <x:c r="B598" s="10" t="str">
        <x:v>NCG_H1</x:v>
      </x:c>
      <x:c r="C598" s="9" t="str">
        <x:v>节点</x:v>
      </x:c>
      <x:c r="D598" s="11" t="n">
        <x:f>'全部组合'!D279</x:f>
        <x:v>7163</x:v>
      </x:c>
      <x:c r="E598" s="12" t="n">
        <x:f>'全部组合'!O279/$D598</x:f>
        <x:v>0</x:v>
      </x:c>
      <x:c r="F598" s="12" t="n">
        <x:f>'全部组合'!P279/$D598</x:f>
        <x:v>0.2237889152589697</x:v>
      </x:c>
      <x:c r="G598" s="12" t="n">
        <x:f>'全部组合'!Q279/$D598</x:f>
        <x:v>0.6297640653357531</x:v>
      </x:c>
      <x:c r="H598" s="12" t="n">
        <x:f>'全部组合'!R279/$D598</x:f>
        <x:v>0.05193354739634232</x:v>
      </x:c>
      <x:c r="I598" s="12" t="n">
        <x:f>'全部组合'!S279/$D598</x:f>
        <x:v>0.03713527851458886</x:v>
      </x:c>
      <x:c r="J598" s="12" t="n">
        <x:f>'全部组合'!T279/$D598</x:f>
        <x:v>0.008934803853134162</x:v>
      </x:c>
      <x:c r="K598" s="12" t="n">
        <x:f>'全部组合'!U279/$D598</x:f>
        <x:v>0.003908976685746196</x:v>
      </x:c>
      <x:c r="L598" s="12" t="n">
        <x:f>'全部组合'!V279/$D598</x:f>
        <x:v>0.009632835404160269</x:v>
      </x:c>
      <x:c r="M598" s="12" t="n">
        <x:f>'全部组合'!W279/$D598</x:f>
        <x:v>0.03490157755130532</x:v>
      </x:c>
      <x:c r="N598" s="13" t="n">
        <x:f>'全部组合'!X279/$D598</x:f>
        <x:v>0</x:v>
      </x:c>
    </x:row>
    <x:row r="599" ht="23" customHeight="1">
      <x:c r="A599" s="10" t="str">
        <x:v>M12</x:v>
      </x:c>
      <x:c r="B599" s="10" t="str">
        <x:v>NCG_H1</x:v>
      </x:c>
      <x:c r="C599" s="9" t="str">
        <x:v>源三角形</x:v>
      </x:c>
      <x:c r="D599" s="11" t="n">
        <x:f>'全部组合'!I279</x:f>
        <x:v>51857040</x:v>
      </x:c>
      <x:c r="E599" s="12" t="n">
        <x:f>'全部组合'!Y279/$D599</x:f>
        <x:v>0</x:v>
      </x:c>
      <x:c r="F599" s="12" t="n">
        <x:f>'全部组合'!Z279/$D599</x:f>
        <x:v>0.056138684352211386</x:v>
      </x:c>
      <x:c r="G599" s="12" t="n">
        <x:f>'全部组合'!AA279/$D599</x:f>
        <x:v>0.21377247910794756</x:v>
      </x:c>
      <x:c r="H599" s="12" t="n">
        <x:f>'全部组合'!AB279/$D599</x:f>
        <x:v>0.044579405226368496</x:v>
      </x:c>
      <x:c r="I599" s="12" t="n">
        <x:f>'全部组合'!AC279/$D599</x:f>
        <x:v>0.1601644058357361</x:v>
      </x:c>
      <x:c r="J599" s="12" t="n">
        <x:f>'全部组合'!AD279/$D599</x:f>
        <x:v>0.22423443374322946</x:v>
      </x:c>
      <x:c r="K599" s="12" t="n">
        <x:f>'全部组合'!AE279/$D599</x:f>
        <x:v>0.008551162966494039</x:v>
      </x:c>
      <x:c r="L599" s="12" t="n">
        <x:f>'全部组合'!AF279/$D599</x:f>
        <x:v>0.28963716401861733</x:v>
      </x:c>
      <x:c r="M599" s="12" t="n">
        <x:f>'全部组合'!AG279/$D599</x:f>
        <x:v>0.002922264749395646</x:v>
      </x:c>
      <x:c r="N599" s="13" t="n">
        <x:f>'全部组合'!AH279/$D599</x:f>
        <x:v>0</x:v>
      </x:c>
    </x:row>
    <x:row r="600" ht="23" customHeight="1">
      <x:c r="A600" s="10" t="str">
        <x:v>M12</x:v>
      </x:c>
      <x:c r="B600" s="10" t="str">
        <x:v>NCG_H0_M1</x:v>
      </x:c>
      <x:c r="C600" s="9" t="str">
        <x:v>节点</x:v>
      </x:c>
      <x:c r="D600" s="11" t="n">
        <x:f>'全部组合'!D280</x:f>
        <x:v>7163</x:v>
      </x:c>
      <x:c r="E600" s="12" t="n">
        <x:f>'全部组合'!O280/$D600</x:f>
        <x:v>0</x:v>
      </x:c>
      <x:c r="F600" s="12" t="n">
        <x:f>'全部组合'!P280/$D600</x:f>
        <x:v>0.5358090185676393</x:v>
      </x:c>
      <x:c r="G600" s="12" t="n">
        <x:f>'全部组合'!Q280/$D600</x:f>
        <x:v>0.3076923076923077</x:v>
      </x:c>
      <x:c r="H600" s="12" t="n">
        <x:f>'全部组合'!R280/$D600</x:f>
        <x:v>0.0432779561636186</x:v>
      </x:c>
      <x:c r="I600" s="12" t="n">
        <x:f>'全部组合'!S280/$D600</x:f>
        <x:v>0.03392433337986877</x:v>
      </x:c>
      <x:c r="J600" s="12" t="n">
        <x:f>'全部组合'!T280/$D600</x:f>
        <x:v>0.008515984922518498</x:v>
      </x:c>
      <x:c r="K600" s="12" t="n">
        <x:f>'全部组合'!U280/$D600</x:f>
        <x:v>0.003908976685746196</x:v>
      </x:c>
      <x:c r="L600" s="12" t="n">
        <x:f>'全部组合'!V280/$D600</x:f>
        <x:v>0.008097165991902834</x:v>
      </x:c>
      <x:c r="M600" s="12" t="n">
        <x:f>'全部组合'!W280/$D600</x:f>
        <x:v>0.05877425659639816</x:v>
      </x:c>
      <x:c r="N600" s="13" t="n">
        <x:f>'全部组合'!X280/$D600</x:f>
        <x:v>0</x:v>
      </x:c>
    </x:row>
    <x:row r="601" ht="23" customHeight="1">
      <x:c r="A601" s="10" t="str">
        <x:v>M12</x:v>
      </x:c>
      <x:c r="B601" s="10" t="str">
        <x:v>NCG_H0_M1</x:v>
      </x:c>
      <x:c r="C601" s="9" t="str">
        <x:v>源三角形</x:v>
      </x:c>
      <x:c r="D601" s="11" t="n">
        <x:f>'全部组合'!I280</x:f>
        <x:v>51857040</x:v>
      </x:c>
      <x:c r="E601" s="12" t="n">
        <x:f>'全部组合'!Y280/$D601</x:f>
        <x:v>0</x:v>
      </x:c>
      <x:c r="F601" s="12" t="n">
        <x:f>'全部组合'!Z280/$D601</x:f>
        <x:v>0.1820874851322019</x:v>
      </x:c>
      <x:c r="G601" s="12" t="n">
        <x:f>'全部组合'!AA280/$D601</x:f>
        <x:v>0.1007679574460864</x:v>
      </x:c>
      <x:c r="H601" s="12" t="n">
        <x:f>'全部组合'!AB280/$D601</x:f>
        <x:v>0.034607258725141275</x:v>
      </x:c>
      <x:c r="I601" s="12" t="n">
        <x:f>'全部组合'!AC280/$D601</x:f>
        <x:v>0.21810901663496413</x:v>
      </x:c>
      <x:c r="J601" s="12" t="n">
        <x:f>'全部组合'!AD280/$D601</x:f>
        <x:v>0.16579658229625138</x:v>
      </x:c>
      <x:c r="K601" s="12" t="n">
        <x:f>'全部组合'!AE280/$D601</x:f>
        <x:v>0.008551162966494039</x:v>
      </x:c>
      <x:c r="L601" s="12" t="n">
        <x:f>'全部组合'!AF280/$D601</x:f>
        <x:v>0.2854083457135232</x:v>
      </x:c>
      <x:c r="M601" s="12" t="n">
        <x:f>'全部组合'!AG280/$D601</x:f>
        <x:v>0.00467219108533769</x:v>
      </x:c>
      <x:c r="N601" s="13" t="n">
        <x:f>'全部组合'!AH280/$D601</x:f>
        <x:v>0</x:v>
      </x:c>
    </x:row>
    <x:row r="602" ht="23" customHeight="1">
      <x:c r="A602" s="10" t="str">
        <x:v>M12</x:v>
      </x:c>
      <x:c r="B602" s="10" t="str">
        <x:v>NCG_H1_M1</x:v>
      </x:c>
      <x:c r="C602" s="9" t="str">
        <x:v>节点</x:v>
      </x:c>
      <x:c r="D602" s="11" t="n">
        <x:f>'全部组合'!D281</x:f>
        <x:v>7163</x:v>
      </x:c>
      <x:c r="E602" s="12" t="n">
        <x:f>'全部组合'!O281/$D602</x:f>
        <x:v>0</x:v>
      </x:c>
      <x:c r="F602" s="12" t="n">
        <x:f>'全部组合'!P281/$D602</x:f>
        <x:v>0.20717576434454837</x:v>
      </x:c>
      <x:c r="G602" s="12" t="n">
        <x:f>'全部组合'!Q281/$D602</x:f>
        <x:v>0.623342175066313</x:v>
      </x:c>
      <x:c r="H602" s="12" t="n">
        <x:f>'全部组合'!R281/$D602</x:f>
        <x:v>0.05277118525757364</x:v>
      </x:c>
      <x:c r="I602" s="12" t="n">
        <x:f>'全部组合'!S281/$D602</x:f>
        <x:v>0.036995672204383635</x:v>
      </x:c>
      <x:c r="J602" s="12" t="n">
        <x:f>'全部组合'!T281/$D602</x:f>
        <x:v>0.008934803853134162</x:v>
      </x:c>
      <x:c r="K602" s="12" t="n">
        <x:f>'全部组合'!U281/$D602</x:f>
        <x:v>0.003908976685746196</x:v>
      </x:c>
      <x:c r="L602" s="12" t="n">
        <x:f>'全部组合'!V281/$D602</x:f>
        <x:v>0.008097165991902834</x:v>
      </x:c>
      <x:c r="M602" s="12" t="n">
        <x:f>'全部组合'!W281/$D602</x:f>
        <x:v>0.05877425659639816</x:v>
      </x:c>
      <x:c r="N602" s="13" t="n">
        <x:f>'全部组合'!X281/$D602</x:f>
        <x:v>0</x:v>
      </x:c>
    </x:row>
    <x:row r="603" ht="23" customHeight="1">
      <x:c r="A603" s="10" t="str">
        <x:v>M12</x:v>
      </x:c>
      <x:c r="B603" s="10" t="str">
        <x:v>NCG_H1_M1</x:v>
      </x:c>
      <x:c r="C603" s="9" t="str">
        <x:v>源三角形</x:v>
      </x:c>
      <x:c r="D603" s="11" t="n">
        <x:f>'全部组合'!I281</x:f>
        <x:v>51857040</x:v>
      </x:c>
      <x:c r="E603" s="12" t="n">
        <x:f>'全部组合'!Y281/$D603</x:f>
        <x:v>0</x:v>
      </x:c>
      <x:c r="F603" s="12" t="n">
        <x:f>'全部组合'!Z281/$D603</x:f>
        <x:v>0.05507487507964203</x:v>
      </x:c>
      <x:c r="G603" s="12" t="n">
        <x:f>'全部组合'!AA281/$D603</x:f>
        <x:v>0.21693359281594168</x:v>
      </x:c>
      <x:c r="H603" s="12" t="n">
        <x:f>'全部组合'!AB281/$D603</x:f>
        <x:v>0.04496700930095509</x:v>
      </x:c>
      <x:c r="I603" s="12" t="n">
        <x:f>'全部组合'!AC281/$D603</x:f>
        <x:v>0.16015838929487683</x:v>
      </x:c>
      <x:c r="J603" s="12" t="n">
        <x:f>'全部组合'!AD281/$D603</x:f>
        <x:v>0.22423443374322946</x:v>
      </x:c>
      <x:c r="K603" s="12" t="n">
        <x:f>'全部组合'!AE281/$D603</x:f>
        <x:v>0.008551162966494039</x:v>
      </x:c>
      <x:c r="L603" s="12" t="n">
        <x:f>'全部组合'!AF281/$D603</x:f>
        <x:v>0.2854083457135232</x:v>
      </x:c>
      <x:c r="M603" s="12" t="n">
        <x:f>'全部组合'!AG281/$D603</x:f>
        <x:v>0.00467219108533769</x:v>
      </x:c>
      <x:c r="N603" s="13" t="n">
        <x:f>'全部组合'!AH281/$D603</x:f>
        <x:v>0</x:v>
      </x:c>
    </x:row>
    <x:row r="604" ht="23" customHeight="1">
      <x:c r="A604" s="10" t="str">
        <x:v>M13</x:v>
      </x:c>
      <x:c r="B604" s="10" t="str">
        <x:v>N_H0</x:v>
      </x:c>
      <x:c r="C604" s="9" t="str">
        <x:v>节点</x:v>
      </x:c>
      <x:c r="D604" s="11" t="n">
        <x:f>'全部组合'!D282</x:f>
        <x:v>15968</x:v>
      </x:c>
      <x:c r="E604" s="12" t="n">
        <x:f>'全部组合'!O282/$D604</x:f>
        <x:v>0</x:v>
      </x:c>
      <x:c r="F604" s="12" t="n">
        <x:f>'全部组合'!P282/$D604</x:f>
        <x:v>0.1281312625250501</x:v>
      </x:c>
      <x:c r="G604" s="12" t="n">
        <x:f>'全部组合'!Q282/$D604</x:f>
        <x:v>0.023985470941883767</x:v>
      </x:c>
      <x:c r="H604" s="12" t="n">
        <x:f>'全部组合'!R282/$D604</x:f>
        <x:v>0</x:v>
      </x:c>
      <x:c r="I604" s="12" t="n">
        <x:f>'全部组合'!S282/$D604</x:f>
        <x:v>0.7622745490981964</x:v>
      </x:c>
      <x:c r="J604" s="12" t="n">
        <x:f>'全部组合'!T282/$D604</x:f>
        <x:v>0.0217935871743487</x:v>
      </x:c>
      <x:c r="K604" s="12" t="n">
        <x:f>'全部组合'!U282/$D604</x:f>
        <x:v>0.0023171342685370743</x:v>
      </x:c>
      <x:c r="L604" s="12" t="n">
        <x:f>'全部组合'!V282/$D604</x:f>
        <x:v>0.013589679358717435</x:v>
      </x:c>
      <x:c r="M604" s="12" t="n">
        <x:f>'全部组合'!W282/$D604</x:f>
        <x:v>0.047908316633266536</x:v>
      </x:c>
      <x:c r="N604" s="13" t="n">
        <x:f>'全部组合'!X282/$D604</x:f>
        <x:v>0</x:v>
      </x:c>
    </x:row>
    <x:row r="605" ht="23" customHeight="1">
      <x:c r="A605" s="10" t="str">
        <x:v>M13</x:v>
      </x:c>
      <x:c r="B605" s="10" t="str">
        <x:v>N_H0</x:v>
      </x:c>
      <x:c r="C605" s="9" t="str">
        <x:v>源三角形</x:v>
      </x:c>
      <x:c r="D605" s="11" t="n">
        <x:f>'全部组合'!I282</x:f>
        <x:v>52003855</x:v>
      </x:c>
      <x:c r="E605" s="12" t="n">
        <x:f>'全部组合'!Y282/$D605</x:f>
        <x:v>0</x:v>
      </x:c>
      <x:c r="F605" s="12" t="n">
        <x:f>'全部组合'!Z282/$D605</x:f>
        <x:v>0.06839112215815539</x:v>
      </x:c>
      <x:c r="G605" s="12" t="n">
        <x:f>'全部组合'!AA282/$D605</x:f>
        <x:v>0.020568436705317328</x:v>
      </x:c>
      <x:c r="H605" s="12" t="n">
        <x:f>'全部组合'!AB282/$D605</x:f>
        <x:v>0</x:v>
      </x:c>
      <x:c r="I605" s="12" t="n">
        <x:f>'全部组合'!AC282/$D605</x:f>
        <x:v>0.7234938832899984</x:v>
      </x:c>
      <x:c r="J605" s="12" t="n">
        <x:f>'全部组合'!AD282/$D605</x:f>
        <x:v>0.056199064473201076</x:v>
      </x:c>
      <x:c r="K605" s="12" t="n">
        <x:f>'全部组合'!AE282/$D605</x:f>
        <x:v>0.002943820222558501</x:v>
      </x:c>
      <x:c r="L605" s="12" t="n">
        <x:f>'全部组合'!AF282/$D605</x:f>
        <x:v>0.05470921338427699</x:v>
      </x:c>
      <x:c r="M605" s="12" t="n">
        <x:f>'全部组合'!AG282/$D605</x:f>
        <x:v>0.07369445976649232</x:v>
      </x:c>
      <x:c r="N605" s="13" t="n">
        <x:f>'全部组合'!AH282/$D605</x:f>
        <x:v>0</x:v>
      </x:c>
    </x:row>
    <x:row r="606" ht="23" customHeight="1">
      <x:c r="A606" s="10" t="str">
        <x:v>M13</x:v>
      </x:c>
      <x:c r="B606" s="10" t="str">
        <x:v>N_HT</x:v>
      </x:c>
      <x:c r="C606" s="9" t="str">
        <x:v>节点</x:v>
      </x:c>
      <x:c r="D606" s="11" t="n">
        <x:f>'全部组合'!D283</x:f>
        <x:v>15968</x:v>
      </x:c>
      <x:c r="E606" s="12" t="n">
        <x:f>'全部组合'!O283/$D606</x:f>
        <x:v>0</x:v>
      </x:c>
      <x:c r="F606" s="12" t="n">
        <x:f>'全部组合'!P283/$D606</x:f>
        <x:v>0.1281312625250501</x:v>
      </x:c>
      <x:c r="G606" s="12" t="n">
        <x:f>'全部组合'!Q283/$D606</x:f>
        <x:v>0.023985470941883767</x:v>
      </x:c>
      <x:c r="H606" s="12" t="n">
        <x:f>'全部组合'!R283/$D606</x:f>
        <x:v>0</x:v>
      </x:c>
      <x:c r="I606" s="12" t="n">
        <x:f>'全部组合'!S283/$D606</x:f>
        <x:v>0.7622745490981964</x:v>
      </x:c>
      <x:c r="J606" s="12" t="n">
        <x:f>'全部组合'!T283/$D606</x:f>
        <x:v>0.0217935871743487</x:v>
      </x:c>
      <x:c r="K606" s="12" t="n">
        <x:f>'全部组合'!U283/$D606</x:f>
        <x:v>0.0023171342685370743</x:v>
      </x:c>
      <x:c r="L606" s="12" t="n">
        <x:f>'全部组合'!V283/$D606</x:f>
        <x:v>0.013589679358717435</x:v>
      </x:c>
      <x:c r="M606" s="12" t="n">
        <x:f>'全部组合'!W283/$D606</x:f>
        <x:v>0.047908316633266536</x:v>
      </x:c>
      <x:c r="N606" s="13" t="n">
        <x:f>'全部组合'!X283/$D606</x:f>
        <x:v>0</x:v>
      </x:c>
    </x:row>
    <x:row r="607" ht="23" customHeight="1">
      <x:c r="A607" s="10" t="str">
        <x:v>M13</x:v>
      </x:c>
      <x:c r="B607" s="10" t="str">
        <x:v>N_HT</x:v>
      </x:c>
      <x:c r="C607" s="9" t="str">
        <x:v>源三角形</x:v>
      </x:c>
      <x:c r="D607" s="11" t="n">
        <x:f>'全部组合'!I283</x:f>
        <x:v>52003855</x:v>
      </x:c>
      <x:c r="E607" s="12" t="n">
        <x:f>'全部组合'!Y283/$D607</x:f>
        <x:v>0</x:v>
      </x:c>
      <x:c r="F607" s="12" t="n">
        <x:f>'全部组合'!Z283/$D607</x:f>
        <x:v>0.06839112215815539</x:v>
      </x:c>
      <x:c r="G607" s="12" t="n">
        <x:f>'全部组合'!AA283/$D607</x:f>
        <x:v>0.020568436705317328</x:v>
      </x:c>
      <x:c r="H607" s="12" t="n">
        <x:f>'全部组合'!AB283/$D607</x:f>
        <x:v>0</x:v>
      </x:c>
      <x:c r="I607" s="12" t="n">
        <x:f>'全部组合'!AC283/$D607</x:f>
        <x:v>0.7234938832899984</x:v>
      </x:c>
      <x:c r="J607" s="12" t="n">
        <x:f>'全部组合'!AD283/$D607</x:f>
        <x:v>0.056199064473201076</x:v>
      </x:c>
      <x:c r="K607" s="12" t="n">
        <x:f>'全部组合'!AE283/$D607</x:f>
        <x:v>0.002943820222558501</x:v>
      </x:c>
      <x:c r="L607" s="12" t="n">
        <x:f>'全部组合'!AF283/$D607</x:f>
        <x:v>0.05470921338427699</x:v>
      </x:c>
      <x:c r="M607" s="12" t="n">
        <x:f>'全部组合'!AG283/$D607</x:f>
        <x:v>0.07369445976649232</x:v>
      </x:c>
      <x:c r="N607" s="13" t="n">
        <x:f>'全部组合'!AH283/$D607</x:f>
        <x:v>0</x:v>
      </x:c>
    </x:row>
    <x:row r="608" ht="23" customHeight="1">
      <x:c r="A608" s="10" t="str">
        <x:v>M13</x:v>
      </x:c>
      <x:c r="B608" s="10" t="str">
        <x:v>N_H1</x:v>
      </x:c>
      <x:c r="C608" s="9" t="str">
        <x:v>节点</x:v>
      </x:c>
      <x:c r="D608" s="11" t="n">
        <x:f>'全部组合'!D284</x:f>
        <x:v>15968</x:v>
      </x:c>
      <x:c r="E608" s="12" t="n">
        <x:f>'全部组合'!O284/$D608</x:f>
        <x:v>0</x:v>
      </x:c>
      <x:c r="F608" s="12" t="n">
        <x:f>'全部组合'!P284/$D608</x:f>
        <x:v>0.12587675350701402</x:v>
      </x:c>
      <x:c r="G608" s="12" t="n">
        <x:f>'全部组合'!Q284/$D608</x:f>
        <x:v>0.015155310621242485</x:v>
      </x:c>
      <x:c r="H608" s="12" t="n">
        <x:f>'全部组合'!R284/$D608</x:f>
        <x:v>0</x:v>
      </x:c>
      <x:c r="I608" s="12" t="n">
        <x:f>'全部组合'!S284/$D608</x:f>
        <x:v>0.7622745490981964</x:v>
      </x:c>
      <x:c r="J608" s="12" t="n">
        <x:f>'全部组合'!T284/$D608</x:f>
        <x:v>0.027742985971943888</x:v>
      </x:c>
      <x:c r="K608" s="12" t="n">
        <x:f>'全部组合'!U284/$D608</x:f>
        <x:v>0.007452404809619238</x:v>
      </x:c>
      <x:c r="L608" s="12" t="n">
        <x:f>'全部组合'!V284/$D608</x:f>
        <x:v>0.013589679358717435</x:v>
      </x:c>
      <x:c r="M608" s="12" t="n">
        <x:f>'全部组合'!W284/$D608</x:f>
        <x:v>0.047908316633266536</x:v>
      </x:c>
      <x:c r="N608" s="13" t="n">
        <x:f>'全部组合'!X284/$D608</x:f>
        <x:v>0</x:v>
      </x:c>
    </x:row>
    <x:row r="609" ht="23" customHeight="1">
      <x:c r="A609" s="10" t="str">
        <x:v>M13</x:v>
      </x:c>
      <x:c r="B609" s="10" t="str">
        <x:v>N_H1</x:v>
      </x:c>
      <x:c r="C609" s="9" t="str">
        <x:v>源三角形</x:v>
      </x:c>
      <x:c r="D609" s="11" t="n">
        <x:f>'全部组合'!I284</x:f>
        <x:v>52003855</x:v>
      </x:c>
      <x:c r="E609" s="12" t="n">
        <x:f>'全部组合'!Y284/$D609</x:f>
        <x:v>0</x:v>
      </x:c>
      <x:c r="F609" s="12" t="n">
        <x:f>'全部组合'!Z284/$D609</x:f>
        <x:v>0.06792084932934299</x:v>
      </x:c>
      <x:c r="G609" s="12" t="n">
        <x:f>'全部组合'!AA284/$D609</x:f>
        <x:v>0.012052529567279195</x:v>
      </x:c>
      <x:c r="H609" s="12" t="n">
        <x:f>'全部组合'!AB284/$D609</x:f>
        <x:v>0</x:v>
      </x:c>
      <x:c r="I609" s="12" t="n">
        <x:f>'全部组合'!AC284/$D609</x:f>
        <x:v>0.7234938832899984</x:v>
      </x:c>
      <x:c r="J609" s="12" t="n">
        <x:f>'全部组合'!AD284/$D609</x:f>
        <x:v>0.06187802808080286</x:v>
      </x:c>
      <x:c r="K609" s="12" t="n">
        <x:f>'全部组合'!AE284/$D609</x:f>
        <x:v>0.006251036581807252</x:v>
      </x:c>
      <x:c r="L609" s="12" t="n">
        <x:f>'全部组合'!AF284/$D609</x:f>
        <x:v>0.05470921338427699</x:v>
      </x:c>
      <x:c r="M609" s="12" t="n">
        <x:f>'全部组合'!AG284/$D609</x:f>
        <x:v>0.07369445976649232</x:v>
      </x:c>
      <x:c r="N609" s="13" t="n">
        <x:f>'全部组合'!AH284/$D609</x:f>
        <x:v>0</x:v>
      </x:c>
    </x:row>
    <x:row r="610" ht="23" customHeight="1">
      <x:c r="A610" s="10" t="str">
        <x:v>M13</x:v>
      </x:c>
      <x:c r="B610" s="10" t="str">
        <x:v>C_H0</x:v>
      </x:c>
      <x:c r="C610" s="9" t="str">
        <x:v>节点</x:v>
      </x:c>
      <x:c r="D610" s="11" t="n">
        <x:f>'全部组合'!D285</x:f>
        <x:v>15968</x:v>
      </x:c>
      <x:c r="E610" s="12" t="n">
        <x:f>'全部组合'!O285/$D610</x:f>
        <x:v>0</x:v>
      </x:c>
      <x:c r="F610" s="12" t="n">
        <x:f>'全部组合'!P285/$D610</x:f>
        <x:v>0.2872620240480962</x:v>
      </x:c>
      <x:c r="G610" s="12" t="n">
        <x:f>'全部组合'!Q285/$D610</x:f>
        <x:v>0</x:v>
      </x:c>
      <x:c r="H610" s="12" t="n">
        <x:f>'全部组合'!R285/$D610</x:f>
        <x:v>0</x:v>
      </x:c>
      <x:c r="I610" s="12" t="n">
        <x:f>'全部组合'!S285/$D610</x:f>
        <x:v>0.7124874749498998</x:v>
      </x:c>
      <x:c r="J610" s="12" t="n">
        <x:f>'全部组合'!T285/$D610</x:f>
        <x:v>0</x:v>
      </x:c>
      <x:c r="K610" s="12" t="n">
        <x:f>'全部组合'!U285/$D610</x:f>
        <x:v>0.000250501002004008</x:v>
      </x:c>
      <x:c r="L610" s="12" t="n">
        <x:f>'全部组合'!V285/$D610</x:f>
        <x:v>0</x:v>
      </x:c>
      <x:c r="M610" s="12" t="n">
        <x:f>'全部组合'!W285/$D610</x:f>
        <x:v>0</x:v>
      </x:c>
      <x:c r="N610" s="13" t="n">
        <x:f>'全部组合'!X285/$D610</x:f>
        <x:v>0</x:v>
      </x:c>
    </x:row>
    <x:row r="611" ht="23" customHeight="1">
      <x:c r="A611" s="10" t="str">
        <x:v>M13</x:v>
      </x:c>
      <x:c r="B611" s="10" t="str">
        <x:v>C_H0</x:v>
      </x:c>
      <x:c r="C611" s="9" t="str">
        <x:v>源三角形</x:v>
      </x:c>
      <x:c r="D611" s="11" t="n">
        <x:f>'全部组合'!I285</x:f>
        <x:v>52003855</x:v>
      </x:c>
      <x:c r="E611" s="12" t="n">
        <x:f>'全部组合'!Y285/$D611</x:f>
        <x:v>0</x:v>
      </x:c>
      <x:c r="F611" s="12" t="n">
        <x:f>'全部组合'!Z285/$D611</x:f>
        <x:v>0.1624662633183636</x:v>
      </x:c>
      <x:c r="G611" s="12" t="n">
        <x:f>'全部组合'!AA285/$D611</x:f>
        <x:v>0</x:v>
      </x:c>
      <x:c r="H611" s="12" t="n">
        <x:f>'全部组合'!AB285/$D611</x:f>
        <x:v>0</x:v>
      </x:c>
      <x:c r="I611" s="12" t="n">
        <x:f>'全部组合'!AC285/$D611</x:f>
        <x:v>0.837420745058227</x:v>
      </x:c>
      <x:c r="J611" s="12" t="n">
        <x:f>'全部组合'!AD285/$D611</x:f>
        <x:v>0</x:v>
      </x:c>
      <x:c r="K611" s="12" t="n">
        <x:f>'全部组合'!AE285/$D611</x:f>
        <x:v>0.00011299162340945686</x:v>
      </x:c>
      <x:c r="L611" s="12" t="n">
        <x:f>'全部组合'!AF285/$D611</x:f>
        <x:v>0</x:v>
      </x:c>
      <x:c r="M611" s="12" t="n">
        <x:f>'全部组合'!AG285/$D611</x:f>
        <x:v>0</x:v>
      </x:c>
      <x:c r="N611" s="13" t="n">
        <x:f>'全部组合'!AH285/$D611</x:f>
        <x:v>0</x:v>
      </x:c>
    </x:row>
    <x:row r="612" ht="23" customHeight="1">
      <x:c r="A612" s="10" t="str">
        <x:v>M13</x:v>
      </x:c>
      <x:c r="B612" s="10" t="str">
        <x:v>C_HT</x:v>
      </x:c>
      <x:c r="C612" s="9" t="str">
        <x:v>节点</x:v>
      </x:c>
      <x:c r="D612" s="11" t="n">
        <x:f>'全部组合'!D286</x:f>
        <x:v>15968</x:v>
      </x:c>
      <x:c r="E612" s="12" t="n">
        <x:f>'全部组合'!O286/$D612</x:f>
        <x:v>0</x:v>
      </x:c>
      <x:c r="F612" s="12" t="n">
        <x:f>'全部组合'!P286/$D612</x:f>
        <x:v>0.2872620240480962</x:v>
      </x:c>
      <x:c r="G612" s="12" t="n">
        <x:f>'全部组合'!Q286/$D612</x:f>
        <x:v>0</x:v>
      </x:c>
      <x:c r="H612" s="12" t="n">
        <x:f>'全部组合'!R286/$D612</x:f>
        <x:v>0</x:v>
      </x:c>
      <x:c r="I612" s="12" t="n">
        <x:f>'全部组合'!S286/$D612</x:f>
        <x:v>0.7124874749498998</x:v>
      </x:c>
      <x:c r="J612" s="12" t="n">
        <x:f>'全部组合'!T286/$D612</x:f>
        <x:v>0</x:v>
      </x:c>
      <x:c r="K612" s="12" t="n">
        <x:f>'全部组合'!U286/$D612</x:f>
        <x:v>0.000250501002004008</x:v>
      </x:c>
      <x:c r="L612" s="12" t="n">
        <x:f>'全部组合'!V286/$D612</x:f>
        <x:v>0</x:v>
      </x:c>
      <x:c r="M612" s="12" t="n">
        <x:f>'全部组合'!W286/$D612</x:f>
        <x:v>0</x:v>
      </x:c>
      <x:c r="N612" s="13" t="n">
        <x:f>'全部组合'!X286/$D612</x:f>
        <x:v>0</x:v>
      </x:c>
    </x:row>
    <x:row r="613" ht="23" customHeight="1">
      <x:c r="A613" s="10" t="str">
        <x:v>M13</x:v>
      </x:c>
      <x:c r="B613" s="10" t="str">
        <x:v>C_HT</x:v>
      </x:c>
      <x:c r="C613" s="9" t="str">
        <x:v>源三角形</x:v>
      </x:c>
      <x:c r="D613" s="11" t="n">
        <x:f>'全部组合'!I286</x:f>
        <x:v>52003855</x:v>
      </x:c>
      <x:c r="E613" s="12" t="n">
        <x:f>'全部组合'!Y286/$D613</x:f>
        <x:v>0</x:v>
      </x:c>
      <x:c r="F613" s="12" t="n">
        <x:f>'全部组合'!Z286/$D613</x:f>
        <x:v>0.1624662633183636</x:v>
      </x:c>
      <x:c r="G613" s="12" t="n">
        <x:f>'全部组合'!AA286/$D613</x:f>
        <x:v>0</x:v>
      </x:c>
      <x:c r="H613" s="12" t="n">
        <x:f>'全部组合'!AB286/$D613</x:f>
        <x:v>0</x:v>
      </x:c>
      <x:c r="I613" s="12" t="n">
        <x:f>'全部组合'!AC286/$D613</x:f>
        <x:v>0.837420745058227</x:v>
      </x:c>
      <x:c r="J613" s="12" t="n">
        <x:f>'全部组合'!AD286/$D613</x:f>
        <x:v>0</x:v>
      </x:c>
      <x:c r="K613" s="12" t="n">
        <x:f>'全部组合'!AE286/$D613</x:f>
        <x:v>0.00011299162340945686</x:v>
      </x:c>
      <x:c r="L613" s="12" t="n">
        <x:f>'全部组合'!AF286/$D613</x:f>
        <x:v>0</x:v>
      </x:c>
      <x:c r="M613" s="12" t="n">
        <x:f>'全部组合'!AG286/$D613</x:f>
        <x:v>0</x:v>
      </x:c>
      <x:c r="N613" s="13" t="n">
        <x:f>'全部组合'!AH286/$D613</x:f>
        <x:v>0</x:v>
      </x:c>
    </x:row>
    <x:row r="614" ht="23" customHeight="1">
      <x:c r="A614" s="10" t="str">
        <x:v>M13</x:v>
      </x:c>
      <x:c r="B614" s="10" t="str">
        <x:v>C_H1</x:v>
      </x:c>
      <x:c r="C614" s="9" t="str">
        <x:v>节点</x:v>
      </x:c>
      <x:c r="D614" s="11" t="n">
        <x:f>'全部组合'!D287</x:f>
        <x:v>15968</x:v>
      </x:c>
      <x:c r="E614" s="12" t="n">
        <x:f>'全部组合'!O287/$D614</x:f>
        <x:v>0</x:v>
      </x:c>
      <x:c r="F614" s="12" t="n">
        <x:f>'全部组合'!P287/$D614</x:f>
        <x:v>0.2847570140280561</x:v>
      </x:c>
      <x:c r="G614" s="12" t="n">
        <x:f>'全部组合'!Q287/$D614</x:f>
        <x:v>0</x:v>
      </x:c>
      <x:c r="H614" s="12" t="n">
        <x:f>'全部组合'!R287/$D614</x:f>
        <x:v>0</x:v>
      </x:c>
      <x:c r="I614" s="12" t="n">
        <x:f>'全部组合'!S287/$D614</x:f>
        <x:v>0.7124874749498998</x:v>
      </x:c>
      <x:c r="J614" s="12" t="n">
        <x:f>'全部组合'!T287/$D614</x:f>
        <x:v>0</x:v>
      </x:c>
      <x:c r="K614" s="12" t="n">
        <x:f>'全部组合'!U287/$D614</x:f>
        <x:v>0.0027555110220440883</x:v>
      </x:c>
      <x:c r="L614" s="12" t="n">
        <x:f>'全部组合'!V287/$D614</x:f>
        <x:v>0</x:v>
      </x:c>
      <x:c r="M614" s="12" t="n">
        <x:f>'全部组合'!W287/$D614</x:f>
        <x:v>0</x:v>
      </x:c>
      <x:c r="N614" s="13" t="n">
        <x:f>'全部组合'!X287/$D614</x:f>
        <x:v>0</x:v>
      </x:c>
    </x:row>
    <x:row r="615" ht="23" customHeight="1">
      <x:c r="A615" s="10" t="str">
        <x:v>M13</x:v>
      </x:c>
      <x:c r="B615" s="10" t="str">
        <x:v>C_H1</x:v>
      </x:c>
      <x:c r="C615" s="9" t="str">
        <x:v>源三角形</x:v>
      </x:c>
      <x:c r="D615" s="11" t="n">
        <x:f>'全部组合'!I287</x:f>
        <x:v>52003855</x:v>
      </x:c>
      <x:c r="E615" s="12" t="n">
        <x:f>'全部组合'!Y287/$D615</x:f>
        <x:v>0</x:v>
      </x:c>
      <x:c r="F615" s="12" t="n">
        <x:f>'全部组合'!Z287/$D615</x:f>
        <x:v>0.16183769453245342</x:v>
      </x:c>
      <x:c r="G615" s="12" t="n">
        <x:f>'全部组合'!AA287/$D615</x:f>
        <x:v>0</x:v>
      </x:c>
      <x:c r="H615" s="12" t="n">
        <x:f>'全部组合'!AB287/$D615</x:f>
        <x:v>0</x:v>
      </x:c>
      <x:c r="I615" s="12" t="n">
        <x:f>'全部组合'!AC287/$D615</x:f>
        <x:v>0.837420745058227</x:v>
      </x:c>
      <x:c r="J615" s="12" t="n">
        <x:f>'全部组合'!AD287/$D615</x:f>
        <x:v>0</x:v>
      </x:c>
      <x:c r="K615" s="12" t="n">
        <x:f>'全部组合'!AE287/$D615</x:f>
        <x:v>0.0007415604093196553</x:v>
      </x:c>
      <x:c r="L615" s="12" t="n">
        <x:f>'全部组合'!AF287/$D615</x:f>
        <x:v>0</x:v>
      </x:c>
      <x:c r="M615" s="12" t="n">
        <x:f>'全部组合'!AG287/$D615</x:f>
        <x:v>0</x:v>
      </x:c>
      <x:c r="N615" s="13" t="n">
        <x:f>'全部组合'!AH287/$D615</x:f>
        <x:v>0</x:v>
      </x:c>
    </x:row>
    <x:row r="616" ht="23" customHeight="1">
      <x:c r="A616" s="10" t="str">
        <x:v>M13</x:v>
      </x:c>
      <x:c r="B616" s="10" t="str">
        <x:v>G_H0</x:v>
      </x:c>
      <x:c r="C616" s="9" t="str">
        <x:v>节点</x:v>
      </x:c>
      <x:c r="D616" s="11" t="n">
        <x:f>'全部组合'!D288</x:f>
        <x:v>15968</x:v>
      </x:c>
      <x:c r="E616" s="12" t="n">
        <x:f>'全部组合'!O288/$D616</x:f>
        <x:v>0</x:v>
      </x:c>
      <x:c r="F616" s="12" t="n">
        <x:f>'全部组合'!P288/$D616</x:f>
        <x:v>0.5891157314629258</x:v>
      </x:c>
      <x:c r="G616" s="12" t="n">
        <x:f>'全部组合'!Q288/$D616</x:f>
        <x:v>0.3380511022044088</x:v>
      </x:c>
      <x:c r="H616" s="12" t="n">
        <x:f>'全部组合'!R288/$D616</x:f>
        <x:v>0.06168587174348698</x:v>
      </x:c>
      <x:c r="I616" s="12" t="n">
        <x:f>'全部组合'!S288/$D616</x:f>
        <x:v>0.010834168336673347</x:v>
      </x:c>
      <x:c r="J616" s="12" t="n">
        <x:f>'全部组合'!T288/$D616</x:f>
        <x:v>0.000250501002004008</x:v>
      </x:c>
      <x:c r="K616" s="12" t="n">
        <x:f>'全部组合'!U288/$D616</x:f>
        <x:v>0.000062625250501002</x:v>
      </x:c>
      <x:c r="L616" s="12" t="n">
        <x:f>'全部组合'!V288/$D616</x:f>
        <x:v>0</x:v>
      </x:c>
      <x:c r="M616" s="12" t="n">
        <x:f>'全部组合'!W288/$D616</x:f>
        <x:v>0</x:v>
      </x:c>
      <x:c r="N616" s="13" t="n">
        <x:f>'全部组合'!X288/$D616</x:f>
        <x:v>0</x:v>
      </x:c>
    </x:row>
    <x:row r="617" ht="23" customHeight="1">
      <x:c r="A617" s="10" t="str">
        <x:v>M13</x:v>
      </x:c>
      <x:c r="B617" s="10" t="str">
        <x:v>G_H0</x:v>
      </x:c>
      <x:c r="C617" s="9" t="str">
        <x:v>源三角形</x:v>
      </x:c>
      <x:c r="D617" s="11" t="n">
        <x:f>'全部组合'!I288</x:f>
        <x:v>52003855</x:v>
      </x:c>
      <x:c r="E617" s="12" t="n">
        <x:f>'全部组合'!Y288/$D617</x:f>
        <x:v>0</x:v>
      </x:c>
      <x:c r="F617" s="12" t="n">
        <x:f>'全部组合'!Z288/$D617</x:f>
        <x:v>0.406193579302919</x:v>
      </x:c>
      <x:c r="G617" s="12" t="n">
        <x:f>'全部组合'!AA288/$D617</x:f>
        <x:v>0.378070183450823</x:v>
      </x:c>
      <x:c r="H617" s="12" t="n">
        <x:f>'全部组合'!AB288/$D617</x:f>
        <x:v>0.161011371176233</x:v>
      </x:c>
      <x:c r="I617" s="12" t="n">
        <x:f>'全部组合'!AC288/$D617</x:f>
        <x:v>0.04847886757625949</x:v>
      </x:c>
      <x:c r="J617" s="12" t="n">
        <x:f>'全部组合'!AD288/$D617</x:f>
        <x:v>0.00612469979389028</x:v>
      </x:c>
      <x:c r="K617" s="12" t="n">
        <x:f>'全部组合'!AE288/$D617</x:f>
        <x:v>0.0001212986998752304</x:v>
      </x:c>
      <x:c r="L617" s="12" t="n">
        <x:f>'全部组合'!AF288/$D617</x:f>
        <x:v>0</x:v>
      </x:c>
      <x:c r="M617" s="12" t="n">
        <x:f>'全部组合'!AG288/$D617</x:f>
        <x:v>0</x:v>
      </x:c>
      <x:c r="N617" s="13" t="n">
        <x:f>'全部组合'!AH288/$D617</x:f>
        <x:v>0</x:v>
      </x:c>
    </x:row>
    <x:row r="618" ht="23" customHeight="1">
      <x:c r="A618" s="10" t="str">
        <x:v>M13</x:v>
      </x:c>
      <x:c r="B618" s="10" t="str">
        <x:v>G_HT</x:v>
      </x:c>
      <x:c r="C618" s="9" t="str">
        <x:v>节点</x:v>
      </x:c>
      <x:c r="D618" s="11" t="n">
        <x:f>'全部组合'!D289</x:f>
        <x:v>15968</x:v>
      </x:c>
      <x:c r="E618" s="12" t="n">
        <x:f>'全部组合'!O289/$D618</x:f>
        <x:v>0</x:v>
      </x:c>
      <x:c r="F618" s="12" t="n">
        <x:f>'全部组合'!P289/$D618</x:f>
        <x:v>0.38984218436873747</x:v>
      </x:c>
      <x:c r="G618" s="12" t="n">
        <x:f>'全部组合'!Q289/$D618</x:f>
        <x:v>0.5097695390781564</x:v>
      </x:c>
      <x:c r="H618" s="12" t="n">
        <x:f>'全部组合'!R289/$D618</x:f>
        <x:v>0.08648547094188377</x:v>
      </x:c>
      <x:c r="I618" s="12" t="n">
        <x:f>'全部组合'!S289/$D618</x:f>
        <x:v>0.013088677354709418</x:v>
      </x:c>
      <x:c r="J618" s="12" t="n">
        <x:f>'全部组合'!T289/$D618</x:f>
        <x:v>0.000751503006012024</x:v>
      </x:c>
      <x:c r="K618" s="12" t="n">
        <x:f>'全部组合'!U289/$D618</x:f>
        <x:v>0.000062625250501002</x:v>
      </x:c>
      <x:c r="L618" s="12" t="n">
        <x:f>'全部组合'!V289/$D618</x:f>
        <x:v>0</x:v>
      </x:c>
      <x:c r="M618" s="12" t="n">
        <x:f>'全部组合'!W289/$D618</x:f>
        <x:v>0</x:v>
      </x:c>
      <x:c r="N618" s="13" t="n">
        <x:f>'全部组合'!X289/$D618</x:f>
        <x:v>0</x:v>
      </x:c>
    </x:row>
    <x:row r="619" ht="23" customHeight="1">
      <x:c r="A619" s="10" t="str">
        <x:v>M13</x:v>
      </x:c>
      <x:c r="B619" s="10" t="str">
        <x:v>G_HT</x:v>
      </x:c>
      <x:c r="C619" s="9" t="str">
        <x:v>源三角形</x:v>
      </x:c>
      <x:c r="D619" s="11" t="n">
        <x:f>'全部组合'!I289</x:f>
        <x:v>52003855</x:v>
      </x:c>
      <x:c r="E619" s="12" t="n">
        <x:f>'全部组合'!Y289/$D619</x:f>
        <x:v>0</x:v>
      </x:c>
      <x:c r="F619" s="12" t="n">
        <x:f>'全部组合'!Z289/$D619</x:f>
        <x:v>0.21740811330236962</x:v>
      </x:c>
      <x:c r="G619" s="12" t="n">
        <x:f>'全部组合'!AA289/$D619</x:f>
        <x:v>0.5010195301867525</x:v>
      </x:c>
      <x:c r="H619" s="12" t="n">
        <x:f>'全部组合'!AB289/$D619</x:f>
        <x:v>0.21310450927147612</x:v>
      </x:c>
      <x:c r="I619" s="12" t="n">
        <x:f>'全部组合'!AC289/$D619</x:f>
        <x:v>0.06209755026814839</x:v>
      </x:c>
      <x:c r="J619" s="12" t="n">
        <x:f>'全部组合'!AD289/$D619</x:f>
        <x:v>0.00624899827137815</x:v>
      </x:c>
      <x:c r="K619" s="12" t="n">
        <x:f>'全部组合'!AE289/$D619</x:f>
        <x:v>0.0001212986998752304</x:v>
      </x:c>
      <x:c r="L619" s="12" t="n">
        <x:f>'全部组合'!AF289/$D619</x:f>
        <x:v>0</x:v>
      </x:c>
      <x:c r="M619" s="12" t="n">
        <x:f>'全部组合'!AG289/$D619</x:f>
        <x:v>0</x:v>
      </x:c>
      <x:c r="N619" s="13" t="n">
        <x:f>'全部组合'!AH289/$D619</x:f>
        <x:v>0</x:v>
      </x:c>
    </x:row>
    <x:row r="620" ht="23" customHeight="1">
      <x:c r="A620" s="10" t="str">
        <x:v>M13</x:v>
      </x:c>
      <x:c r="B620" s="10" t="str">
        <x:v>G_H1</x:v>
      </x:c>
      <x:c r="C620" s="9" t="str">
        <x:v>节点</x:v>
      </x:c>
      <x:c r="D620" s="11" t="n">
        <x:f>'全部组合'!D290</x:f>
        <x:v>15968</x:v>
      </x:c>
      <x:c r="E620" s="12" t="n">
        <x:f>'全部组合'!O290/$D620</x:f>
        <x:v>0</x:v>
      </x:c>
      <x:c r="F620" s="12" t="n">
        <x:f>'全部组合'!P290/$D620</x:f>
        <x:v>0.38984218436873747</x:v>
      </x:c>
      <x:c r="G620" s="12" t="n">
        <x:f>'全部组合'!Q290/$D620</x:f>
        <x:v>0.5097695390781564</x:v>
      </x:c>
      <x:c r="H620" s="12" t="n">
        <x:f>'全部组合'!R290/$D620</x:f>
        <x:v>0.08648547094188377</x:v>
      </x:c>
      <x:c r="I620" s="12" t="n">
        <x:f>'全部组合'!S290/$D620</x:f>
        <x:v>0.013088677354709418</x:v>
      </x:c>
      <x:c r="J620" s="12" t="n">
        <x:f>'全部组合'!T290/$D620</x:f>
        <x:v>0.000751503006012024</x:v>
      </x:c>
      <x:c r="K620" s="12" t="n">
        <x:f>'全部组合'!U290/$D620</x:f>
        <x:v>0.000062625250501002</x:v>
      </x:c>
      <x:c r="L620" s="12" t="n">
        <x:f>'全部组合'!V290/$D620</x:f>
        <x:v>0</x:v>
      </x:c>
      <x:c r="M620" s="12" t="n">
        <x:f>'全部组合'!W290/$D620</x:f>
        <x:v>0</x:v>
      </x:c>
      <x:c r="N620" s="13" t="n">
        <x:f>'全部组合'!X290/$D620</x:f>
        <x:v>0</x:v>
      </x:c>
    </x:row>
    <x:row r="621" ht="23" customHeight="1">
      <x:c r="A621" s="10" t="str">
        <x:v>M13</x:v>
      </x:c>
      <x:c r="B621" s="10" t="str">
        <x:v>G_H1</x:v>
      </x:c>
      <x:c r="C621" s="9" t="str">
        <x:v>源三角形</x:v>
      </x:c>
      <x:c r="D621" s="11" t="n">
        <x:f>'全部组合'!I290</x:f>
        <x:v>52003855</x:v>
      </x:c>
      <x:c r="E621" s="12" t="n">
        <x:f>'全部组合'!Y290/$D621</x:f>
        <x:v>0</x:v>
      </x:c>
      <x:c r="F621" s="12" t="n">
        <x:f>'全部组合'!Z290/$D621</x:f>
        <x:v>0.21740811330236962</x:v>
      </x:c>
      <x:c r="G621" s="12" t="n">
        <x:f>'全部组合'!AA290/$D621</x:f>
        <x:v>0.5010195301867525</x:v>
      </x:c>
      <x:c r="H621" s="12" t="n">
        <x:f>'全部组合'!AB290/$D621</x:f>
        <x:v>0.21310450927147612</x:v>
      </x:c>
      <x:c r="I621" s="12" t="n">
        <x:f>'全部组合'!AC290/$D621</x:f>
        <x:v>0.06209755026814839</x:v>
      </x:c>
      <x:c r="J621" s="12" t="n">
        <x:f>'全部组合'!AD290/$D621</x:f>
        <x:v>0.00624899827137815</x:v>
      </x:c>
      <x:c r="K621" s="12" t="n">
        <x:f>'全部组合'!AE290/$D621</x:f>
        <x:v>0.0001212986998752304</x:v>
      </x:c>
      <x:c r="L621" s="12" t="n">
        <x:f>'全部组合'!AF290/$D621</x:f>
        <x:v>0</x:v>
      </x:c>
      <x:c r="M621" s="12" t="n">
        <x:f>'全部组合'!AG290/$D621</x:f>
        <x:v>0</x:v>
      </x:c>
      <x:c r="N621" s="13" t="n">
        <x:f>'全部组合'!AH290/$D621</x:f>
        <x:v>0</x:v>
      </x:c>
    </x:row>
    <x:row r="622" ht="23" customHeight="1">
      <x:c r="A622" s="10" t="str">
        <x:v>M13</x:v>
      </x:c>
      <x:c r="B622" s="10" t="str">
        <x:v>NC_H0</x:v>
      </x:c>
      <x:c r="C622" s="9" t="str">
        <x:v>节点</x:v>
      </x:c>
      <x:c r="D622" s="11" t="n">
        <x:f>'全部组合'!D291</x:f>
        <x:v>15968</x:v>
      </x:c>
      <x:c r="E622" s="12" t="n">
        <x:f>'全部组合'!O291/$D622</x:f>
        <x:v>0</x:v>
      </x:c>
      <x:c r="F622" s="12" t="n">
        <x:f>'全部组合'!P291/$D622</x:f>
        <x:v>0.29346192384769537</x:v>
      </x:c>
      <x:c r="G622" s="12" t="n">
        <x:f>'全部组合'!Q291/$D622</x:f>
        <x:v>0.01916332665330661</x:v>
      </x:c>
      <x:c r="H622" s="12" t="n">
        <x:f>'全部组合'!R291/$D622</x:f>
        <x:v>0</x:v>
      </x:c>
      <x:c r="I622" s="12" t="n">
        <x:f>'全部组合'!S291/$D622</x:f>
        <x:v>0.6185495991983968</x:v>
      </x:c>
      <x:c r="J622" s="12" t="n">
        <x:f>'全部组合'!T291/$D622</x:f>
        <x:v>0.0217935871743487</x:v>
      </x:c>
      <x:c r="K622" s="12" t="n">
        <x:f>'全部组合'!U291/$D622</x:f>
        <x:v>0.0023797595190380764</x:v>
      </x:c>
      <x:c r="L622" s="12" t="n">
        <x:f>'全部组合'!V291/$D622</x:f>
        <x:v>0.011022044088176353</x:v>
      </x:c>
      <x:c r="M622" s="12" t="n">
        <x:f>'全部组合'!W291/$D622</x:f>
        <x:v>0.03362975951903808</x:v>
      </x:c>
      <x:c r="N622" s="13" t="n">
        <x:f>'全部组合'!X291/$D622</x:f>
        <x:v>0</x:v>
      </x:c>
    </x:row>
    <x:row r="623" ht="23" customHeight="1">
      <x:c r="A623" s="10" t="str">
        <x:v>M13</x:v>
      </x:c>
      <x:c r="B623" s="10" t="str">
        <x:v>NC_H0</x:v>
      </x:c>
      <x:c r="C623" s="9" t="str">
        <x:v>源三角形</x:v>
      </x:c>
      <x:c r="D623" s="11" t="n">
        <x:f>'全部组合'!I291</x:f>
        <x:v>52003855</x:v>
      </x:c>
      <x:c r="E623" s="12" t="n">
        <x:f>'全部组合'!Y291/$D623</x:f>
        <x:v>0</x:v>
      </x:c>
      <x:c r="F623" s="12" t="n">
        <x:f>'全部组合'!Z291/$D623</x:f>
        <x:v>0.15125440219768324</x:v>
      </x:c>
      <x:c r="G623" s="12" t="n">
        <x:f>'全部组合'!AA291/$D623</x:f>
        <x:v>0.014841092069039882</x:v>
      </x:c>
      <x:c r="H623" s="12" t="n">
        <x:f>'全部组合'!AB291/$D623</x:f>
        <x:v>0</x:v>
      </x:c>
      <x:c r="I623" s="12" t="n">
        <x:f>'全部组合'!AC291/$D623</x:f>
        <x:v>0.6700576909154139</x:v>
      </x:c>
      <x:c r="J623" s="12" t="n">
        <x:f>'全部组合'!AD291/$D623</x:f>
        <x:v>0.056199064473201076</x:v>
      </x:c>
      <x:c r="K623" s="12" t="n">
        <x:f>'全部组合'!AE291/$D623</x:f>
        <x:v>0.0029704336341988494</x:v>
      </x:c>
      <x:c r="L623" s="12" t="n">
        <x:f>'全部组合'!AF291/$D623</x:f>
        <x:v>0.05269855475137372</x:v>
      </x:c>
      <x:c r="M623" s="12" t="n">
        <x:f>'全部组合'!AG291/$D623</x:f>
        <x:v>0.051978761959089376</x:v>
      </x:c>
      <x:c r="N623" s="13" t="n">
        <x:f>'全部组合'!AH291/$D623</x:f>
        <x:v>0</x:v>
      </x:c>
    </x:row>
    <x:row r="624" ht="23" customHeight="1">
      <x:c r="A624" s="10" t="str">
        <x:v>M13</x:v>
      </x:c>
      <x:c r="B624" s="10" t="str">
        <x:v>NC_HT</x:v>
      </x:c>
      <x:c r="C624" s="9" t="str">
        <x:v>节点</x:v>
      </x:c>
      <x:c r="D624" s="11" t="n">
        <x:f>'全部组合'!D292</x:f>
        <x:v>15968</x:v>
      </x:c>
      <x:c r="E624" s="12" t="n">
        <x:f>'全部组合'!O292/$D624</x:f>
        <x:v>0</x:v>
      </x:c>
      <x:c r="F624" s="12" t="n">
        <x:f>'全部组合'!P292/$D624</x:f>
        <x:v>0.29346192384769537</x:v>
      </x:c>
      <x:c r="G624" s="12" t="n">
        <x:f>'全部组合'!Q292/$D624</x:f>
        <x:v>0.01916332665330661</x:v>
      </x:c>
      <x:c r="H624" s="12" t="n">
        <x:f>'全部组合'!R292/$D624</x:f>
        <x:v>0</x:v>
      </x:c>
      <x:c r="I624" s="12" t="n">
        <x:f>'全部组合'!S292/$D624</x:f>
        <x:v>0.6185495991983968</x:v>
      </x:c>
      <x:c r="J624" s="12" t="n">
        <x:f>'全部组合'!T292/$D624</x:f>
        <x:v>0.0217935871743487</x:v>
      </x:c>
      <x:c r="K624" s="12" t="n">
        <x:f>'全部组合'!U292/$D624</x:f>
        <x:v>0.0023797595190380764</x:v>
      </x:c>
      <x:c r="L624" s="12" t="n">
        <x:f>'全部组合'!V292/$D624</x:f>
        <x:v>0.011022044088176353</x:v>
      </x:c>
      <x:c r="M624" s="12" t="n">
        <x:f>'全部组合'!W292/$D624</x:f>
        <x:v>0.03362975951903808</x:v>
      </x:c>
      <x:c r="N624" s="13" t="n">
        <x:f>'全部组合'!X292/$D624</x:f>
        <x:v>0</x:v>
      </x:c>
    </x:row>
    <x:row r="625" ht="23" customHeight="1">
      <x:c r="A625" s="10" t="str">
        <x:v>M13</x:v>
      </x:c>
      <x:c r="B625" s="10" t="str">
        <x:v>NC_HT</x:v>
      </x:c>
      <x:c r="C625" s="9" t="str">
        <x:v>源三角形</x:v>
      </x:c>
      <x:c r="D625" s="11" t="n">
        <x:f>'全部组合'!I292</x:f>
        <x:v>52003855</x:v>
      </x:c>
      <x:c r="E625" s="12" t="n">
        <x:f>'全部组合'!Y292/$D625</x:f>
        <x:v>0</x:v>
      </x:c>
      <x:c r="F625" s="12" t="n">
        <x:f>'全部组合'!Z292/$D625</x:f>
        <x:v>0.15125440219768324</x:v>
      </x:c>
      <x:c r="G625" s="12" t="n">
        <x:f>'全部组合'!AA292/$D625</x:f>
        <x:v>0.014841092069039882</x:v>
      </x:c>
      <x:c r="H625" s="12" t="n">
        <x:f>'全部组合'!AB292/$D625</x:f>
        <x:v>0</x:v>
      </x:c>
      <x:c r="I625" s="12" t="n">
        <x:f>'全部组合'!AC292/$D625</x:f>
        <x:v>0.6700576909154139</x:v>
      </x:c>
      <x:c r="J625" s="12" t="n">
        <x:f>'全部组合'!AD292/$D625</x:f>
        <x:v>0.056199064473201076</x:v>
      </x:c>
      <x:c r="K625" s="12" t="n">
        <x:f>'全部组合'!AE292/$D625</x:f>
        <x:v>0.0029704336341988494</x:v>
      </x:c>
      <x:c r="L625" s="12" t="n">
        <x:f>'全部组合'!AF292/$D625</x:f>
        <x:v>0.05269855475137372</x:v>
      </x:c>
      <x:c r="M625" s="12" t="n">
        <x:f>'全部组合'!AG292/$D625</x:f>
        <x:v>0.051978761959089376</x:v>
      </x:c>
      <x:c r="N625" s="13" t="n">
        <x:f>'全部组合'!AH292/$D625</x:f>
        <x:v>0</x:v>
      </x:c>
    </x:row>
    <x:row r="626" ht="23" customHeight="1">
      <x:c r="A626" s="10" t="str">
        <x:v>M13</x:v>
      </x:c>
      <x:c r="B626" s="10" t="str">
        <x:v>NC_H1</x:v>
      </x:c>
      <x:c r="C626" s="9" t="str">
        <x:v>节点</x:v>
      </x:c>
      <x:c r="D626" s="11" t="n">
        <x:f>'全部组合'!D293</x:f>
        <x:v>15968</x:v>
      </x:c>
      <x:c r="E626" s="12" t="n">
        <x:f>'全部组合'!O293/$D626</x:f>
        <x:v>0</x:v>
      </x:c>
      <x:c r="F626" s="12" t="n">
        <x:f>'全部组合'!P293/$D626</x:f>
        <x:v>0.29127004008016033</x:v>
      </x:c>
      <x:c r="G626" s="12" t="n">
        <x:f>'全部组合'!Q293/$D626</x:f>
        <x:v>0.012086673346693387</x:v>
      </x:c>
      <x:c r="H626" s="12" t="n">
        <x:f>'全部组合'!R293/$D626</x:f>
        <x:v>0</x:v>
      </x:c>
      <x:c r="I626" s="12" t="n">
        <x:f>'全部组合'!S293/$D626</x:f>
        <x:v>0.6185495991983968</x:v>
      </x:c>
      <x:c r="J626" s="12" t="n">
        <x:f>'全部组合'!T293/$D626</x:f>
        <x:v>0.026678356713426853</x:v>
      </x:c>
      <x:c r="K626" s="12" t="n">
        <x:f>'全部组合'!U293/$D626</x:f>
        <x:v>0.006763527054108216</x:v>
      </x:c>
      <x:c r="L626" s="12" t="n">
        <x:f>'全部组合'!V293/$D626</x:f>
        <x:v>0.011022044088176353</x:v>
      </x:c>
      <x:c r="M626" s="12" t="n">
        <x:f>'全部组合'!W293/$D626</x:f>
        <x:v>0.03362975951903808</x:v>
      </x:c>
      <x:c r="N626" s="13" t="n">
        <x:f>'全部组合'!X293/$D626</x:f>
        <x:v>0</x:v>
      </x:c>
    </x:row>
    <x:row r="627" ht="23" customHeight="1">
      <x:c r="A627" s="10" t="str">
        <x:v>M13</x:v>
      </x:c>
      <x:c r="B627" s="10" t="str">
        <x:v>NC_H1</x:v>
      </x:c>
      <x:c r="C627" s="9" t="str">
        <x:v>源三角形</x:v>
      </x:c>
      <x:c r="D627" s="11" t="n">
        <x:f>'全部组合'!I293</x:f>
        <x:v>52003855</x:v>
      </x:c>
      <x:c r="E627" s="12" t="n">
        <x:f>'全部组合'!Y293/$D627</x:f>
        <x:v>0</x:v>
      </x:c>
      <x:c r="F627" s="12" t="n">
        <x:f>'全部组合'!Z293/$D627</x:f>
        <x:v>0.15088662177063605</x:v>
      </x:c>
      <x:c r="G627" s="12" t="n">
        <x:f>'全部组合'!AA293/$D627</x:f>
        <x:v>0.007286652114540355</x:v>
      </x:c>
      <x:c r="H627" s="12" t="n">
        <x:f>'全部组合'!AB293/$D627</x:f>
        <x:v>0</x:v>
      </x:c>
      <x:c r="I627" s="12" t="n">
        <x:f>'全部组合'!AC293/$D627</x:f>
        <x:v>0.6700576909154139</x:v>
      </x:c>
      <x:c r="J627" s="12" t="n">
        <x:f>'全部组合'!AD293/$D627</x:f>
        <x:v>0.06119554021523981</x:v>
      </x:c>
      <x:c r="K627" s="12" t="n">
        <x:f>'全部组合'!AE293/$D627</x:f>
        <x:v>0.005896178273706824</x:v>
      </x:c>
      <x:c r="L627" s="12" t="n">
        <x:f>'全部组合'!AF293/$D627</x:f>
        <x:v>0.05269855475137372</x:v>
      </x:c>
      <x:c r="M627" s="12" t="n">
        <x:f>'全部组合'!AG293/$D627</x:f>
        <x:v>0.051978761959089376</x:v>
      </x:c>
      <x:c r="N627" s="13" t="n">
        <x:f>'全部组合'!AH293/$D627</x:f>
        <x:v>0</x:v>
      </x:c>
    </x:row>
    <x:row r="628" ht="23" customHeight="1">
      <x:c r="A628" s="10" t="str">
        <x:v>M13</x:v>
      </x:c>
      <x:c r="B628" s="10" t="str">
        <x:v>NG_H0</x:v>
      </x:c>
      <x:c r="C628" s="9" t="str">
        <x:v>节点</x:v>
      </x:c>
      <x:c r="D628" s="11" t="n">
        <x:f>'全部组合'!D294</x:f>
        <x:v>15968</x:v>
      </x:c>
      <x:c r="E628" s="12" t="n">
        <x:f>'全部组合'!O294/$D628</x:f>
        <x:v>0.0017535070140280561</x:v>
      </x:c>
      <x:c r="F628" s="12" t="n">
        <x:f>'全部组合'!P294/$D628</x:f>
        <x:v>0.5304358717434869</x:v>
      </x:c>
      <x:c r="G628" s="12" t="n">
        <x:f>'全部组合'!Q294/$D628</x:f>
        <x:v>0.31268787575150303</x:v>
      </x:c>
      <x:c r="H628" s="12" t="n">
        <x:f>'全部组合'!R294/$D628</x:f>
        <x:v>0.05867985971943888</x:v>
      </x:c>
      <x:c r="I628" s="12" t="n">
        <x:f>'全部组合'!S294/$D628</x:f>
        <x:v>0.010521042084168337</x:v>
      </x:c>
      <x:c r="J628" s="12" t="n">
        <x:f>'全部组合'!T294/$D628</x:f>
        <x:v>0.022044088176352707</x:v>
      </x:c>
      <x:c r="K628" s="12" t="n">
        <x:f>'全部组合'!U294/$D628</x:f>
        <x:v>0.0023797595190380764</x:v>
      </x:c>
      <x:c r="L628" s="12" t="n">
        <x:f>'全部组合'!V294/$D628</x:f>
        <x:v>0.013589679358717435</x:v>
      </x:c>
      <x:c r="M628" s="12" t="n">
        <x:f>'全部组合'!W294/$D628</x:f>
        <x:v>0.047908316633266536</x:v>
      </x:c>
      <x:c r="N628" s="13" t="n">
        <x:f>'全部组合'!X294/$D628</x:f>
        <x:v>0</x:v>
      </x:c>
    </x:row>
    <x:row r="629" ht="23" customHeight="1">
      <x:c r="A629" s="10" t="str">
        <x:v>M13</x:v>
      </x:c>
      <x:c r="B629" s="10" t="str">
        <x:v>NG_H0</x:v>
      </x:c>
      <x:c r="C629" s="9" t="str">
        <x:v>源三角形</x:v>
      </x:c>
      <x:c r="D629" s="11" t="n">
        <x:f>'全部组合'!I294</x:f>
        <x:v>52003855</x:v>
      </x:c>
      <x:c r="E629" s="12" t="n">
        <x:f>'全部组合'!Y294/$D629</x:f>
        <x:v>0.00018521703823687685</x:v>
      </x:c>
      <x:c r="F629" s="12" t="n">
        <x:f>'全部组合'!Z294/$D629</x:f>
        <x:v>0.3200698102092624</x:v>
      </x:c>
      <x:c r="G629" s="12" t="n">
        <x:f>'全部组合'!AA294/$D629</x:f>
        <x:v>0.31330886912133726</x:v>
      </x:c>
      <x:c r="H629" s="12" t="n">
        <x:f>'全部组合'!AB294/$D629</x:f>
        <x:v>0.12422559827535863</x:v>
      </x:c>
      <x:c r="I629" s="12" t="n">
        <x:f>'全部组合'!AC294/$D629</x:f>
        <x:v>0.048417949015510484</x:v>
      </x:c>
      <x:c r="J629" s="12" t="n">
        <x:f>'全部组合'!AD294/$D629</x:f>
        <x:v>0.06232376426709135</x:v>
      </x:c>
      <x:c r="K629" s="12" t="n">
        <x:f>'全部组合'!AE294/$D629</x:f>
        <x:v>0.0030651189224337313</x:v>
      </x:c>
      <x:c r="L629" s="12" t="n">
        <x:f>'全部组合'!AF294/$D629</x:f>
        <x:v>0.05470921338427699</x:v>
      </x:c>
      <x:c r="M629" s="12" t="n">
        <x:f>'全部组合'!AG294/$D629</x:f>
        <x:v>0.07369445976649232</x:v>
      </x:c>
      <x:c r="N629" s="13" t="n">
        <x:f>'全部组合'!AH294/$D629</x:f>
        <x:v>0</x:v>
      </x:c>
    </x:row>
    <x:row r="630" ht="23" customHeight="1">
      <x:c r="A630" s="10" t="str">
        <x:v>M13</x:v>
      </x:c>
      <x:c r="B630" s="10" t="str">
        <x:v>NG_HT</x:v>
      </x:c>
      <x:c r="C630" s="9" t="str">
        <x:v>节点</x:v>
      </x:c>
      <x:c r="D630" s="11" t="n">
        <x:f>'全部组合'!D295</x:f>
        <x:v>15968</x:v>
      </x:c>
      <x:c r="E630" s="12" t="n">
        <x:f>'全部组合'!O295/$D630</x:f>
        <x:v>0.0017535070140280561</x:v>
      </x:c>
      <x:c r="F630" s="12" t="n">
        <x:f>'全部组合'!P295/$D630</x:f>
        <x:v>0.36654559118236474</x:v>
      </x:c>
      <x:c r="G630" s="12" t="n">
        <x:f>'全部组合'!Q295/$D630</x:f>
        <x:v>0.45384519038076154</x:v>
      </x:c>
      <x:c r="H630" s="12" t="n">
        <x:f>'全部组合'!R295/$D630</x:f>
        <x:v>0.07865731462925851</x:v>
      </x:c>
      <x:c r="I630" s="12" t="n">
        <x:f>'全部组合'!S295/$D630</x:f>
        <x:v>0.01277555110220441</x:v>
      </x:c>
      <x:c r="J630" s="12" t="n">
        <x:f>'全部组合'!T295/$D630</x:f>
        <x:v>0.022545090180360723</x:v>
      </x:c>
      <x:c r="K630" s="12" t="n">
        <x:f>'全部组合'!U295/$D630</x:f>
        <x:v>0.0023797595190380764</x:v>
      </x:c>
      <x:c r="L630" s="12" t="n">
        <x:f>'全部组合'!V295/$D630</x:f>
        <x:v>0.013589679358717435</x:v>
      </x:c>
      <x:c r="M630" s="12" t="n">
        <x:f>'全部组合'!W295/$D630</x:f>
        <x:v>0.047908316633266536</x:v>
      </x:c>
      <x:c r="N630" s="13" t="n">
        <x:f>'全部组合'!X295/$D630</x:f>
        <x:v>0</x:v>
      </x:c>
    </x:row>
    <x:row r="631" ht="23" customHeight="1">
      <x:c r="A631" s="10" t="str">
        <x:v>M13</x:v>
      </x:c>
      <x:c r="B631" s="10" t="str">
        <x:v>NG_HT</x:v>
      </x:c>
      <x:c r="C631" s="9" t="str">
        <x:v>源三角形</x:v>
      </x:c>
      <x:c r="D631" s="11" t="n">
        <x:f>'全部组合'!I295</x:f>
        <x:v>52003855</x:v>
      </x:c>
      <x:c r="E631" s="12" t="n">
        <x:f>'全部组合'!Y295/$D631</x:f>
        <x:v>0.00018521703823687685</x:v>
      </x:c>
      <x:c r="F631" s="12" t="n">
        <x:f>'全部组合'!Z295/$D631</x:f>
        <x:v>0.19110448638855715</x:v>
      </x:c>
      <x:c r="G631" s="12" t="n">
        <x:f>'全部组合'!AA295/$D631</x:f>
        <x:v>0.3807403316542591</x:v>
      </x:c>
      <x:c r="H631" s="12" t="n">
        <x:f>'全部组合'!AB295/$D631</x:f>
        <x:v>0.17201647839376524</x:v>
      </x:c>
      <x:c r="I631" s="12" t="n">
        <x:f>'全部组合'!AC295/$D631</x:f>
        <x:v>0.062036631707399384</x:v>
      </x:c>
      <x:c r="J631" s="12" t="n">
        <x:f>'全部组合'!AD295/$D631</x:f>
        <x:v>0.06244806274457922</x:v>
      </x:c>
      <x:c r="K631" s="12" t="n">
        <x:f>'全部组合'!AE295/$D631</x:f>
        <x:v>0.0030651189224337313</x:v>
      </x:c>
      <x:c r="L631" s="12" t="n">
        <x:f>'全部组合'!AF295/$D631</x:f>
        <x:v>0.05470921338427699</x:v>
      </x:c>
      <x:c r="M631" s="12" t="n">
        <x:f>'全部组合'!AG295/$D631</x:f>
        <x:v>0.07369445976649232</x:v>
      </x:c>
      <x:c r="N631" s="13" t="n">
        <x:f>'全部组合'!AH295/$D631</x:f>
        <x:v>0</x:v>
      </x:c>
    </x:row>
    <x:row r="632" ht="23" customHeight="1">
      <x:c r="A632" s="10" t="str">
        <x:v>M13</x:v>
      </x:c>
      <x:c r="B632" s="10" t="str">
        <x:v>NG_H1</x:v>
      </x:c>
      <x:c r="C632" s="9" t="str">
        <x:v>节点</x:v>
      </x:c>
      <x:c r="D632" s="11" t="n">
        <x:f>'全部组合'!D296</x:f>
        <x:v>15968</x:v>
      </x:c>
      <x:c r="E632" s="12" t="n">
        <x:f>'全部组合'!O296/$D632</x:f>
        <x:v>0.0017535070140280561</x:v>
      </x:c>
      <x:c r="F632" s="12" t="n">
        <x:f>'全部组合'!P296/$D632</x:f>
        <x:v>0.36429108216432865</x:v>
      </x:c>
      <x:c r="G632" s="12" t="n">
        <x:f>'全部组合'!Q296/$D632</x:f>
        <x:v>0.44520290581162325</x:v>
      </x:c>
      <x:c r="H632" s="12" t="n">
        <x:f>'全部组合'!R296/$D632</x:f>
        <x:v>0.07846943887775551</x:v>
      </x:c>
      <x:c r="I632" s="12" t="n">
        <x:f>'全部组合'!S296/$D632</x:f>
        <x:v>0.01277555110220441</x:v>
      </x:c>
      <x:c r="J632" s="12" t="n">
        <x:f>'全部组合'!T296/$D632</x:f>
        <x:v>0.028494488977955913</x:v>
      </x:c>
      <x:c r="K632" s="12" t="n">
        <x:f>'全部组合'!U296/$D632</x:f>
        <x:v>0.00751503006012024</x:v>
      </x:c>
      <x:c r="L632" s="12" t="n">
        <x:f>'全部组合'!V296/$D632</x:f>
        <x:v>0.013589679358717435</x:v>
      </x:c>
      <x:c r="M632" s="12" t="n">
        <x:f>'全部组合'!W296/$D632</x:f>
        <x:v>0.047908316633266536</x:v>
      </x:c>
      <x:c r="N632" s="13" t="n">
        <x:f>'全部组合'!X296/$D632</x:f>
        <x:v>0</x:v>
      </x:c>
    </x:row>
    <x:row r="633" ht="23" customHeight="1">
      <x:c r="A633" s="10" t="str">
        <x:v>M13</x:v>
      </x:c>
      <x:c r="B633" s="10" t="str">
        <x:v>NG_H1</x:v>
      </x:c>
      <x:c r="C633" s="9" t="str">
        <x:v>源三角形</x:v>
      </x:c>
      <x:c r="D633" s="11" t="n">
        <x:f>'全部组合'!I296</x:f>
        <x:v>52003855</x:v>
      </x:c>
      <x:c r="E633" s="12" t="n">
        <x:f>'全部组合'!Y296/$D633</x:f>
        <x:v>0.00018521703823687685</x:v>
      </x:c>
      <x:c r="F633" s="12" t="n">
        <x:f>'全部组合'!Z296/$D633</x:f>
        <x:v>0.19063421355974475</x:v>
      </x:c>
      <x:c r="G633" s="12" t="n">
        <x:f>'全部组合'!AA296/$D633</x:f>
        <x:v>0.3734417958053302</x:v>
      </x:c>
      <x:c r="H633" s="12" t="n">
        <x:f>'全部组合'!AB296/$D633</x:f>
        <x:v>0.17079910710465598</x:v>
      </x:c>
      <x:c r="I633" s="12" t="n">
        <x:f>'全部组合'!AC296/$D633</x:f>
        <x:v>0.062036631707399384</x:v>
      </x:c>
      <x:c r="J633" s="12" t="n">
        <x:f>'全部组合'!AD296/$D633</x:f>
        <x:v>0.068127026352181</x:v>
      </x:c>
      <x:c r="K633" s="12" t="n">
        <x:f>'全部组合'!AE296/$D633</x:f>
        <x:v>0.006372335281682483</x:v>
      </x:c>
      <x:c r="L633" s="12" t="n">
        <x:f>'全部组合'!AF296/$D633</x:f>
        <x:v>0.05470921338427699</x:v>
      </x:c>
      <x:c r="M633" s="12" t="n">
        <x:f>'全部组合'!AG296/$D633</x:f>
        <x:v>0.07369445976649232</x:v>
      </x:c>
      <x:c r="N633" s="13" t="n">
        <x:f>'全部组合'!AH296/$D633</x:f>
        <x:v>0</x:v>
      </x:c>
    </x:row>
    <x:row r="634" ht="23" customHeight="1">
      <x:c r="A634" s="10" t="str">
        <x:v>M13</x:v>
      </x:c>
      <x:c r="B634" s="10" t="str">
        <x:v>CG_H0</x:v>
      </x:c>
      <x:c r="C634" s="9" t="str">
        <x:v>节点</x:v>
      </x:c>
      <x:c r="D634" s="11" t="n">
        <x:f>'全部组合'!D297</x:f>
        <x:v>15968</x:v>
      </x:c>
      <x:c r="E634" s="12" t="n">
        <x:f>'全部组合'!O297/$D634</x:f>
        <x:v>0.049286072144288574</x:v>
      </x:c>
      <x:c r="F634" s="12" t="n">
        <x:f>'全部组合'!P297/$D634</x:f>
        <x:v>0.6807990981963928</x:v>
      </x:c>
      <x:c r="G634" s="12" t="n">
        <x:f>'全部组合'!Q297/$D634</x:f>
        <x:v>0.21417835671342686</x:v>
      </x:c>
      <x:c r="H634" s="12" t="n">
        <x:f>'全部组合'!R297/$D634</x:f>
        <x:v>0.04433867735470942</x:v>
      </x:c>
      <x:c r="I634" s="12" t="n">
        <x:f>'全部组合'!S297/$D634</x:f>
        <x:v>0.010834168336673347</x:v>
      </x:c>
      <x:c r="J634" s="12" t="n">
        <x:f>'全部组合'!T297/$D634</x:f>
        <x:v>0.000250501002004008</x:v>
      </x:c>
      <x:c r="K634" s="12" t="n">
        <x:f>'全部组合'!U297/$D634</x:f>
        <x:v>0.00031312625250501</x:v>
      </x:c>
      <x:c r="L634" s="12" t="n">
        <x:f>'全部组合'!V297/$D634</x:f>
        <x:v>0</x:v>
      </x:c>
      <x:c r="M634" s="12" t="n">
        <x:f>'全部组合'!W297/$D634</x:f>
        <x:v>0</x:v>
      </x:c>
      <x:c r="N634" s="13" t="n">
        <x:f>'全部组合'!X297/$D634</x:f>
        <x:v>0</x:v>
      </x:c>
    </x:row>
    <x:row r="635" ht="23" customHeight="1">
      <x:c r="A635" s="10" t="str">
        <x:v>M13</x:v>
      </x:c>
      <x:c r="B635" s="10" t="str">
        <x:v>CG_H0</x:v>
      </x:c>
      <x:c r="C635" s="9" t="str">
        <x:v>源三角形</x:v>
      </x:c>
      <x:c r="D635" s="11" t="n">
        <x:f>'全部组合'!I297</x:f>
        <x:v>52003855</x:v>
      </x:c>
      <x:c r="E635" s="12" t="n">
        <x:f>'全部组合'!Y297/$D635</x:f>
        <x:v>0.01936937175138266</x:v>
      </x:c>
      <x:c r="F635" s="12" t="n">
        <x:f>'全部组合'!Z297/$D635</x:f>
        <x:v>0.4545184198363756</x:v>
      </x:c>
      <x:c r="G635" s="12" t="n">
        <x:f>'全部组合'!AA297/$D635</x:f>
        <x:v>0.3175740144648892</x:v>
      </x:c>
      <x:c r="H635" s="12" t="n">
        <x:f>'全部组合'!AB297/$D635</x:f>
        <x:v>0.1537003362539181</x:v>
      </x:c>
      <x:c r="I635" s="12" t="n">
        <x:f>'全部组合'!AC297/$D635</x:f>
        <x:v>0.04847886757625949</x:v>
      </x:c>
      <x:c r="J635" s="12" t="n">
        <x:f>'全部组合'!AD297/$D635</x:f>
        <x:v>0.00612469979389028</x:v>
      </x:c>
      <x:c r="K635" s="12" t="n">
        <x:f>'全部组合'!AE297/$D635</x:f>
        <x:v>0.00023429032328468725</x:v>
      </x:c>
      <x:c r="L635" s="12" t="n">
        <x:f>'全部组合'!AF297/$D635</x:f>
        <x:v>0</x:v>
      </x:c>
      <x:c r="M635" s="12" t="n">
        <x:f>'全部组合'!AG297/$D635</x:f>
        <x:v>0</x:v>
      </x:c>
      <x:c r="N635" s="13" t="n">
        <x:f>'全部组合'!AH297/$D635</x:f>
        <x:v>0</x:v>
      </x:c>
    </x:row>
    <x:row r="636" ht="23" customHeight="1">
      <x:c r="A636" s="10" t="str">
        <x:v>M13</x:v>
      </x:c>
      <x:c r="B636" s="10" t="str">
        <x:v>CG_HT</x:v>
      </x:c>
      <x:c r="C636" s="9" t="str">
        <x:v>节点</x:v>
      </x:c>
      <x:c r="D636" s="11" t="n">
        <x:f>'全部组合'!D298</x:f>
        <x:v>15968</x:v>
      </x:c>
      <x:c r="E636" s="12" t="n">
        <x:f>'全部组合'!O298/$D636</x:f>
        <x:v>0.049286072144288574</x:v>
      </x:c>
      <x:c r="F636" s="12" t="n">
        <x:f>'全部组合'!P298/$D636</x:f>
        <x:v>0.4886648296593186</x:v>
      </x:c>
      <x:c r="G636" s="12" t="n">
        <x:f>'全部组合'!Q298/$D636</x:f>
        <x:v>0.3869614228456914</x:v>
      </x:c>
      <x:c r="H636" s="12" t="n">
        <x:f>'全部组合'!R298/$D636</x:f>
        <x:v>0.06093436873747495</x:v>
      </x:c>
      <x:c r="I636" s="12" t="n">
        <x:f>'全部组合'!S298/$D636</x:f>
        <x:v>0.013088677354709418</x:v>
      </x:c>
      <x:c r="J636" s="12" t="n">
        <x:f>'全部组合'!T298/$D636</x:f>
        <x:v>0.00062625250501002</x:v>
      </x:c>
      <x:c r="K636" s="12" t="n">
        <x:f>'全部组合'!U298/$D636</x:f>
        <x:v>0.00043837675350701403</x:v>
      </x:c>
      <x:c r="L636" s="12" t="n">
        <x:f>'全部组合'!V298/$D636</x:f>
        <x:v>0</x:v>
      </x:c>
      <x:c r="M636" s="12" t="n">
        <x:f>'全部组合'!W298/$D636</x:f>
        <x:v>0</x:v>
      </x:c>
      <x:c r="N636" s="13" t="n">
        <x:f>'全部组合'!X298/$D636</x:f>
        <x:v>0</x:v>
      </x:c>
    </x:row>
    <x:row r="637" ht="23" customHeight="1">
      <x:c r="A637" s="10" t="str">
        <x:v>M13</x:v>
      </x:c>
      <x:c r="B637" s="10" t="str">
        <x:v>CG_HT</x:v>
      </x:c>
      <x:c r="C637" s="9" t="str">
        <x:v>源三角形</x:v>
      </x:c>
      <x:c r="D637" s="11" t="n">
        <x:f>'全部组合'!I298</x:f>
        <x:v>52003855</x:v>
      </x:c>
      <x:c r="E637" s="12" t="n">
        <x:f>'全部组合'!Y298/$D637</x:f>
        <x:v>0.01936937175138266</x:v>
      </x:c>
      <x:c r="F637" s="12" t="n">
        <x:f>'全部组合'!Z298/$D637</x:f>
        <x:v>0.27366082764441213</x:v>
      </x:c>
      <x:c r="G637" s="12" t="n">
        <x:f>'全部组合'!AA298/$D637</x:f>
        <x:v>0.4347895170463805</x:v>
      </x:c>
      <x:c r="H637" s="12" t="n">
        <x:f>'全部组合'!AB298/$D637</x:f>
        <x:v>0.20359944469501348</x:v>
      </x:c>
      <x:c r="I637" s="12" t="n">
        <x:f>'全部组合'!AC298/$D637</x:f>
        <x:v>0.06209755026814839</x:v>
      </x:c>
      <x:c r="J637" s="12" t="n">
        <x:f>'全部组合'!AD298/$D637</x:f>
        <x:v>0.0061328530356066875</x:v>
      </x:c>
      <x:c r="K637" s="12" t="n">
        <x:f>'全部组合'!AE298/$D637</x:f>
        <x:v>0.0003504355590561507</x:v>
      </x:c>
      <x:c r="L637" s="12" t="n">
        <x:f>'全部组合'!AF298/$D637</x:f>
        <x:v>0</x:v>
      </x:c>
      <x:c r="M637" s="12" t="n">
        <x:f>'全部组合'!AG298/$D637</x:f>
        <x:v>0</x:v>
      </x:c>
      <x:c r="N637" s="13" t="n">
        <x:f>'全部组合'!AH298/$D637</x:f>
        <x:v>0</x:v>
      </x:c>
    </x:row>
    <x:row r="638" ht="23" customHeight="1">
      <x:c r="A638" s="10" t="str">
        <x:v>M13</x:v>
      </x:c>
      <x:c r="B638" s="10" t="str">
        <x:v>CG_H1</x:v>
      </x:c>
      <x:c r="C638" s="9" t="str">
        <x:v>节点</x:v>
      </x:c>
      <x:c r="D638" s="11" t="n">
        <x:f>'全部组合'!D299</x:f>
        <x:v>15968</x:v>
      </x:c>
      <x:c r="E638" s="12" t="n">
        <x:f>'全部组合'!O299/$D638</x:f>
        <x:v>0.049286072144288574</x:v>
      </x:c>
      <x:c r="F638" s="12" t="n">
        <x:f>'全部组合'!P299/$D638</x:f>
        <x:v>0.48615981963927857</x:v>
      </x:c>
      <x:c r="G638" s="12" t="n">
        <x:f>'全部组合'!Q299/$D638</x:f>
        <x:v>0.3869614228456914</x:v>
      </x:c>
      <x:c r="H638" s="12" t="n">
        <x:f>'全部组合'!R299/$D638</x:f>
        <x:v>0.06093436873747495</x:v>
      </x:c>
      <x:c r="I638" s="12" t="n">
        <x:f>'全部组合'!S299/$D638</x:f>
        <x:v>0.013088677354709418</x:v>
      </x:c>
      <x:c r="J638" s="12" t="n">
        <x:f>'全部组合'!T299/$D638</x:f>
        <x:v>0.00062625250501002</x:v>
      </x:c>
      <x:c r="K638" s="12" t="n">
        <x:f>'全部组合'!U299/$D638</x:f>
        <x:v>0.002943386773547094</x:v>
      </x:c>
      <x:c r="L638" s="12" t="n">
        <x:f>'全部组合'!V299/$D638</x:f>
        <x:v>0</x:v>
      </x:c>
      <x:c r="M638" s="12" t="n">
        <x:f>'全部组合'!W299/$D638</x:f>
        <x:v>0</x:v>
      </x:c>
      <x:c r="N638" s="13" t="n">
        <x:f>'全部组合'!X299/$D638</x:f>
        <x:v>0</x:v>
      </x:c>
    </x:row>
    <x:row r="639" ht="23" customHeight="1">
      <x:c r="A639" s="10" t="str">
        <x:v>M13</x:v>
      </x:c>
      <x:c r="B639" s="10" t="str">
        <x:v>CG_H1</x:v>
      </x:c>
      <x:c r="C639" s="9" t="str">
        <x:v>源三角形</x:v>
      </x:c>
      <x:c r="D639" s="11" t="n">
        <x:f>'全部组合'!I299</x:f>
        <x:v>52003855</x:v>
      </x:c>
      <x:c r="E639" s="12" t="n">
        <x:f>'全部组合'!Y299/$D639</x:f>
        <x:v>0.01936937175138266</x:v>
      </x:c>
      <x:c r="F639" s="12" t="n">
        <x:f>'全部组合'!Z299/$D639</x:f>
        <x:v>0.2730322588585019</x:v>
      </x:c>
      <x:c r="G639" s="12" t="n">
        <x:f>'全部组合'!AA299/$D639</x:f>
        <x:v>0.4347895170463805</x:v>
      </x:c>
      <x:c r="H639" s="12" t="n">
        <x:f>'全部组合'!AB299/$D639</x:f>
        <x:v>0.20359944469501348</x:v>
      </x:c>
      <x:c r="I639" s="12" t="n">
        <x:f>'全部组合'!AC299/$D639</x:f>
        <x:v>0.06209755026814839</x:v>
      </x:c>
      <x:c r="J639" s="12" t="n">
        <x:f>'全部组合'!AD299/$D639</x:f>
        <x:v>0.0061328530356066875</x:v>
      </x:c>
      <x:c r="K639" s="12" t="n">
        <x:f>'全部组合'!AE299/$D639</x:f>
        <x:v>0.0009790043449663492</x:v>
      </x:c>
      <x:c r="L639" s="12" t="n">
        <x:f>'全部组合'!AF299/$D639</x:f>
        <x:v>0</x:v>
      </x:c>
      <x:c r="M639" s="12" t="n">
        <x:f>'全部组合'!AG299/$D639</x:f>
        <x:v>0</x:v>
      </x:c>
      <x:c r="N639" s="13" t="n">
        <x:f>'全部组合'!AH299/$D639</x:f>
        <x:v>0</x:v>
      </x:c>
    </x:row>
    <x:row r="640" ht="23" customHeight="1">
      <x:c r="A640" s="10" t="str">
        <x:v>M13</x:v>
      </x:c>
      <x:c r="B640" s="10" t="str">
        <x:v>NCG_H0</x:v>
      </x:c>
      <x:c r="C640" s="9" t="str">
        <x:v>节点</x:v>
      </x:c>
      <x:c r="D640" s="11" t="n">
        <x:f>'全部组合'!D300</x:f>
        <x:v>15968</x:v>
      </x:c>
      <x:c r="E640" s="12" t="n">
        <x:f>'全部组合'!O300/$D640</x:f>
        <x:v>0.047908316633266536</x:v>
      </x:c>
      <x:c r="F640" s="12" t="n">
        <x:f>'全部组合'!P300/$D640</x:f>
        <x:v>0.5267409819639278</x:v>
      </x:c>
      <x:c r="G640" s="12" t="n">
        <x:f>'全部组合'!Q300/$D640</x:f>
        <x:v>0.2932740480961924</x:v>
      </x:c>
      <x:c r="H640" s="12" t="n">
        <x:f>'全部组合'!R300/$D640</x:f>
        <x:v>0.050538577154308616</x:v>
      </x:c>
      <x:c r="I640" s="12" t="n">
        <x:f>'全部组合'!S300/$D640</x:f>
        <x:v>0.012274549098196393</x:v>
      </x:c>
      <x:c r="J640" s="12" t="n">
        <x:f>'全部组合'!T300/$D640</x:f>
        <x:v>0.02216933867735471</x:v>
      </x:c>
      <x:c r="K640" s="12" t="n">
        <x:f>'全部组合'!U300/$D640</x:f>
        <x:v>0.002442384769539078</x:v>
      </x:c>
      <x:c r="L640" s="12" t="n">
        <x:f>'全部组合'!V300/$D640</x:f>
        <x:v>0.011022044088176353</x:v>
      </x:c>
      <x:c r="M640" s="12" t="n">
        <x:f>'全部组合'!W300/$D640</x:f>
        <x:v>0.03362975951903808</x:v>
      </x:c>
      <x:c r="N640" s="13" t="n">
        <x:f>'全部组合'!X300/$D640</x:f>
        <x:v>0</x:v>
      </x:c>
    </x:row>
    <x:row r="641" ht="23" customHeight="1">
      <x:c r="A641" s="10" t="str">
        <x:v>M13</x:v>
      </x:c>
      <x:c r="B641" s="10" t="str">
        <x:v>NCG_H0</x:v>
      </x:c>
      <x:c r="C641" s="9" t="str">
        <x:v>源三角形</x:v>
      </x:c>
      <x:c r="D641" s="11" t="n">
        <x:f>'全部组合'!I300</x:f>
        <x:v>52003855</x:v>
      </x:c>
      <x:c r="E641" s="12" t="n">
        <x:f>'全部组合'!Y300/$D641</x:f>
        <x:v>0.01880722111851131</x:v>
      </x:c>
      <x:c r="F641" s="12" t="n">
        <x:f>'全部组合'!Z300/$D641</x:f>
        <x:v>0.2977220438754012</x:v>
      </x:c>
      <x:c r="G641" s="12" t="n">
        <x:f>'全部组合'!AA300/$D641</x:f>
        <x:v>0.33357352065534374</x:v>
      </x:c>
      <x:c r="H641" s="12" t="n">
        <x:f>'全部组合'!AB300/$D641</x:f>
        <x:v>0.12692512891592364</x:v>
      </x:c>
      <x:c r="I641" s="12" t="n">
        <x:f>'全部组合'!AC300/$D641</x:f>
        <x:v>0.05282219943117678</x:v>
      </x:c>
      <x:c r="J641" s="12" t="n">
        <x:f>'全部组合'!AD300/$D641</x:f>
        <x:v>0.062380836959106206</x:v>
      </x:c>
      <x:c r="K641" s="12" t="n">
        <x:f>'全部组合'!AE300/$D641</x:f>
        <x:v>0.00309173233407408</x:v>
      </x:c>
      <x:c r="L641" s="12" t="n">
        <x:f>'全部组合'!AF300/$D641</x:f>
        <x:v>0.05269855475137372</x:v>
      </x:c>
      <x:c r="M641" s="12" t="n">
        <x:f>'全部组合'!AG300/$D641</x:f>
        <x:v>0.051978761959089376</x:v>
      </x:c>
      <x:c r="N641" s="13" t="n">
        <x:f>'全部组合'!AH300/$D641</x:f>
        <x:v>0</x:v>
      </x:c>
    </x:row>
    <x:row r="642" ht="23" customHeight="1">
      <x:c r="A642" s="10" t="str">
        <x:v>M13</x:v>
      </x:c>
      <x:c r="B642" s="10" t="str">
        <x:v>NCG_HT</x:v>
      </x:c>
      <x:c r="C642" s="9" t="str">
        <x:v>节点</x:v>
      </x:c>
      <x:c r="D642" s="11" t="n">
        <x:f>'全部组合'!D301</x:f>
        <x:v>15968</x:v>
      </x:c>
      <x:c r="E642" s="12" t="n">
        <x:f>'全部组合'!O301/$D642</x:f>
        <x:v>0.047908316633266536</x:v>
      </x:c>
      <x:c r="F642" s="12" t="n">
        <x:f>'全部组合'!P301/$D642</x:f>
        <x:v>0.3657314629258517</x:v>
      </x:c>
      <x:c r="G642" s="12" t="n">
        <x:f>'全部组合'!Q301/$D642</x:f>
        <x:v>0.4251002004008016</x:v>
      </x:c>
      <x:c r="H642" s="12" t="n">
        <x:f>'全部组合'!R301/$D642</x:f>
        <x:v>0.07646543086172344</x:v>
      </x:c>
      <x:c r="I642" s="12" t="n">
        <x:f>'全部组合'!S301/$D642</x:f>
        <x:v>0.01503006012024048</x:v>
      </x:c>
      <x:c r="J642" s="12" t="n">
        <x:f>'全部组合'!T301/$D642</x:f>
        <x:v>0.022545090180360723</x:v>
      </x:c>
      <x:c r="K642" s="12" t="n">
        <x:f>'全部组合'!U301/$D642</x:f>
        <x:v>0.002567635270541082</x:v>
      </x:c>
      <x:c r="L642" s="12" t="n">
        <x:f>'全部组合'!V301/$D642</x:f>
        <x:v>0.011022044088176353</x:v>
      </x:c>
      <x:c r="M642" s="12" t="n">
        <x:f>'全部组合'!W301/$D642</x:f>
        <x:v>0.03362975951903808</x:v>
      </x:c>
      <x:c r="N642" s="13" t="n">
        <x:f>'全部组合'!X301/$D642</x:f>
        <x:v>0</x:v>
      </x:c>
    </x:row>
    <x:row r="643" ht="23" customHeight="1">
      <x:c r="A643" s="10" t="str">
        <x:v>M13</x:v>
      </x:c>
      <x:c r="B643" s="10" t="str">
        <x:v>NCG_HT</x:v>
      </x:c>
      <x:c r="C643" s="9" t="str">
        <x:v>源三角形</x:v>
      </x:c>
      <x:c r="D643" s="11" t="n">
        <x:f>'全部组合'!I301</x:f>
        <x:v>52003855</x:v>
      </x:c>
      <x:c r="E643" s="12" t="n">
        <x:f>'全部组合'!Y301/$D643</x:f>
        <x:v>0.01880722111851131</x:v>
      </x:c>
      <x:c r="F643" s="12" t="n">
        <x:f>'全部组合'!Z301/$D643</x:f>
        <x:v>0.17227484385532574</x:v>
      </x:c>
      <x:c r="G643" s="12" t="n">
        <x:f>'全部组合'!AA301/$D643</x:f>
        <x:v>0.3928283778192982</x:v>
      </x:c>
      <x:c r="H643" s="12" t="n">
        <x:f>'全部组合'!AB301/$D643</x:f>
        <x:v>0.1780288211325872</x:v>
      </x:c>
      <x:c r="I643" s="12" t="n">
        <x:f>'全部组合'!AC301/$D643</x:f>
        <x:v>0.06778655159314631</x:v>
      </x:c>
      <x:c r="J643" s="12" t="n">
        <x:f>'全部组合'!AD301/$D643</x:f>
        <x:v>0.062388990200822614</x:v>
      </x:c>
      <x:c r="K643" s="12" t="n">
        <x:f>'全部组合'!AE301/$D643</x:f>
        <x:v>0.003207877569845543</x:v>
      </x:c>
      <x:c r="L643" s="12" t="n">
        <x:f>'全部组合'!AF301/$D643</x:f>
        <x:v>0.05269855475137372</x:v>
      </x:c>
      <x:c r="M643" s="12" t="n">
        <x:f>'全部组合'!AG301/$D643</x:f>
        <x:v>0.051978761959089376</x:v>
      </x:c>
      <x:c r="N643" s="13" t="n">
        <x:f>'全部组合'!AH301/$D643</x:f>
        <x:v>0</x:v>
      </x:c>
    </x:row>
    <x:row r="644" ht="23" customHeight="1">
      <x:c r="A644" s="10" t="str">
        <x:v>M13</x:v>
      </x:c>
      <x:c r="B644" s="10" t="str">
        <x:v>NCG_H1</x:v>
      </x:c>
      <x:c r="C644" s="9" t="str">
        <x:v>节点</x:v>
      </x:c>
      <x:c r="D644" s="11" t="n">
        <x:f>'全部组合'!D302</x:f>
        <x:v>15968</x:v>
      </x:c>
      <x:c r="E644" s="12" t="n">
        <x:f>'全部组合'!O302/$D644</x:f>
        <x:v>0.047908316633266536</x:v>
      </x:c>
      <x:c r="F644" s="12" t="n">
        <x:f>'全部组合'!P302/$D644</x:f>
        <x:v>0.3637274549098196</x:v>
      </x:c>
      <x:c r="G644" s="12" t="n">
        <x:f>'全部组合'!Q302/$D644</x:f>
        <x:v>0.4178982965931864</x:v>
      </x:c>
      <x:c r="H644" s="12" t="n">
        <x:f>'全部组合'!R302/$D644</x:f>
        <x:v>0.07640280561122244</x:v>
      </x:c>
      <x:c r="I644" s="12" t="n">
        <x:f>'全部组合'!S302/$D644</x:f>
        <x:v>0.01503006012024048</x:v>
      </x:c>
      <x:c r="J644" s="12" t="n">
        <x:f>'全部组合'!T302/$D644</x:f>
        <x:v>0.027429859719438877</x:v>
      </x:c>
      <x:c r="K644" s="12" t="n">
        <x:f>'全部组合'!U302/$D644</x:f>
        <x:v>0.0069514028056112225</x:v>
      </x:c>
      <x:c r="L644" s="12" t="n">
        <x:f>'全部组合'!V302/$D644</x:f>
        <x:v>0.011022044088176353</x:v>
      </x:c>
      <x:c r="M644" s="12" t="n">
        <x:f>'全部组合'!W302/$D644</x:f>
        <x:v>0.03362975951903808</x:v>
      </x:c>
      <x:c r="N644" s="13" t="n">
        <x:f>'全部组合'!X302/$D644</x:f>
        <x:v>0</x:v>
      </x:c>
    </x:row>
    <x:row r="645" ht="23" customHeight="1">
      <x:c r="A645" s="10" t="str">
        <x:v>M13</x:v>
      </x:c>
      <x:c r="B645" s="10" t="str">
        <x:v>NCG_H1</x:v>
      </x:c>
      <x:c r="C645" s="9" t="str">
        <x:v>源三角形</x:v>
      </x:c>
      <x:c r="D645" s="11" t="n">
        <x:f>'全部组合'!I302</x:f>
        <x:v>52003855</x:v>
      </x:c>
      <x:c r="E645" s="12" t="n">
        <x:f>'全部组合'!Y302/$D645</x:f>
        <x:v>0.01880722111851131</x:v>
      </x:c>
      <x:c r="F645" s="12" t="n">
        <x:f>'全部组合'!Z302/$D645</x:f>
        <x:v>0.17195375227471119</x:v>
      </x:c>
      <x:c r="G645" s="12" t="n">
        <x:f>'全部组合'!AA302/$D645</x:f>
        <x:v>0.3863740101575162</x:v>
      </x:c>
      <x:c r="H645" s="12" t="n">
        <x:f>'全部组合'!AB302/$D645</x:f>
        <x:v>0.17688205999343704</x:v>
      </x:c>
      <x:c r="I645" s="12" t="n">
        <x:f>'全部组合'!AC302/$D645</x:f>
        <x:v>0.06778655159314631</x:v>
      </x:c>
      <x:c r="J645" s="12" t="n">
        <x:f>'全部组合'!AD302/$D645</x:f>
        <x:v>0.06738546594286135</x:v>
      </x:c>
      <x:c r="K645" s="12" t="n">
        <x:f>'全部组合'!AE302/$D645</x:f>
        <x:v>0.006133622209353518</x:v>
      </x:c>
      <x:c r="L645" s="12" t="n">
        <x:f>'全部组合'!AF302/$D645</x:f>
        <x:v>0.05269855475137372</x:v>
      </x:c>
      <x:c r="M645" s="12" t="n">
        <x:f>'全部组合'!AG302/$D645</x:f>
        <x:v>0.051978761959089376</x:v>
      </x:c>
      <x:c r="N645" s="13" t="n">
        <x:f>'全部组合'!AH302/$D645</x:f>
        <x:v>0</x:v>
      </x:c>
    </x:row>
    <x:row r="646" ht="23" customHeight="1">
      <x:c r="A646" s="10" t="str">
        <x:v>M13</x:v>
      </x:c>
      <x:c r="B646" s="10" t="str">
        <x:v>NCG_H0_M1</x:v>
      </x:c>
      <x:c r="C646" s="9" t="str">
        <x:v>节点</x:v>
      </x:c>
      <x:c r="D646" s="11" t="n">
        <x:f>'全部组合'!D303</x:f>
        <x:v>15968</x:v>
      </x:c>
      <x:c r="E646" s="12" t="n">
        <x:f>'全部组合'!O303/$D646</x:f>
        <x:v>0.047908316633266536</x:v>
      </x:c>
      <x:c r="F646" s="12" t="n">
        <x:f>'全部组合'!P303/$D646</x:f>
        <x:v>0.502254509018036</x:v>
      </x:c>
      <x:c r="G646" s="12" t="n">
        <x:f>'全部组合'!Q303/$D646</x:f>
        <x:v>0.3001002004008016</x:v>
      </x:c>
      <x:c r="H646" s="12" t="n">
        <x:f>'全部组合'!R303/$D646</x:f>
        <x:v>0.04878507014028056</x:v>
      </x:c>
      <x:c r="I646" s="12" t="n">
        <x:f>'全部组合'!S303/$D646</x:f>
        <x:v>0.011836172344689378</x:v>
      </x:c>
      <x:c r="J646" s="12" t="n">
        <x:f>'全部组合'!T303/$D646</x:f>
        <x:v>0.02216933867735471</x:v>
      </x:c>
      <x:c r="K646" s="12" t="n">
        <x:f>'全部组合'!U303/$D646</x:f>
        <x:v>0.0023797595190380764</x:v>
      </x:c>
      <x:c r="L646" s="12" t="n">
        <x:f>'全部组合'!V303/$D646</x:f>
        <x:v>0.02004008016032064</x:v>
      </x:c>
      <x:c r="M646" s="12" t="n">
        <x:f>'全部组合'!W303/$D646</x:f>
        <x:v>0.04396292585170341</x:v>
      </x:c>
      <x:c r="N646" s="13" t="n">
        <x:f>'全部组合'!X303/$D646</x:f>
        <x:v>0.0005636272545090181</x:v>
      </x:c>
    </x:row>
    <x:row r="647" ht="23" customHeight="1">
      <x:c r="A647" s="10" t="str">
        <x:v>M13</x:v>
      </x:c>
      <x:c r="B647" s="10" t="str">
        <x:v>NCG_H0_M1</x:v>
      </x:c>
      <x:c r="C647" s="9" t="str">
        <x:v>源三角形</x:v>
      </x:c>
      <x:c r="D647" s="11" t="n">
        <x:f>'全部组合'!I303</x:f>
        <x:v>52003855</x:v>
      </x:c>
      <x:c r="E647" s="12" t="n">
        <x:f>'全部组合'!Y303/$D647</x:f>
        <x:v>0.01880722111851131</x:v>
      </x:c>
      <x:c r="F647" s="12" t="n">
        <x:f>'全部组合'!Z303/$D647</x:f>
        <x:v>0.27895501208516177</x:v>
      </x:c>
      <x:c r="G647" s="12" t="n">
        <x:f>'全部组合'!AA303/$D647</x:f>
        <x:v>0.32464006754883845</x:v>
      </x:c>
      <x:c r="H647" s="12" t="n">
        <x:f>'全部组合'!AB303/$D647</x:f>
        <x:v>0.11976196764643698</x:v>
      </x:c>
      <x:c r="I647" s="12" t="n">
        <x:f>'全部组合'!AC303/$D647</x:f>
        <x:v>0.05156463881379563</x:v>
      </x:c>
      <x:c r="J647" s="12" t="n">
        <x:f>'全部组合'!AD303/$D647</x:f>
        <x:v>0.062380836959106206</x:v>
      </x:c>
      <x:c r="K647" s="12" t="n">
        <x:f>'全部组合'!AE303/$D647</x:f>
        <x:v>0.0029704336341988494</x:v>
      </x:c>
      <x:c r="L647" s="12" t="n">
        <x:f>'全部组合'!AF303/$D647</x:f>
        <x:v>0.06652879868232846</x:v>
      </x:c>
      <x:c r="M647" s="12" t="n">
        <x:f>'全部组合'!AG303/$D647</x:f>
        <x:v>0.06966668144121238</x:v>
      </x:c>
      <x:c r="N647" s="13" t="n">
        <x:f>'全部组合'!AH303/$D647</x:f>
        <x:v>0.004724342070409972</x:v>
      </x:c>
    </x:row>
    <x:row r="648" ht="23" customHeight="1">
      <x:c r="A648" s="10" t="str">
        <x:v>M13</x:v>
      </x:c>
      <x:c r="B648" s="10" t="str">
        <x:v>NCG_H1_M1</x:v>
      </x:c>
      <x:c r="C648" s="9" t="str">
        <x:v>节点</x:v>
      </x:c>
      <x:c r="D648" s="11" t="n">
        <x:f>'全部组合'!D304</x:f>
        <x:v>15968</x:v>
      </x:c>
      <x:c r="E648" s="12" t="n">
        <x:f>'全部组合'!O304/$D648</x:f>
        <x:v>0.047908316633266536</x:v>
      </x:c>
      <x:c r="F648" s="12" t="n">
        <x:f>'全部组合'!P304/$D648</x:f>
        <x:v>0.34926102204408815</x:v>
      </x:c>
      <x:c r="G648" s="12" t="n">
        <x:f>'全部组合'!Q304/$D648</x:f>
        <x:v>0.40756513026052105</x:v>
      </x:c>
      <x:c r="H648" s="12" t="n">
        <x:f>'全部组合'!R304/$D648</x:f>
        <x:v>0.07433617234468938</x:v>
      </x:c>
      <x:c r="I648" s="12" t="n">
        <x:f>'全部组合'!S304/$D648</x:f>
        <x:v>0.014591683366733468</x:v>
      </x:c>
      <x:c r="J648" s="12" t="n">
        <x:f>'全部组合'!T304/$D648</x:f>
        <x:v>0.03156312625250501</x:v>
      </x:c>
      <x:c r="K648" s="12" t="n">
        <x:f>'全部组合'!U304/$D648</x:f>
        <x:v>0.010207915831663326</x:v>
      </x:c>
      <x:c r="L648" s="12" t="n">
        <x:f>'全部组合'!V304/$D648</x:f>
        <x:v>0.02004008016032064</x:v>
      </x:c>
      <x:c r="M648" s="12" t="n">
        <x:f>'全部组合'!W304/$D648</x:f>
        <x:v>0.04396292585170341</x:v>
      </x:c>
      <x:c r="N648" s="13" t="n">
        <x:f>'全部组合'!X304/$D648</x:f>
        <x:v>0.0005636272545090181</x:v>
      </x:c>
    </x:row>
    <x:row r="649" ht="23" customHeight="1">
      <x:c r="A649" s="10" t="str">
        <x:v>M13</x:v>
      </x:c>
      <x:c r="B649" s="10" t="str">
        <x:v>NCG_H1_M1</x:v>
      </x:c>
      <x:c r="C649" s="9" t="str">
        <x:v>源三角形</x:v>
      </x:c>
      <x:c r="D649" s="11" t="n">
        <x:f>'全部组合'!I304</x:f>
        <x:v>52003855</x:v>
      </x:c>
      <x:c r="E649" s="12" t="n">
        <x:f>'全部组合'!Y304/$D649</x:f>
        <x:v>0.01880722111851131</x:v>
      </x:c>
      <x:c r="F649" s="12" t="n">
        <x:f>'全部组合'!Z304/$D649</x:f>
        <x:v>0.16200129778840433</x:v>
      </x:c>
      <x:c r="G649" s="12" t="n">
        <x:f>'全部组合'!AA304/$D649</x:f>
        <x:v>0.36579665103673564</x:v>
      </x:c>
      <x:c r="H649" s="12" t="n">
        <x:f>'全部组合'!AB304/$D649</x:f>
        <x:v>0.169721898501563</x:v>
      </x:c>
      <x:c r="I649" s="12" t="n">
        <x:f>'全部组合'!AC304/$D649</x:f>
        <x:v>0.06652899097576516</x:v>
      </x:c>
      <x:c r="J649" s="12" t="n">
        <x:f>'全部组合'!AD304/$D649</x:f>
        <x:v>0.06973313805293857</x:v>
      </x:c>
      <x:c r="K649" s="12" t="n">
        <x:f>'全部组合'!AE304/$D649</x:f>
        <x:v>0.006490980332131147</x:v>
      </x:c>
      <x:c r="L649" s="12" t="n">
        <x:f>'全部组合'!AF304/$D649</x:f>
        <x:v>0.06652879868232846</x:v>
      </x:c>
      <x:c r="M649" s="12" t="n">
        <x:f>'全部组合'!AG304/$D649</x:f>
        <x:v>0.06966668144121238</x:v>
      </x:c>
      <x:c r="N649" s="13" t="n">
        <x:f>'全部组合'!AH304/$D649</x:f>
        <x:v>0.004724342070409972</x:v>
      </x:c>
    </x:row>
  </x:sheetData>
  <x:conditionalFormatting sqref="E6:N649">
    <x:cfRule type="colorScale" priority="1">
      <x:colorScale>
        <x:cfvo type="min"/>
        <x:cfvo type="percentile" val="50"/>
        <x:cfvo type="max"/>
        <x:color rgb="FFFFFFFF"/>
        <x:color rgb="FFE4EEF8"/>
        <x:color rgb="FF4B7BA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e91bc6140f041d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15" hidden="0" customWidth="1"/>
    <x:col min="7" max="7" width="15" hidden="0" customWidth="1"/>
    <x:col min="8" max="8" width="18" hidden="0" customWidth="1"/>
    <x:col min="9" max="9" width="15" hidden="0" customWidth="1"/>
    <x:col min="10" max="10" width="15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3" t="str">
        <x:v>逐节点配对的对照结果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3" customHeight="1">
      <x:c r="A3" s="4" t="str">
        <x:v>来源：tree_pairs.csv；保留未变化节点作为分母，变化不等于纠错。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6" customHeight="1">
      <x:c r="A5" s="8" t="str">
        <x:v>模型</x:v>
      </x:c>
      <x:c r="B5" s="8" t="str">
        <x:v>组合</x:v>
      </x:c>
      <x:c r="C5" s="8" t="str">
        <x:v>对照类型</x:v>
      </x:c>
      <x:c r="D5" s="8" t="str">
        <x:v>对照前</x:v>
      </x:c>
      <x:c r="E5" s="8" t="str">
        <x:v>对照后</x:v>
      </x:c>
      <x:c r="F5" s="8" t="str">
        <x:v>节点数</x:v>
      </x:c>
      <x:c r="G5" s="8" t="str">
        <x:v>改变P</x:v>
      </x:c>
      <x:c r="H5" s="8" t="str">
        <x:v>改变P比例</x:v>
      </x:c>
      <x:c r="I5" s="8" t="str">
        <x:v>升档</x:v>
      </x:c>
      <x:c r="J5" s="8" t="str">
        <x:v>降档</x:v>
      </x:c>
      <x:c r="K5" s="8" t="str">
        <x:v>功能改变</x:v>
      </x:c>
      <x:c r="L5" s="8" t="str">
        <x:v>身份改变</x:v>
      </x:c>
      <x:c r="M5" s="8" t="str">
        <x:v>约束改变</x:v>
      </x:c>
    </x:row>
    <x:row r="6" ht="23" customHeight="1">
      <x:c r="A6" s="10" t="str">
        <x:v>M1</x:v>
      </x:c>
      <x:c r="B6" s="10" t="str">
        <x:v>N</x:v>
      </x:c>
      <x:c r="C6" s="10" t="str">
        <x:v>H0至H1</x:v>
      </x:c>
      <x:c r="D6" s="10" t="str">
        <x:v>H0</x:v>
      </x:c>
      <x:c r="E6" s="10" t="str">
        <x:v>H1</x:v>
      </x:c>
      <x:c r="F6" s="11" t="n">
        <x:v>1167</x:v>
      </x:c>
      <x:c r="G6" s="11" t="n">
        <x:v>12</x:v>
      </x:c>
      <x:c r="H6" s="12" t="n">
        <x:f>G6/F6</x:f>
        <x:v>0.010282776349614395</x:v>
      </x:c>
      <x:c r="I6" s="11" t="n">
        <x:v>12</x:v>
      </x:c>
      <x:c r="J6" s="11" t="n">
        <x:v>0</x:v>
      </x:c>
      <x:c r="K6" s="11" t="n">
        <x:v>12</x:v>
      </x:c>
      <x:c r="L6" s="11" t="n">
        <x:v>0</x:v>
      </x:c>
      <x:c r="M6" s="11" t="n">
        <x:v>12</x:v>
      </x:c>
    </x:row>
    <x:row r="7" ht="23" customHeight="1">
      <x:c r="A7" s="10" t="str">
        <x:v>M1</x:v>
      </x:c>
      <x:c r="B7" s="10" t="str">
        <x:v>N</x:v>
      </x:c>
      <x:c r="C7" s="10" t="str">
        <x:v>H0至HT</x:v>
      </x:c>
      <x:c r="D7" s="10" t="str">
        <x:v>H0</x:v>
      </x:c>
      <x:c r="E7" s="10" t="str">
        <x:v>HT</x:v>
      </x:c>
      <x:c r="F7" s="11" t="n">
        <x:v>1167</x:v>
      </x:c>
      <x:c r="G7" s="11" t="n">
        <x:v>0</x:v>
      </x:c>
      <x:c r="H7" s="12" t="n">
        <x:f>G7/F7</x:f>
        <x:v>0</x:v>
      </x:c>
      <x:c r="I7" s="11" t="n">
        <x:v>0</x:v>
      </x:c>
      <x:c r="J7" s="11" t="n">
        <x:v>0</x:v>
      </x:c>
      <x:c r="K7" s="11" t="n">
        <x:v>0</x:v>
      </x:c>
      <x:c r="L7" s="11" t="n">
        <x:v>0</x:v>
      </x:c>
      <x:c r="M7" s="11" t="n">
        <x:v>0</x:v>
      </x:c>
    </x:row>
    <x:row r="8" ht="23" customHeight="1">
      <x:c r="A8" s="10" t="str">
        <x:v>M1</x:v>
      </x:c>
      <x:c r="B8" s="10" t="str">
        <x:v>N</x:v>
      </x:c>
      <x:c r="C8" s="10" t="str">
        <x:v>HT至H1</x:v>
      </x:c>
      <x:c r="D8" s="10" t="str">
        <x:v>HT</x:v>
      </x:c>
      <x:c r="E8" s="10" t="str">
        <x:v>H1</x:v>
      </x:c>
      <x:c r="F8" s="11" t="n">
        <x:v>1167</x:v>
      </x:c>
      <x:c r="G8" s="11" t="n">
        <x:v>12</x:v>
      </x:c>
      <x:c r="H8" s="12" t="n">
        <x:f>G8/F8</x:f>
        <x:v>0.010282776349614395</x:v>
      </x:c>
      <x:c r="I8" s="11" t="n">
        <x:v>12</x:v>
      </x:c>
      <x:c r="J8" s="11" t="n">
        <x:v>0</x:v>
      </x:c>
      <x:c r="K8" s="11" t="n">
        <x:v>12</x:v>
      </x:c>
      <x:c r="L8" s="11" t="n">
        <x:v>0</x:v>
      </x:c>
      <x:c r="M8" s="11" t="n">
        <x:v>12</x:v>
      </x:c>
    </x:row>
    <x:row r="9" ht="23" customHeight="1">
      <x:c r="A9" s="10" t="str">
        <x:v>M1</x:v>
      </x:c>
      <x:c r="B9" s="10" t="str">
        <x:v>C</x:v>
      </x:c>
      <x:c r="C9" s="10" t="str">
        <x:v>H0至H1</x:v>
      </x:c>
      <x:c r="D9" s="10" t="str">
        <x:v>H0</x:v>
      </x:c>
      <x:c r="E9" s="10" t="str">
        <x:v>H1</x:v>
      </x:c>
      <x:c r="F9" s="11" t="n">
        <x:v>1167</x:v>
      </x:c>
      <x:c r="G9" s="11" t="n">
        <x:v>0</x:v>
      </x:c>
      <x:c r="H9" s="12" t="n">
        <x:f>G9/F9</x:f>
        <x:v>0</x:v>
      </x:c>
      <x:c r="I9" s="11" t="n">
        <x:v>0</x:v>
      </x:c>
      <x:c r="J9" s="11" t="n">
        <x:v>0</x:v>
      </x:c>
      <x:c r="K9" s="11" t="n">
        <x:v>0</x:v>
      </x:c>
      <x:c r="L9" s="11" t="n">
        <x:v>0</x:v>
      </x:c>
      <x:c r="M9" s="11" t="n">
        <x:v>0</x:v>
      </x:c>
    </x:row>
    <x:row r="10" ht="23" customHeight="1">
      <x:c r="A10" s="10" t="str">
        <x:v>M1</x:v>
      </x:c>
      <x:c r="B10" s="10" t="str">
        <x:v>C</x:v>
      </x:c>
      <x:c r="C10" s="10" t="str">
        <x:v>H0至HT</x:v>
      </x:c>
      <x:c r="D10" s="10" t="str">
        <x:v>H0</x:v>
      </x:c>
      <x:c r="E10" s="10" t="str">
        <x:v>HT</x:v>
      </x:c>
      <x:c r="F10" s="11" t="n">
        <x:v>1167</x:v>
      </x:c>
      <x:c r="G10" s="11" t="n">
        <x:v>0</x:v>
      </x:c>
      <x:c r="H10" s="12" t="n">
        <x:f>G10/F10</x:f>
        <x:v>0</x:v>
      </x:c>
      <x:c r="I10" s="11" t="n">
        <x:v>0</x:v>
      </x:c>
      <x:c r="J10" s="11" t="n">
        <x:v>0</x:v>
      </x:c>
      <x:c r="K10" s="11" t="n">
        <x:v>0</x:v>
      </x:c>
      <x:c r="L10" s="11" t="n">
        <x:v>0</x:v>
      </x:c>
      <x:c r="M10" s="11" t="n">
        <x:v>0</x:v>
      </x:c>
    </x:row>
    <x:row r="11" ht="23" customHeight="1">
      <x:c r="A11" s="10" t="str">
        <x:v>M1</x:v>
      </x:c>
      <x:c r="B11" s="10" t="str">
        <x:v>C</x:v>
      </x:c>
      <x:c r="C11" s="10" t="str">
        <x:v>HT至H1</x:v>
      </x:c>
      <x:c r="D11" s="10" t="str">
        <x:v>HT</x:v>
      </x:c>
      <x:c r="E11" s="10" t="str">
        <x:v>H1</x:v>
      </x:c>
      <x:c r="F11" s="11" t="n">
        <x:v>1167</x:v>
      </x:c>
      <x:c r="G11" s="11" t="n">
        <x:v>0</x:v>
      </x:c>
      <x:c r="H11" s="12" t="n">
        <x:f>G11/F11</x:f>
        <x:v>0</x:v>
      </x:c>
      <x:c r="I11" s="11" t="n">
        <x:v>0</x:v>
      </x:c>
      <x:c r="J11" s="11" t="n">
        <x:v>0</x:v>
      </x:c>
      <x:c r="K11" s="11" t="n">
        <x:v>0</x:v>
      </x:c>
      <x:c r="L11" s="11" t="n">
        <x:v>0</x:v>
      </x:c>
      <x:c r="M11" s="11" t="n">
        <x:v>0</x:v>
      </x:c>
    </x:row>
    <x:row r="12" ht="23" customHeight="1">
      <x:c r="A12" s="10" t="str">
        <x:v>M1</x:v>
      </x:c>
      <x:c r="B12" s="10" t="str">
        <x:v>G</x:v>
      </x:c>
      <x:c r="C12" s="10" t="str">
        <x:v>H0至H1</x:v>
      </x:c>
      <x:c r="D12" s="10" t="str">
        <x:v>H0</x:v>
      </x:c>
      <x:c r="E12" s="10" t="str">
        <x:v>H1</x:v>
      </x:c>
      <x:c r="F12" s="11" t="n">
        <x:v>1167</x:v>
      </x:c>
      <x:c r="G12" s="11" t="n">
        <x:v>81</x:v>
      </x:c>
      <x:c r="H12" s="12" t="n">
        <x:f>G12/F12</x:f>
        <x:v>0.06940874035989718</x:v>
      </x:c>
      <x:c r="I12" s="11" t="n">
        <x:v>81</x:v>
      </x:c>
      <x:c r="J12" s="11" t="n">
        <x:v>0</x:v>
      </x:c>
      <x:c r="K12" s="11" t="n">
        <x:v>0</x:v>
      </x:c>
      <x:c r="L12" s="11" t="n">
        <x:v>0</x:v>
      </x:c>
      <x:c r="M12" s="11" t="n">
        <x:v>81</x:v>
      </x:c>
    </x:row>
    <x:row r="13" ht="23" customHeight="1">
      <x:c r="A13" s="10" t="str">
        <x:v>M1</x:v>
      </x:c>
      <x:c r="B13" s="10" t="str">
        <x:v>G</x:v>
      </x:c>
      <x:c r="C13" s="10" t="str">
        <x:v>H0至HT</x:v>
      </x:c>
      <x:c r="D13" s="10" t="str">
        <x:v>H0</x:v>
      </x:c>
      <x:c r="E13" s="10" t="str">
        <x:v>HT</x:v>
      </x:c>
      <x:c r="F13" s="11" t="n">
        <x:v>1167</x:v>
      </x:c>
      <x:c r="G13" s="11" t="n">
        <x:v>81</x:v>
      </x:c>
      <x:c r="H13" s="12" t="n">
        <x:f>G13/F13</x:f>
        <x:v>0.06940874035989718</x:v>
      </x:c>
      <x:c r="I13" s="11" t="n">
        <x:v>81</x:v>
      </x:c>
      <x:c r="J13" s="11" t="n">
        <x:v>0</x:v>
      </x:c>
      <x:c r="K13" s="11" t="n">
        <x:v>0</x:v>
      </x:c>
      <x:c r="L13" s="11" t="n">
        <x:v>0</x:v>
      </x:c>
      <x:c r="M13" s="11" t="n">
        <x:v>81</x:v>
      </x:c>
    </x:row>
    <x:row r="14" ht="23" customHeight="1">
      <x:c r="A14" s="10" t="str">
        <x:v>M1</x:v>
      </x:c>
      <x:c r="B14" s="10" t="str">
        <x:v>G</x:v>
      </x:c>
      <x:c r="C14" s="10" t="str">
        <x:v>HT至H1</x:v>
      </x:c>
      <x:c r="D14" s="10" t="str">
        <x:v>HT</x:v>
      </x:c>
      <x:c r="E14" s="10" t="str">
        <x:v>H1</x:v>
      </x:c>
      <x:c r="F14" s="11" t="n">
        <x:v>1167</x:v>
      </x:c>
      <x:c r="G14" s="11" t="n">
        <x:v>0</x:v>
      </x:c>
      <x:c r="H14" s="12" t="n">
        <x:f>G14/F14</x:f>
        <x:v>0</x:v>
      </x:c>
      <x:c r="I14" s="11" t="n">
        <x:v>0</x:v>
      </x:c>
      <x:c r="J14" s="11" t="n">
        <x:v>0</x:v>
      </x:c>
      <x:c r="K14" s="11" t="n">
        <x:v>0</x:v>
      </x:c>
      <x:c r="L14" s="11" t="n">
        <x:v>0</x:v>
      </x:c>
      <x:c r="M14" s="11" t="n">
        <x:v>0</x:v>
      </x:c>
    </x:row>
    <x:row r="15" ht="23" customHeight="1">
      <x:c r="A15" s="10" t="str">
        <x:v>M1</x:v>
      </x:c>
      <x:c r="B15" s="10" t="str">
        <x:v>NC</x:v>
      </x:c>
      <x:c r="C15" s="10" t="str">
        <x:v>H0至H1</x:v>
      </x:c>
      <x:c r="D15" s="10" t="str">
        <x:v>H0</x:v>
      </x:c>
      <x:c r="E15" s="10" t="str">
        <x:v>H1</x:v>
      </x:c>
      <x:c r="F15" s="11" t="n">
        <x:v>1167</x:v>
      </x:c>
      <x:c r="G15" s="11" t="n">
        <x:v>6</x:v>
      </x:c>
      <x:c r="H15" s="12" t="n">
        <x:f>G15/F15</x:f>
        <x:v>0.005141388174807198</x:v>
      </x:c>
      <x:c r="I15" s="11" t="n">
        <x:v>6</x:v>
      </x:c>
      <x:c r="J15" s="11" t="n">
        <x:v>0</x:v>
      </x:c>
      <x:c r="K15" s="11" t="n">
        <x:v>6</x:v>
      </x:c>
      <x:c r="L15" s="11" t="n">
        <x:v>0</x:v>
      </x:c>
      <x:c r="M15" s="11" t="n">
        <x:v>6</x:v>
      </x:c>
    </x:row>
    <x:row r="16" ht="23" customHeight="1">
      <x:c r="A16" s="10" t="str">
        <x:v>M1</x:v>
      </x:c>
      <x:c r="B16" s="10" t="str">
        <x:v>NC</x:v>
      </x:c>
      <x:c r="C16" s="10" t="str">
        <x:v>H0至HT</x:v>
      </x:c>
      <x:c r="D16" s="10" t="str">
        <x:v>H0</x:v>
      </x:c>
      <x:c r="E16" s="10" t="str">
        <x:v>HT</x:v>
      </x:c>
      <x:c r="F16" s="11" t="n">
        <x:v>1167</x:v>
      </x:c>
      <x:c r="G16" s="11" t="n">
        <x:v>0</x:v>
      </x:c>
      <x:c r="H16" s="12" t="n">
        <x:f>G16/F16</x:f>
        <x:v>0</x:v>
      </x:c>
      <x:c r="I16" s="11" t="n">
        <x:v>0</x:v>
      </x:c>
      <x:c r="J16" s="11" t="n">
        <x:v>0</x:v>
      </x:c>
      <x:c r="K16" s="11" t="n">
        <x:v>0</x:v>
      </x:c>
      <x:c r="L16" s="11" t="n">
        <x:v>0</x:v>
      </x:c>
      <x:c r="M16" s="11" t="n">
        <x:v>0</x:v>
      </x:c>
    </x:row>
    <x:row r="17" ht="23" customHeight="1">
      <x:c r="A17" s="10" t="str">
        <x:v>M1</x:v>
      </x:c>
      <x:c r="B17" s="10" t="str">
        <x:v>NC</x:v>
      </x:c>
      <x:c r="C17" s="10" t="str">
        <x:v>HT至H1</x:v>
      </x:c>
      <x:c r="D17" s="10" t="str">
        <x:v>HT</x:v>
      </x:c>
      <x:c r="E17" s="10" t="str">
        <x:v>H1</x:v>
      </x:c>
      <x:c r="F17" s="11" t="n">
        <x:v>1167</x:v>
      </x:c>
      <x:c r="G17" s="11" t="n">
        <x:v>6</x:v>
      </x:c>
      <x:c r="H17" s="12" t="n">
        <x:f>G17/F17</x:f>
        <x:v>0.005141388174807198</x:v>
      </x:c>
      <x:c r="I17" s="11" t="n">
        <x:v>6</x:v>
      </x:c>
      <x:c r="J17" s="11" t="n">
        <x:v>0</x:v>
      </x:c>
      <x:c r="K17" s="11" t="n">
        <x:v>6</x:v>
      </x:c>
      <x:c r="L17" s="11" t="n">
        <x:v>0</x:v>
      </x:c>
      <x:c r="M17" s="11" t="n">
        <x:v>6</x:v>
      </x:c>
    </x:row>
    <x:row r="18" ht="23" customHeight="1">
      <x:c r="A18" s="10" t="str">
        <x:v>M1</x:v>
      </x:c>
      <x:c r="B18" s="10" t="str">
        <x:v>NG</x:v>
      </x:c>
      <x:c r="C18" s="10" t="str">
        <x:v>H0至H1</x:v>
      </x:c>
      <x:c r="D18" s="10" t="str">
        <x:v>H0</x:v>
      </x:c>
      <x:c r="E18" s="10" t="str">
        <x:v>H1</x:v>
      </x:c>
      <x:c r="F18" s="11" t="n">
        <x:v>1167</x:v>
      </x:c>
      <x:c r="G18" s="11" t="n">
        <x:v>93</x:v>
      </x:c>
      <x:c r="H18" s="12" t="n">
        <x:f>G18/F18</x:f>
        <x:v>0.07969151670951156</x:v>
      </x:c>
      <x:c r="I18" s="11" t="n">
        <x:v>93</x:v>
      </x:c>
      <x:c r="J18" s="11" t="n">
        <x:v>0</x:v>
      </x:c>
      <x:c r="K18" s="11" t="n">
        <x:v>12</x:v>
      </x:c>
      <x:c r="L18" s="11" t="n">
        <x:v>0</x:v>
      </x:c>
      <x:c r="M18" s="11" t="n">
        <x:v>93</x:v>
      </x:c>
    </x:row>
    <x:row r="19" ht="23" customHeight="1">
      <x:c r="A19" s="10" t="str">
        <x:v>M1</x:v>
      </x:c>
      <x:c r="B19" s="10" t="str">
        <x:v>NG</x:v>
      </x:c>
      <x:c r="C19" s="10" t="str">
        <x:v>H0至HT</x:v>
      </x:c>
      <x:c r="D19" s="10" t="str">
        <x:v>H0</x:v>
      </x:c>
      <x:c r="E19" s="10" t="str">
        <x:v>HT</x:v>
      </x:c>
      <x:c r="F19" s="11" t="n">
        <x:v>1167</x:v>
      </x:c>
      <x:c r="G19" s="11" t="n">
        <x:v>81</x:v>
      </x:c>
      <x:c r="H19" s="12" t="n">
        <x:f>G19/F19</x:f>
        <x:v>0.06940874035989718</x:v>
      </x:c>
      <x:c r="I19" s="11" t="n">
        <x:v>81</x:v>
      </x:c>
      <x:c r="J19" s="11" t="n">
        <x:v>0</x:v>
      </x:c>
      <x:c r="K19" s="11" t="n">
        <x:v>0</x:v>
      </x:c>
      <x:c r="L19" s="11" t="n">
        <x:v>0</x:v>
      </x:c>
      <x:c r="M19" s="11" t="n">
        <x:v>81</x:v>
      </x:c>
    </x:row>
    <x:row r="20" ht="23" customHeight="1">
      <x:c r="A20" s="10" t="str">
        <x:v>M1</x:v>
      </x:c>
      <x:c r="B20" s="10" t="str">
        <x:v>NG</x:v>
      </x:c>
      <x:c r="C20" s="10" t="str">
        <x:v>HT至H1</x:v>
      </x:c>
      <x:c r="D20" s="10" t="str">
        <x:v>HT</x:v>
      </x:c>
      <x:c r="E20" s="10" t="str">
        <x:v>H1</x:v>
      </x:c>
      <x:c r="F20" s="11" t="n">
        <x:v>1167</x:v>
      </x:c>
      <x:c r="G20" s="11" t="n">
        <x:v>12</x:v>
      </x:c>
      <x:c r="H20" s="12" t="n">
        <x:f>G20/F20</x:f>
        <x:v>0.010282776349614395</x:v>
      </x:c>
      <x:c r="I20" s="11" t="n">
        <x:v>12</x:v>
      </x:c>
      <x:c r="J20" s="11" t="n">
        <x:v>0</x:v>
      </x:c>
      <x:c r="K20" s="11" t="n">
        <x:v>12</x:v>
      </x:c>
      <x:c r="L20" s="11" t="n">
        <x:v>0</x:v>
      </x:c>
      <x:c r="M20" s="11" t="n">
        <x:v>12</x:v>
      </x:c>
    </x:row>
    <x:row r="21" ht="23" customHeight="1">
      <x:c r="A21" s="10" t="str">
        <x:v>M1</x:v>
      </x:c>
      <x:c r="B21" s="10" t="str">
        <x:v>CG</x:v>
      </x:c>
      <x:c r="C21" s="10" t="str">
        <x:v>H0至H1</x:v>
      </x:c>
      <x:c r="D21" s="10" t="str">
        <x:v>H0</x:v>
      </x:c>
      <x:c r="E21" s="10" t="str">
        <x:v>H1</x:v>
      </x:c>
      <x:c r="F21" s="11" t="n">
        <x:v>1167</x:v>
      </x:c>
      <x:c r="G21" s="11" t="n">
        <x:v>85</x:v>
      </x:c>
      <x:c r="H21" s="12" t="n">
        <x:f>G21/F21</x:f>
        <x:v>0.0728363324764353</x:v>
      </x:c>
      <x:c r="I21" s="11" t="n">
        <x:v>85</x:v>
      </x:c>
      <x:c r="J21" s="11" t="n">
        <x:v>0</x:v>
      </x:c>
      <x:c r="K21" s="11" t="n">
        <x:v>29</x:v>
      </x:c>
      <x:c r="L21" s="11" t="n">
        <x:v>29</x:v>
      </x:c>
      <x:c r="M21" s="11" t="n">
        <x:v>110</x:v>
      </x:c>
    </x:row>
    <x:row r="22" ht="23" customHeight="1">
      <x:c r="A22" s="10" t="str">
        <x:v>M1</x:v>
      </x:c>
      <x:c r="B22" s="10" t="str">
        <x:v>CG</x:v>
      </x:c>
      <x:c r="C22" s="10" t="str">
        <x:v>H0至HT</x:v>
      </x:c>
      <x:c r="D22" s="10" t="str">
        <x:v>H0</x:v>
      </x:c>
      <x:c r="E22" s="10" t="str">
        <x:v>HT</x:v>
      </x:c>
      <x:c r="F22" s="11" t="n">
        <x:v>1167</x:v>
      </x:c>
      <x:c r="G22" s="11" t="n">
        <x:v>85</x:v>
      </x:c>
      <x:c r="H22" s="12" t="n">
        <x:f>G22/F22</x:f>
        <x:v>0.0728363324764353</x:v>
      </x:c>
      <x:c r="I22" s="11" t="n">
        <x:v>85</x:v>
      </x:c>
      <x:c r="J22" s="11" t="n">
        <x:v>0</x:v>
      </x:c>
      <x:c r="K22" s="11" t="n">
        <x:v>29</x:v>
      </x:c>
      <x:c r="L22" s="11" t="n">
        <x:v>29</x:v>
      </x:c>
      <x:c r="M22" s="11" t="n">
        <x:v>110</x:v>
      </x:c>
    </x:row>
    <x:row r="23" ht="23" customHeight="1">
      <x:c r="A23" s="10" t="str">
        <x:v>M1</x:v>
      </x:c>
      <x:c r="B23" s="10" t="str">
        <x:v>CG</x:v>
      </x:c>
      <x:c r="C23" s="10" t="str">
        <x:v>HT至H1</x:v>
      </x:c>
      <x:c r="D23" s="10" t="str">
        <x:v>HT</x:v>
      </x:c>
      <x:c r="E23" s="10" t="str">
        <x:v>H1</x:v>
      </x:c>
      <x:c r="F23" s="11" t="n">
        <x:v>1167</x:v>
      </x:c>
      <x:c r="G23" s="11" t="n">
        <x:v>0</x:v>
      </x:c>
      <x:c r="H23" s="12" t="n">
        <x:f>G23/F23</x:f>
        <x:v>0</x:v>
      </x:c>
      <x:c r="I23" s="11" t="n">
        <x:v>0</x:v>
      </x:c>
      <x:c r="J23" s="11" t="n">
        <x:v>0</x:v>
      </x:c>
      <x:c r="K23" s="11" t="n">
        <x:v>0</x:v>
      </x:c>
      <x:c r="L23" s="11" t="n">
        <x:v>0</x:v>
      </x:c>
      <x:c r="M23" s="11" t="n">
        <x:v>0</x:v>
      </x:c>
    </x:row>
    <x:row r="24" ht="23" customHeight="1">
      <x:c r="A24" s="10" t="str">
        <x:v>M1</x:v>
      </x:c>
      <x:c r="B24" s="10" t="str">
        <x:v>NCG</x:v>
      </x:c>
      <x:c r="C24" s="10" t="str">
        <x:v>H0至H1</x:v>
      </x:c>
      <x:c r="D24" s="10" t="str">
        <x:v>H0</x:v>
      </x:c>
      <x:c r="E24" s="10" t="str">
        <x:v>H1</x:v>
      </x:c>
      <x:c r="F24" s="11" t="n">
        <x:v>1167</x:v>
      </x:c>
      <x:c r="G24" s="11" t="n">
        <x:v>79</x:v>
      </x:c>
      <x:c r="H24" s="12" t="n">
        <x:f>G24/F24</x:f>
        <x:v>0.0676949443016281</x:v>
      </x:c>
      <x:c r="I24" s="11" t="n">
        <x:v>79</x:v>
      </x:c>
      <x:c r="J24" s="11" t="n">
        <x:v>0</x:v>
      </x:c>
      <x:c r="K24" s="11" t="n">
        <x:v>32</x:v>
      </x:c>
      <x:c r="L24" s="11" t="n">
        <x:v>26</x:v>
      </x:c>
      <x:c r="M24" s="11" t="n">
        <x:v>100</x:v>
      </x:c>
    </x:row>
    <x:row r="25" ht="23" customHeight="1">
      <x:c r="A25" s="10" t="str">
        <x:v>M1</x:v>
      </x:c>
      <x:c r="B25" s="10" t="str">
        <x:v>NCG</x:v>
      </x:c>
      <x:c r="C25" s="10" t="str">
        <x:v>H0至HT</x:v>
      </x:c>
      <x:c r="D25" s="10" t="str">
        <x:v>H0</x:v>
      </x:c>
      <x:c r="E25" s="10" t="str">
        <x:v>HT</x:v>
      </x:c>
      <x:c r="F25" s="11" t="n">
        <x:v>1167</x:v>
      </x:c>
      <x:c r="G25" s="11" t="n">
        <x:v>73</x:v>
      </x:c>
      <x:c r="H25" s="12" t="n">
        <x:f>G25/F25</x:f>
        <x:v>0.06255355612682091</x:v>
      </x:c>
      <x:c r="I25" s="11" t="n">
        <x:v>73</x:v>
      </x:c>
      <x:c r="J25" s="11" t="n">
        <x:v>0</x:v>
      </x:c>
      <x:c r="K25" s="11" t="n">
        <x:v>26</x:v>
      </x:c>
      <x:c r="L25" s="11" t="n">
        <x:v>26</x:v>
      </x:c>
      <x:c r="M25" s="11" t="n">
        <x:v>94</x:v>
      </x:c>
    </x:row>
    <x:row r="26" ht="23" customHeight="1">
      <x:c r="A26" s="10" t="str">
        <x:v>M1</x:v>
      </x:c>
      <x:c r="B26" s="10" t="str">
        <x:v>NCG</x:v>
      </x:c>
      <x:c r="C26" s="10" t="str">
        <x:v>HT至H1</x:v>
      </x:c>
      <x:c r="D26" s="10" t="str">
        <x:v>HT</x:v>
      </x:c>
      <x:c r="E26" s="10" t="str">
        <x:v>H1</x:v>
      </x:c>
      <x:c r="F26" s="11" t="n">
        <x:v>1167</x:v>
      </x:c>
      <x:c r="G26" s="11" t="n">
        <x:v>6</x:v>
      </x:c>
      <x:c r="H26" s="12" t="n">
        <x:f>G26/F26</x:f>
        <x:v>0.005141388174807198</x:v>
      </x:c>
      <x:c r="I26" s="11" t="n">
        <x:v>6</x:v>
      </x:c>
      <x:c r="J26" s="11" t="n">
        <x:v>0</x:v>
      </x:c>
      <x:c r="K26" s="11" t="n">
        <x:v>6</x:v>
      </x:c>
      <x:c r="L26" s="11" t="n">
        <x:v>0</x:v>
      </x:c>
      <x:c r="M26" s="11" t="n">
        <x:v>6</x:v>
      </x:c>
    </x:row>
    <x:row r="27" ht="23" customHeight="1">
      <x:c r="A27" s="10" t="str">
        <x:v>M1</x:v>
      </x:c>
      <x:c r="B27" s="10" t="str">
        <x:v>NCG</x:v>
      </x:c>
      <x:c r="C27" s="10" t="str">
        <x:v>叶名称辅助</x:v>
      </x:c>
      <x:c r="D27" s="10" t="str">
        <x:v>NCG_H0</x:v>
      </x:c>
      <x:c r="E27" s="10" t="str">
        <x:v>NCG_H0_M1</x:v>
      </x:c>
      <x:c r="F27" s="11" t="n">
        <x:v>1167</x:v>
      </x:c>
      <x:c r="G27" s="11" t="n">
        <x:v>64</x:v>
      </x:c>
      <x:c r="H27" s="12" t="n">
        <x:f>G27/F27</x:f>
        <x:v>0.054841473864610114</x:v>
      </x:c>
      <x:c r="I27" s="11" t="n">
        <x:v>63</x:v>
      </x:c>
      <x:c r="J27" s="11" t="n">
        <x:v>1</x:v>
      </x:c>
      <x:c r="K27" s="11" t="n">
        <x:v>230</x:v>
      </x:c>
      <x:c r="L27" s="11" t="n">
        <x:v>351</x:v>
      </x:c>
      <x:c r="M27" s="11" t="n">
        <x:v>64</x:v>
      </x:c>
    </x:row>
    <x:row r="28" ht="23" customHeight="1">
      <x:c r="A28" s="10" t="str">
        <x:v>M1</x:v>
      </x:c>
      <x:c r="B28" s="10" t="str">
        <x:v>NCG</x:v>
      </x:c>
      <x:c r="C28" s="10" t="str">
        <x:v>叶名称辅助</x:v>
      </x:c>
      <x:c r="D28" s="10" t="str">
        <x:v>NCG_H1</x:v>
      </x:c>
      <x:c r="E28" s="10" t="str">
        <x:v>NCG_H1_M1</x:v>
      </x:c>
      <x:c r="F28" s="11" t="n">
        <x:v>1167</x:v>
      </x:c>
      <x:c r="G28" s="11" t="n">
        <x:v>93</x:v>
      </x:c>
      <x:c r="H28" s="12" t="n">
        <x:f>G28/F28</x:f>
        <x:v>0.07969151670951156</x:v>
      </x:c>
      <x:c r="I28" s="11" t="n">
        <x:v>89</x:v>
      </x:c>
      <x:c r="J28" s="11" t="n">
        <x:v>4</x:v>
      </x:c>
      <x:c r="K28" s="11" t="n">
        <x:v>230</x:v>
      </x:c>
      <x:c r="L28" s="11" t="n">
        <x:v>351</x:v>
      </x:c>
      <x:c r="M28" s="11" t="n">
        <x:v>93</x:v>
      </x:c>
    </x:row>
    <x:row r="29" ht="23" customHeight="1">
      <x:c r="A29" s="10" t="str">
        <x:v>M1</x:v>
      </x:c>
      <x:c r="B29" s="10" t="str">
        <x:v>branch</x:v>
      </x:c>
      <x:c r="C29" s="10" t="str">
        <x:v>分支贡献</x:v>
      </x:c>
      <x:c r="D29" s="10" t="str">
        <x:v>N_H0</x:v>
      </x:c>
      <x:c r="E29" s="10" t="str">
        <x:v>NC_H0</x:v>
      </x:c>
      <x:c r="F29" s="11" t="n">
        <x:v>1167</x:v>
      </x:c>
      <x:c r="G29" s="11" t="n">
        <x:v>270</x:v>
      </x:c>
      <x:c r="H29" s="12" t="n">
        <x:f>G29/F29</x:f>
        <x:v>0.23136246786632392</x:v>
      </x:c>
      <x:c r="I29" s="11" t="n">
        <x:v>51</x:v>
      </x:c>
      <x:c r="J29" s="11" t="n">
        <x:v>219</x:v>
      </x:c>
      <x:c r="K29" s="11" t="n">
        <x:v>270</x:v>
      </x:c>
      <x:c r="L29" s="11" t="n">
        <x:v>447</x:v>
      </x:c>
      <x:c r="M29" s="11" t="n">
        <x:v>270</x:v>
      </x:c>
    </x:row>
    <x:row r="30" ht="23" customHeight="1">
      <x:c r="A30" s="10" t="str">
        <x:v>M1</x:v>
      </x:c>
      <x:c r="B30" s="10" t="str">
        <x:v>branch</x:v>
      </x:c>
      <x:c r="C30" s="10" t="str">
        <x:v>分支贡献</x:v>
      </x:c>
      <x:c r="D30" s="10" t="str">
        <x:v>C_H0</x:v>
      </x:c>
      <x:c r="E30" s="10" t="str">
        <x:v>NC_H0</x:v>
      </x:c>
      <x:c r="F30" s="11" t="n">
        <x:v>1167</x:v>
      </x:c>
      <x:c r="G30" s="11" t="n">
        <x:v>189</x:v>
      </x:c>
      <x:c r="H30" s="12" t="n">
        <x:f>G30/F30</x:f>
        <x:v>0.16195372750642673</x:v>
      </x:c>
      <x:c r="I30" s="11" t="n">
        <x:v>64</x:v>
      </x:c>
      <x:c r="J30" s="11" t="n">
        <x:v>125</x:v>
      </x:c>
      <x:c r="K30" s="11" t="n">
        <x:v>189</x:v>
      </x:c>
      <x:c r="L30" s="11" t="n">
        <x:v>369</x:v>
      </x:c>
      <x:c r="M30" s="11" t="n">
        <x:v>189</x:v>
      </x:c>
    </x:row>
    <x:row r="31" ht="23" customHeight="1">
      <x:c r="A31" s="10" t="str">
        <x:v>M1</x:v>
      </x:c>
      <x:c r="B31" s="10" t="str">
        <x:v>branch</x:v>
      </x:c>
      <x:c r="C31" s="10" t="str">
        <x:v>分支贡献</x:v>
      </x:c>
      <x:c r="D31" s="10" t="str">
        <x:v>N_H0</x:v>
      </x:c>
      <x:c r="E31" s="10" t="str">
        <x:v>NG_H0</x:v>
      </x:c>
      <x:c r="F31" s="11" t="n">
        <x:v>1167</x:v>
      </x:c>
      <x:c r="G31" s="11" t="n">
        <x:v>824</x:v>
      </x:c>
      <x:c r="H31" s="12" t="n">
        <x:f>G31/F31</x:f>
        <x:v>0.7060839760068551</x:v>
      </x:c>
      <x:c r="I31" s="11" t="n">
        <x:v>174</x:v>
      </x:c>
      <x:c r="J31" s="11" t="n">
        <x:v>650</x:v>
      </x:c>
      <x:c r="K31" s="11" t="n">
        <x:v>0</x:v>
      </x:c>
      <x:c r="L31" s="11" t="n">
        <x:v>0</x:v>
      </x:c>
      <x:c r="M31" s="11" t="n">
        <x:v>1167</x:v>
      </x:c>
    </x:row>
    <x:row r="32" ht="23" customHeight="1">
      <x:c r="A32" s="10" t="str">
        <x:v>M1</x:v>
      </x:c>
      <x:c r="B32" s="10" t="str">
        <x:v>branch</x:v>
      </x:c>
      <x:c r="C32" s="10" t="str">
        <x:v>分支贡献</x:v>
      </x:c>
      <x:c r="D32" s="10" t="str">
        <x:v>C_H0</x:v>
      </x:c>
      <x:c r="E32" s="10" t="str">
        <x:v>CG_H0</x:v>
      </x:c>
      <x:c r="F32" s="11" t="n">
        <x:v>1167</x:v>
      </x:c>
      <x:c r="G32" s="11" t="n">
        <x:v>992</x:v>
      </x:c>
      <x:c r="H32" s="12" t="n">
        <x:f>G32/F32</x:f>
        <x:v>0.8500428449014568</x:v>
      </x:c>
      <x:c r="I32" s="11" t="n">
        <x:v>257</x:v>
      </x:c>
      <x:c r="J32" s="11" t="n">
        <x:v>735</x:v>
      </x:c>
      <x:c r="K32" s="11" t="n">
        <x:v>0</x:v>
      </x:c>
      <x:c r="L32" s="11" t="n">
        <x:v>0</x:v>
      </x:c>
      <x:c r="M32" s="11" t="n">
        <x:v>1167</x:v>
      </x:c>
    </x:row>
    <x:row r="33" ht="23" customHeight="1">
      <x:c r="A33" s="10" t="str">
        <x:v>M1</x:v>
      </x:c>
      <x:c r="B33" s="10" t="str">
        <x:v>branch</x:v>
      </x:c>
      <x:c r="C33" s="10" t="str">
        <x:v>分支贡献</x:v>
      </x:c>
      <x:c r="D33" s="10" t="str">
        <x:v>NC_H0</x:v>
      </x:c>
      <x:c r="E33" s="10" t="str">
        <x:v>NCG_H0</x:v>
      </x:c>
      <x:c r="F33" s="11" t="n">
        <x:v>1167</x:v>
      </x:c>
      <x:c r="G33" s="11" t="n">
        <x:v>923</x:v>
      </x:c>
      <x:c r="H33" s="12" t="n">
        <x:f>G33/F33</x:f>
        <x:v>0.790916880891174</x:v>
      </x:c>
      <x:c r="I33" s="11" t="n">
        <x:v>296</x:v>
      </x:c>
      <x:c r="J33" s="11" t="n">
        <x:v>627</x:v>
      </x:c>
      <x:c r="K33" s="11" t="n">
        <x:v>0</x:v>
      </x:c>
      <x:c r="L33" s="11" t="n">
        <x:v>0</x:v>
      </x:c>
      <x:c r="M33" s="11" t="n">
        <x:v>1167</x:v>
      </x:c>
    </x:row>
    <x:row r="34" ht="23" customHeight="1">
      <x:c r="A34" s="10" t="str">
        <x:v>M2</x:v>
      </x:c>
      <x:c r="B34" s="10" t="str">
        <x:v>N</x:v>
      </x:c>
      <x:c r="C34" s="10" t="str">
        <x:v>H0至H1</x:v>
      </x:c>
      <x:c r="D34" s="10" t="str">
        <x:v>H0</x:v>
      </x:c>
      <x:c r="E34" s="10" t="str">
        <x:v>H1</x:v>
      </x:c>
      <x:c r="F34" s="11" t="n">
        <x:v>1480</x:v>
      </x:c>
      <x:c r="G34" s="11" t="n">
        <x:v>117</x:v>
      </x:c>
      <x:c r="H34" s="12" t="n">
        <x:f>G34/F34</x:f>
        <x:v>0.07905405405405405</x:v>
      </x:c>
      <x:c r="I34" s="11" t="n">
        <x:v>117</x:v>
      </x:c>
      <x:c r="J34" s="11" t="n">
        <x:v>0</x:v>
      </x:c>
      <x:c r="K34" s="11" t="n">
        <x:v>117</x:v>
      </x:c>
      <x:c r="L34" s="11" t="n">
        <x:v>0</x:v>
      </x:c>
      <x:c r="M34" s="11" t="n">
        <x:v>117</x:v>
      </x:c>
    </x:row>
    <x:row r="35" ht="23" customHeight="1">
      <x:c r="A35" s="10" t="str">
        <x:v>M2</x:v>
      </x:c>
      <x:c r="B35" s="10" t="str">
        <x:v>N</x:v>
      </x:c>
      <x:c r="C35" s="10" t="str">
        <x:v>H0至HT</x:v>
      </x:c>
      <x:c r="D35" s="10" t="str">
        <x:v>H0</x:v>
      </x:c>
      <x:c r="E35" s="10" t="str">
        <x:v>HT</x:v>
      </x:c>
      <x:c r="F35" s="11" t="n">
        <x:v>1480</x:v>
      </x:c>
      <x:c r="G35" s="11" t="n">
        <x:v>0</x:v>
      </x:c>
      <x:c r="H35" s="12" t="n">
        <x:f>G35/F35</x:f>
        <x:v>0</x:v>
      </x:c>
      <x:c r="I35" s="11" t="n">
        <x:v>0</x:v>
      </x:c>
      <x:c r="J35" s="11" t="n">
        <x:v>0</x:v>
      </x:c>
      <x:c r="K35" s="11" t="n">
        <x:v>0</x:v>
      </x:c>
      <x:c r="L35" s="11" t="n">
        <x:v>0</x:v>
      </x:c>
      <x:c r="M35" s="11" t="n">
        <x:v>0</x:v>
      </x:c>
    </x:row>
    <x:row r="36" ht="23" customHeight="1">
      <x:c r="A36" s="10" t="str">
        <x:v>M2</x:v>
      </x:c>
      <x:c r="B36" s="10" t="str">
        <x:v>N</x:v>
      </x:c>
      <x:c r="C36" s="10" t="str">
        <x:v>HT至H1</x:v>
      </x:c>
      <x:c r="D36" s="10" t="str">
        <x:v>HT</x:v>
      </x:c>
      <x:c r="E36" s="10" t="str">
        <x:v>H1</x:v>
      </x:c>
      <x:c r="F36" s="11" t="n">
        <x:v>1480</x:v>
      </x:c>
      <x:c r="G36" s="11" t="n">
        <x:v>117</x:v>
      </x:c>
      <x:c r="H36" s="12" t="n">
        <x:f>G36/F36</x:f>
        <x:v>0.07905405405405405</x:v>
      </x:c>
      <x:c r="I36" s="11" t="n">
        <x:v>117</x:v>
      </x:c>
      <x:c r="J36" s="11" t="n">
        <x:v>0</x:v>
      </x:c>
      <x:c r="K36" s="11" t="n">
        <x:v>117</x:v>
      </x:c>
      <x:c r="L36" s="11" t="n">
        <x:v>0</x:v>
      </x:c>
      <x:c r="M36" s="11" t="n">
        <x:v>117</x:v>
      </x:c>
    </x:row>
    <x:row r="37" ht="23" customHeight="1">
      <x:c r="A37" s="10" t="str">
        <x:v>M2</x:v>
      </x:c>
      <x:c r="B37" s="10" t="str">
        <x:v>C</x:v>
      </x:c>
      <x:c r="C37" s="10" t="str">
        <x:v>H0至H1</x:v>
      </x:c>
      <x:c r="D37" s="10" t="str">
        <x:v>H0</x:v>
      </x:c>
      <x:c r="E37" s="10" t="str">
        <x:v>H1</x:v>
      </x:c>
      <x:c r="F37" s="11" t="n">
        <x:v>1480</x:v>
      </x:c>
      <x:c r="G37" s="11" t="n">
        <x:v>104</x:v>
      </x:c>
      <x:c r="H37" s="12" t="n">
        <x:f>G37/F37</x:f>
        <x:v>0.07027027027027027</x:v>
      </x:c>
      <x:c r="I37" s="11" t="n">
        <x:v>104</x:v>
      </x:c>
      <x:c r="J37" s="11" t="n">
        <x:v>0</x:v>
      </x:c>
      <x:c r="K37" s="11" t="n">
        <x:v>104</x:v>
      </x:c>
      <x:c r="L37" s="11" t="n">
        <x:v>0</x:v>
      </x:c>
      <x:c r="M37" s="11" t="n">
        <x:v>104</x:v>
      </x:c>
    </x:row>
    <x:row r="38" ht="23" customHeight="1">
      <x:c r="A38" s="10" t="str">
        <x:v>M2</x:v>
      </x:c>
      <x:c r="B38" s="10" t="str">
        <x:v>C</x:v>
      </x:c>
      <x:c r="C38" s="10" t="str">
        <x:v>H0至HT</x:v>
      </x:c>
      <x:c r="D38" s="10" t="str">
        <x:v>H0</x:v>
      </x:c>
      <x:c r="E38" s="10" t="str">
        <x:v>HT</x:v>
      </x:c>
      <x:c r="F38" s="11" t="n">
        <x:v>1480</x:v>
      </x:c>
      <x:c r="G38" s="11" t="n">
        <x:v>0</x:v>
      </x:c>
      <x:c r="H38" s="12" t="n">
        <x:f>G38/F38</x:f>
        <x:v>0</x:v>
      </x:c>
      <x:c r="I38" s="11" t="n">
        <x:v>0</x:v>
      </x:c>
      <x:c r="J38" s="11" t="n">
        <x:v>0</x:v>
      </x:c>
      <x:c r="K38" s="11" t="n">
        <x:v>0</x:v>
      </x:c>
      <x:c r="L38" s="11" t="n">
        <x:v>0</x:v>
      </x:c>
      <x:c r="M38" s="11" t="n">
        <x:v>0</x:v>
      </x:c>
    </x:row>
    <x:row r="39" ht="23" customHeight="1">
      <x:c r="A39" s="10" t="str">
        <x:v>M2</x:v>
      </x:c>
      <x:c r="B39" s="10" t="str">
        <x:v>C</x:v>
      </x:c>
      <x:c r="C39" s="10" t="str">
        <x:v>HT至H1</x:v>
      </x:c>
      <x:c r="D39" s="10" t="str">
        <x:v>HT</x:v>
      </x:c>
      <x:c r="E39" s="10" t="str">
        <x:v>H1</x:v>
      </x:c>
      <x:c r="F39" s="11" t="n">
        <x:v>1480</x:v>
      </x:c>
      <x:c r="G39" s="11" t="n">
        <x:v>104</x:v>
      </x:c>
      <x:c r="H39" s="12" t="n">
        <x:f>G39/F39</x:f>
        <x:v>0.07027027027027027</x:v>
      </x:c>
      <x:c r="I39" s="11" t="n">
        <x:v>104</x:v>
      </x:c>
      <x:c r="J39" s="11" t="n">
        <x:v>0</x:v>
      </x:c>
      <x:c r="K39" s="11" t="n">
        <x:v>104</x:v>
      </x:c>
      <x:c r="L39" s="11" t="n">
        <x:v>0</x:v>
      </x:c>
      <x:c r="M39" s="11" t="n">
        <x:v>104</x:v>
      </x:c>
    </x:row>
    <x:row r="40" ht="23" customHeight="1">
      <x:c r="A40" s="10" t="str">
        <x:v>M2</x:v>
      </x:c>
      <x:c r="B40" s="10" t="str">
        <x:v>G</x:v>
      </x:c>
      <x:c r="C40" s="10" t="str">
        <x:v>H0至H1</x:v>
      </x:c>
      <x:c r="D40" s="10" t="str">
        <x:v>H0</x:v>
      </x:c>
      <x:c r="E40" s="10" t="str">
        <x:v>H1</x:v>
      </x:c>
      <x:c r="F40" s="11" t="n">
        <x:v>1480</x:v>
      </x:c>
      <x:c r="G40" s="11" t="n">
        <x:v>157</x:v>
      </x:c>
      <x:c r="H40" s="12" t="n">
        <x:f>G40/F40</x:f>
        <x:v>0.10608108108108108</x:v>
      </x:c>
      <x:c r="I40" s="11" t="n">
        <x:v>157</x:v>
      </x:c>
      <x:c r="J40" s="11" t="n">
        <x:v>0</x:v>
      </x:c>
      <x:c r="K40" s="11" t="n">
        <x:v>0</x:v>
      </x:c>
      <x:c r="L40" s="11" t="n">
        <x:v>0</x:v>
      </x:c>
      <x:c r="M40" s="11" t="n">
        <x:v>157</x:v>
      </x:c>
    </x:row>
    <x:row r="41" ht="23" customHeight="1">
      <x:c r="A41" s="10" t="str">
        <x:v>M2</x:v>
      </x:c>
      <x:c r="B41" s="10" t="str">
        <x:v>G</x:v>
      </x:c>
      <x:c r="C41" s="10" t="str">
        <x:v>H0至HT</x:v>
      </x:c>
      <x:c r="D41" s="10" t="str">
        <x:v>H0</x:v>
      </x:c>
      <x:c r="E41" s="10" t="str">
        <x:v>HT</x:v>
      </x:c>
      <x:c r="F41" s="11" t="n">
        <x:v>1480</x:v>
      </x:c>
      <x:c r="G41" s="11" t="n">
        <x:v>157</x:v>
      </x:c>
      <x:c r="H41" s="12" t="n">
        <x:f>G41/F41</x:f>
        <x:v>0.10608108108108108</x:v>
      </x:c>
      <x:c r="I41" s="11" t="n">
        <x:v>157</x:v>
      </x:c>
      <x:c r="J41" s="11" t="n">
        <x:v>0</x:v>
      </x:c>
      <x:c r="K41" s="11" t="n">
        <x:v>0</x:v>
      </x:c>
      <x:c r="L41" s="11" t="n">
        <x:v>0</x:v>
      </x:c>
      <x:c r="M41" s="11" t="n">
        <x:v>157</x:v>
      </x:c>
    </x:row>
    <x:row r="42" ht="23" customHeight="1">
      <x:c r="A42" s="10" t="str">
        <x:v>M2</x:v>
      </x:c>
      <x:c r="B42" s="10" t="str">
        <x:v>G</x:v>
      </x:c>
      <x:c r="C42" s="10" t="str">
        <x:v>HT至H1</x:v>
      </x:c>
      <x:c r="D42" s="10" t="str">
        <x:v>HT</x:v>
      </x:c>
      <x:c r="E42" s="10" t="str">
        <x:v>H1</x:v>
      </x:c>
      <x:c r="F42" s="11" t="n">
        <x:v>1480</x:v>
      </x:c>
      <x:c r="G42" s="11" t="n">
        <x:v>0</x:v>
      </x:c>
      <x:c r="H42" s="12" t="n">
        <x:f>G42/F42</x:f>
        <x:v>0</x:v>
      </x:c>
      <x:c r="I42" s="11" t="n">
        <x:v>0</x:v>
      </x:c>
      <x:c r="J42" s="11" t="n">
        <x:v>0</x:v>
      </x:c>
      <x:c r="K42" s="11" t="n">
        <x:v>0</x:v>
      </x:c>
      <x:c r="L42" s="11" t="n">
        <x:v>0</x:v>
      </x:c>
      <x:c r="M42" s="11" t="n">
        <x:v>0</x:v>
      </x:c>
    </x:row>
    <x:row r="43" ht="23" customHeight="1">
      <x:c r="A43" s="10" t="str">
        <x:v>M2</x:v>
      </x:c>
      <x:c r="B43" s="10" t="str">
        <x:v>NC</x:v>
      </x:c>
      <x:c r="C43" s="10" t="str">
        <x:v>H0至H1</x:v>
      </x:c>
      <x:c r="D43" s="10" t="str">
        <x:v>H0</x:v>
      </x:c>
      <x:c r="E43" s="10" t="str">
        <x:v>H1</x:v>
      </x:c>
      <x:c r="F43" s="11" t="n">
        <x:v>1480</x:v>
      </x:c>
      <x:c r="G43" s="11" t="n">
        <x:v>120</x:v>
      </x:c>
      <x:c r="H43" s="12" t="n">
        <x:f>G43/F43</x:f>
        <x:v>0.08108108108108109</x:v>
      </x:c>
      <x:c r="I43" s="11" t="n">
        <x:v>120</x:v>
      </x:c>
      <x:c r="J43" s="11" t="n">
        <x:v>0</x:v>
      </x:c>
      <x:c r="K43" s="11" t="n">
        <x:v>120</x:v>
      </x:c>
      <x:c r="L43" s="11" t="n">
        <x:v>0</x:v>
      </x:c>
      <x:c r="M43" s="11" t="n">
        <x:v>120</x:v>
      </x:c>
    </x:row>
    <x:row r="44" ht="23" customHeight="1">
      <x:c r="A44" s="10" t="str">
        <x:v>M2</x:v>
      </x:c>
      <x:c r="B44" s="10" t="str">
        <x:v>NC</x:v>
      </x:c>
      <x:c r="C44" s="10" t="str">
        <x:v>H0至HT</x:v>
      </x:c>
      <x:c r="D44" s="10" t="str">
        <x:v>H0</x:v>
      </x:c>
      <x:c r="E44" s="10" t="str">
        <x:v>HT</x:v>
      </x:c>
      <x:c r="F44" s="11" t="n">
        <x:v>1480</x:v>
      </x:c>
      <x:c r="G44" s="11" t="n">
        <x:v>0</x:v>
      </x:c>
      <x:c r="H44" s="12" t="n">
        <x:f>G44/F44</x:f>
        <x:v>0</x:v>
      </x:c>
      <x:c r="I44" s="11" t="n">
        <x:v>0</x:v>
      </x:c>
      <x:c r="J44" s="11" t="n">
        <x:v>0</x:v>
      </x:c>
      <x:c r="K44" s="11" t="n">
        <x:v>0</x:v>
      </x:c>
      <x:c r="L44" s="11" t="n">
        <x:v>0</x:v>
      </x:c>
      <x:c r="M44" s="11" t="n">
        <x:v>0</x:v>
      </x:c>
    </x:row>
    <x:row r="45" ht="23" customHeight="1">
      <x:c r="A45" s="10" t="str">
        <x:v>M2</x:v>
      </x:c>
      <x:c r="B45" s="10" t="str">
        <x:v>NC</x:v>
      </x:c>
      <x:c r="C45" s="10" t="str">
        <x:v>HT至H1</x:v>
      </x:c>
      <x:c r="D45" s="10" t="str">
        <x:v>HT</x:v>
      </x:c>
      <x:c r="E45" s="10" t="str">
        <x:v>H1</x:v>
      </x:c>
      <x:c r="F45" s="11" t="n">
        <x:v>1480</x:v>
      </x:c>
      <x:c r="G45" s="11" t="n">
        <x:v>120</x:v>
      </x:c>
      <x:c r="H45" s="12" t="n">
        <x:f>G45/F45</x:f>
        <x:v>0.08108108108108109</x:v>
      </x:c>
      <x:c r="I45" s="11" t="n">
        <x:v>120</x:v>
      </x:c>
      <x:c r="J45" s="11" t="n">
        <x:v>0</x:v>
      </x:c>
      <x:c r="K45" s="11" t="n">
        <x:v>120</x:v>
      </x:c>
      <x:c r="L45" s="11" t="n">
        <x:v>0</x:v>
      </x:c>
      <x:c r="M45" s="11" t="n">
        <x:v>120</x:v>
      </x:c>
    </x:row>
    <x:row r="46" ht="23" customHeight="1">
      <x:c r="A46" s="10" t="str">
        <x:v>M2</x:v>
      </x:c>
      <x:c r="B46" s="10" t="str">
        <x:v>NG</x:v>
      </x:c>
      <x:c r="C46" s="10" t="str">
        <x:v>H0至H1</x:v>
      </x:c>
      <x:c r="D46" s="10" t="str">
        <x:v>H0</x:v>
      </x:c>
      <x:c r="E46" s="10" t="str">
        <x:v>H1</x:v>
      </x:c>
      <x:c r="F46" s="11" t="n">
        <x:v>1480</x:v>
      </x:c>
      <x:c r="G46" s="11" t="n">
        <x:v>215</x:v>
      </x:c>
      <x:c r="H46" s="12" t="n">
        <x:f>G46/F46</x:f>
        <x:v>0.14527027027027026</x:v>
      </x:c>
      <x:c r="I46" s="11" t="n">
        <x:v>215</x:v>
      </x:c>
      <x:c r="J46" s="11" t="n">
        <x:v>0</x:v>
      </x:c>
      <x:c r="K46" s="11" t="n">
        <x:v>117</x:v>
      </x:c>
      <x:c r="L46" s="11" t="n">
        <x:v>0</x:v>
      </x:c>
      <x:c r="M46" s="11" t="n">
        <x:v>215</x:v>
      </x:c>
    </x:row>
    <x:row r="47" ht="23" customHeight="1">
      <x:c r="A47" s="10" t="str">
        <x:v>M2</x:v>
      </x:c>
      <x:c r="B47" s="10" t="str">
        <x:v>NG</x:v>
      </x:c>
      <x:c r="C47" s="10" t="str">
        <x:v>H0至HT</x:v>
      </x:c>
      <x:c r="D47" s="10" t="str">
        <x:v>H0</x:v>
      </x:c>
      <x:c r="E47" s="10" t="str">
        <x:v>HT</x:v>
      </x:c>
      <x:c r="F47" s="11" t="n">
        <x:v>1480</x:v>
      </x:c>
      <x:c r="G47" s="11" t="n">
        <x:v>98</x:v>
      </x:c>
      <x:c r="H47" s="12" t="n">
        <x:f>G47/F47</x:f>
        <x:v>0.06621621621621622</x:v>
      </x:c>
      <x:c r="I47" s="11" t="n">
        <x:v>98</x:v>
      </x:c>
      <x:c r="J47" s="11" t="n">
        <x:v>0</x:v>
      </x:c>
      <x:c r="K47" s="11" t="n">
        <x:v>0</x:v>
      </x:c>
      <x:c r="L47" s="11" t="n">
        <x:v>0</x:v>
      </x:c>
      <x:c r="M47" s="11" t="n">
        <x:v>98</x:v>
      </x:c>
    </x:row>
    <x:row r="48" ht="23" customHeight="1">
      <x:c r="A48" s="10" t="str">
        <x:v>M2</x:v>
      </x:c>
      <x:c r="B48" s="10" t="str">
        <x:v>NG</x:v>
      </x:c>
      <x:c r="C48" s="10" t="str">
        <x:v>HT至H1</x:v>
      </x:c>
      <x:c r="D48" s="10" t="str">
        <x:v>HT</x:v>
      </x:c>
      <x:c r="E48" s="10" t="str">
        <x:v>H1</x:v>
      </x:c>
      <x:c r="F48" s="11" t="n">
        <x:v>1480</x:v>
      </x:c>
      <x:c r="G48" s="11" t="n">
        <x:v>117</x:v>
      </x:c>
      <x:c r="H48" s="12" t="n">
        <x:f>G48/F48</x:f>
        <x:v>0.07905405405405405</x:v>
      </x:c>
      <x:c r="I48" s="11" t="n">
        <x:v>117</x:v>
      </x:c>
      <x:c r="J48" s="11" t="n">
        <x:v>0</x:v>
      </x:c>
      <x:c r="K48" s="11" t="n">
        <x:v>117</x:v>
      </x:c>
      <x:c r="L48" s="11" t="n">
        <x:v>0</x:v>
      </x:c>
      <x:c r="M48" s="11" t="n">
        <x:v>117</x:v>
      </x:c>
    </x:row>
    <x:row r="49" ht="23" customHeight="1">
      <x:c r="A49" s="10" t="str">
        <x:v>M2</x:v>
      </x:c>
      <x:c r="B49" s="10" t="str">
        <x:v>CG</x:v>
      </x:c>
      <x:c r="C49" s="10" t="str">
        <x:v>H0至H1</x:v>
      </x:c>
      <x:c r="D49" s="10" t="str">
        <x:v>H0</x:v>
      </x:c>
      <x:c r="E49" s="10" t="str">
        <x:v>H1</x:v>
      </x:c>
      <x:c r="F49" s="11" t="n">
        <x:v>1480</x:v>
      </x:c>
      <x:c r="G49" s="11" t="n">
        <x:v>255</x:v>
      </x:c>
      <x:c r="H49" s="12" t="n">
        <x:f>G49/F49</x:f>
        <x:v>0.17229729729729729</x:v>
      </x:c>
      <x:c r="I49" s="11" t="n">
        <x:v>255</x:v>
      </x:c>
      <x:c r="J49" s="11" t="n">
        <x:v>0</x:v>
      </x:c>
      <x:c r="K49" s="11" t="n">
        <x:v>116</x:v>
      </x:c>
      <x:c r="L49" s="11" t="n">
        <x:v>12</x:v>
      </x:c>
      <x:c r="M49" s="11" t="n">
        <x:v>258</x:v>
      </x:c>
    </x:row>
    <x:row r="50" ht="23" customHeight="1">
      <x:c r="A50" s="10" t="str">
        <x:v>M2</x:v>
      </x:c>
      <x:c r="B50" s="10" t="str">
        <x:v>CG</x:v>
      </x:c>
      <x:c r="C50" s="10" t="str">
        <x:v>H0至HT</x:v>
      </x:c>
      <x:c r="D50" s="10" t="str">
        <x:v>H0</x:v>
      </x:c>
      <x:c r="E50" s="10" t="str">
        <x:v>HT</x:v>
      </x:c>
      <x:c r="F50" s="11" t="n">
        <x:v>1480</x:v>
      </x:c>
      <x:c r="G50" s="11" t="n">
        <x:v>159</x:v>
      </x:c>
      <x:c r="H50" s="12" t="n">
        <x:f>G50/F50</x:f>
        <x:v>0.10743243243243243</x:v>
      </x:c>
      <x:c r="I50" s="11" t="n">
        <x:v>159</x:v>
      </x:c>
      <x:c r="J50" s="11" t="n">
        <x:v>0</x:v>
      </x:c>
      <x:c r="K50" s="11" t="n">
        <x:v>12</x:v>
      </x:c>
      <x:c r="L50" s="11" t="n">
        <x:v>12</x:v>
      </x:c>
      <x:c r="M50" s="11" t="n">
        <x:v>162</x:v>
      </x:c>
    </x:row>
    <x:row r="51" ht="23" customHeight="1">
      <x:c r="A51" s="10" t="str">
        <x:v>M2</x:v>
      </x:c>
      <x:c r="B51" s="10" t="str">
        <x:v>CG</x:v>
      </x:c>
      <x:c r="C51" s="10" t="str">
        <x:v>HT至H1</x:v>
      </x:c>
      <x:c r="D51" s="10" t="str">
        <x:v>HT</x:v>
      </x:c>
      <x:c r="E51" s="10" t="str">
        <x:v>H1</x:v>
      </x:c>
      <x:c r="F51" s="11" t="n">
        <x:v>1480</x:v>
      </x:c>
      <x:c r="G51" s="11" t="n">
        <x:v>104</x:v>
      </x:c>
      <x:c r="H51" s="12" t="n">
        <x:f>G51/F51</x:f>
        <x:v>0.07027027027027027</x:v>
      </x:c>
      <x:c r="I51" s="11" t="n">
        <x:v>104</x:v>
      </x:c>
      <x:c r="J51" s="11" t="n">
        <x:v>0</x:v>
      </x:c>
      <x:c r="K51" s="11" t="n">
        <x:v>104</x:v>
      </x:c>
      <x:c r="L51" s="11" t="n">
        <x:v>0</x:v>
      </x:c>
      <x:c r="M51" s="11" t="n">
        <x:v>104</x:v>
      </x:c>
    </x:row>
    <x:row r="52" ht="23" customHeight="1">
      <x:c r="A52" s="10" t="str">
        <x:v>M2</x:v>
      </x:c>
      <x:c r="B52" s="10" t="str">
        <x:v>NCG</x:v>
      </x:c>
      <x:c r="C52" s="10" t="str">
        <x:v>H0至H1</x:v>
      </x:c>
      <x:c r="D52" s="10" t="str">
        <x:v>H0</x:v>
      </x:c>
      <x:c r="E52" s="10" t="str">
        <x:v>H1</x:v>
      </x:c>
      <x:c r="F52" s="11" t="n">
        <x:v>1480</x:v>
      </x:c>
      <x:c r="G52" s="11" t="n">
        <x:v>283</x:v>
      </x:c>
      <x:c r="H52" s="12" t="n">
        <x:f>G52/F52</x:f>
        <x:v>0.1912162162162162</x:v>
      </x:c>
      <x:c r="I52" s="11" t="n">
        <x:v>283</x:v>
      </x:c>
      <x:c r="J52" s="11" t="n">
        <x:v>0</x:v>
      </x:c>
      <x:c r="K52" s="11" t="n">
        <x:v>132</x:v>
      </x:c>
      <x:c r="L52" s="11" t="n">
        <x:v>12</x:v>
      </x:c>
      <x:c r="M52" s="11" t="n">
        <x:v>284</x:v>
      </x:c>
    </x:row>
    <x:row r="53" ht="23" customHeight="1">
      <x:c r="A53" s="10" t="str">
        <x:v>M2</x:v>
      </x:c>
      <x:c r="B53" s="10" t="str">
        <x:v>NCG</x:v>
      </x:c>
      <x:c r="C53" s="10" t="str">
        <x:v>H0至HT</x:v>
      </x:c>
      <x:c r="D53" s="10" t="str">
        <x:v>H0</x:v>
      </x:c>
      <x:c r="E53" s="10" t="str">
        <x:v>HT</x:v>
      </x:c>
      <x:c r="F53" s="11" t="n">
        <x:v>1480</x:v>
      </x:c>
      <x:c r="G53" s="11" t="n">
        <x:v>171</x:v>
      </x:c>
      <x:c r="H53" s="12" t="n">
        <x:f>G53/F53</x:f>
        <x:v>0.11554054054054054</x:v>
      </x:c>
      <x:c r="I53" s="11" t="n">
        <x:v>171</x:v>
      </x:c>
      <x:c r="J53" s="11" t="n">
        <x:v>0</x:v>
      </x:c>
      <x:c r="K53" s="11" t="n">
        <x:v>12</x:v>
      </x:c>
      <x:c r="L53" s="11" t="n">
        <x:v>12</x:v>
      </x:c>
      <x:c r="M53" s="11" t="n">
        <x:v>172</x:v>
      </x:c>
    </x:row>
    <x:row r="54" ht="23" customHeight="1">
      <x:c r="A54" s="10" t="str">
        <x:v>M2</x:v>
      </x:c>
      <x:c r="B54" s="10" t="str">
        <x:v>NCG</x:v>
      </x:c>
      <x:c r="C54" s="10" t="str">
        <x:v>HT至H1</x:v>
      </x:c>
      <x:c r="D54" s="10" t="str">
        <x:v>HT</x:v>
      </x:c>
      <x:c r="E54" s="10" t="str">
        <x:v>H1</x:v>
      </x:c>
      <x:c r="F54" s="11" t="n">
        <x:v>1480</x:v>
      </x:c>
      <x:c r="G54" s="11" t="n">
        <x:v>120</x:v>
      </x:c>
      <x:c r="H54" s="12" t="n">
        <x:f>G54/F54</x:f>
        <x:v>0.08108108108108109</x:v>
      </x:c>
      <x:c r="I54" s="11" t="n">
        <x:v>120</x:v>
      </x:c>
      <x:c r="J54" s="11" t="n">
        <x:v>0</x:v>
      </x:c>
      <x:c r="K54" s="11" t="n">
        <x:v>120</x:v>
      </x:c>
      <x:c r="L54" s="11" t="n">
        <x:v>0</x:v>
      </x:c>
      <x:c r="M54" s="11" t="n">
        <x:v>120</x:v>
      </x:c>
    </x:row>
    <x:row r="55" ht="23" customHeight="1">
      <x:c r="A55" s="10" t="str">
        <x:v>M2</x:v>
      </x:c>
      <x:c r="B55" s="10" t="str">
        <x:v>NCG</x:v>
      </x:c>
      <x:c r="C55" s="10" t="str">
        <x:v>叶名称辅助</x:v>
      </x:c>
      <x:c r="D55" s="10" t="str">
        <x:v>NCG_H0</x:v>
      </x:c>
      <x:c r="E55" s="10" t="str">
        <x:v>NCG_H0_M1</x:v>
      </x:c>
      <x:c r="F55" s="11" t="n">
        <x:v>1480</x:v>
      </x:c>
      <x:c r="G55" s="11" t="n">
        <x:v>220</x:v>
      </x:c>
      <x:c r="H55" s="12" t="n">
        <x:f>G55/F55</x:f>
        <x:v>0.14864864864864866</x:v>
      </x:c>
      <x:c r="I55" s="11" t="n">
        <x:v>213</x:v>
      </x:c>
      <x:c r="J55" s="11" t="n">
        <x:v>7</x:v>
      </x:c>
      <x:c r="K55" s="11" t="n">
        <x:v>346</x:v>
      </x:c>
      <x:c r="L55" s="11" t="n">
        <x:v>388</x:v>
      </x:c>
      <x:c r="M55" s="11" t="n">
        <x:v>220</x:v>
      </x:c>
    </x:row>
    <x:row r="56" ht="23" customHeight="1">
      <x:c r="A56" s="10" t="str">
        <x:v>M2</x:v>
      </x:c>
      <x:c r="B56" s="10" t="str">
        <x:v>NCG</x:v>
      </x:c>
      <x:c r="C56" s="10" t="str">
        <x:v>叶名称辅助</x:v>
      </x:c>
      <x:c r="D56" s="10" t="str">
        <x:v>NCG_H1</x:v>
      </x:c>
      <x:c r="E56" s="10" t="str">
        <x:v>NCG_H1_M1</x:v>
      </x:c>
      <x:c r="F56" s="11" t="n">
        <x:v>1480</x:v>
      </x:c>
      <x:c r="G56" s="11" t="n">
        <x:v>253</x:v>
      </x:c>
      <x:c r="H56" s="12" t="n">
        <x:f>G56/F56</x:f>
        <x:v>0.17094594594594595</x:v>
      </x:c>
      <x:c r="I56" s="11" t="n">
        <x:v>246</x:v>
      </x:c>
      <x:c r="J56" s="11" t="n">
        <x:v>7</x:v>
      </x:c>
      <x:c r="K56" s="11" t="n">
        <x:v>346</x:v>
      </x:c>
      <x:c r="L56" s="11" t="n">
        <x:v>388</x:v>
      </x:c>
      <x:c r="M56" s="11" t="n">
        <x:v>253</x:v>
      </x:c>
    </x:row>
    <x:row r="57" ht="23" customHeight="1">
      <x:c r="A57" s="10" t="str">
        <x:v>M2</x:v>
      </x:c>
      <x:c r="B57" s="10" t="str">
        <x:v>branch</x:v>
      </x:c>
      <x:c r="C57" s="10" t="str">
        <x:v>分支贡献</x:v>
      </x:c>
      <x:c r="D57" s="10" t="str">
        <x:v>N_H0</x:v>
      </x:c>
      <x:c r="E57" s="10" t="str">
        <x:v>NC_H0</x:v>
      </x:c>
      <x:c r="F57" s="11" t="n">
        <x:v>1480</x:v>
      </x:c>
      <x:c r="G57" s="11" t="n">
        <x:v>552</x:v>
      </x:c>
      <x:c r="H57" s="12" t="n">
        <x:f>G57/F57</x:f>
        <x:v>0.372972972972973</x:v>
      </x:c>
      <x:c r="I57" s="11" t="n">
        <x:v>157</x:v>
      </x:c>
      <x:c r="J57" s="11" t="n">
        <x:v>395</x:v>
      </x:c>
      <x:c r="K57" s="11" t="n">
        <x:v>552</x:v>
      </x:c>
      <x:c r="L57" s="11" t="n">
        <x:v>782</x:v>
      </x:c>
      <x:c r="M57" s="11" t="n">
        <x:v>552</x:v>
      </x:c>
    </x:row>
    <x:row r="58" ht="23" customHeight="1">
      <x:c r="A58" s="10" t="str">
        <x:v>M2</x:v>
      </x:c>
      <x:c r="B58" s="10" t="str">
        <x:v>branch</x:v>
      </x:c>
      <x:c r="C58" s="10" t="str">
        <x:v>分支贡献</x:v>
      </x:c>
      <x:c r="D58" s="10" t="str">
        <x:v>C_H0</x:v>
      </x:c>
      <x:c r="E58" s="10" t="str">
        <x:v>NC_H0</x:v>
      </x:c>
      <x:c r="F58" s="11" t="n">
        <x:v>1480</x:v>
      </x:c>
      <x:c r="G58" s="11" t="n">
        <x:v>248</x:v>
      </x:c>
      <x:c r="H58" s="12" t="n">
        <x:f>G58/F58</x:f>
        <x:v>0.16756756756756758</x:v>
      </x:c>
      <x:c r="I58" s="11" t="n">
        <x:v>180</x:v>
      </x:c>
      <x:c r="J58" s="11" t="n">
        <x:v>68</x:v>
      </x:c>
      <x:c r="K58" s="11" t="n">
        <x:v>248</x:v>
      </x:c>
      <x:c r="L58" s="11" t="n">
        <x:v>352</x:v>
      </x:c>
      <x:c r="M58" s="11" t="n">
        <x:v>248</x:v>
      </x:c>
    </x:row>
    <x:row r="59" ht="23" customHeight="1">
      <x:c r="A59" s="10" t="str">
        <x:v>M2</x:v>
      </x:c>
      <x:c r="B59" s="10" t="str">
        <x:v>branch</x:v>
      </x:c>
      <x:c r="C59" s="10" t="str">
        <x:v>分支贡献</x:v>
      </x:c>
      <x:c r="D59" s="10" t="str">
        <x:v>N_H0</x:v>
      </x:c>
      <x:c r="E59" s="10" t="str">
        <x:v>NG_H0</x:v>
      </x:c>
      <x:c r="F59" s="11" t="n">
        <x:v>1480</x:v>
      </x:c>
      <x:c r="G59" s="11" t="n">
        <x:v>1077</x:v>
      </x:c>
      <x:c r="H59" s="12" t="n">
        <x:f>G59/F59</x:f>
        <x:v>0.7277027027027027</x:v>
      </x:c>
      <x:c r="I59" s="11" t="n">
        <x:v>140</x:v>
      </x:c>
      <x:c r="J59" s="11" t="n">
        <x:v>937</x:v>
      </x:c>
      <x:c r="K59" s="11" t="n">
        <x:v>0</x:v>
      </x:c>
      <x:c r="L59" s="11" t="n">
        <x:v>0</x:v>
      </x:c>
      <x:c r="M59" s="11" t="n">
        <x:v>1480</x:v>
      </x:c>
    </x:row>
    <x:row r="60" ht="23" customHeight="1">
      <x:c r="A60" s="10" t="str">
        <x:v>M2</x:v>
      </x:c>
      <x:c r="B60" s="10" t="str">
        <x:v>branch</x:v>
      </x:c>
      <x:c r="C60" s="10" t="str">
        <x:v>分支贡献</x:v>
      </x:c>
      <x:c r="D60" s="10" t="str">
        <x:v>C_H0</x:v>
      </x:c>
      <x:c r="E60" s="10" t="str">
        <x:v>CG_H0</x:v>
      </x:c>
      <x:c r="F60" s="11" t="n">
        <x:v>1480</x:v>
      </x:c>
      <x:c r="G60" s="11" t="n">
        <x:v>1340</x:v>
      </x:c>
      <x:c r="H60" s="12" t="n">
        <x:f>G60/F60</x:f>
        <x:v>0.9054054054054054</x:v>
      </x:c>
      <x:c r="I60" s="11" t="n">
        <x:v>446</x:v>
      </x:c>
      <x:c r="J60" s="11" t="n">
        <x:v>894</x:v>
      </x:c>
      <x:c r="K60" s="11" t="n">
        <x:v>0</x:v>
      </x:c>
      <x:c r="L60" s="11" t="n">
        <x:v>0</x:v>
      </x:c>
      <x:c r="M60" s="11" t="n">
        <x:v>1480</x:v>
      </x:c>
    </x:row>
    <x:row r="61" ht="23" customHeight="1">
      <x:c r="A61" s="10" t="str">
        <x:v>M2</x:v>
      </x:c>
      <x:c r="B61" s="10" t="str">
        <x:v>branch</x:v>
      </x:c>
      <x:c r="C61" s="10" t="str">
        <x:v>分支贡献</x:v>
      </x:c>
      <x:c r="D61" s="10" t="str">
        <x:v>NC_H0</x:v>
      </x:c>
      <x:c r="E61" s="10" t="str">
        <x:v>NCG_H0</x:v>
      </x:c>
      <x:c r="F61" s="11" t="n">
        <x:v>1480</x:v>
      </x:c>
      <x:c r="G61" s="11" t="n">
        <x:v>1280</x:v>
      </x:c>
      <x:c r="H61" s="12" t="n">
        <x:f>G61/F61</x:f>
        <x:v>0.8648648648648649</x:v>
      </x:c>
      <x:c r="I61" s="11" t="n">
        <x:v>427</x:v>
      </x:c>
      <x:c r="J61" s="11" t="n">
        <x:v>853</x:v>
      </x:c>
      <x:c r="K61" s="11" t="n">
        <x:v>0</x:v>
      </x:c>
      <x:c r="L61" s="11" t="n">
        <x:v>0</x:v>
      </x:c>
      <x:c r="M61" s="11" t="n">
        <x:v>1480</x:v>
      </x:c>
    </x:row>
    <x:row r="62" ht="23" customHeight="1">
      <x:c r="A62" s="10" t="str">
        <x:v>M3</x:v>
      </x:c>
      <x:c r="B62" s="10" t="str">
        <x:v>N</x:v>
      </x:c>
      <x:c r="C62" s="10" t="str">
        <x:v>H0至H1</x:v>
      </x:c>
      <x:c r="D62" s="10" t="str">
        <x:v>H0</x:v>
      </x:c>
      <x:c r="E62" s="10" t="str">
        <x:v>H1</x:v>
      </x:c>
      <x:c r="F62" s="11" t="n">
        <x:v>1481</x:v>
      </x:c>
      <x:c r="G62" s="11" t="n">
        <x:v>24</x:v>
      </x:c>
      <x:c r="H62" s="12" t="n">
        <x:f>G62/F62</x:f>
        <x:v>0.016205266711681297</x:v>
      </x:c>
      <x:c r="I62" s="11" t="n">
        <x:v>24</x:v>
      </x:c>
      <x:c r="J62" s="11" t="n">
        <x:v>0</x:v>
      </x:c>
      <x:c r="K62" s="11" t="n">
        <x:v>24</x:v>
      </x:c>
      <x:c r="L62" s="11" t="n">
        <x:v>0</x:v>
      </x:c>
      <x:c r="M62" s="11" t="n">
        <x:v>24</x:v>
      </x:c>
    </x:row>
    <x:row r="63" ht="23" customHeight="1">
      <x:c r="A63" s="10" t="str">
        <x:v>M3</x:v>
      </x:c>
      <x:c r="B63" s="10" t="str">
        <x:v>N</x:v>
      </x:c>
      <x:c r="C63" s="10" t="str">
        <x:v>H0至HT</x:v>
      </x:c>
      <x:c r="D63" s="10" t="str">
        <x:v>H0</x:v>
      </x:c>
      <x:c r="E63" s="10" t="str">
        <x:v>HT</x:v>
      </x:c>
      <x:c r="F63" s="11" t="n">
        <x:v>1481</x:v>
      </x:c>
      <x:c r="G63" s="11" t="n">
        <x:v>0</x:v>
      </x:c>
      <x:c r="H63" s="12" t="n">
        <x:f>G63/F63</x:f>
        <x:v>0</x:v>
      </x:c>
      <x:c r="I63" s="11" t="n">
        <x:v>0</x:v>
      </x:c>
      <x:c r="J63" s="11" t="n">
        <x:v>0</x:v>
      </x:c>
      <x:c r="K63" s="11" t="n">
        <x:v>0</x:v>
      </x:c>
      <x:c r="L63" s="11" t="n">
        <x:v>0</x:v>
      </x:c>
      <x:c r="M63" s="11" t="n">
        <x:v>0</x:v>
      </x:c>
    </x:row>
    <x:row r="64" ht="23" customHeight="1">
      <x:c r="A64" s="10" t="str">
        <x:v>M3</x:v>
      </x:c>
      <x:c r="B64" s="10" t="str">
        <x:v>N</x:v>
      </x:c>
      <x:c r="C64" s="10" t="str">
        <x:v>HT至H1</x:v>
      </x:c>
      <x:c r="D64" s="10" t="str">
        <x:v>HT</x:v>
      </x:c>
      <x:c r="E64" s="10" t="str">
        <x:v>H1</x:v>
      </x:c>
      <x:c r="F64" s="11" t="n">
        <x:v>1481</x:v>
      </x:c>
      <x:c r="G64" s="11" t="n">
        <x:v>24</x:v>
      </x:c>
      <x:c r="H64" s="12" t="n">
        <x:f>G64/F64</x:f>
        <x:v>0.016205266711681297</x:v>
      </x:c>
      <x:c r="I64" s="11" t="n">
        <x:v>24</x:v>
      </x:c>
      <x:c r="J64" s="11" t="n">
        <x:v>0</x:v>
      </x:c>
      <x:c r="K64" s="11" t="n">
        <x:v>24</x:v>
      </x:c>
      <x:c r="L64" s="11" t="n">
        <x:v>0</x:v>
      </x:c>
      <x:c r="M64" s="11" t="n">
        <x:v>24</x:v>
      </x:c>
    </x:row>
    <x:row r="65" ht="23" customHeight="1">
      <x:c r="A65" s="10" t="str">
        <x:v>M3</x:v>
      </x:c>
      <x:c r="B65" s="10" t="str">
        <x:v>C</x:v>
      </x:c>
      <x:c r="C65" s="10" t="str">
        <x:v>H0至H1</x:v>
      </x:c>
      <x:c r="D65" s="10" t="str">
        <x:v>H0</x:v>
      </x:c>
      <x:c r="E65" s="10" t="str">
        <x:v>H1</x:v>
      </x:c>
      <x:c r="F65" s="11" t="n">
        <x:v>1481</x:v>
      </x:c>
      <x:c r="G65" s="11" t="n">
        <x:v>30</x:v>
      </x:c>
      <x:c r="H65" s="12" t="n">
        <x:f>G65/F65</x:f>
        <x:v>0.02025658338960162</x:v>
      </x:c>
      <x:c r="I65" s="11" t="n">
        <x:v>30</x:v>
      </x:c>
      <x:c r="J65" s="11" t="n">
        <x:v>0</x:v>
      </x:c>
      <x:c r="K65" s="11" t="n">
        <x:v>30</x:v>
      </x:c>
      <x:c r="L65" s="11" t="n">
        <x:v>0</x:v>
      </x:c>
      <x:c r="M65" s="11" t="n">
        <x:v>30</x:v>
      </x:c>
    </x:row>
    <x:row r="66" ht="23" customHeight="1">
      <x:c r="A66" s="10" t="str">
        <x:v>M3</x:v>
      </x:c>
      <x:c r="B66" s="10" t="str">
        <x:v>C</x:v>
      </x:c>
      <x:c r="C66" s="10" t="str">
        <x:v>H0至HT</x:v>
      </x:c>
      <x:c r="D66" s="10" t="str">
        <x:v>H0</x:v>
      </x:c>
      <x:c r="E66" s="10" t="str">
        <x:v>HT</x:v>
      </x:c>
      <x:c r="F66" s="11" t="n">
        <x:v>1481</x:v>
      </x:c>
      <x:c r="G66" s="11" t="n">
        <x:v>0</x:v>
      </x:c>
      <x:c r="H66" s="12" t="n">
        <x:f>G66/F66</x:f>
        <x:v>0</x:v>
      </x:c>
      <x:c r="I66" s="11" t="n">
        <x:v>0</x:v>
      </x:c>
      <x:c r="J66" s="11" t="n">
        <x:v>0</x:v>
      </x:c>
      <x:c r="K66" s="11" t="n">
        <x:v>0</x:v>
      </x:c>
      <x:c r="L66" s="11" t="n">
        <x:v>0</x:v>
      </x:c>
      <x:c r="M66" s="11" t="n">
        <x:v>0</x:v>
      </x:c>
    </x:row>
    <x:row r="67" ht="23" customHeight="1">
      <x:c r="A67" s="10" t="str">
        <x:v>M3</x:v>
      </x:c>
      <x:c r="B67" s="10" t="str">
        <x:v>C</x:v>
      </x:c>
      <x:c r="C67" s="10" t="str">
        <x:v>HT至H1</x:v>
      </x:c>
      <x:c r="D67" s="10" t="str">
        <x:v>HT</x:v>
      </x:c>
      <x:c r="E67" s="10" t="str">
        <x:v>H1</x:v>
      </x:c>
      <x:c r="F67" s="11" t="n">
        <x:v>1481</x:v>
      </x:c>
      <x:c r="G67" s="11" t="n">
        <x:v>30</x:v>
      </x:c>
      <x:c r="H67" s="12" t="n">
        <x:f>G67/F67</x:f>
        <x:v>0.02025658338960162</x:v>
      </x:c>
      <x:c r="I67" s="11" t="n">
        <x:v>30</x:v>
      </x:c>
      <x:c r="J67" s="11" t="n">
        <x:v>0</x:v>
      </x:c>
      <x:c r="K67" s="11" t="n">
        <x:v>30</x:v>
      </x:c>
      <x:c r="L67" s="11" t="n">
        <x:v>0</x:v>
      </x:c>
      <x:c r="M67" s="11" t="n">
        <x:v>30</x:v>
      </x:c>
    </x:row>
    <x:row r="68" ht="23" customHeight="1">
      <x:c r="A68" s="10" t="str">
        <x:v>M3</x:v>
      </x:c>
      <x:c r="B68" s="10" t="str">
        <x:v>G</x:v>
      </x:c>
      <x:c r="C68" s="10" t="str">
        <x:v>H0至H1</x:v>
      </x:c>
      <x:c r="D68" s="10" t="str">
        <x:v>H0</x:v>
      </x:c>
      <x:c r="E68" s="10" t="str">
        <x:v>H1</x:v>
      </x:c>
      <x:c r="F68" s="11" t="n">
        <x:v>1481</x:v>
      </x:c>
      <x:c r="G68" s="11" t="n">
        <x:v>167</x:v>
      </x:c>
      <x:c r="H68" s="12" t="n">
        <x:f>G68/F68</x:f>
        <x:v>0.11276164753544902</x:v>
      </x:c>
      <x:c r="I68" s="11" t="n">
        <x:v>167</x:v>
      </x:c>
      <x:c r="J68" s="11" t="n">
        <x:v>0</x:v>
      </x:c>
      <x:c r="K68" s="11" t="n">
        <x:v>0</x:v>
      </x:c>
      <x:c r="L68" s="11" t="n">
        <x:v>0</x:v>
      </x:c>
      <x:c r="M68" s="11" t="n">
        <x:v>167</x:v>
      </x:c>
    </x:row>
    <x:row r="69" ht="23" customHeight="1">
      <x:c r="A69" s="10" t="str">
        <x:v>M3</x:v>
      </x:c>
      <x:c r="B69" s="10" t="str">
        <x:v>G</x:v>
      </x:c>
      <x:c r="C69" s="10" t="str">
        <x:v>H0至HT</x:v>
      </x:c>
      <x:c r="D69" s="10" t="str">
        <x:v>H0</x:v>
      </x:c>
      <x:c r="E69" s="10" t="str">
        <x:v>HT</x:v>
      </x:c>
      <x:c r="F69" s="11" t="n">
        <x:v>1481</x:v>
      </x:c>
      <x:c r="G69" s="11" t="n">
        <x:v>167</x:v>
      </x:c>
      <x:c r="H69" s="12" t="n">
        <x:f>G69/F69</x:f>
        <x:v>0.11276164753544902</x:v>
      </x:c>
      <x:c r="I69" s="11" t="n">
        <x:v>167</x:v>
      </x:c>
      <x:c r="J69" s="11" t="n">
        <x:v>0</x:v>
      </x:c>
      <x:c r="K69" s="11" t="n">
        <x:v>0</x:v>
      </x:c>
      <x:c r="L69" s="11" t="n">
        <x:v>0</x:v>
      </x:c>
      <x:c r="M69" s="11" t="n">
        <x:v>167</x:v>
      </x:c>
    </x:row>
    <x:row r="70" ht="23" customHeight="1">
      <x:c r="A70" s="10" t="str">
        <x:v>M3</x:v>
      </x:c>
      <x:c r="B70" s="10" t="str">
        <x:v>G</x:v>
      </x:c>
      <x:c r="C70" s="10" t="str">
        <x:v>HT至H1</x:v>
      </x:c>
      <x:c r="D70" s="10" t="str">
        <x:v>HT</x:v>
      </x:c>
      <x:c r="E70" s="10" t="str">
        <x:v>H1</x:v>
      </x:c>
      <x:c r="F70" s="11" t="n">
        <x:v>1481</x:v>
      </x:c>
      <x:c r="G70" s="11" t="n">
        <x:v>0</x:v>
      </x:c>
      <x:c r="H70" s="12" t="n">
        <x:f>G70/F70</x:f>
        <x:v>0</x:v>
      </x:c>
      <x:c r="I70" s="11" t="n">
        <x:v>0</x:v>
      </x:c>
      <x:c r="J70" s="11" t="n">
        <x:v>0</x:v>
      </x:c>
      <x:c r="K70" s="11" t="n">
        <x:v>0</x:v>
      </x:c>
      <x:c r="L70" s="11" t="n">
        <x:v>0</x:v>
      </x:c>
      <x:c r="M70" s="11" t="n">
        <x:v>0</x:v>
      </x:c>
    </x:row>
    <x:row r="71" ht="23" customHeight="1">
      <x:c r="A71" s="10" t="str">
        <x:v>M3</x:v>
      </x:c>
      <x:c r="B71" s="10" t="str">
        <x:v>NC</x:v>
      </x:c>
      <x:c r="C71" s="10" t="str">
        <x:v>H0至H1</x:v>
      </x:c>
      <x:c r="D71" s="10" t="str">
        <x:v>H0</x:v>
      </x:c>
      <x:c r="E71" s="10" t="str">
        <x:v>H1</x:v>
      </x:c>
      <x:c r="F71" s="11" t="n">
        <x:v>1481</x:v>
      </x:c>
      <x:c r="G71" s="11" t="n">
        <x:v>35</x:v>
      </x:c>
      <x:c r="H71" s="12" t="n">
        <x:f>G71/F71</x:f>
        <x:v>0.02363268062120189</x:v>
      </x:c>
      <x:c r="I71" s="11" t="n">
        <x:v>35</x:v>
      </x:c>
      <x:c r="J71" s="11" t="n">
        <x:v>0</x:v>
      </x:c>
      <x:c r="K71" s="11" t="n">
        <x:v>35</x:v>
      </x:c>
      <x:c r="L71" s="11" t="n">
        <x:v>0</x:v>
      </x:c>
      <x:c r="M71" s="11" t="n">
        <x:v>35</x:v>
      </x:c>
    </x:row>
    <x:row r="72" ht="23" customHeight="1">
      <x:c r="A72" s="10" t="str">
        <x:v>M3</x:v>
      </x:c>
      <x:c r="B72" s="10" t="str">
        <x:v>NC</x:v>
      </x:c>
      <x:c r="C72" s="10" t="str">
        <x:v>H0至HT</x:v>
      </x:c>
      <x:c r="D72" s="10" t="str">
        <x:v>H0</x:v>
      </x:c>
      <x:c r="E72" s="10" t="str">
        <x:v>HT</x:v>
      </x:c>
      <x:c r="F72" s="11" t="n">
        <x:v>1481</x:v>
      </x:c>
      <x:c r="G72" s="11" t="n">
        <x:v>0</x:v>
      </x:c>
      <x:c r="H72" s="12" t="n">
        <x:f>G72/F72</x:f>
        <x:v>0</x:v>
      </x:c>
      <x:c r="I72" s="11" t="n">
        <x:v>0</x:v>
      </x:c>
      <x:c r="J72" s="11" t="n">
        <x:v>0</x:v>
      </x:c>
      <x:c r="K72" s="11" t="n">
        <x:v>0</x:v>
      </x:c>
      <x:c r="L72" s="11" t="n">
        <x:v>0</x:v>
      </x:c>
      <x:c r="M72" s="11" t="n">
        <x:v>0</x:v>
      </x:c>
    </x:row>
    <x:row r="73" ht="23" customHeight="1">
      <x:c r="A73" s="10" t="str">
        <x:v>M3</x:v>
      </x:c>
      <x:c r="B73" s="10" t="str">
        <x:v>NC</x:v>
      </x:c>
      <x:c r="C73" s="10" t="str">
        <x:v>HT至H1</x:v>
      </x:c>
      <x:c r="D73" s="10" t="str">
        <x:v>HT</x:v>
      </x:c>
      <x:c r="E73" s="10" t="str">
        <x:v>H1</x:v>
      </x:c>
      <x:c r="F73" s="11" t="n">
        <x:v>1481</x:v>
      </x:c>
      <x:c r="G73" s="11" t="n">
        <x:v>35</x:v>
      </x:c>
      <x:c r="H73" s="12" t="n">
        <x:f>G73/F73</x:f>
        <x:v>0.02363268062120189</x:v>
      </x:c>
      <x:c r="I73" s="11" t="n">
        <x:v>35</x:v>
      </x:c>
      <x:c r="J73" s="11" t="n">
        <x:v>0</x:v>
      </x:c>
      <x:c r="K73" s="11" t="n">
        <x:v>35</x:v>
      </x:c>
      <x:c r="L73" s="11" t="n">
        <x:v>0</x:v>
      </x:c>
      <x:c r="M73" s="11" t="n">
        <x:v>35</x:v>
      </x:c>
    </x:row>
    <x:row r="74" ht="23" customHeight="1">
      <x:c r="A74" s="10" t="str">
        <x:v>M3</x:v>
      </x:c>
      <x:c r="B74" s="10" t="str">
        <x:v>NG</x:v>
      </x:c>
      <x:c r="C74" s="10" t="str">
        <x:v>H0至H1</x:v>
      </x:c>
      <x:c r="D74" s="10" t="str">
        <x:v>H0</x:v>
      </x:c>
      <x:c r="E74" s="10" t="str">
        <x:v>H1</x:v>
      </x:c>
      <x:c r="F74" s="11" t="n">
        <x:v>1481</x:v>
      </x:c>
      <x:c r="G74" s="11" t="n">
        <x:v>154</x:v>
      </x:c>
      <x:c r="H74" s="12" t="n">
        <x:f>G74/F74</x:f>
        <x:v>0.10398379473328832</x:v>
      </x:c>
      <x:c r="I74" s="11" t="n">
        <x:v>154</x:v>
      </x:c>
      <x:c r="J74" s="11" t="n">
        <x:v>0</x:v>
      </x:c>
      <x:c r="K74" s="11" t="n">
        <x:v>24</x:v>
      </x:c>
      <x:c r="L74" s="11" t="n">
        <x:v>0</x:v>
      </x:c>
      <x:c r="M74" s="11" t="n">
        <x:v>154</x:v>
      </x:c>
    </x:row>
    <x:row r="75" ht="23" customHeight="1">
      <x:c r="A75" s="10" t="str">
        <x:v>M3</x:v>
      </x:c>
      <x:c r="B75" s="10" t="str">
        <x:v>NG</x:v>
      </x:c>
      <x:c r="C75" s="10" t="str">
        <x:v>H0至HT</x:v>
      </x:c>
      <x:c r="D75" s="10" t="str">
        <x:v>H0</x:v>
      </x:c>
      <x:c r="E75" s="10" t="str">
        <x:v>HT</x:v>
      </x:c>
      <x:c r="F75" s="11" t="n">
        <x:v>1481</x:v>
      </x:c>
      <x:c r="G75" s="11" t="n">
        <x:v>132</x:v>
      </x:c>
      <x:c r="H75" s="12" t="n">
        <x:f>G75/F75</x:f>
        <x:v>0.08912896691424713</x:v>
      </x:c>
      <x:c r="I75" s="11" t="n">
        <x:v>132</x:v>
      </x:c>
      <x:c r="J75" s="11" t="n">
        <x:v>0</x:v>
      </x:c>
      <x:c r="K75" s="11" t="n">
        <x:v>0</x:v>
      </x:c>
      <x:c r="L75" s="11" t="n">
        <x:v>0</x:v>
      </x:c>
      <x:c r="M75" s="11" t="n">
        <x:v>132</x:v>
      </x:c>
    </x:row>
    <x:row r="76" ht="23" customHeight="1">
      <x:c r="A76" s="10" t="str">
        <x:v>M3</x:v>
      </x:c>
      <x:c r="B76" s="10" t="str">
        <x:v>NG</x:v>
      </x:c>
      <x:c r="C76" s="10" t="str">
        <x:v>HT至H1</x:v>
      </x:c>
      <x:c r="D76" s="10" t="str">
        <x:v>HT</x:v>
      </x:c>
      <x:c r="E76" s="10" t="str">
        <x:v>H1</x:v>
      </x:c>
      <x:c r="F76" s="11" t="n">
        <x:v>1481</x:v>
      </x:c>
      <x:c r="G76" s="11" t="n">
        <x:v>24</x:v>
      </x:c>
      <x:c r="H76" s="12" t="n">
        <x:f>G76/F76</x:f>
        <x:v>0.016205266711681297</x:v>
      </x:c>
      <x:c r="I76" s="11" t="n">
        <x:v>24</x:v>
      </x:c>
      <x:c r="J76" s="11" t="n">
        <x:v>0</x:v>
      </x:c>
      <x:c r="K76" s="11" t="n">
        <x:v>24</x:v>
      </x:c>
      <x:c r="L76" s="11" t="n">
        <x:v>0</x:v>
      </x:c>
      <x:c r="M76" s="11" t="n">
        <x:v>24</x:v>
      </x:c>
    </x:row>
    <x:row r="77" ht="23" customHeight="1">
      <x:c r="A77" s="10" t="str">
        <x:v>M3</x:v>
      </x:c>
      <x:c r="B77" s="10" t="str">
        <x:v>CG</x:v>
      </x:c>
      <x:c r="C77" s="10" t="str">
        <x:v>H0至H1</x:v>
      </x:c>
      <x:c r="D77" s="10" t="str">
        <x:v>H0</x:v>
      </x:c>
      <x:c r="E77" s="10" t="str">
        <x:v>H1</x:v>
      </x:c>
      <x:c r="F77" s="11" t="n">
        <x:v>1481</x:v>
      </x:c>
      <x:c r="G77" s="11" t="n">
        <x:v>196</x:v>
      </x:c>
      <x:c r="H77" s="12" t="n">
        <x:f>G77/F77</x:f>
        <x:v>0.1323430114787306</x:v>
      </x:c>
      <x:c r="I77" s="11" t="n">
        <x:v>196</x:v>
      </x:c>
      <x:c r="J77" s="11" t="n">
        <x:v>0</x:v>
      </x:c>
      <x:c r="K77" s="11" t="n">
        <x:v>32</x:v>
      </x:c>
      <x:c r="L77" s="11" t="n">
        <x:v>2</x:v>
      </x:c>
      <x:c r="M77" s="11" t="n">
        <x:v>196</x:v>
      </x:c>
    </x:row>
    <x:row r="78" ht="23" customHeight="1">
      <x:c r="A78" s="10" t="str">
        <x:v>M3</x:v>
      </x:c>
      <x:c r="B78" s="10" t="str">
        <x:v>CG</x:v>
      </x:c>
      <x:c r="C78" s="10" t="str">
        <x:v>H0至HT</x:v>
      </x:c>
      <x:c r="D78" s="10" t="str">
        <x:v>H0</x:v>
      </x:c>
      <x:c r="E78" s="10" t="str">
        <x:v>HT</x:v>
      </x:c>
      <x:c r="F78" s="11" t="n">
        <x:v>1481</x:v>
      </x:c>
      <x:c r="G78" s="11" t="n">
        <x:v>167</x:v>
      </x:c>
      <x:c r="H78" s="12" t="n">
        <x:f>G78/F78</x:f>
        <x:v>0.11276164753544902</x:v>
      </x:c>
      <x:c r="I78" s="11" t="n">
        <x:v>167</x:v>
      </x:c>
      <x:c r="J78" s="11" t="n">
        <x:v>0</x:v>
      </x:c>
      <x:c r="K78" s="11" t="n">
        <x:v>2</x:v>
      </x:c>
      <x:c r="L78" s="11" t="n">
        <x:v>2</x:v>
      </x:c>
      <x:c r="M78" s="11" t="n">
        <x:v>167</x:v>
      </x:c>
    </x:row>
    <x:row r="79" ht="23" customHeight="1">
      <x:c r="A79" s="10" t="str">
        <x:v>M3</x:v>
      </x:c>
      <x:c r="B79" s="10" t="str">
        <x:v>CG</x:v>
      </x:c>
      <x:c r="C79" s="10" t="str">
        <x:v>HT至H1</x:v>
      </x:c>
      <x:c r="D79" s="10" t="str">
        <x:v>HT</x:v>
      </x:c>
      <x:c r="E79" s="10" t="str">
        <x:v>H1</x:v>
      </x:c>
      <x:c r="F79" s="11" t="n">
        <x:v>1481</x:v>
      </x:c>
      <x:c r="G79" s="11" t="n">
        <x:v>30</x:v>
      </x:c>
      <x:c r="H79" s="12" t="n">
        <x:f>G79/F79</x:f>
        <x:v>0.02025658338960162</x:v>
      </x:c>
      <x:c r="I79" s="11" t="n">
        <x:v>30</x:v>
      </x:c>
      <x:c r="J79" s="11" t="n">
        <x:v>0</x:v>
      </x:c>
      <x:c r="K79" s="11" t="n">
        <x:v>30</x:v>
      </x:c>
      <x:c r="L79" s="11" t="n">
        <x:v>0</x:v>
      </x:c>
      <x:c r="M79" s="11" t="n">
        <x:v>30</x:v>
      </x:c>
    </x:row>
    <x:row r="80" ht="23" customHeight="1">
      <x:c r="A80" s="10" t="str">
        <x:v>M3</x:v>
      </x:c>
      <x:c r="B80" s="10" t="str">
        <x:v>NCG</x:v>
      </x:c>
      <x:c r="C80" s="10" t="str">
        <x:v>H0至H1</x:v>
      </x:c>
      <x:c r="D80" s="10" t="str">
        <x:v>H0</x:v>
      </x:c>
      <x:c r="E80" s="10" t="str">
        <x:v>H1</x:v>
      </x:c>
      <x:c r="F80" s="11" t="n">
        <x:v>1481</x:v>
      </x:c>
      <x:c r="G80" s="11" t="n">
        <x:v>192</x:v>
      </x:c>
      <x:c r="H80" s="12" t="n">
        <x:f>G80/F80</x:f>
        <x:v>0.12964213369345037</x:v>
      </x:c>
      <x:c r="I80" s="11" t="n">
        <x:v>192</x:v>
      </x:c>
      <x:c r="J80" s="11" t="n">
        <x:v>0</x:v>
      </x:c>
      <x:c r="K80" s="11" t="n">
        <x:v>36</x:v>
      </x:c>
      <x:c r="L80" s="11" t="n">
        <x:v>1</x:v>
      </x:c>
      <x:c r="M80" s="11" t="n">
        <x:v>192</x:v>
      </x:c>
    </x:row>
    <x:row r="81" ht="23" customHeight="1">
      <x:c r="A81" s="10" t="str">
        <x:v>M3</x:v>
      </x:c>
      <x:c r="B81" s="10" t="str">
        <x:v>NCG</x:v>
      </x:c>
      <x:c r="C81" s="10" t="str">
        <x:v>H0至HT</x:v>
      </x:c>
      <x:c r="D81" s="10" t="str">
        <x:v>H0</x:v>
      </x:c>
      <x:c r="E81" s="10" t="str">
        <x:v>HT</x:v>
      </x:c>
      <x:c r="F81" s="11" t="n">
        <x:v>1481</x:v>
      </x:c>
      <x:c r="G81" s="11" t="n">
        <x:v>159</x:v>
      </x:c>
      <x:c r="H81" s="12" t="n">
        <x:f>G81/F81</x:f>
        <x:v>0.10735989196488858</x:v>
      </x:c>
      <x:c r="I81" s="11" t="n">
        <x:v>159</x:v>
      </x:c>
      <x:c r="J81" s="11" t="n">
        <x:v>0</x:v>
      </x:c>
      <x:c r="K81" s="11" t="n">
        <x:v>1</x:v>
      </x:c>
      <x:c r="L81" s="11" t="n">
        <x:v>1</x:v>
      </x:c>
      <x:c r="M81" s="11" t="n">
        <x:v>159</x:v>
      </x:c>
    </x:row>
    <x:row r="82" ht="23" customHeight="1">
      <x:c r="A82" s="10" t="str">
        <x:v>M3</x:v>
      </x:c>
      <x:c r="B82" s="10" t="str">
        <x:v>NCG</x:v>
      </x:c>
      <x:c r="C82" s="10" t="str">
        <x:v>HT至H1</x:v>
      </x:c>
      <x:c r="D82" s="10" t="str">
        <x:v>HT</x:v>
      </x:c>
      <x:c r="E82" s="10" t="str">
        <x:v>H1</x:v>
      </x:c>
      <x:c r="F82" s="11" t="n">
        <x:v>1481</x:v>
      </x:c>
      <x:c r="G82" s="11" t="n">
        <x:v>35</x:v>
      </x:c>
      <x:c r="H82" s="12" t="n">
        <x:f>G82/F82</x:f>
        <x:v>0.02363268062120189</x:v>
      </x:c>
      <x:c r="I82" s="11" t="n">
        <x:v>35</x:v>
      </x:c>
      <x:c r="J82" s="11" t="n">
        <x:v>0</x:v>
      </x:c>
      <x:c r="K82" s="11" t="n">
        <x:v>35</x:v>
      </x:c>
      <x:c r="L82" s="11" t="n">
        <x:v>0</x:v>
      </x:c>
      <x:c r="M82" s="11" t="n">
        <x:v>35</x:v>
      </x:c>
    </x:row>
    <x:row r="83" ht="23" customHeight="1">
      <x:c r="A83" s="10" t="str">
        <x:v>M3</x:v>
      </x:c>
      <x:c r="B83" s="10" t="str">
        <x:v>NCG</x:v>
      </x:c>
      <x:c r="C83" s="10" t="str">
        <x:v>叶名称辅助</x:v>
      </x:c>
      <x:c r="D83" s="10" t="str">
        <x:v>NCG_H0</x:v>
      </x:c>
      <x:c r="E83" s="10" t="str">
        <x:v>NCG_H0_M1</x:v>
      </x:c>
      <x:c r="F83" s="11" t="n">
        <x:v>1481</x:v>
      </x:c>
      <x:c r="G83" s="11" t="n">
        <x:v>140</x:v>
      </x:c>
      <x:c r="H83" s="12" t="n">
        <x:f>G83/F83</x:f>
        <x:v>0.09453072248480757</x:v>
      </x:c>
      <x:c r="I83" s="11" t="n">
        <x:v>137</x:v>
      </x:c>
      <x:c r="J83" s="11" t="n">
        <x:v>3</x:v>
      </x:c>
      <x:c r="K83" s="11" t="n">
        <x:v>202</x:v>
      </x:c>
      <x:c r="L83" s="11" t="n">
        <x:v>263</x:v>
      </x:c>
      <x:c r="M83" s="11" t="n">
        <x:v>140</x:v>
      </x:c>
    </x:row>
    <x:row r="84" ht="23" customHeight="1">
      <x:c r="A84" s="10" t="str">
        <x:v>M3</x:v>
      </x:c>
      <x:c r="B84" s="10" t="str">
        <x:v>NCG</x:v>
      </x:c>
      <x:c r="C84" s="10" t="str">
        <x:v>叶名称辅助</x:v>
      </x:c>
      <x:c r="D84" s="10" t="str">
        <x:v>NCG_H1</x:v>
      </x:c>
      <x:c r="E84" s="10" t="str">
        <x:v>NCG_H1_M1</x:v>
      </x:c>
      <x:c r="F84" s="11" t="n">
        <x:v>1481</x:v>
      </x:c>
      <x:c r="G84" s="11" t="n">
        <x:v>193</x:v>
      </x:c>
      <x:c r="H84" s="12" t="n">
        <x:f>G84/F84</x:f>
        <x:v>0.13031735313977041</x:v>
      </x:c>
      <x:c r="I84" s="11" t="n">
        <x:v>190</x:v>
      </x:c>
      <x:c r="J84" s="11" t="n">
        <x:v>3</x:v>
      </x:c>
      <x:c r="K84" s="11" t="n">
        <x:v>208</x:v>
      </x:c>
      <x:c r="L84" s="11" t="n">
        <x:v>263</x:v>
      </x:c>
      <x:c r="M84" s="11" t="n">
        <x:v>193</x:v>
      </x:c>
    </x:row>
    <x:row r="85" ht="23" customHeight="1">
      <x:c r="A85" s="10" t="str">
        <x:v>M3</x:v>
      </x:c>
      <x:c r="B85" s="10" t="str">
        <x:v>branch</x:v>
      </x:c>
      <x:c r="C85" s="10" t="str">
        <x:v>分支贡献</x:v>
      </x:c>
      <x:c r="D85" s="10" t="str">
        <x:v>N_H0</x:v>
      </x:c>
      <x:c r="E85" s="10" t="str">
        <x:v>NC_H0</x:v>
      </x:c>
      <x:c r="F85" s="11" t="n">
        <x:v>1481</x:v>
      </x:c>
      <x:c r="G85" s="11" t="n">
        <x:v>344</x:v>
      </x:c>
      <x:c r="H85" s="12" t="n">
        <x:f>G85/F85</x:f>
        <x:v>0.23227548953409857</x:v>
      </x:c>
      <x:c r="I85" s="11" t="n">
        <x:v>42</x:v>
      </x:c>
      <x:c r="J85" s="11" t="n">
        <x:v>302</x:v>
      </x:c>
      <x:c r="K85" s="11" t="n">
        <x:v>344</x:v>
      </x:c>
      <x:c r="L85" s="11" t="n">
        <x:v>505</x:v>
      </x:c>
      <x:c r="M85" s="11" t="n">
        <x:v>344</x:v>
      </x:c>
    </x:row>
    <x:row r="86" ht="23" customHeight="1">
      <x:c r="A86" s="10" t="str">
        <x:v>M3</x:v>
      </x:c>
      <x:c r="B86" s="10" t="str">
        <x:v>branch</x:v>
      </x:c>
      <x:c r="C86" s="10" t="str">
        <x:v>分支贡献</x:v>
      </x:c>
      <x:c r="D86" s="10" t="str">
        <x:v>C_H0</x:v>
      </x:c>
      <x:c r="E86" s="10" t="str">
        <x:v>NC_H0</x:v>
      </x:c>
      <x:c r="F86" s="11" t="n">
        <x:v>1481</x:v>
      </x:c>
      <x:c r="G86" s="11" t="n">
        <x:v>224</x:v>
      </x:c>
      <x:c r="H86" s="12" t="n">
        <x:f>G86/F86</x:f>
        <x:v>0.1512491559756921</x:v>
      </x:c>
      <x:c r="I86" s="11" t="n">
        <x:v>164</x:v>
      </x:c>
      <x:c r="J86" s="11" t="n">
        <x:v>60</x:v>
      </x:c>
      <x:c r="K86" s="11" t="n">
        <x:v>224</x:v>
      </x:c>
      <x:c r="L86" s="11" t="n">
        <x:v>395</x:v>
      </x:c>
      <x:c r="M86" s="11" t="n">
        <x:v>224</x:v>
      </x:c>
    </x:row>
    <x:row r="87" ht="23" customHeight="1">
      <x:c r="A87" s="10" t="str">
        <x:v>M3</x:v>
      </x:c>
      <x:c r="B87" s="10" t="str">
        <x:v>branch</x:v>
      </x:c>
      <x:c r="C87" s="10" t="str">
        <x:v>分支贡献</x:v>
      </x:c>
      <x:c r="D87" s="10" t="str">
        <x:v>N_H0</x:v>
      </x:c>
      <x:c r="E87" s="10" t="str">
        <x:v>NG_H0</x:v>
      </x:c>
      <x:c r="F87" s="11" t="n">
        <x:v>1481</x:v>
      </x:c>
      <x:c r="G87" s="11" t="n">
        <x:v>1156</x:v>
      </x:c>
      <x:c r="H87" s="12" t="n">
        <x:f>G87/F87</x:f>
        <x:v>0.7805536799459825</x:v>
      </x:c>
      <x:c r="I87" s="11" t="n">
        <x:v>64</x:v>
      </x:c>
      <x:c r="J87" s="11" t="n">
        <x:v>1092</x:v>
      </x:c>
      <x:c r="K87" s="11" t="n">
        <x:v>0</x:v>
      </x:c>
      <x:c r="L87" s="11" t="n">
        <x:v>0</x:v>
      </x:c>
      <x:c r="M87" s="11" t="n">
        <x:v>1481</x:v>
      </x:c>
    </x:row>
    <x:row r="88" ht="23" customHeight="1">
      <x:c r="A88" s="10" t="str">
        <x:v>M3</x:v>
      </x:c>
      <x:c r="B88" s="10" t="str">
        <x:v>branch</x:v>
      </x:c>
      <x:c r="C88" s="10" t="str">
        <x:v>分支贡献</x:v>
      </x:c>
      <x:c r="D88" s="10" t="str">
        <x:v>C_H0</x:v>
      </x:c>
      <x:c r="E88" s="10" t="str">
        <x:v>CG_H0</x:v>
      </x:c>
      <x:c r="F88" s="11" t="n">
        <x:v>1481</x:v>
      </x:c>
      <x:c r="G88" s="11" t="n">
        <x:v>1285</x:v>
      </x:c>
      <x:c r="H88" s="12" t="n">
        <x:f>G88/F88</x:f>
        <x:v>0.8676569885212694</x:v>
      </x:c>
      <x:c r="I88" s="11" t="n">
        <x:v>212</x:v>
      </x:c>
      <x:c r="J88" s="11" t="n">
        <x:v>1073</x:v>
      </x:c>
      <x:c r="K88" s="11" t="n">
        <x:v>0</x:v>
      </x:c>
      <x:c r="L88" s="11" t="n">
        <x:v>0</x:v>
      </x:c>
      <x:c r="M88" s="11" t="n">
        <x:v>1481</x:v>
      </x:c>
    </x:row>
    <x:row r="89" ht="23" customHeight="1">
      <x:c r="A89" s="10" t="str">
        <x:v>M3</x:v>
      </x:c>
      <x:c r="B89" s="10" t="str">
        <x:v>branch</x:v>
      </x:c>
      <x:c r="C89" s="10" t="str">
        <x:v>分支贡献</x:v>
      </x:c>
      <x:c r="D89" s="10" t="str">
        <x:v>NC_H0</x:v>
      </x:c>
      <x:c r="E89" s="10" t="str">
        <x:v>NCG_H0</x:v>
      </x:c>
      <x:c r="F89" s="11" t="n">
        <x:v>1481</x:v>
      </x:c>
      <x:c r="G89" s="11" t="n">
        <x:v>1220</x:v>
      </x:c>
      <x:c r="H89" s="12" t="n">
        <x:f>G89/F89</x:f>
        <x:v>0.8237677245104659</x:v>
      </x:c>
      <x:c r="I89" s="11" t="n">
        <x:v>219</x:v>
      </x:c>
      <x:c r="J89" s="11" t="n">
        <x:v>1001</x:v>
      </x:c>
      <x:c r="K89" s="11" t="n">
        <x:v>0</x:v>
      </x:c>
      <x:c r="L89" s="11" t="n">
        <x:v>0</x:v>
      </x:c>
      <x:c r="M89" s="11" t="n">
        <x:v>1481</x:v>
      </x:c>
    </x:row>
    <x:row r="90" ht="23" customHeight="1">
      <x:c r="A90" s="10" t="str">
        <x:v>M4</x:v>
      </x:c>
      <x:c r="B90" s="10" t="str">
        <x:v>N</x:v>
      </x:c>
      <x:c r="C90" s="10" t="str">
        <x:v>H0至H1</x:v>
      </x:c>
      <x:c r="D90" s="10" t="str">
        <x:v>H0</x:v>
      </x:c>
      <x:c r="E90" s="10" t="str">
        <x:v>H1</x:v>
      </x:c>
      <x:c r="F90" s="11" t="n">
        <x:v>5451</x:v>
      </x:c>
      <x:c r="G90" s="11" t="n">
        <x:v>0</x:v>
      </x:c>
      <x:c r="H90" s="12" t="n">
        <x:f>G90/F90</x:f>
        <x:v>0</x:v>
      </x:c>
      <x:c r="I90" s="11" t="n">
        <x:v>0</x:v>
      </x:c>
      <x:c r="J90" s="11" t="n">
        <x:v>0</x:v>
      </x:c>
      <x:c r="K90" s="11" t="n">
        <x:v>0</x:v>
      </x:c>
      <x:c r="L90" s="11" t="n">
        <x:v>0</x:v>
      </x:c>
      <x:c r="M90" s="11" t="n">
        <x:v>0</x:v>
      </x:c>
    </x:row>
    <x:row r="91" ht="23" customHeight="1">
      <x:c r="A91" s="10" t="str">
        <x:v>M4</x:v>
      </x:c>
      <x:c r="B91" s="10" t="str">
        <x:v>N</x:v>
      </x:c>
      <x:c r="C91" s="10" t="str">
        <x:v>H0至HT</x:v>
      </x:c>
      <x:c r="D91" s="10" t="str">
        <x:v>H0</x:v>
      </x:c>
      <x:c r="E91" s="10" t="str">
        <x:v>HT</x:v>
      </x:c>
      <x:c r="F91" s="11" t="n">
        <x:v>5451</x:v>
      </x:c>
      <x:c r="G91" s="11" t="n">
        <x:v>0</x:v>
      </x:c>
      <x:c r="H91" s="12" t="n">
        <x:f>G91/F91</x:f>
        <x:v>0</x:v>
      </x:c>
      <x:c r="I91" s="11" t="n">
        <x:v>0</x:v>
      </x:c>
      <x:c r="J91" s="11" t="n">
        <x:v>0</x:v>
      </x:c>
      <x:c r="K91" s="11" t="n">
        <x:v>0</x:v>
      </x:c>
      <x:c r="L91" s="11" t="n">
        <x:v>0</x:v>
      </x:c>
      <x:c r="M91" s="11" t="n">
        <x:v>0</x:v>
      </x:c>
    </x:row>
    <x:row r="92" ht="23" customHeight="1">
      <x:c r="A92" s="10" t="str">
        <x:v>M4</x:v>
      </x:c>
      <x:c r="B92" s="10" t="str">
        <x:v>N</x:v>
      </x:c>
      <x:c r="C92" s="10" t="str">
        <x:v>HT至H1</x:v>
      </x:c>
      <x:c r="D92" s="10" t="str">
        <x:v>HT</x:v>
      </x:c>
      <x:c r="E92" s="10" t="str">
        <x:v>H1</x:v>
      </x:c>
      <x:c r="F92" s="11" t="n">
        <x:v>5451</x:v>
      </x:c>
      <x:c r="G92" s="11" t="n">
        <x:v>0</x:v>
      </x:c>
      <x:c r="H92" s="12" t="n">
        <x:f>G92/F92</x:f>
        <x:v>0</x:v>
      </x:c>
      <x:c r="I92" s="11" t="n">
        <x:v>0</x:v>
      </x:c>
      <x:c r="J92" s="11" t="n">
        <x:v>0</x:v>
      </x:c>
      <x:c r="K92" s="11" t="n">
        <x:v>0</x:v>
      </x:c>
      <x:c r="L92" s="11" t="n">
        <x:v>0</x:v>
      </x:c>
      <x:c r="M92" s="11" t="n">
        <x:v>0</x:v>
      </x:c>
    </x:row>
    <x:row r="93" ht="23" customHeight="1">
      <x:c r="A93" s="10" t="str">
        <x:v>M4</x:v>
      </x:c>
      <x:c r="B93" s="10" t="str">
        <x:v>C</x:v>
      </x:c>
      <x:c r="C93" s="10" t="str">
        <x:v>H0至H1</x:v>
      </x:c>
      <x:c r="D93" s="10" t="str">
        <x:v>H0</x:v>
      </x:c>
      <x:c r="E93" s="10" t="str">
        <x:v>H1</x:v>
      </x:c>
      <x:c r="F93" s="11" t="n">
        <x:v>5451</x:v>
      </x:c>
      <x:c r="G93" s="11" t="n">
        <x:v>1</x:v>
      </x:c>
      <x:c r="H93" s="12" t="n">
        <x:f>G93/F93</x:f>
        <x:v>0.000183452577508714</x:v>
      </x:c>
      <x:c r="I93" s="11" t="n">
        <x:v>1</x:v>
      </x:c>
      <x:c r="J93" s="11" t="n">
        <x:v>0</x:v>
      </x:c>
      <x:c r="K93" s="11" t="n">
        <x:v>1</x:v>
      </x:c>
      <x:c r="L93" s="11" t="n">
        <x:v>0</x:v>
      </x:c>
      <x:c r="M93" s="11" t="n">
        <x:v>1</x:v>
      </x:c>
    </x:row>
    <x:row r="94" ht="23" customHeight="1">
      <x:c r="A94" s="10" t="str">
        <x:v>M4</x:v>
      </x:c>
      <x:c r="B94" s="10" t="str">
        <x:v>C</x:v>
      </x:c>
      <x:c r="C94" s="10" t="str">
        <x:v>H0至HT</x:v>
      </x:c>
      <x:c r="D94" s="10" t="str">
        <x:v>H0</x:v>
      </x:c>
      <x:c r="E94" s="10" t="str">
        <x:v>HT</x:v>
      </x:c>
      <x:c r="F94" s="11" t="n">
        <x:v>5451</x:v>
      </x:c>
      <x:c r="G94" s="11" t="n">
        <x:v>0</x:v>
      </x:c>
      <x:c r="H94" s="12" t="n">
        <x:f>G94/F94</x:f>
        <x:v>0</x:v>
      </x:c>
      <x:c r="I94" s="11" t="n">
        <x:v>0</x:v>
      </x:c>
      <x:c r="J94" s="11" t="n">
        <x:v>0</x:v>
      </x:c>
      <x:c r="K94" s="11" t="n">
        <x:v>0</x:v>
      </x:c>
      <x:c r="L94" s="11" t="n">
        <x:v>0</x:v>
      </x:c>
      <x:c r="M94" s="11" t="n">
        <x:v>0</x:v>
      </x:c>
    </x:row>
    <x:row r="95" ht="23" customHeight="1">
      <x:c r="A95" s="10" t="str">
        <x:v>M4</x:v>
      </x:c>
      <x:c r="B95" s="10" t="str">
        <x:v>C</x:v>
      </x:c>
      <x:c r="C95" s="10" t="str">
        <x:v>HT至H1</x:v>
      </x:c>
      <x:c r="D95" s="10" t="str">
        <x:v>HT</x:v>
      </x:c>
      <x:c r="E95" s="10" t="str">
        <x:v>H1</x:v>
      </x:c>
      <x:c r="F95" s="11" t="n">
        <x:v>5451</x:v>
      </x:c>
      <x:c r="G95" s="11" t="n">
        <x:v>1</x:v>
      </x:c>
      <x:c r="H95" s="12" t="n">
        <x:f>G95/F95</x:f>
        <x:v>0.000183452577508714</x:v>
      </x:c>
      <x:c r="I95" s="11" t="n">
        <x:v>1</x:v>
      </x:c>
      <x:c r="J95" s="11" t="n">
        <x:v>0</x:v>
      </x:c>
      <x:c r="K95" s="11" t="n">
        <x:v>1</x:v>
      </x:c>
      <x:c r="L95" s="11" t="n">
        <x:v>0</x:v>
      </x:c>
      <x:c r="M95" s="11" t="n">
        <x:v>1</x:v>
      </x:c>
    </x:row>
    <x:row r="96" ht="23" customHeight="1">
      <x:c r="A96" s="10" t="str">
        <x:v>M4</x:v>
      </x:c>
      <x:c r="B96" s="10" t="str">
        <x:v>G</x:v>
      </x:c>
      <x:c r="C96" s="10" t="str">
        <x:v>H0至H1</x:v>
      </x:c>
      <x:c r="D96" s="10" t="str">
        <x:v>H0</x:v>
      </x:c>
      <x:c r="E96" s="10" t="str">
        <x:v>H1</x:v>
      </x:c>
      <x:c r="F96" s="11" t="n">
        <x:v>5451</x:v>
      </x:c>
      <x:c r="G96" s="11" t="n">
        <x:v>397</x:v>
      </x:c>
      <x:c r="H96" s="12" t="n">
        <x:f>G96/F96</x:f>
        <x:v>0.07283067327095946</x:v>
      </x:c>
      <x:c r="I96" s="11" t="n">
        <x:v>397</x:v>
      </x:c>
      <x:c r="J96" s="11" t="n">
        <x:v>0</x:v>
      </x:c>
      <x:c r="K96" s="11" t="n">
        <x:v>0</x:v>
      </x:c>
      <x:c r="L96" s="11" t="n">
        <x:v>0</x:v>
      </x:c>
      <x:c r="M96" s="11" t="n">
        <x:v>397</x:v>
      </x:c>
    </x:row>
    <x:row r="97" ht="23" customHeight="1">
      <x:c r="A97" s="10" t="str">
        <x:v>M4</x:v>
      </x:c>
      <x:c r="B97" s="10" t="str">
        <x:v>G</x:v>
      </x:c>
      <x:c r="C97" s="10" t="str">
        <x:v>H0至HT</x:v>
      </x:c>
      <x:c r="D97" s="10" t="str">
        <x:v>H0</x:v>
      </x:c>
      <x:c r="E97" s="10" t="str">
        <x:v>HT</x:v>
      </x:c>
      <x:c r="F97" s="11" t="n">
        <x:v>5451</x:v>
      </x:c>
      <x:c r="G97" s="11" t="n">
        <x:v>397</x:v>
      </x:c>
      <x:c r="H97" s="12" t="n">
        <x:f>G97/F97</x:f>
        <x:v>0.07283067327095946</x:v>
      </x:c>
      <x:c r="I97" s="11" t="n">
        <x:v>397</x:v>
      </x:c>
      <x:c r="J97" s="11" t="n">
        <x:v>0</x:v>
      </x:c>
      <x:c r="K97" s="11" t="n">
        <x:v>0</x:v>
      </x:c>
      <x:c r="L97" s="11" t="n">
        <x:v>0</x:v>
      </x:c>
      <x:c r="M97" s="11" t="n">
        <x:v>397</x:v>
      </x:c>
    </x:row>
    <x:row r="98" ht="23" customHeight="1">
      <x:c r="A98" s="10" t="str">
        <x:v>M4</x:v>
      </x:c>
      <x:c r="B98" s="10" t="str">
        <x:v>G</x:v>
      </x:c>
      <x:c r="C98" s="10" t="str">
        <x:v>HT至H1</x:v>
      </x:c>
      <x:c r="D98" s="10" t="str">
        <x:v>HT</x:v>
      </x:c>
      <x:c r="E98" s="10" t="str">
        <x:v>H1</x:v>
      </x:c>
      <x:c r="F98" s="11" t="n">
        <x:v>5451</x:v>
      </x:c>
      <x:c r="G98" s="11" t="n">
        <x:v>0</x:v>
      </x:c>
      <x:c r="H98" s="12" t="n">
        <x:f>G98/F98</x:f>
        <x:v>0</x:v>
      </x:c>
      <x:c r="I98" s="11" t="n">
        <x:v>0</x:v>
      </x:c>
      <x:c r="J98" s="11" t="n">
        <x:v>0</x:v>
      </x:c>
      <x:c r="K98" s="11" t="n">
        <x:v>0</x:v>
      </x:c>
      <x:c r="L98" s="11" t="n">
        <x:v>0</x:v>
      </x:c>
      <x:c r="M98" s="11" t="n">
        <x:v>0</x:v>
      </x:c>
    </x:row>
    <x:row r="99" ht="23" customHeight="1">
      <x:c r="A99" s="10" t="str">
        <x:v>M4</x:v>
      </x:c>
      <x:c r="B99" s="10" t="str">
        <x:v>NC</x:v>
      </x:c>
      <x:c r="C99" s="10" t="str">
        <x:v>H0至H1</x:v>
      </x:c>
      <x:c r="D99" s="10" t="str">
        <x:v>H0</x:v>
      </x:c>
      <x:c r="E99" s="10" t="str">
        <x:v>H1</x:v>
      </x:c>
      <x:c r="F99" s="11" t="n">
        <x:v>5451</x:v>
      </x:c>
      <x:c r="G99" s="11" t="n">
        <x:v>1</x:v>
      </x:c>
      <x:c r="H99" s="12" t="n">
        <x:f>G99/F99</x:f>
        <x:v>0.000183452577508714</x:v>
      </x:c>
      <x:c r="I99" s="11" t="n">
        <x:v>1</x:v>
      </x:c>
      <x:c r="J99" s="11" t="n">
        <x:v>0</x:v>
      </x:c>
      <x:c r="K99" s="11" t="n">
        <x:v>1</x:v>
      </x:c>
      <x:c r="L99" s="11" t="n">
        <x:v>0</x:v>
      </x:c>
      <x:c r="M99" s="11" t="n">
        <x:v>1</x:v>
      </x:c>
    </x:row>
    <x:row r="100" ht="23" customHeight="1">
      <x:c r="A100" s="10" t="str">
        <x:v>M4</x:v>
      </x:c>
      <x:c r="B100" s="10" t="str">
        <x:v>NC</x:v>
      </x:c>
      <x:c r="C100" s="10" t="str">
        <x:v>H0至HT</x:v>
      </x:c>
      <x:c r="D100" s="10" t="str">
        <x:v>H0</x:v>
      </x:c>
      <x:c r="E100" s="10" t="str">
        <x:v>HT</x:v>
      </x:c>
      <x:c r="F100" s="11" t="n">
        <x:v>5451</x:v>
      </x:c>
      <x:c r="G100" s="11" t="n">
        <x:v>0</x:v>
      </x:c>
      <x:c r="H100" s="12" t="n">
        <x:f>G100/F100</x:f>
        <x:v>0</x:v>
      </x:c>
      <x:c r="I100" s="11" t="n">
        <x:v>0</x:v>
      </x:c>
      <x:c r="J100" s="11" t="n">
        <x:v>0</x:v>
      </x:c>
      <x:c r="K100" s="11" t="n">
        <x:v>0</x:v>
      </x:c>
      <x:c r="L100" s="11" t="n">
        <x:v>0</x:v>
      </x:c>
      <x:c r="M100" s="11" t="n">
        <x:v>0</x:v>
      </x:c>
    </x:row>
    <x:row r="101" ht="23" customHeight="1">
      <x:c r="A101" s="10" t="str">
        <x:v>M4</x:v>
      </x:c>
      <x:c r="B101" s="10" t="str">
        <x:v>NC</x:v>
      </x:c>
      <x:c r="C101" s="10" t="str">
        <x:v>HT至H1</x:v>
      </x:c>
      <x:c r="D101" s="10" t="str">
        <x:v>HT</x:v>
      </x:c>
      <x:c r="E101" s="10" t="str">
        <x:v>H1</x:v>
      </x:c>
      <x:c r="F101" s="11" t="n">
        <x:v>5451</x:v>
      </x:c>
      <x:c r="G101" s="11" t="n">
        <x:v>1</x:v>
      </x:c>
      <x:c r="H101" s="12" t="n">
        <x:f>G101/F101</x:f>
        <x:v>0.000183452577508714</x:v>
      </x:c>
      <x:c r="I101" s="11" t="n">
        <x:v>1</x:v>
      </x:c>
      <x:c r="J101" s="11" t="n">
        <x:v>0</x:v>
      </x:c>
      <x:c r="K101" s="11" t="n">
        <x:v>1</x:v>
      </x:c>
      <x:c r="L101" s="11" t="n">
        <x:v>0</x:v>
      </x:c>
      <x:c r="M101" s="11" t="n">
        <x:v>1</x:v>
      </x:c>
    </x:row>
    <x:row r="102" ht="23" customHeight="1">
      <x:c r="A102" s="10" t="str">
        <x:v>M4</x:v>
      </x:c>
      <x:c r="B102" s="10" t="str">
        <x:v>NG</x:v>
      </x:c>
      <x:c r="C102" s="10" t="str">
        <x:v>H0至H1</x:v>
      </x:c>
      <x:c r="D102" s="10" t="str">
        <x:v>H0</x:v>
      </x:c>
      <x:c r="E102" s="10" t="str">
        <x:v>H1</x:v>
      </x:c>
      <x:c r="F102" s="11" t="n">
        <x:v>5451</x:v>
      </x:c>
      <x:c r="G102" s="11" t="n">
        <x:v>275</x:v>
      </x:c>
      <x:c r="H102" s="12" t="n">
        <x:f>G102/F102</x:f>
        <x:v>0.05044945881489635</x:v>
      </x:c>
      <x:c r="I102" s="11" t="n">
        <x:v>275</x:v>
      </x:c>
      <x:c r="J102" s="11" t="n">
        <x:v>0</x:v>
      </x:c>
      <x:c r="K102" s="11" t="n">
        <x:v>0</x:v>
      </x:c>
      <x:c r="L102" s="11" t="n">
        <x:v>0</x:v>
      </x:c>
      <x:c r="M102" s="11" t="n">
        <x:v>275</x:v>
      </x:c>
    </x:row>
    <x:row r="103" ht="23" customHeight="1">
      <x:c r="A103" s="10" t="str">
        <x:v>M4</x:v>
      </x:c>
      <x:c r="B103" s="10" t="str">
        <x:v>NG</x:v>
      </x:c>
      <x:c r="C103" s="10" t="str">
        <x:v>H0至HT</x:v>
      </x:c>
      <x:c r="D103" s="10" t="str">
        <x:v>H0</x:v>
      </x:c>
      <x:c r="E103" s="10" t="str">
        <x:v>HT</x:v>
      </x:c>
      <x:c r="F103" s="11" t="n">
        <x:v>5451</x:v>
      </x:c>
      <x:c r="G103" s="11" t="n">
        <x:v>275</x:v>
      </x:c>
      <x:c r="H103" s="12" t="n">
        <x:f>G103/F103</x:f>
        <x:v>0.05044945881489635</x:v>
      </x:c>
      <x:c r="I103" s="11" t="n">
        <x:v>275</x:v>
      </x:c>
      <x:c r="J103" s="11" t="n">
        <x:v>0</x:v>
      </x:c>
      <x:c r="K103" s="11" t="n">
        <x:v>0</x:v>
      </x:c>
      <x:c r="L103" s="11" t="n">
        <x:v>0</x:v>
      </x:c>
      <x:c r="M103" s="11" t="n">
        <x:v>275</x:v>
      </x:c>
    </x:row>
    <x:row r="104" ht="23" customHeight="1">
      <x:c r="A104" s="10" t="str">
        <x:v>M4</x:v>
      </x:c>
      <x:c r="B104" s="10" t="str">
        <x:v>NG</x:v>
      </x:c>
      <x:c r="C104" s="10" t="str">
        <x:v>HT至H1</x:v>
      </x:c>
      <x:c r="D104" s="10" t="str">
        <x:v>HT</x:v>
      </x:c>
      <x:c r="E104" s="10" t="str">
        <x:v>H1</x:v>
      </x:c>
      <x:c r="F104" s="11" t="n">
        <x:v>5451</x:v>
      </x:c>
      <x:c r="G104" s="11" t="n">
        <x:v>0</x:v>
      </x:c>
      <x:c r="H104" s="12" t="n">
        <x:f>G104/F104</x:f>
        <x:v>0</x:v>
      </x:c>
      <x:c r="I104" s="11" t="n">
        <x:v>0</x:v>
      </x:c>
      <x:c r="J104" s="11" t="n">
        <x:v>0</x:v>
      </x:c>
      <x:c r="K104" s="11" t="n">
        <x:v>0</x:v>
      </x:c>
      <x:c r="L104" s="11" t="n">
        <x:v>0</x:v>
      </x:c>
      <x:c r="M104" s="11" t="n">
        <x:v>0</x:v>
      </x:c>
    </x:row>
    <x:row r="105" ht="23" customHeight="1">
      <x:c r="A105" s="10" t="str">
        <x:v>M4</x:v>
      </x:c>
      <x:c r="B105" s="10" t="str">
        <x:v>CG</x:v>
      </x:c>
      <x:c r="C105" s="10" t="str">
        <x:v>H0至H1</x:v>
      </x:c>
      <x:c r="D105" s="10" t="str">
        <x:v>H0</x:v>
      </x:c>
      <x:c r="E105" s="10" t="str">
        <x:v>H1</x:v>
      </x:c>
      <x:c r="F105" s="11" t="n">
        <x:v>5451</x:v>
      </x:c>
      <x:c r="G105" s="11" t="n">
        <x:v>378</x:v>
      </x:c>
      <x:c r="H105" s="12" t="n">
        <x:f>G105/F105</x:f>
        <x:v>0.0693450742982939</x:v>
      </x:c>
      <x:c r="I105" s="11" t="n">
        <x:v>378</x:v>
      </x:c>
      <x:c r="J105" s="11" t="n">
        <x:v>0</x:v>
      </x:c>
      <x:c r="K105" s="11" t="n">
        <x:v>1</x:v>
      </x:c>
      <x:c r="L105" s="11" t="n">
        <x:v>0</x:v>
      </x:c>
      <x:c r="M105" s="11" t="n">
        <x:v>378</x:v>
      </x:c>
    </x:row>
    <x:row r="106" ht="23" customHeight="1">
      <x:c r="A106" s="10" t="str">
        <x:v>M4</x:v>
      </x:c>
      <x:c r="B106" s="10" t="str">
        <x:v>CG</x:v>
      </x:c>
      <x:c r="C106" s="10" t="str">
        <x:v>H0至HT</x:v>
      </x:c>
      <x:c r="D106" s="10" t="str">
        <x:v>H0</x:v>
      </x:c>
      <x:c r="E106" s="10" t="str">
        <x:v>HT</x:v>
      </x:c>
      <x:c r="F106" s="11" t="n">
        <x:v>5451</x:v>
      </x:c>
      <x:c r="G106" s="11" t="n">
        <x:v>377</x:v>
      </x:c>
      <x:c r="H106" s="12" t="n">
        <x:f>G106/F106</x:f>
        <x:v>0.06916162172078517</x:v>
      </x:c>
      <x:c r="I106" s="11" t="n">
        <x:v>377</x:v>
      </x:c>
      <x:c r="J106" s="11" t="n">
        <x:v>0</x:v>
      </x:c>
      <x:c r="K106" s="11" t="n">
        <x:v>0</x:v>
      </x:c>
      <x:c r="L106" s="11" t="n">
        <x:v>0</x:v>
      </x:c>
      <x:c r="M106" s="11" t="n">
        <x:v>377</x:v>
      </x:c>
    </x:row>
    <x:row r="107" ht="23" customHeight="1">
      <x:c r="A107" s="10" t="str">
        <x:v>M4</x:v>
      </x:c>
      <x:c r="B107" s="10" t="str">
        <x:v>CG</x:v>
      </x:c>
      <x:c r="C107" s="10" t="str">
        <x:v>HT至H1</x:v>
      </x:c>
      <x:c r="D107" s="10" t="str">
        <x:v>HT</x:v>
      </x:c>
      <x:c r="E107" s="10" t="str">
        <x:v>H1</x:v>
      </x:c>
      <x:c r="F107" s="11" t="n">
        <x:v>5451</x:v>
      </x:c>
      <x:c r="G107" s="11" t="n">
        <x:v>1</x:v>
      </x:c>
      <x:c r="H107" s="12" t="n">
        <x:f>G107/F107</x:f>
        <x:v>0.000183452577508714</x:v>
      </x:c>
      <x:c r="I107" s="11" t="n">
        <x:v>1</x:v>
      </x:c>
      <x:c r="J107" s="11" t="n">
        <x:v>0</x:v>
      </x:c>
      <x:c r="K107" s="11" t="n">
        <x:v>1</x:v>
      </x:c>
      <x:c r="L107" s="11" t="n">
        <x:v>0</x:v>
      </x:c>
      <x:c r="M107" s="11" t="n">
        <x:v>1</x:v>
      </x:c>
    </x:row>
    <x:row r="108" ht="23" customHeight="1">
      <x:c r="A108" s="10" t="str">
        <x:v>M4</x:v>
      </x:c>
      <x:c r="B108" s="10" t="str">
        <x:v>NCG</x:v>
      </x:c>
      <x:c r="C108" s="10" t="str">
        <x:v>H0至H1</x:v>
      </x:c>
      <x:c r="D108" s="10" t="str">
        <x:v>H0</x:v>
      </x:c>
      <x:c r="E108" s="10" t="str">
        <x:v>H1</x:v>
      </x:c>
      <x:c r="F108" s="11" t="n">
        <x:v>5451</x:v>
      </x:c>
      <x:c r="G108" s="11" t="n">
        <x:v>306</x:v>
      </x:c>
      <x:c r="H108" s="12" t="n">
        <x:f>G108/F108</x:f>
        <x:v>0.05613648871766648</x:v>
      </x:c>
      <x:c r="I108" s="11" t="n">
        <x:v>306</x:v>
      </x:c>
      <x:c r="J108" s="11" t="n">
        <x:v>0</x:v>
      </x:c>
      <x:c r="K108" s="11" t="n">
        <x:v>1</x:v>
      </x:c>
      <x:c r="L108" s="11" t="n">
        <x:v>0</x:v>
      </x:c>
      <x:c r="M108" s="11" t="n">
        <x:v>306</x:v>
      </x:c>
    </x:row>
    <x:row r="109" ht="23" customHeight="1">
      <x:c r="A109" s="10" t="str">
        <x:v>M4</x:v>
      </x:c>
      <x:c r="B109" s="10" t="str">
        <x:v>NCG</x:v>
      </x:c>
      <x:c r="C109" s="10" t="str">
        <x:v>H0至HT</x:v>
      </x:c>
      <x:c r="D109" s="10" t="str">
        <x:v>H0</x:v>
      </x:c>
      <x:c r="E109" s="10" t="str">
        <x:v>HT</x:v>
      </x:c>
      <x:c r="F109" s="11" t="n">
        <x:v>5451</x:v>
      </x:c>
      <x:c r="G109" s="11" t="n">
        <x:v>305</x:v>
      </x:c>
      <x:c r="H109" s="12" t="n">
        <x:f>G109/F109</x:f>
        <x:v>0.05595303614015777</x:v>
      </x:c>
      <x:c r="I109" s="11" t="n">
        <x:v>305</x:v>
      </x:c>
      <x:c r="J109" s="11" t="n">
        <x:v>0</x:v>
      </x:c>
      <x:c r="K109" s="11" t="n">
        <x:v>0</x:v>
      </x:c>
      <x:c r="L109" s="11" t="n">
        <x:v>0</x:v>
      </x:c>
      <x:c r="M109" s="11" t="n">
        <x:v>305</x:v>
      </x:c>
    </x:row>
    <x:row r="110" ht="23" customHeight="1">
      <x:c r="A110" s="10" t="str">
        <x:v>M4</x:v>
      </x:c>
      <x:c r="B110" s="10" t="str">
        <x:v>NCG</x:v>
      </x:c>
      <x:c r="C110" s="10" t="str">
        <x:v>HT至H1</x:v>
      </x:c>
      <x:c r="D110" s="10" t="str">
        <x:v>HT</x:v>
      </x:c>
      <x:c r="E110" s="10" t="str">
        <x:v>H1</x:v>
      </x:c>
      <x:c r="F110" s="11" t="n">
        <x:v>5451</x:v>
      </x:c>
      <x:c r="G110" s="11" t="n">
        <x:v>1</x:v>
      </x:c>
      <x:c r="H110" s="12" t="n">
        <x:f>G110/F110</x:f>
        <x:v>0.000183452577508714</x:v>
      </x:c>
      <x:c r="I110" s="11" t="n">
        <x:v>1</x:v>
      </x:c>
      <x:c r="J110" s="11" t="n">
        <x:v>0</x:v>
      </x:c>
      <x:c r="K110" s="11" t="n">
        <x:v>1</x:v>
      </x:c>
      <x:c r="L110" s="11" t="n">
        <x:v>0</x:v>
      </x:c>
      <x:c r="M110" s="11" t="n">
        <x:v>1</x:v>
      </x:c>
    </x:row>
    <x:row r="111" ht="23" customHeight="1">
      <x:c r="A111" s="10" t="str">
        <x:v>M4</x:v>
      </x:c>
      <x:c r="B111" s="10" t="str">
        <x:v>NCG</x:v>
      </x:c>
      <x:c r="C111" s="10" t="str">
        <x:v>叶名称辅助</x:v>
      </x:c>
      <x:c r="D111" s="10" t="str">
        <x:v>NCG_H0</x:v>
      </x:c>
      <x:c r="E111" s="10" t="str">
        <x:v>NCG_H0_M1</x:v>
      </x:c>
      <x:c r="F111" s="11" t="n">
        <x:v>5451</x:v>
      </x:c>
      <x:c r="G111" s="11" t="n">
        <x:v>4</x:v>
      </x:c>
      <x:c r="H111" s="12" t="n">
        <x:f>G111/F111</x:f>
        <x:v>0.000733810310034856</x:v>
      </x:c>
      <x:c r="I111" s="11" t="n">
        <x:v>4</x:v>
      </x:c>
      <x:c r="J111" s="11" t="n">
        <x:v>0</x:v>
      </x:c>
      <x:c r="K111" s="11" t="n">
        <x:v>4</x:v>
      </x:c>
      <x:c r="L111" s="11" t="n">
        <x:v>0</x:v>
      </x:c>
      <x:c r="M111" s="11" t="n">
        <x:v>4</x:v>
      </x:c>
    </x:row>
    <x:row r="112" ht="23" customHeight="1">
      <x:c r="A112" s="10" t="str">
        <x:v>M4</x:v>
      </x:c>
      <x:c r="B112" s="10" t="str">
        <x:v>NCG</x:v>
      </x:c>
      <x:c r="C112" s="10" t="str">
        <x:v>叶名称辅助</x:v>
      </x:c>
      <x:c r="D112" s="10" t="str">
        <x:v>NCG_H1</x:v>
      </x:c>
      <x:c r="E112" s="10" t="str">
        <x:v>NCG_H1_M1</x:v>
      </x:c>
      <x:c r="F112" s="11" t="n">
        <x:v>5451</x:v>
      </x:c>
      <x:c r="G112" s="11" t="n">
        <x:v>4</x:v>
      </x:c>
      <x:c r="H112" s="12" t="n">
        <x:f>G112/F112</x:f>
        <x:v>0.000733810310034856</x:v>
      </x:c>
      <x:c r="I112" s="11" t="n">
        <x:v>4</x:v>
      </x:c>
      <x:c r="J112" s="11" t="n">
        <x:v>0</x:v>
      </x:c>
      <x:c r="K112" s="11" t="n">
        <x:v>4</x:v>
      </x:c>
      <x:c r="L112" s="11" t="n">
        <x:v>0</x:v>
      </x:c>
      <x:c r="M112" s="11" t="n">
        <x:v>4</x:v>
      </x:c>
    </x:row>
    <x:row r="113" ht="23" customHeight="1">
      <x:c r="A113" s="10" t="str">
        <x:v>M4</x:v>
      </x:c>
      <x:c r="B113" s="10" t="str">
        <x:v>branch</x:v>
      </x:c>
      <x:c r="C113" s="10" t="str">
        <x:v>分支贡献</x:v>
      </x:c>
      <x:c r="D113" s="10" t="str">
        <x:v>N_H0</x:v>
      </x:c>
      <x:c r="E113" s="10" t="str">
        <x:v>NC_H0</x:v>
      </x:c>
      <x:c r="F113" s="11" t="n">
        <x:v>5451</x:v>
      </x:c>
      <x:c r="G113" s="11" t="n">
        <x:v>966</x:v>
      </x:c>
      <x:c r="H113" s="12" t="n">
        <x:f>G113/F113</x:f>
        <x:v>0.17721518987341772</x:v>
      </x:c>
      <x:c r="I113" s="11" t="n">
        <x:v>217</x:v>
      </x:c>
      <x:c r="J113" s="11" t="n">
        <x:v>749</x:v>
      </x:c>
      <x:c r="K113" s="11" t="n">
        <x:v>966</x:v>
      </x:c>
      <x:c r="L113" s="11" t="n">
        <x:v>1375</x:v>
      </x:c>
      <x:c r="M113" s="11" t="n">
        <x:v>966</x:v>
      </x:c>
    </x:row>
    <x:row r="114" ht="23" customHeight="1">
      <x:c r="A114" s="10" t="str">
        <x:v>M4</x:v>
      </x:c>
      <x:c r="B114" s="10" t="str">
        <x:v>branch</x:v>
      </x:c>
      <x:c r="C114" s="10" t="str">
        <x:v>分支贡献</x:v>
      </x:c>
      <x:c r="D114" s="10" t="str">
        <x:v>C_H0</x:v>
      </x:c>
      <x:c r="E114" s="10" t="str">
        <x:v>NC_H0</x:v>
      </x:c>
      <x:c r="F114" s="11" t="n">
        <x:v>5451</x:v>
      </x:c>
      <x:c r="G114" s="11" t="n">
        <x:v>653</x:v>
      </x:c>
      <x:c r="H114" s="12" t="n">
        <x:f>G114/F114</x:f>
        <x:v>0.11979453311319024</x:v>
      </x:c>
      <x:c r="I114" s="11" t="n">
        <x:v>332</x:v>
      </x:c>
      <x:c r="J114" s="11" t="n">
        <x:v>321</x:v>
      </x:c>
      <x:c r="K114" s="11" t="n">
        <x:v>653</x:v>
      </x:c>
      <x:c r="L114" s="11" t="n">
        <x:v>3012</x:v>
      </x:c>
      <x:c r="M114" s="11" t="n">
        <x:v>653</x:v>
      </x:c>
    </x:row>
    <x:row r="115" ht="23" customHeight="1">
      <x:c r="A115" s="10" t="str">
        <x:v>M4</x:v>
      </x:c>
      <x:c r="B115" s="10" t="str">
        <x:v>branch</x:v>
      </x:c>
      <x:c r="C115" s="10" t="str">
        <x:v>分支贡献</x:v>
      </x:c>
      <x:c r="D115" s="10" t="str">
        <x:v>N_H0</x:v>
      </x:c>
      <x:c r="E115" s="10" t="str">
        <x:v>NG_H0</x:v>
      </x:c>
      <x:c r="F115" s="11" t="n">
        <x:v>5451</x:v>
      </x:c>
      <x:c r="G115" s="11" t="n">
        <x:v>4485</x:v>
      </x:c>
      <x:c r="H115" s="12" t="n">
        <x:f>G115/F115</x:f>
        <x:v>0.8227848101265823</x:v>
      </x:c>
      <x:c r="I115" s="11" t="n">
        <x:v>115</x:v>
      </x:c>
      <x:c r="J115" s="11" t="n">
        <x:v>4370</x:v>
      </x:c>
      <x:c r="K115" s="11" t="n">
        <x:v>0</x:v>
      </x:c>
      <x:c r="L115" s="11" t="n">
        <x:v>0</x:v>
      </x:c>
      <x:c r="M115" s="11" t="n">
        <x:v>5451</x:v>
      </x:c>
    </x:row>
    <x:row r="116" ht="23" customHeight="1">
      <x:c r="A116" s="10" t="str">
        <x:v>M4</x:v>
      </x:c>
      <x:c r="B116" s="10" t="str">
        <x:v>branch</x:v>
      </x:c>
      <x:c r="C116" s="10" t="str">
        <x:v>分支贡献</x:v>
      </x:c>
      <x:c r="D116" s="10" t="str">
        <x:v>C_H0</x:v>
      </x:c>
      <x:c r="E116" s="10" t="str">
        <x:v>CG_H0</x:v>
      </x:c>
      <x:c r="F116" s="11" t="n">
        <x:v>5451</x:v>
      </x:c>
      <x:c r="G116" s="11" t="n">
        <x:v>5018</x:v>
      </x:c>
      <x:c r="H116" s="12" t="n">
        <x:f>G116/F116</x:f>
        <x:v>0.9205650339387268</x:v>
      </x:c>
      <x:c r="I116" s="11" t="n">
        <x:v>525</x:v>
      </x:c>
      <x:c r="J116" s="11" t="n">
        <x:v>4493</x:v>
      </x:c>
      <x:c r="K116" s="11" t="n">
        <x:v>0</x:v>
      </x:c>
      <x:c r="L116" s="11" t="n">
        <x:v>0</x:v>
      </x:c>
      <x:c r="M116" s="11" t="n">
        <x:v>5451</x:v>
      </x:c>
    </x:row>
    <x:row r="117" ht="23" customHeight="1">
      <x:c r="A117" s="10" t="str">
        <x:v>M4</x:v>
      </x:c>
      <x:c r="B117" s="10" t="str">
        <x:v>branch</x:v>
      </x:c>
      <x:c r="C117" s="10" t="str">
        <x:v>分支贡献</x:v>
      </x:c>
      <x:c r="D117" s="10" t="str">
        <x:v>NC_H0</x:v>
      </x:c>
      <x:c r="E117" s="10" t="str">
        <x:v>NCG_H0</x:v>
      </x:c>
      <x:c r="F117" s="11" t="n">
        <x:v>5451</x:v>
      </x:c>
      <x:c r="G117" s="11" t="n">
        <x:v>4678</x:v>
      </x:c>
      <x:c r="H117" s="12" t="n">
        <x:f>G117/F117</x:f>
        <x:v>0.858191157585764</x:v>
      </x:c>
      <x:c r="I117" s="11" t="n">
        <x:v>637</x:v>
      </x:c>
      <x:c r="J117" s="11" t="n">
        <x:v>4041</x:v>
      </x:c>
      <x:c r="K117" s="11" t="n">
        <x:v>0</x:v>
      </x:c>
      <x:c r="L117" s="11" t="n">
        <x:v>0</x:v>
      </x:c>
      <x:c r="M117" s="11" t="n">
        <x:v>5451</x:v>
      </x:c>
    </x:row>
    <x:row r="118" ht="23" customHeight="1">
      <x:c r="A118" s="10" t="str">
        <x:v>M5</x:v>
      </x:c>
      <x:c r="B118" s="10" t="str">
        <x:v>N</x:v>
      </x:c>
      <x:c r="C118" s="10" t="str">
        <x:v>H0至H1</x:v>
      </x:c>
      <x:c r="D118" s="10" t="str">
        <x:v>H0</x:v>
      </x:c>
      <x:c r="E118" s="10" t="str">
        <x:v>H1</x:v>
      </x:c>
      <x:c r="F118" s="11" t="n">
        <x:v>1747</x:v>
      </x:c>
      <x:c r="G118" s="11" t="n">
        <x:v>34</x:v>
      </x:c>
      <x:c r="H118" s="12" t="n">
        <x:f>G118/F118</x:f>
        <x:v>0.019461934745277618</x:v>
      </x:c>
      <x:c r="I118" s="11" t="n">
        <x:v>34</x:v>
      </x:c>
      <x:c r="J118" s="11" t="n">
        <x:v>0</x:v>
      </x:c>
      <x:c r="K118" s="11" t="n">
        <x:v>34</x:v>
      </x:c>
      <x:c r="L118" s="11" t="n">
        <x:v>0</x:v>
      </x:c>
      <x:c r="M118" s="11" t="n">
        <x:v>34</x:v>
      </x:c>
    </x:row>
    <x:row r="119" ht="23" customHeight="1">
      <x:c r="A119" s="10" t="str">
        <x:v>M5</x:v>
      </x:c>
      <x:c r="B119" s="10" t="str">
        <x:v>N</x:v>
      </x:c>
      <x:c r="C119" s="10" t="str">
        <x:v>H0至HT</x:v>
      </x:c>
      <x:c r="D119" s="10" t="str">
        <x:v>H0</x:v>
      </x:c>
      <x:c r="E119" s="10" t="str">
        <x:v>HT</x:v>
      </x:c>
      <x:c r="F119" s="11" t="n">
        <x:v>1747</x:v>
      </x:c>
      <x:c r="G119" s="11" t="n">
        <x:v>0</x:v>
      </x:c>
      <x:c r="H119" s="12" t="n">
        <x:f>G119/F119</x:f>
        <x:v>0</x:v>
      </x:c>
      <x:c r="I119" s="11" t="n">
        <x:v>0</x:v>
      </x:c>
      <x:c r="J119" s="11" t="n">
        <x:v>0</x:v>
      </x:c>
      <x:c r="K119" s="11" t="n">
        <x:v>0</x:v>
      </x:c>
      <x:c r="L119" s="11" t="n">
        <x:v>0</x:v>
      </x:c>
      <x:c r="M119" s="11" t="n">
        <x:v>0</x:v>
      </x:c>
    </x:row>
    <x:row r="120" ht="23" customHeight="1">
      <x:c r="A120" s="10" t="str">
        <x:v>M5</x:v>
      </x:c>
      <x:c r="B120" s="10" t="str">
        <x:v>N</x:v>
      </x:c>
      <x:c r="C120" s="10" t="str">
        <x:v>HT至H1</x:v>
      </x:c>
      <x:c r="D120" s="10" t="str">
        <x:v>HT</x:v>
      </x:c>
      <x:c r="E120" s="10" t="str">
        <x:v>H1</x:v>
      </x:c>
      <x:c r="F120" s="11" t="n">
        <x:v>1747</x:v>
      </x:c>
      <x:c r="G120" s="11" t="n">
        <x:v>34</x:v>
      </x:c>
      <x:c r="H120" s="12" t="n">
        <x:f>G120/F120</x:f>
        <x:v>0.019461934745277618</x:v>
      </x:c>
      <x:c r="I120" s="11" t="n">
        <x:v>34</x:v>
      </x:c>
      <x:c r="J120" s="11" t="n">
        <x:v>0</x:v>
      </x:c>
      <x:c r="K120" s="11" t="n">
        <x:v>34</x:v>
      </x:c>
      <x:c r="L120" s="11" t="n">
        <x:v>0</x:v>
      </x:c>
      <x:c r="M120" s="11" t="n">
        <x:v>34</x:v>
      </x:c>
    </x:row>
    <x:row r="121" ht="23" customHeight="1">
      <x:c r="A121" s="10" t="str">
        <x:v>M5</x:v>
      </x:c>
      <x:c r="B121" s="10" t="str">
        <x:v>C</x:v>
      </x:c>
      <x:c r="C121" s="10" t="str">
        <x:v>H0至H1</x:v>
      </x:c>
      <x:c r="D121" s="10" t="str">
        <x:v>H0</x:v>
      </x:c>
      <x:c r="E121" s="10" t="str">
        <x:v>H1</x:v>
      </x:c>
      <x:c r="F121" s="11" t="n">
        <x:v>1747</x:v>
      </x:c>
      <x:c r="G121" s="11" t="n">
        <x:v>4</x:v>
      </x:c>
      <x:c r="H121" s="12" t="n">
        <x:f>G121/F121</x:f>
        <x:v>0.0022896393817973667</x:v>
      </x:c>
      <x:c r="I121" s="11" t="n">
        <x:v>4</x:v>
      </x:c>
      <x:c r="J121" s="11" t="n">
        <x:v>0</x:v>
      </x:c>
      <x:c r="K121" s="11" t="n">
        <x:v>4</x:v>
      </x:c>
      <x:c r="L121" s="11" t="n">
        <x:v>0</x:v>
      </x:c>
      <x:c r="M121" s="11" t="n">
        <x:v>4</x:v>
      </x:c>
    </x:row>
    <x:row r="122" ht="23" customHeight="1">
      <x:c r="A122" s="10" t="str">
        <x:v>M5</x:v>
      </x:c>
      <x:c r="B122" s="10" t="str">
        <x:v>C</x:v>
      </x:c>
      <x:c r="C122" s="10" t="str">
        <x:v>H0至HT</x:v>
      </x:c>
      <x:c r="D122" s="10" t="str">
        <x:v>H0</x:v>
      </x:c>
      <x:c r="E122" s="10" t="str">
        <x:v>HT</x:v>
      </x:c>
      <x:c r="F122" s="11" t="n">
        <x:v>1747</x:v>
      </x:c>
      <x:c r="G122" s="11" t="n">
        <x:v>0</x:v>
      </x:c>
      <x:c r="H122" s="12" t="n">
        <x:f>G122/F122</x:f>
        <x:v>0</x:v>
      </x:c>
      <x:c r="I122" s="11" t="n">
        <x:v>0</x:v>
      </x:c>
      <x:c r="J122" s="11" t="n">
        <x:v>0</x:v>
      </x:c>
      <x:c r="K122" s="11" t="n">
        <x:v>0</x:v>
      </x:c>
      <x:c r="L122" s="11" t="n">
        <x:v>0</x:v>
      </x:c>
      <x:c r="M122" s="11" t="n">
        <x:v>0</x:v>
      </x:c>
    </x:row>
    <x:row r="123" ht="23" customHeight="1">
      <x:c r="A123" s="10" t="str">
        <x:v>M5</x:v>
      </x:c>
      <x:c r="B123" s="10" t="str">
        <x:v>C</x:v>
      </x:c>
      <x:c r="C123" s="10" t="str">
        <x:v>HT至H1</x:v>
      </x:c>
      <x:c r="D123" s="10" t="str">
        <x:v>HT</x:v>
      </x:c>
      <x:c r="E123" s="10" t="str">
        <x:v>H1</x:v>
      </x:c>
      <x:c r="F123" s="11" t="n">
        <x:v>1747</x:v>
      </x:c>
      <x:c r="G123" s="11" t="n">
        <x:v>4</x:v>
      </x:c>
      <x:c r="H123" s="12" t="n">
        <x:f>G123/F123</x:f>
        <x:v>0.0022896393817973667</x:v>
      </x:c>
      <x:c r="I123" s="11" t="n">
        <x:v>4</x:v>
      </x:c>
      <x:c r="J123" s="11" t="n">
        <x:v>0</x:v>
      </x:c>
      <x:c r="K123" s="11" t="n">
        <x:v>4</x:v>
      </x:c>
      <x:c r="L123" s="11" t="n">
        <x:v>0</x:v>
      </x:c>
      <x:c r="M123" s="11" t="n">
        <x:v>4</x:v>
      </x:c>
    </x:row>
    <x:row r="124" ht="23" customHeight="1">
      <x:c r="A124" s="10" t="str">
        <x:v>M5</x:v>
      </x:c>
      <x:c r="B124" s="10" t="str">
        <x:v>G</x:v>
      </x:c>
      <x:c r="C124" s="10" t="str">
        <x:v>H0至H1</x:v>
      </x:c>
      <x:c r="D124" s="10" t="str">
        <x:v>H0</x:v>
      </x:c>
      <x:c r="E124" s="10" t="str">
        <x:v>H1</x:v>
      </x:c>
      <x:c r="F124" s="11" t="n">
        <x:v>1747</x:v>
      </x:c>
      <x:c r="G124" s="11" t="n">
        <x:v>118</x:v>
      </x:c>
      <x:c r="H124" s="12" t="n">
        <x:f>G124/F124</x:f>
        <x:v>0.06754436176302232</x:v>
      </x:c>
      <x:c r="I124" s="11" t="n">
        <x:v>118</x:v>
      </x:c>
      <x:c r="J124" s="11" t="n">
        <x:v>0</x:v>
      </x:c>
      <x:c r="K124" s="11" t="n">
        <x:v>0</x:v>
      </x:c>
      <x:c r="L124" s="11" t="n">
        <x:v>0</x:v>
      </x:c>
      <x:c r="M124" s="11" t="n">
        <x:v>118</x:v>
      </x:c>
    </x:row>
    <x:row r="125" ht="23" customHeight="1">
      <x:c r="A125" s="10" t="str">
        <x:v>M5</x:v>
      </x:c>
      <x:c r="B125" s="10" t="str">
        <x:v>G</x:v>
      </x:c>
      <x:c r="C125" s="10" t="str">
        <x:v>H0至HT</x:v>
      </x:c>
      <x:c r="D125" s="10" t="str">
        <x:v>H0</x:v>
      </x:c>
      <x:c r="E125" s="10" t="str">
        <x:v>HT</x:v>
      </x:c>
      <x:c r="F125" s="11" t="n">
        <x:v>1747</x:v>
      </x:c>
      <x:c r="G125" s="11" t="n">
        <x:v>118</x:v>
      </x:c>
      <x:c r="H125" s="12" t="n">
        <x:f>G125/F125</x:f>
        <x:v>0.06754436176302232</x:v>
      </x:c>
      <x:c r="I125" s="11" t="n">
        <x:v>118</x:v>
      </x:c>
      <x:c r="J125" s="11" t="n">
        <x:v>0</x:v>
      </x:c>
      <x:c r="K125" s="11" t="n">
        <x:v>0</x:v>
      </x:c>
      <x:c r="L125" s="11" t="n">
        <x:v>0</x:v>
      </x:c>
      <x:c r="M125" s="11" t="n">
        <x:v>118</x:v>
      </x:c>
    </x:row>
    <x:row r="126" ht="23" customHeight="1">
      <x:c r="A126" s="10" t="str">
        <x:v>M5</x:v>
      </x:c>
      <x:c r="B126" s="10" t="str">
        <x:v>G</x:v>
      </x:c>
      <x:c r="C126" s="10" t="str">
        <x:v>HT至H1</x:v>
      </x:c>
      <x:c r="D126" s="10" t="str">
        <x:v>HT</x:v>
      </x:c>
      <x:c r="E126" s="10" t="str">
        <x:v>H1</x:v>
      </x:c>
      <x:c r="F126" s="11" t="n">
        <x:v>1747</x:v>
      </x:c>
      <x:c r="G126" s="11" t="n">
        <x:v>0</x:v>
      </x:c>
      <x:c r="H126" s="12" t="n">
        <x:f>G126/F126</x:f>
        <x:v>0</x:v>
      </x:c>
      <x:c r="I126" s="11" t="n">
        <x:v>0</x:v>
      </x:c>
      <x:c r="J126" s="11" t="n">
        <x:v>0</x:v>
      </x:c>
      <x:c r="K126" s="11" t="n">
        <x:v>0</x:v>
      </x:c>
      <x:c r="L126" s="11" t="n">
        <x:v>0</x:v>
      </x:c>
      <x:c r="M126" s="11" t="n">
        <x:v>0</x:v>
      </x:c>
    </x:row>
    <x:row r="127" ht="23" customHeight="1">
      <x:c r="A127" s="10" t="str">
        <x:v>M5</x:v>
      </x:c>
      <x:c r="B127" s="10" t="str">
        <x:v>NC</x:v>
      </x:c>
      <x:c r="C127" s="10" t="str">
        <x:v>H0至H1</x:v>
      </x:c>
      <x:c r="D127" s="10" t="str">
        <x:v>H0</x:v>
      </x:c>
      <x:c r="E127" s="10" t="str">
        <x:v>H1</x:v>
      </x:c>
      <x:c r="F127" s="11" t="n">
        <x:v>1747</x:v>
      </x:c>
      <x:c r="G127" s="11" t="n">
        <x:v>39</x:v>
      </x:c>
      <x:c r="H127" s="12" t="n">
        <x:f>G127/F127</x:f>
        <x:v>0.022323983972524327</x:v>
      </x:c>
      <x:c r="I127" s="11" t="n">
        <x:v>39</x:v>
      </x:c>
      <x:c r="J127" s="11" t="n">
        <x:v>0</x:v>
      </x:c>
      <x:c r="K127" s="11" t="n">
        <x:v>39</x:v>
      </x:c>
      <x:c r="L127" s="11" t="n">
        <x:v>0</x:v>
      </x:c>
      <x:c r="M127" s="11" t="n">
        <x:v>39</x:v>
      </x:c>
    </x:row>
    <x:row r="128" ht="23" customHeight="1">
      <x:c r="A128" s="10" t="str">
        <x:v>M5</x:v>
      </x:c>
      <x:c r="B128" s="10" t="str">
        <x:v>NC</x:v>
      </x:c>
      <x:c r="C128" s="10" t="str">
        <x:v>H0至HT</x:v>
      </x:c>
      <x:c r="D128" s="10" t="str">
        <x:v>H0</x:v>
      </x:c>
      <x:c r="E128" s="10" t="str">
        <x:v>HT</x:v>
      </x:c>
      <x:c r="F128" s="11" t="n">
        <x:v>1747</x:v>
      </x:c>
      <x:c r="G128" s="11" t="n">
        <x:v>0</x:v>
      </x:c>
      <x:c r="H128" s="12" t="n">
        <x:f>G128/F128</x:f>
        <x:v>0</x:v>
      </x:c>
      <x:c r="I128" s="11" t="n">
        <x:v>0</x:v>
      </x:c>
      <x:c r="J128" s="11" t="n">
        <x:v>0</x:v>
      </x:c>
      <x:c r="K128" s="11" t="n">
        <x:v>0</x:v>
      </x:c>
      <x:c r="L128" s="11" t="n">
        <x:v>0</x:v>
      </x:c>
      <x:c r="M128" s="11" t="n">
        <x:v>0</x:v>
      </x:c>
    </x:row>
    <x:row r="129" ht="23" customHeight="1">
      <x:c r="A129" s="10" t="str">
        <x:v>M5</x:v>
      </x:c>
      <x:c r="B129" s="10" t="str">
        <x:v>NC</x:v>
      </x:c>
      <x:c r="C129" s="10" t="str">
        <x:v>HT至H1</x:v>
      </x:c>
      <x:c r="D129" s="10" t="str">
        <x:v>HT</x:v>
      </x:c>
      <x:c r="E129" s="10" t="str">
        <x:v>H1</x:v>
      </x:c>
      <x:c r="F129" s="11" t="n">
        <x:v>1747</x:v>
      </x:c>
      <x:c r="G129" s="11" t="n">
        <x:v>39</x:v>
      </x:c>
      <x:c r="H129" s="12" t="n">
        <x:f>G129/F129</x:f>
        <x:v>0.022323983972524327</x:v>
      </x:c>
      <x:c r="I129" s="11" t="n">
        <x:v>39</x:v>
      </x:c>
      <x:c r="J129" s="11" t="n">
        <x:v>0</x:v>
      </x:c>
      <x:c r="K129" s="11" t="n">
        <x:v>39</x:v>
      </x:c>
      <x:c r="L129" s="11" t="n">
        <x:v>0</x:v>
      </x:c>
      <x:c r="M129" s="11" t="n">
        <x:v>39</x:v>
      </x:c>
    </x:row>
    <x:row r="130" ht="23" customHeight="1">
      <x:c r="A130" s="10" t="str">
        <x:v>M5</x:v>
      </x:c>
      <x:c r="B130" s="10" t="str">
        <x:v>NG</x:v>
      </x:c>
      <x:c r="C130" s="10" t="str">
        <x:v>H0至H1</x:v>
      </x:c>
      <x:c r="D130" s="10" t="str">
        <x:v>H0</x:v>
      </x:c>
      <x:c r="E130" s="10" t="str">
        <x:v>H1</x:v>
      </x:c>
      <x:c r="F130" s="11" t="n">
        <x:v>1747</x:v>
      </x:c>
      <x:c r="G130" s="11" t="n">
        <x:v>134</x:v>
      </x:c>
      <x:c r="H130" s="12" t="n">
        <x:f>G130/F130</x:f>
        <x:v>0.0767029192902118</x:v>
      </x:c>
      <x:c r="I130" s="11" t="n">
        <x:v>134</x:v>
      </x:c>
      <x:c r="J130" s="11" t="n">
        <x:v>0</x:v>
      </x:c>
      <x:c r="K130" s="11" t="n">
        <x:v>34</x:v>
      </x:c>
      <x:c r="L130" s="11" t="n">
        <x:v>0</x:v>
      </x:c>
      <x:c r="M130" s="11" t="n">
        <x:v>134</x:v>
      </x:c>
    </x:row>
    <x:row r="131" ht="23" customHeight="1">
      <x:c r="A131" s="10" t="str">
        <x:v>M5</x:v>
      </x:c>
      <x:c r="B131" s="10" t="str">
        <x:v>NG</x:v>
      </x:c>
      <x:c r="C131" s="10" t="str">
        <x:v>H0至HT</x:v>
      </x:c>
      <x:c r="D131" s="10" t="str">
        <x:v>H0</x:v>
      </x:c>
      <x:c r="E131" s="10" t="str">
        <x:v>HT</x:v>
      </x:c>
      <x:c r="F131" s="11" t="n">
        <x:v>1747</x:v>
      </x:c>
      <x:c r="G131" s="11" t="n">
        <x:v>100</x:v>
      </x:c>
      <x:c r="H131" s="12" t="n">
        <x:f>G131/F131</x:f>
        <x:v>0.057240984544934176</x:v>
      </x:c>
      <x:c r="I131" s="11" t="n">
        <x:v>100</x:v>
      </x:c>
      <x:c r="J131" s="11" t="n">
        <x:v>0</x:v>
      </x:c>
      <x:c r="K131" s="11" t="n">
        <x:v>0</x:v>
      </x:c>
      <x:c r="L131" s="11" t="n">
        <x:v>0</x:v>
      </x:c>
      <x:c r="M131" s="11" t="n">
        <x:v>100</x:v>
      </x:c>
    </x:row>
    <x:row r="132" ht="23" customHeight="1">
      <x:c r="A132" s="10" t="str">
        <x:v>M5</x:v>
      </x:c>
      <x:c r="B132" s="10" t="str">
        <x:v>NG</x:v>
      </x:c>
      <x:c r="C132" s="10" t="str">
        <x:v>HT至H1</x:v>
      </x:c>
      <x:c r="D132" s="10" t="str">
        <x:v>HT</x:v>
      </x:c>
      <x:c r="E132" s="10" t="str">
        <x:v>H1</x:v>
      </x:c>
      <x:c r="F132" s="11" t="n">
        <x:v>1747</x:v>
      </x:c>
      <x:c r="G132" s="11" t="n">
        <x:v>34</x:v>
      </x:c>
      <x:c r="H132" s="12" t="n">
        <x:f>G132/F132</x:f>
        <x:v>0.019461934745277618</x:v>
      </x:c>
      <x:c r="I132" s="11" t="n">
        <x:v>34</x:v>
      </x:c>
      <x:c r="J132" s="11" t="n">
        <x:v>0</x:v>
      </x:c>
      <x:c r="K132" s="11" t="n">
        <x:v>34</x:v>
      </x:c>
      <x:c r="L132" s="11" t="n">
        <x:v>0</x:v>
      </x:c>
      <x:c r="M132" s="11" t="n">
        <x:v>34</x:v>
      </x:c>
    </x:row>
    <x:row r="133" ht="23" customHeight="1">
      <x:c r="A133" s="10" t="str">
        <x:v>M5</x:v>
      </x:c>
      <x:c r="B133" s="10" t="str">
        <x:v>CG</x:v>
      </x:c>
      <x:c r="C133" s="10" t="str">
        <x:v>H0至H1</x:v>
      </x:c>
      <x:c r="D133" s="10" t="str">
        <x:v>H0</x:v>
      </x:c>
      <x:c r="E133" s="10" t="str">
        <x:v>H1</x:v>
      </x:c>
      <x:c r="F133" s="11" t="n">
        <x:v>1747</x:v>
      </x:c>
      <x:c r="G133" s="11" t="n">
        <x:v>115</x:v>
      </x:c>
      <x:c r="H133" s="12" t="n">
        <x:f>G133/F133</x:f>
        <x:v>0.0658271322266743</x:v>
      </x:c>
      <x:c r="I133" s="11" t="n">
        <x:v>115</x:v>
      </x:c>
      <x:c r="J133" s="11" t="n">
        <x:v>0</x:v>
      </x:c>
      <x:c r="K133" s="11" t="n">
        <x:v>4</x:v>
      </x:c>
      <x:c r="L133" s="11" t="n">
        <x:v>0</x:v>
      </x:c>
      <x:c r="M133" s="11" t="n">
        <x:v>115</x:v>
      </x:c>
    </x:row>
    <x:row r="134" ht="23" customHeight="1">
      <x:c r="A134" s="10" t="str">
        <x:v>M5</x:v>
      </x:c>
      <x:c r="B134" s="10" t="str">
        <x:v>CG</x:v>
      </x:c>
      <x:c r="C134" s="10" t="str">
        <x:v>H0至HT</x:v>
      </x:c>
      <x:c r="D134" s="10" t="str">
        <x:v>H0</x:v>
      </x:c>
      <x:c r="E134" s="10" t="str">
        <x:v>HT</x:v>
      </x:c>
      <x:c r="F134" s="11" t="n">
        <x:v>1747</x:v>
      </x:c>
      <x:c r="G134" s="11" t="n">
        <x:v>112</x:v>
      </x:c>
      <x:c r="H134" s="12" t="n">
        <x:f>G134/F134</x:f>
        <x:v>0.06410990269032628</x:v>
      </x:c>
      <x:c r="I134" s="11" t="n">
        <x:v>112</x:v>
      </x:c>
      <x:c r="J134" s="11" t="n">
        <x:v>0</x:v>
      </x:c>
      <x:c r="K134" s="11" t="n">
        <x:v>0</x:v>
      </x:c>
      <x:c r="L134" s="11" t="n">
        <x:v>0</x:v>
      </x:c>
      <x:c r="M134" s="11" t="n">
        <x:v>112</x:v>
      </x:c>
    </x:row>
    <x:row r="135" ht="23" customHeight="1">
      <x:c r="A135" s="10" t="str">
        <x:v>M5</x:v>
      </x:c>
      <x:c r="B135" s="10" t="str">
        <x:v>CG</x:v>
      </x:c>
      <x:c r="C135" s="10" t="str">
        <x:v>HT至H1</x:v>
      </x:c>
      <x:c r="D135" s="10" t="str">
        <x:v>HT</x:v>
      </x:c>
      <x:c r="E135" s="10" t="str">
        <x:v>H1</x:v>
      </x:c>
      <x:c r="F135" s="11" t="n">
        <x:v>1747</x:v>
      </x:c>
      <x:c r="G135" s="11" t="n">
        <x:v>4</x:v>
      </x:c>
      <x:c r="H135" s="12" t="n">
        <x:f>G135/F135</x:f>
        <x:v>0.0022896393817973667</x:v>
      </x:c>
      <x:c r="I135" s="11" t="n">
        <x:v>4</x:v>
      </x:c>
      <x:c r="J135" s="11" t="n">
        <x:v>0</x:v>
      </x:c>
      <x:c r="K135" s="11" t="n">
        <x:v>4</x:v>
      </x:c>
      <x:c r="L135" s="11" t="n">
        <x:v>0</x:v>
      </x:c>
      <x:c r="M135" s="11" t="n">
        <x:v>4</x:v>
      </x:c>
    </x:row>
    <x:row r="136" ht="23" customHeight="1">
      <x:c r="A136" s="10" t="str">
        <x:v>M5</x:v>
      </x:c>
      <x:c r="B136" s="10" t="str">
        <x:v>NCG</x:v>
      </x:c>
      <x:c r="C136" s="10" t="str">
        <x:v>H0至H1</x:v>
      </x:c>
      <x:c r="D136" s="10" t="str">
        <x:v>H0</x:v>
      </x:c>
      <x:c r="E136" s="10" t="str">
        <x:v>H1</x:v>
      </x:c>
      <x:c r="F136" s="11" t="n">
        <x:v>1747</x:v>
      </x:c>
      <x:c r="G136" s="11" t="n">
        <x:v>143</x:v>
      </x:c>
      <x:c r="H136" s="12" t="n">
        <x:f>G136/F136</x:f>
        <x:v>0.08185460789925587</x:v>
      </x:c>
      <x:c r="I136" s="11" t="n">
        <x:v>143</x:v>
      </x:c>
      <x:c r="J136" s="11" t="n">
        <x:v>0</x:v>
      </x:c>
      <x:c r="K136" s="11" t="n">
        <x:v>39</x:v>
      </x:c>
      <x:c r="L136" s="11" t="n">
        <x:v>0</x:v>
      </x:c>
      <x:c r="M136" s="11" t="n">
        <x:v>143</x:v>
      </x:c>
    </x:row>
    <x:row r="137" ht="23" customHeight="1">
      <x:c r="A137" s="10" t="str">
        <x:v>M5</x:v>
      </x:c>
      <x:c r="B137" s="10" t="str">
        <x:v>NCG</x:v>
      </x:c>
      <x:c r="C137" s="10" t="str">
        <x:v>H0至HT</x:v>
      </x:c>
      <x:c r="D137" s="10" t="str">
        <x:v>H0</x:v>
      </x:c>
      <x:c r="E137" s="10" t="str">
        <x:v>HT</x:v>
      </x:c>
      <x:c r="F137" s="11" t="n">
        <x:v>1747</x:v>
      </x:c>
      <x:c r="G137" s="11" t="n">
        <x:v>105</x:v>
      </x:c>
      <x:c r="H137" s="12" t="n">
        <x:f>G137/F137</x:f>
        <x:v>0.06010303377218088</x:v>
      </x:c>
      <x:c r="I137" s="11" t="n">
        <x:v>105</x:v>
      </x:c>
      <x:c r="J137" s="11" t="n">
        <x:v>0</x:v>
      </x:c>
      <x:c r="K137" s="11" t="n">
        <x:v>0</x:v>
      </x:c>
      <x:c r="L137" s="11" t="n">
        <x:v>0</x:v>
      </x:c>
      <x:c r="M137" s="11" t="n">
        <x:v>105</x:v>
      </x:c>
    </x:row>
    <x:row r="138" ht="23" customHeight="1">
      <x:c r="A138" s="10" t="str">
        <x:v>M5</x:v>
      </x:c>
      <x:c r="B138" s="10" t="str">
        <x:v>NCG</x:v>
      </x:c>
      <x:c r="C138" s="10" t="str">
        <x:v>HT至H1</x:v>
      </x:c>
      <x:c r="D138" s="10" t="str">
        <x:v>HT</x:v>
      </x:c>
      <x:c r="E138" s="10" t="str">
        <x:v>H1</x:v>
      </x:c>
      <x:c r="F138" s="11" t="n">
        <x:v>1747</x:v>
      </x:c>
      <x:c r="G138" s="11" t="n">
        <x:v>39</x:v>
      </x:c>
      <x:c r="H138" s="12" t="n">
        <x:f>G138/F138</x:f>
        <x:v>0.022323983972524327</x:v>
      </x:c>
      <x:c r="I138" s="11" t="n">
        <x:v>39</x:v>
      </x:c>
      <x:c r="J138" s="11" t="n">
        <x:v>0</x:v>
      </x:c>
      <x:c r="K138" s="11" t="n">
        <x:v>39</x:v>
      </x:c>
      <x:c r="L138" s="11" t="n">
        <x:v>0</x:v>
      </x:c>
      <x:c r="M138" s="11" t="n">
        <x:v>39</x:v>
      </x:c>
    </x:row>
    <x:row r="139" ht="23" customHeight="1">
      <x:c r="A139" s="10" t="str">
        <x:v>M5</x:v>
      </x:c>
      <x:c r="B139" s="10" t="str">
        <x:v>NCG</x:v>
      </x:c>
      <x:c r="C139" s="10" t="str">
        <x:v>叶名称辅助</x:v>
      </x:c>
      <x:c r="D139" s="10" t="str">
        <x:v>NCG_H0</x:v>
      </x:c>
      <x:c r="E139" s="10" t="str">
        <x:v>NCG_H0_M1</x:v>
      </x:c>
      <x:c r="F139" s="11" t="n">
        <x:v>1747</x:v>
      </x:c>
      <x:c r="G139" s="11" t="n">
        <x:v>215</x:v>
      </x:c>
      <x:c r="H139" s="12" t="n">
        <x:f>G139/F139</x:f>
        <x:v>0.12306811677160848</x:v>
      </x:c>
      <x:c r="I139" s="11" t="n">
        <x:v>209</x:v>
      </x:c>
      <x:c r="J139" s="11" t="n">
        <x:v>6</x:v>
      </x:c>
      <x:c r="K139" s="11" t="n">
        <x:v>270</x:v>
      </x:c>
      <x:c r="L139" s="11" t="n">
        <x:v>242</x:v>
      </x:c>
      <x:c r="M139" s="11" t="n">
        <x:v>215</x:v>
      </x:c>
    </x:row>
    <x:row r="140" ht="23" customHeight="1">
      <x:c r="A140" s="10" t="str">
        <x:v>M5</x:v>
      </x:c>
      <x:c r="B140" s="10" t="str">
        <x:v>NCG</x:v>
      </x:c>
      <x:c r="C140" s="10" t="str">
        <x:v>叶名称辅助</x:v>
      </x:c>
      <x:c r="D140" s="10" t="str">
        <x:v>NCG_H1</x:v>
      </x:c>
      <x:c r="E140" s="10" t="str">
        <x:v>NCG_H1_M1</x:v>
      </x:c>
      <x:c r="F140" s="11" t="n">
        <x:v>1747</x:v>
      </x:c>
      <x:c r="G140" s="11" t="n">
        <x:v>215</x:v>
      </x:c>
      <x:c r="H140" s="12" t="n">
        <x:f>G140/F140</x:f>
        <x:v>0.12306811677160848</x:v>
      </x:c>
      <x:c r="I140" s="11" t="n">
        <x:v>209</x:v>
      </x:c>
      <x:c r="J140" s="11" t="n">
        <x:v>6</x:v>
      </x:c>
      <x:c r="K140" s="11" t="n">
        <x:v>270</x:v>
      </x:c>
      <x:c r="L140" s="11" t="n">
        <x:v>242</x:v>
      </x:c>
      <x:c r="M140" s="11" t="n">
        <x:v>215</x:v>
      </x:c>
    </x:row>
    <x:row r="141" ht="23" customHeight="1">
      <x:c r="A141" s="10" t="str">
        <x:v>M5</x:v>
      </x:c>
      <x:c r="B141" s="10" t="str">
        <x:v>branch</x:v>
      </x:c>
      <x:c r="C141" s="10" t="str">
        <x:v>分支贡献</x:v>
      </x:c>
      <x:c r="D141" s="10" t="str">
        <x:v>N_H0</x:v>
      </x:c>
      <x:c r="E141" s="10" t="str">
        <x:v>NC_H0</x:v>
      </x:c>
      <x:c r="F141" s="11" t="n">
        <x:v>1747</x:v>
      </x:c>
      <x:c r="G141" s="11" t="n">
        <x:v>470</x:v>
      </x:c>
      <x:c r="H141" s="12" t="n">
        <x:f>G141/F141</x:f>
        <x:v>0.2690326273611906</x:v>
      </x:c>
      <x:c r="I141" s="11" t="n">
        <x:v>88</x:v>
      </x:c>
      <x:c r="J141" s="11" t="n">
        <x:v>382</x:v>
      </x:c>
      <x:c r="K141" s="11" t="n">
        <x:v>470</x:v>
      </x:c>
      <x:c r="L141" s="11" t="n">
        <x:v>612</x:v>
      </x:c>
      <x:c r="M141" s="11" t="n">
        <x:v>470</x:v>
      </x:c>
    </x:row>
    <x:row r="142" ht="23" customHeight="1">
      <x:c r="A142" s="10" t="str">
        <x:v>M5</x:v>
      </x:c>
      <x:c r="B142" s="10" t="str">
        <x:v>branch</x:v>
      </x:c>
      <x:c r="C142" s="10" t="str">
        <x:v>分支贡献</x:v>
      </x:c>
      <x:c r="D142" s="10" t="str">
        <x:v>C_H0</x:v>
      </x:c>
      <x:c r="E142" s="10" t="str">
        <x:v>NC_H0</x:v>
      </x:c>
      <x:c r="F142" s="11" t="n">
        <x:v>1747</x:v>
      </x:c>
      <x:c r="G142" s="11" t="n">
        <x:v>289</x:v>
      </x:c>
      <x:c r="H142" s="12" t="n">
        <x:f>G142/F142</x:f>
        <x:v>0.16542644533485976</x:v>
      </x:c>
      <x:c r="I142" s="11" t="n">
        <x:v>206</x:v>
      </x:c>
      <x:c r="J142" s="11" t="n">
        <x:v>83</x:v>
      </x:c>
      <x:c r="K142" s="11" t="n">
        <x:v>289</x:v>
      </x:c>
      <x:c r="L142" s="11" t="n">
        <x:v>502</x:v>
      </x:c>
      <x:c r="M142" s="11" t="n">
        <x:v>289</x:v>
      </x:c>
    </x:row>
    <x:row r="143" ht="23" customHeight="1">
      <x:c r="A143" s="10" t="str">
        <x:v>M5</x:v>
      </x:c>
      <x:c r="B143" s="10" t="str">
        <x:v>branch</x:v>
      </x:c>
      <x:c r="C143" s="10" t="str">
        <x:v>分支贡献</x:v>
      </x:c>
      <x:c r="D143" s="10" t="str">
        <x:v>N_H0</x:v>
      </x:c>
      <x:c r="E143" s="10" t="str">
        <x:v>NG_H0</x:v>
      </x:c>
      <x:c r="F143" s="11" t="n">
        <x:v>1747</x:v>
      </x:c>
      <x:c r="G143" s="11" t="n">
        <x:v>1237</x:v>
      </x:c>
      <x:c r="H143" s="12" t="n">
        <x:f>G143/F143</x:f>
        <x:v>0.7080709788208357</x:v>
      </x:c>
      <x:c r="I143" s="11" t="n">
        <x:v>70</x:v>
      </x:c>
      <x:c r="J143" s="11" t="n">
        <x:v>1167</x:v>
      </x:c>
      <x:c r="K143" s="11" t="n">
        <x:v>0</x:v>
      </x:c>
      <x:c r="L143" s="11" t="n">
        <x:v>0</x:v>
      </x:c>
      <x:c r="M143" s="11" t="n">
        <x:v>1747</x:v>
      </x:c>
    </x:row>
    <x:row r="144" ht="23" customHeight="1">
      <x:c r="A144" s="10" t="str">
        <x:v>M5</x:v>
      </x:c>
      <x:c r="B144" s="10" t="str">
        <x:v>branch</x:v>
      </x:c>
      <x:c r="C144" s="10" t="str">
        <x:v>分支贡献</x:v>
      </x:c>
      <x:c r="D144" s="10" t="str">
        <x:v>C_H0</x:v>
      </x:c>
      <x:c r="E144" s="10" t="str">
        <x:v>CG_H0</x:v>
      </x:c>
      <x:c r="F144" s="11" t="n">
        <x:v>1747</x:v>
      </x:c>
      <x:c r="G144" s="11" t="n">
        <x:v>1343</x:v>
      </x:c>
      <x:c r="H144" s="12" t="n">
        <x:f>G144/F144</x:f>
        <x:v>0.7687464224384659</x:v>
      </x:c>
      <x:c r="I144" s="11" t="n">
        <x:v>246</x:v>
      </x:c>
      <x:c r="J144" s="11" t="n">
        <x:v>1097</x:v>
      </x:c>
      <x:c r="K144" s="11" t="n">
        <x:v>0</x:v>
      </x:c>
      <x:c r="L144" s="11" t="n">
        <x:v>0</x:v>
      </x:c>
      <x:c r="M144" s="11" t="n">
        <x:v>1747</x:v>
      </x:c>
    </x:row>
    <x:row r="145" ht="23" customHeight="1">
      <x:c r="A145" s="10" t="str">
        <x:v>M5</x:v>
      </x:c>
      <x:c r="B145" s="10" t="str">
        <x:v>branch</x:v>
      </x:c>
      <x:c r="C145" s="10" t="str">
        <x:v>分支贡献</x:v>
      </x:c>
      <x:c r="D145" s="10" t="str">
        <x:v>NC_H0</x:v>
      </x:c>
      <x:c r="E145" s="10" t="str">
        <x:v>NCG_H0</x:v>
      </x:c>
      <x:c r="F145" s="11" t="n">
        <x:v>1747</x:v>
      </x:c>
      <x:c r="G145" s="11" t="n">
        <x:v>1252</x:v>
      </x:c>
      <x:c r="H145" s="12" t="n">
        <x:f>G145/F145</x:f>
        <x:v>0.7166571265025758</x:v>
      </x:c>
      <x:c r="I145" s="11" t="n">
        <x:v>280</x:v>
      </x:c>
      <x:c r="J145" s="11" t="n">
        <x:v>972</x:v>
      </x:c>
      <x:c r="K145" s="11" t="n">
        <x:v>0</x:v>
      </x:c>
      <x:c r="L145" s="11" t="n">
        <x:v>0</x:v>
      </x:c>
      <x:c r="M145" s="11" t="n">
        <x:v>1747</x:v>
      </x:c>
    </x:row>
    <x:row r="146" ht="23" customHeight="1">
      <x:c r="A146" s="10" t="str">
        <x:v>M6</x:v>
      </x:c>
      <x:c r="B146" s="10" t="str">
        <x:v>N</x:v>
      </x:c>
      <x:c r="C146" s="10" t="str">
        <x:v>H0至H1</x:v>
      </x:c>
      <x:c r="D146" s="10" t="str">
        <x:v>H0</x:v>
      </x:c>
      <x:c r="E146" s="10" t="str">
        <x:v>H1</x:v>
      </x:c>
      <x:c r="F146" s="11" t="n">
        <x:v>3347</x:v>
      </x:c>
      <x:c r="G146" s="11" t="n">
        <x:v>6</x:v>
      </x:c>
      <x:c r="H146" s="12" t="n">
        <x:f>G146/F146</x:f>
        <x:v>0.00179265013444876</x:v>
      </x:c>
      <x:c r="I146" s="11" t="n">
        <x:v>6</x:v>
      </x:c>
      <x:c r="J146" s="11" t="n">
        <x:v>0</x:v>
      </x:c>
      <x:c r="K146" s="11" t="n">
        <x:v>6</x:v>
      </x:c>
      <x:c r="L146" s="11" t="n">
        <x:v>0</x:v>
      </x:c>
      <x:c r="M146" s="11" t="n">
        <x:v>6</x:v>
      </x:c>
    </x:row>
    <x:row r="147" ht="23" customHeight="1">
      <x:c r="A147" s="10" t="str">
        <x:v>M6</x:v>
      </x:c>
      <x:c r="B147" s="10" t="str">
        <x:v>N</x:v>
      </x:c>
      <x:c r="C147" s="10" t="str">
        <x:v>H0至HT</x:v>
      </x:c>
      <x:c r="D147" s="10" t="str">
        <x:v>H0</x:v>
      </x:c>
      <x:c r="E147" s="10" t="str">
        <x:v>HT</x:v>
      </x:c>
      <x:c r="F147" s="11" t="n">
        <x:v>3347</x:v>
      </x:c>
      <x:c r="G147" s="11" t="n">
        <x:v>0</x:v>
      </x:c>
      <x:c r="H147" s="12" t="n">
        <x:f>G147/F147</x:f>
        <x:v>0</x:v>
      </x:c>
      <x:c r="I147" s="11" t="n">
        <x:v>0</x:v>
      </x:c>
      <x:c r="J147" s="11" t="n">
        <x:v>0</x:v>
      </x:c>
      <x:c r="K147" s="11" t="n">
        <x:v>0</x:v>
      </x:c>
      <x:c r="L147" s="11" t="n">
        <x:v>0</x:v>
      </x:c>
      <x:c r="M147" s="11" t="n">
        <x:v>0</x:v>
      </x:c>
    </x:row>
    <x:row r="148" ht="23" customHeight="1">
      <x:c r="A148" s="10" t="str">
        <x:v>M6</x:v>
      </x:c>
      <x:c r="B148" s="10" t="str">
        <x:v>N</x:v>
      </x:c>
      <x:c r="C148" s="10" t="str">
        <x:v>HT至H1</x:v>
      </x:c>
      <x:c r="D148" s="10" t="str">
        <x:v>HT</x:v>
      </x:c>
      <x:c r="E148" s="10" t="str">
        <x:v>H1</x:v>
      </x:c>
      <x:c r="F148" s="11" t="n">
        <x:v>3347</x:v>
      </x:c>
      <x:c r="G148" s="11" t="n">
        <x:v>6</x:v>
      </x:c>
      <x:c r="H148" s="12" t="n">
        <x:f>G148/F148</x:f>
        <x:v>0.00179265013444876</x:v>
      </x:c>
      <x:c r="I148" s="11" t="n">
        <x:v>6</x:v>
      </x:c>
      <x:c r="J148" s="11" t="n">
        <x:v>0</x:v>
      </x:c>
      <x:c r="K148" s="11" t="n">
        <x:v>6</x:v>
      </x:c>
      <x:c r="L148" s="11" t="n">
        <x:v>0</x:v>
      </x:c>
      <x:c r="M148" s="11" t="n">
        <x:v>6</x:v>
      </x:c>
    </x:row>
    <x:row r="149" ht="23" customHeight="1">
      <x:c r="A149" s="10" t="str">
        <x:v>M6</x:v>
      </x:c>
      <x:c r="B149" s="10" t="str">
        <x:v>C</x:v>
      </x:c>
      <x:c r="C149" s="10" t="str">
        <x:v>H0至H1</x:v>
      </x:c>
      <x:c r="D149" s="10" t="str">
        <x:v>H0</x:v>
      </x:c>
      <x:c r="E149" s="10" t="str">
        <x:v>H1</x:v>
      </x:c>
      <x:c r="F149" s="11" t="n">
        <x:v>3347</x:v>
      </x:c>
      <x:c r="G149" s="11" t="n">
        <x:v>0</x:v>
      </x:c>
      <x:c r="H149" s="12" t="n">
        <x:f>G149/F149</x:f>
        <x:v>0</x:v>
      </x:c>
      <x:c r="I149" s="11" t="n">
        <x:v>0</x:v>
      </x:c>
      <x:c r="J149" s="11" t="n">
        <x:v>0</x:v>
      </x:c>
      <x:c r="K149" s="11" t="n">
        <x:v>0</x:v>
      </x:c>
      <x:c r="L149" s="11" t="n">
        <x:v>0</x:v>
      </x:c>
      <x:c r="M149" s="11" t="n">
        <x:v>0</x:v>
      </x:c>
    </x:row>
    <x:row r="150" ht="23" customHeight="1">
      <x:c r="A150" s="10" t="str">
        <x:v>M6</x:v>
      </x:c>
      <x:c r="B150" s="10" t="str">
        <x:v>C</x:v>
      </x:c>
      <x:c r="C150" s="10" t="str">
        <x:v>H0至HT</x:v>
      </x:c>
      <x:c r="D150" s="10" t="str">
        <x:v>H0</x:v>
      </x:c>
      <x:c r="E150" s="10" t="str">
        <x:v>HT</x:v>
      </x:c>
      <x:c r="F150" s="11" t="n">
        <x:v>3347</x:v>
      </x:c>
      <x:c r="G150" s="11" t="n">
        <x:v>0</x:v>
      </x:c>
      <x:c r="H150" s="12" t="n">
        <x:f>G150/F150</x:f>
        <x:v>0</x:v>
      </x:c>
      <x:c r="I150" s="11" t="n">
        <x:v>0</x:v>
      </x:c>
      <x:c r="J150" s="11" t="n">
        <x:v>0</x:v>
      </x:c>
      <x:c r="K150" s="11" t="n">
        <x:v>0</x:v>
      </x:c>
      <x:c r="L150" s="11" t="n">
        <x:v>0</x:v>
      </x:c>
      <x:c r="M150" s="11" t="n">
        <x:v>0</x:v>
      </x:c>
    </x:row>
    <x:row r="151" ht="23" customHeight="1">
      <x:c r="A151" s="10" t="str">
        <x:v>M6</x:v>
      </x:c>
      <x:c r="B151" s="10" t="str">
        <x:v>C</x:v>
      </x:c>
      <x:c r="C151" s="10" t="str">
        <x:v>HT至H1</x:v>
      </x:c>
      <x:c r="D151" s="10" t="str">
        <x:v>HT</x:v>
      </x:c>
      <x:c r="E151" s="10" t="str">
        <x:v>H1</x:v>
      </x:c>
      <x:c r="F151" s="11" t="n">
        <x:v>3347</x:v>
      </x:c>
      <x:c r="G151" s="11" t="n">
        <x:v>0</x:v>
      </x:c>
      <x:c r="H151" s="12" t="n">
        <x:f>G151/F151</x:f>
        <x:v>0</x:v>
      </x:c>
      <x:c r="I151" s="11" t="n">
        <x:v>0</x:v>
      </x:c>
      <x:c r="J151" s="11" t="n">
        <x:v>0</x:v>
      </x:c>
      <x:c r="K151" s="11" t="n">
        <x:v>0</x:v>
      </x:c>
      <x:c r="L151" s="11" t="n">
        <x:v>0</x:v>
      </x:c>
      <x:c r="M151" s="11" t="n">
        <x:v>0</x:v>
      </x:c>
    </x:row>
    <x:row r="152" ht="23" customHeight="1">
      <x:c r="A152" s="10" t="str">
        <x:v>M6</x:v>
      </x:c>
      <x:c r="B152" s="10" t="str">
        <x:v>G</x:v>
      </x:c>
      <x:c r="C152" s="10" t="str">
        <x:v>H0至H1</x:v>
      </x:c>
      <x:c r="D152" s="10" t="str">
        <x:v>H0</x:v>
      </x:c>
      <x:c r="E152" s="10" t="str">
        <x:v>H1</x:v>
      </x:c>
      <x:c r="F152" s="11" t="n">
        <x:v>3347</x:v>
      </x:c>
      <x:c r="G152" s="11" t="n">
        <x:v>440</x:v>
      </x:c>
      <x:c r="H152" s="12" t="n">
        <x:f>G152/F152</x:f>
        <x:v>0.13146100985957573</x:v>
      </x:c>
      <x:c r="I152" s="11" t="n">
        <x:v>440</x:v>
      </x:c>
      <x:c r="J152" s="11" t="n">
        <x:v>0</x:v>
      </x:c>
      <x:c r="K152" s="11" t="n">
        <x:v>0</x:v>
      </x:c>
      <x:c r="L152" s="11" t="n">
        <x:v>0</x:v>
      </x:c>
      <x:c r="M152" s="11" t="n">
        <x:v>440</x:v>
      </x:c>
    </x:row>
    <x:row r="153" ht="23" customHeight="1">
      <x:c r="A153" s="10" t="str">
        <x:v>M6</x:v>
      </x:c>
      <x:c r="B153" s="10" t="str">
        <x:v>G</x:v>
      </x:c>
      <x:c r="C153" s="10" t="str">
        <x:v>H0至HT</x:v>
      </x:c>
      <x:c r="D153" s="10" t="str">
        <x:v>H0</x:v>
      </x:c>
      <x:c r="E153" s="10" t="str">
        <x:v>HT</x:v>
      </x:c>
      <x:c r="F153" s="11" t="n">
        <x:v>3347</x:v>
      </x:c>
      <x:c r="G153" s="11" t="n">
        <x:v>440</x:v>
      </x:c>
      <x:c r="H153" s="12" t="n">
        <x:f>G153/F153</x:f>
        <x:v>0.13146100985957573</x:v>
      </x:c>
      <x:c r="I153" s="11" t="n">
        <x:v>440</x:v>
      </x:c>
      <x:c r="J153" s="11" t="n">
        <x:v>0</x:v>
      </x:c>
      <x:c r="K153" s="11" t="n">
        <x:v>0</x:v>
      </x:c>
      <x:c r="L153" s="11" t="n">
        <x:v>0</x:v>
      </x:c>
      <x:c r="M153" s="11" t="n">
        <x:v>440</x:v>
      </x:c>
    </x:row>
    <x:row r="154" ht="23" customHeight="1">
      <x:c r="A154" s="10" t="str">
        <x:v>M6</x:v>
      </x:c>
      <x:c r="B154" s="10" t="str">
        <x:v>G</x:v>
      </x:c>
      <x:c r="C154" s="10" t="str">
        <x:v>HT至H1</x:v>
      </x:c>
      <x:c r="D154" s="10" t="str">
        <x:v>HT</x:v>
      </x:c>
      <x:c r="E154" s="10" t="str">
        <x:v>H1</x:v>
      </x:c>
      <x:c r="F154" s="11" t="n">
        <x:v>3347</x:v>
      </x:c>
      <x:c r="G154" s="11" t="n">
        <x:v>0</x:v>
      </x:c>
      <x:c r="H154" s="12" t="n">
        <x:f>G154/F154</x:f>
        <x:v>0</x:v>
      </x:c>
      <x:c r="I154" s="11" t="n">
        <x:v>0</x:v>
      </x:c>
      <x:c r="J154" s="11" t="n">
        <x:v>0</x:v>
      </x:c>
      <x:c r="K154" s="11" t="n">
        <x:v>0</x:v>
      </x:c>
      <x:c r="L154" s="11" t="n">
        <x:v>0</x:v>
      </x:c>
      <x:c r="M154" s="11" t="n">
        <x:v>0</x:v>
      </x:c>
    </x:row>
    <x:row r="155" ht="23" customHeight="1">
      <x:c r="A155" s="10" t="str">
        <x:v>M6</x:v>
      </x:c>
      <x:c r="B155" s="10" t="str">
        <x:v>NC</x:v>
      </x:c>
      <x:c r="C155" s="10" t="str">
        <x:v>H0至H1</x:v>
      </x:c>
      <x:c r="D155" s="10" t="str">
        <x:v>H0</x:v>
      </x:c>
      <x:c r="E155" s="10" t="str">
        <x:v>H1</x:v>
      </x:c>
      <x:c r="F155" s="11" t="n">
        <x:v>3347</x:v>
      </x:c>
      <x:c r="G155" s="11" t="n">
        <x:v>3</x:v>
      </x:c>
      <x:c r="H155" s="12" t="n">
        <x:f>G155/F155</x:f>
        <x:v>0.00089632506722438</x:v>
      </x:c>
      <x:c r="I155" s="11" t="n">
        <x:v>3</x:v>
      </x:c>
      <x:c r="J155" s="11" t="n">
        <x:v>0</x:v>
      </x:c>
      <x:c r="K155" s="11" t="n">
        <x:v>3</x:v>
      </x:c>
      <x:c r="L155" s="11" t="n">
        <x:v>0</x:v>
      </x:c>
      <x:c r="M155" s="11" t="n">
        <x:v>3</x:v>
      </x:c>
    </x:row>
    <x:row r="156" ht="23" customHeight="1">
      <x:c r="A156" s="10" t="str">
        <x:v>M6</x:v>
      </x:c>
      <x:c r="B156" s="10" t="str">
        <x:v>NC</x:v>
      </x:c>
      <x:c r="C156" s="10" t="str">
        <x:v>H0至HT</x:v>
      </x:c>
      <x:c r="D156" s="10" t="str">
        <x:v>H0</x:v>
      </x:c>
      <x:c r="E156" s="10" t="str">
        <x:v>HT</x:v>
      </x:c>
      <x:c r="F156" s="11" t="n">
        <x:v>3347</x:v>
      </x:c>
      <x:c r="G156" s="11" t="n">
        <x:v>0</x:v>
      </x:c>
      <x:c r="H156" s="12" t="n">
        <x:f>G156/F156</x:f>
        <x:v>0</x:v>
      </x:c>
      <x:c r="I156" s="11" t="n">
        <x:v>0</x:v>
      </x:c>
      <x:c r="J156" s="11" t="n">
        <x:v>0</x:v>
      </x:c>
      <x:c r="K156" s="11" t="n">
        <x:v>0</x:v>
      </x:c>
      <x:c r="L156" s="11" t="n">
        <x:v>0</x:v>
      </x:c>
      <x:c r="M156" s="11" t="n">
        <x:v>0</x:v>
      </x:c>
    </x:row>
    <x:row r="157" ht="23" customHeight="1">
      <x:c r="A157" s="10" t="str">
        <x:v>M6</x:v>
      </x:c>
      <x:c r="B157" s="10" t="str">
        <x:v>NC</x:v>
      </x:c>
      <x:c r="C157" s="10" t="str">
        <x:v>HT至H1</x:v>
      </x:c>
      <x:c r="D157" s="10" t="str">
        <x:v>HT</x:v>
      </x:c>
      <x:c r="E157" s="10" t="str">
        <x:v>H1</x:v>
      </x:c>
      <x:c r="F157" s="11" t="n">
        <x:v>3347</x:v>
      </x:c>
      <x:c r="G157" s="11" t="n">
        <x:v>3</x:v>
      </x:c>
      <x:c r="H157" s="12" t="n">
        <x:f>G157/F157</x:f>
        <x:v>0.00089632506722438</x:v>
      </x:c>
      <x:c r="I157" s="11" t="n">
        <x:v>3</x:v>
      </x:c>
      <x:c r="J157" s="11" t="n">
        <x:v>0</x:v>
      </x:c>
      <x:c r="K157" s="11" t="n">
        <x:v>3</x:v>
      </x:c>
      <x:c r="L157" s="11" t="n">
        <x:v>0</x:v>
      </x:c>
      <x:c r="M157" s="11" t="n">
        <x:v>3</x:v>
      </x:c>
    </x:row>
    <x:row r="158" ht="23" customHeight="1">
      <x:c r="A158" s="10" t="str">
        <x:v>M6</x:v>
      </x:c>
      <x:c r="B158" s="10" t="str">
        <x:v>NG</x:v>
      </x:c>
      <x:c r="C158" s="10" t="str">
        <x:v>H0至H1</x:v>
      </x:c>
      <x:c r="D158" s="10" t="str">
        <x:v>H0</x:v>
      </x:c>
      <x:c r="E158" s="10" t="str">
        <x:v>H1</x:v>
      </x:c>
      <x:c r="F158" s="11" t="n">
        <x:v>3347</x:v>
      </x:c>
      <x:c r="G158" s="11" t="n">
        <x:v>312</x:v>
      </x:c>
      <x:c r="H158" s="12" t="n">
        <x:f>G158/F158</x:f>
        <x:v>0.09321780699133553</x:v>
      </x:c>
      <x:c r="I158" s="11" t="n">
        <x:v>312</x:v>
      </x:c>
      <x:c r="J158" s="11" t="n">
        <x:v>0</x:v>
      </x:c>
      <x:c r="K158" s="11" t="n">
        <x:v>6</x:v>
      </x:c>
      <x:c r="L158" s="11" t="n">
        <x:v>0</x:v>
      </x:c>
      <x:c r="M158" s="11" t="n">
        <x:v>312</x:v>
      </x:c>
    </x:row>
    <x:row r="159" ht="23" customHeight="1">
      <x:c r="A159" s="10" t="str">
        <x:v>M6</x:v>
      </x:c>
      <x:c r="B159" s="10" t="str">
        <x:v>NG</x:v>
      </x:c>
      <x:c r="C159" s="10" t="str">
        <x:v>H0至HT</x:v>
      </x:c>
      <x:c r="D159" s="10" t="str">
        <x:v>H0</x:v>
      </x:c>
      <x:c r="E159" s="10" t="str">
        <x:v>HT</x:v>
      </x:c>
      <x:c r="F159" s="11" t="n">
        <x:v>3347</x:v>
      </x:c>
      <x:c r="G159" s="11" t="n">
        <x:v>306</x:v>
      </x:c>
      <x:c r="H159" s="12" t="n">
        <x:f>G159/F159</x:f>
        <x:v>0.09142515685688676</x:v>
      </x:c>
      <x:c r="I159" s="11" t="n">
        <x:v>306</x:v>
      </x:c>
      <x:c r="J159" s="11" t="n">
        <x:v>0</x:v>
      </x:c>
      <x:c r="K159" s="11" t="n">
        <x:v>0</x:v>
      </x:c>
      <x:c r="L159" s="11" t="n">
        <x:v>0</x:v>
      </x:c>
      <x:c r="M159" s="11" t="n">
        <x:v>306</x:v>
      </x:c>
    </x:row>
    <x:row r="160" ht="23" customHeight="1">
      <x:c r="A160" s="10" t="str">
        <x:v>M6</x:v>
      </x:c>
      <x:c r="B160" s="10" t="str">
        <x:v>NG</x:v>
      </x:c>
      <x:c r="C160" s="10" t="str">
        <x:v>HT至H1</x:v>
      </x:c>
      <x:c r="D160" s="10" t="str">
        <x:v>HT</x:v>
      </x:c>
      <x:c r="E160" s="10" t="str">
        <x:v>H1</x:v>
      </x:c>
      <x:c r="F160" s="11" t="n">
        <x:v>3347</x:v>
      </x:c>
      <x:c r="G160" s="11" t="n">
        <x:v>6</x:v>
      </x:c>
      <x:c r="H160" s="12" t="n">
        <x:f>G160/F160</x:f>
        <x:v>0.00179265013444876</x:v>
      </x:c>
      <x:c r="I160" s="11" t="n">
        <x:v>6</x:v>
      </x:c>
      <x:c r="J160" s="11" t="n">
        <x:v>0</x:v>
      </x:c>
      <x:c r="K160" s="11" t="n">
        <x:v>6</x:v>
      </x:c>
      <x:c r="L160" s="11" t="n">
        <x:v>0</x:v>
      </x:c>
      <x:c r="M160" s="11" t="n">
        <x:v>6</x:v>
      </x:c>
    </x:row>
    <x:row r="161" ht="23" customHeight="1">
      <x:c r="A161" s="10" t="str">
        <x:v>M6</x:v>
      </x:c>
      <x:c r="B161" s="10" t="str">
        <x:v>CG</x:v>
      </x:c>
      <x:c r="C161" s="10" t="str">
        <x:v>H0至H1</x:v>
      </x:c>
      <x:c r="D161" s="10" t="str">
        <x:v>H0</x:v>
      </x:c>
      <x:c r="E161" s="10" t="str">
        <x:v>H1</x:v>
      </x:c>
      <x:c r="F161" s="11" t="n">
        <x:v>3347</x:v>
      </x:c>
      <x:c r="G161" s="11" t="n">
        <x:v>436</x:v>
      </x:c>
      <x:c r="H161" s="12" t="n">
        <x:f>G161/F161</x:f>
        <x:v>0.13026590976994323</x:v>
      </x:c>
      <x:c r="I161" s="11" t="n">
        <x:v>436</x:v>
      </x:c>
      <x:c r="J161" s="11" t="n">
        <x:v>0</x:v>
      </x:c>
      <x:c r="K161" s="11" t="n">
        <x:v>0</x:v>
      </x:c>
      <x:c r="L161" s="11" t="n">
        <x:v>0</x:v>
      </x:c>
      <x:c r="M161" s="11" t="n">
        <x:v>436</x:v>
      </x:c>
    </x:row>
    <x:row r="162" ht="23" customHeight="1">
      <x:c r="A162" s="10" t="str">
        <x:v>M6</x:v>
      </x:c>
      <x:c r="B162" s="10" t="str">
        <x:v>CG</x:v>
      </x:c>
      <x:c r="C162" s="10" t="str">
        <x:v>H0至HT</x:v>
      </x:c>
      <x:c r="D162" s="10" t="str">
        <x:v>H0</x:v>
      </x:c>
      <x:c r="E162" s="10" t="str">
        <x:v>HT</x:v>
      </x:c>
      <x:c r="F162" s="11" t="n">
        <x:v>3347</x:v>
      </x:c>
      <x:c r="G162" s="11" t="n">
        <x:v>436</x:v>
      </x:c>
      <x:c r="H162" s="12" t="n">
        <x:f>G162/F162</x:f>
        <x:v>0.13026590976994323</x:v>
      </x:c>
      <x:c r="I162" s="11" t="n">
        <x:v>436</x:v>
      </x:c>
      <x:c r="J162" s="11" t="n">
        <x:v>0</x:v>
      </x:c>
      <x:c r="K162" s="11" t="n">
        <x:v>0</x:v>
      </x:c>
      <x:c r="L162" s="11" t="n">
        <x:v>0</x:v>
      </x:c>
      <x:c r="M162" s="11" t="n">
        <x:v>436</x:v>
      </x:c>
    </x:row>
    <x:row r="163" ht="23" customHeight="1">
      <x:c r="A163" s="10" t="str">
        <x:v>M6</x:v>
      </x:c>
      <x:c r="B163" s="10" t="str">
        <x:v>CG</x:v>
      </x:c>
      <x:c r="C163" s="10" t="str">
        <x:v>HT至H1</x:v>
      </x:c>
      <x:c r="D163" s="10" t="str">
        <x:v>HT</x:v>
      </x:c>
      <x:c r="E163" s="10" t="str">
        <x:v>H1</x:v>
      </x:c>
      <x:c r="F163" s="11" t="n">
        <x:v>3347</x:v>
      </x:c>
      <x:c r="G163" s="11" t="n">
        <x:v>0</x:v>
      </x:c>
      <x:c r="H163" s="12" t="n">
        <x:f>G163/F163</x:f>
        <x:v>0</x:v>
      </x:c>
      <x:c r="I163" s="11" t="n">
        <x:v>0</x:v>
      </x:c>
      <x:c r="J163" s="11" t="n">
        <x:v>0</x:v>
      </x:c>
      <x:c r="K163" s="11" t="n">
        <x:v>0</x:v>
      </x:c>
      <x:c r="L163" s="11" t="n">
        <x:v>0</x:v>
      </x:c>
      <x:c r="M163" s="11" t="n">
        <x:v>0</x:v>
      </x:c>
    </x:row>
    <x:row r="164" ht="23" customHeight="1">
      <x:c r="A164" s="10" t="str">
        <x:v>M6</x:v>
      </x:c>
      <x:c r="B164" s="10" t="str">
        <x:v>NCG</x:v>
      </x:c>
      <x:c r="C164" s="10" t="str">
        <x:v>H0至H1</x:v>
      </x:c>
      <x:c r="D164" s="10" t="str">
        <x:v>H0</x:v>
      </x:c>
      <x:c r="E164" s="10" t="str">
        <x:v>H1</x:v>
      </x:c>
      <x:c r="F164" s="11" t="n">
        <x:v>3347</x:v>
      </x:c>
      <x:c r="G164" s="11" t="n">
        <x:v>315</x:v>
      </x:c>
      <x:c r="H164" s="12" t="n">
        <x:f>G164/F164</x:f>
        <x:v>0.09411413205855991</x:v>
      </x:c>
      <x:c r="I164" s="11" t="n">
        <x:v>315</x:v>
      </x:c>
      <x:c r="J164" s="11" t="n">
        <x:v>0</x:v>
      </x:c>
      <x:c r="K164" s="11" t="n">
        <x:v>3</x:v>
      </x:c>
      <x:c r="L164" s="11" t="n">
        <x:v>0</x:v>
      </x:c>
      <x:c r="M164" s="11" t="n">
        <x:v>315</x:v>
      </x:c>
    </x:row>
    <x:row r="165" ht="23" customHeight="1">
      <x:c r="A165" s="10" t="str">
        <x:v>M6</x:v>
      </x:c>
      <x:c r="B165" s="10" t="str">
        <x:v>NCG</x:v>
      </x:c>
      <x:c r="C165" s="10" t="str">
        <x:v>H0至HT</x:v>
      </x:c>
      <x:c r="D165" s="10" t="str">
        <x:v>H0</x:v>
      </x:c>
      <x:c r="E165" s="10" t="str">
        <x:v>HT</x:v>
      </x:c>
      <x:c r="F165" s="11" t="n">
        <x:v>3347</x:v>
      </x:c>
      <x:c r="G165" s="11" t="n">
        <x:v>312</x:v>
      </x:c>
      <x:c r="H165" s="12" t="n">
        <x:f>G165/F165</x:f>
        <x:v>0.09321780699133553</x:v>
      </x:c>
      <x:c r="I165" s="11" t="n">
        <x:v>312</x:v>
      </x:c>
      <x:c r="J165" s="11" t="n">
        <x:v>0</x:v>
      </x:c>
      <x:c r="K165" s="11" t="n">
        <x:v>0</x:v>
      </x:c>
      <x:c r="L165" s="11" t="n">
        <x:v>0</x:v>
      </x:c>
      <x:c r="M165" s="11" t="n">
        <x:v>312</x:v>
      </x:c>
    </x:row>
    <x:row r="166" ht="23" customHeight="1">
      <x:c r="A166" s="10" t="str">
        <x:v>M6</x:v>
      </x:c>
      <x:c r="B166" s="10" t="str">
        <x:v>NCG</x:v>
      </x:c>
      <x:c r="C166" s="10" t="str">
        <x:v>HT至H1</x:v>
      </x:c>
      <x:c r="D166" s="10" t="str">
        <x:v>HT</x:v>
      </x:c>
      <x:c r="E166" s="10" t="str">
        <x:v>H1</x:v>
      </x:c>
      <x:c r="F166" s="11" t="n">
        <x:v>3347</x:v>
      </x:c>
      <x:c r="G166" s="11" t="n">
        <x:v>3</x:v>
      </x:c>
      <x:c r="H166" s="12" t="n">
        <x:f>G166/F166</x:f>
        <x:v>0.00089632506722438</x:v>
      </x:c>
      <x:c r="I166" s="11" t="n">
        <x:v>3</x:v>
      </x:c>
      <x:c r="J166" s="11" t="n">
        <x:v>0</x:v>
      </x:c>
      <x:c r="K166" s="11" t="n">
        <x:v>3</x:v>
      </x:c>
      <x:c r="L166" s="11" t="n">
        <x:v>0</x:v>
      </x:c>
      <x:c r="M166" s="11" t="n">
        <x:v>3</x:v>
      </x:c>
    </x:row>
    <x:row r="167" ht="23" customHeight="1">
      <x:c r="A167" s="10" t="str">
        <x:v>M6</x:v>
      </x:c>
      <x:c r="B167" s="10" t="str">
        <x:v>NCG</x:v>
      </x:c>
      <x:c r="C167" s="10" t="str">
        <x:v>叶名称辅助</x:v>
      </x:c>
      <x:c r="D167" s="10" t="str">
        <x:v>NCG_H0</x:v>
      </x:c>
      <x:c r="E167" s="10" t="str">
        <x:v>NCG_H0_M1</x:v>
      </x:c>
      <x:c r="F167" s="11" t="n">
        <x:v>3347</x:v>
      </x:c>
      <x:c r="G167" s="11" t="n">
        <x:v>59</x:v>
      </x:c>
      <x:c r="H167" s="12" t="n">
        <x:f>G167/F167</x:f>
        <x:v>0.017627726322079474</x:v>
      </x:c>
      <x:c r="I167" s="11" t="n">
        <x:v>56</x:v>
      </x:c>
      <x:c r="J167" s="11" t="n">
        <x:v>3</x:v>
      </x:c>
      <x:c r="K167" s="11" t="n">
        <x:v>156</x:v>
      </x:c>
      <x:c r="L167" s="11" t="n">
        <x:v>243</x:v>
      </x:c>
      <x:c r="M167" s="11" t="n">
        <x:v>59</x:v>
      </x:c>
    </x:row>
    <x:row r="168" ht="23" customHeight="1">
      <x:c r="A168" s="10" t="str">
        <x:v>M6</x:v>
      </x:c>
      <x:c r="B168" s="10" t="str">
        <x:v>NCG</x:v>
      </x:c>
      <x:c r="C168" s="10" t="str">
        <x:v>叶名称辅助</x:v>
      </x:c>
      <x:c r="D168" s="10" t="str">
        <x:v>NCG_H1</x:v>
      </x:c>
      <x:c r="E168" s="10" t="str">
        <x:v>NCG_H1_M1</x:v>
      </x:c>
      <x:c r="F168" s="11" t="n">
        <x:v>3347</x:v>
      </x:c>
      <x:c r="G168" s="11" t="n">
        <x:v>69</x:v>
      </x:c>
      <x:c r="H168" s="12" t="n">
        <x:f>G168/F168</x:f>
        <x:v>0.020615476546160742</x:v>
      </x:c>
      <x:c r="I168" s="11" t="n">
        <x:v>56</x:v>
      </x:c>
      <x:c r="J168" s="11" t="n">
        <x:v>13</x:v>
      </x:c>
      <x:c r="K168" s="11" t="n">
        <x:v>156</x:v>
      </x:c>
      <x:c r="L168" s="11" t="n">
        <x:v>243</x:v>
      </x:c>
      <x:c r="M168" s="11" t="n">
        <x:v>69</x:v>
      </x:c>
    </x:row>
    <x:row r="169" ht="23" customHeight="1">
      <x:c r="A169" s="10" t="str">
        <x:v>M6</x:v>
      </x:c>
      <x:c r="B169" s="10" t="str">
        <x:v>branch</x:v>
      </x:c>
      <x:c r="C169" s="10" t="str">
        <x:v>分支贡献</x:v>
      </x:c>
      <x:c r="D169" s="10" t="str">
        <x:v>N_H0</x:v>
      </x:c>
      <x:c r="E169" s="10" t="str">
        <x:v>NC_H0</x:v>
      </x:c>
      <x:c r="F169" s="11" t="n">
        <x:v>3347</x:v>
      </x:c>
      <x:c r="G169" s="11" t="n">
        <x:v>1049</x:v>
      </x:c>
      <x:c r="H169" s="12" t="n">
        <x:f>G169/F169</x:f>
        <x:v>0.31341499850612486</x:v>
      </x:c>
      <x:c r="I169" s="11" t="n">
        <x:v>280</x:v>
      </x:c>
      <x:c r="J169" s="11" t="n">
        <x:v>769</x:v>
      </x:c>
      <x:c r="K169" s="11" t="n">
        <x:v>1049</x:v>
      </x:c>
      <x:c r="L169" s="11" t="n">
        <x:v>1464</x:v>
      </x:c>
      <x:c r="M169" s="11" t="n">
        <x:v>1049</x:v>
      </x:c>
    </x:row>
    <x:row r="170" ht="23" customHeight="1">
      <x:c r="A170" s="10" t="str">
        <x:v>M6</x:v>
      </x:c>
      <x:c r="B170" s="10" t="str">
        <x:v>branch</x:v>
      </x:c>
      <x:c r="C170" s="10" t="str">
        <x:v>分支贡献</x:v>
      </x:c>
      <x:c r="D170" s="10" t="str">
        <x:v>C_H0</x:v>
      </x:c>
      <x:c r="E170" s="10" t="str">
        <x:v>NC_H0</x:v>
      </x:c>
      <x:c r="F170" s="11" t="n">
        <x:v>3347</x:v>
      </x:c>
      <x:c r="G170" s="11" t="n">
        <x:v>688</x:v>
      </x:c>
      <x:c r="H170" s="12" t="n">
        <x:f>G170/F170</x:f>
        <x:v>0.20555721541679114</x:v>
      </x:c>
      <x:c r="I170" s="11" t="n">
        <x:v>512</x:v>
      </x:c>
      <x:c r="J170" s="11" t="n">
        <x:v>176</x:v>
      </x:c>
      <x:c r="K170" s="11" t="n">
        <x:v>688</x:v>
      </x:c>
      <x:c r="L170" s="11" t="n">
        <x:v>1200</x:v>
      </x:c>
      <x:c r="M170" s="11" t="n">
        <x:v>688</x:v>
      </x:c>
    </x:row>
    <x:row r="171" ht="23" customHeight="1">
      <x:c r="A171" s="10" t="str">
        <x:v>M6</x:v>
      </x:c>
      <x:c r="B171" s="10" t="str">
        <x:v>branch</x:v>
      </x:c>
      <x:c r="C171" s="10" t="str">
        <x:v>分支贡献</x:v>
      </x:c>
      <x:c r="D171" s="10" t="str">
        <x:v>N_H0</x:v>
      </x:c>
      <x:c r="E171" s="10" t="str">
        <x:v>NG_H0</x:v>
      </x:c>
      <x:c r="F171" s="11" t="n">
        <x:v>3347</x:v>
      </x:c>
      <x:c r="G171" s="11" t="n">
        <x:v>2323</x:v>
      </x:c>
      <x:c r="H171" s="12" t="n">
        <x:f>G171/F171</x:f>
        <x:v>0.6940543770540782</x:v>
      </x:c>
      <x:c r="I171" s="11" t="n">
        <x:v>193</x:v>
      </x:c>
      <x:c r="J171" s="11" t="n">
        <x:v>2130</x:v>
      </x:c>
      <x:c r="K171" s="11" t="n">
        <x:v>0</x:v>
      </x:c>
      <x:c r="L171" s="11" t="n">
        <x:v>0</x:v>
      </x:c>
      <x:c r="M171" s="11" t="n">
        <x:v>3347</x:v>
      </x:c>
    </x:row>
    <x:row r="172" ht="23" customHeight="1">
      <x:c r="A172" s="10" t="str">
        <x:v>M6</x:v>
      </x:c>
      <x:c r="B172" s="10" t="str">
        <x:v>branch</x:v>
      </x:c>
      <x:c r="C172" s="10" t="str">
        <x:v>分支贡献</x:v>
      </x:c>
      <x:c r="D172" s="10" t="str">
        <x:v>C_H0</x:v>
      </x:c>
      <x:c r="E172" s="10" t="str">
        <x:v>CG_H0</x:v>
      </x:c>
      <x:c r="F172" s="11" t="n">
        <x:v>3347</x:v>
      </x:c>
      <x:c r="G172" s="11" t="n">
        <x:v>2959</x:v>
      </x:c>
      <x:c r="H172" s="12" t="n">
        <x:f>G172/F172</x:f>
        <x:v>0.8840752913056469</x:v>
      </x:c>
      <x:c r="I172" s="11" t="n">
        <x:v>683</x:v>
      </x:c>
      <x:c r="J172" s="11" t="n">
        <x:v>2276</x:v>
      </x:c>
      <x:c r="K172" s="11" t="n">
        <x:v>1</x:v>
      </x:c>
      <x:c r="L172" s="11" t="n">
        <x:v>1</x:v>
      </x:c>
      <x:c r="M172" s="11" t="n">
        <x:v>3347</x:v>
      </x:c>
    </x:row>
    <x:row r="173" ht="23" customHeight="1">
      <x:c r="A173" s="10" t="str">
        <x:v>M6</x:v>
      </x:c>
      <x:c r="B173" s="10" t="str">
        <x:v>branch</x:v>
      </x:c>
      <x:c r="C173" s="10" t="str">
        <x:v>分支贡献</x:v>
      </x:c>
      <x:c r="D173" s="10" t="str">
        <x:v>NC_H0</x:v>
      </x:c>
      <x:c r="E173" s="10" t="str">
        <x:v>NCG_H0</x:v>
      </x:c>
      <x:c r="F173" s="11" t="n">
        <x:v>3347</x:v>
      </x:c>
      <x:c r="G173" s="11" t="n">
        <x:v>2527</x:v>
      </x:c>
      <x:c r="H173" s="12" t="n">
        <x:f>G173/F173</x:f>
        <x:v>0.7550044816253362</x:v>
      </x:c>
      <x:c r="I173" s="11" t="n">
        <x:v>714</x:v>
      </x:c>
      <x:c r="J173" s="11" t="n">
        <x:v>1813</x:v>
      </x:c>
      <x:c r="K173" s="11" t="n">
        <x:v>1</x:v>
      </x:c>
      <x:c r="L173" s="11" t="n">
        <x:v>1</x:v>
      </x:c>
      <x:c r="M173" s="11" t="n">
        <x:v>3347</x:v>
      </x:c>
    </x:row>
    <x:row r="174" ht="23" customHeight="1">
      <x:c r="A174" s="10" t="str">
        <x:v>M7</x:v>
      </x:c>
      <x:c r="B174" s="10" t="str">
        <x:v>N</x:v>
      </x:c>
      <x:c r="C174" s="10" t="str">
        <x:v>H0至H1</x:v>
      </x:c>
      <x:c r="D174" s="10" t="str">
        <x:v>H0</x:v>
      </x:c>
      <x:c r="E174" s="10" t="str">
        <x:v>H1</x:v>
      </x:c>
      <x:c r="F174" s="11" t="n">
        <x:v>1026</x:v>
      </x:c>
      <x:c r="G174" s="11" t="n">
        <x:v>5</x:v>
      </x:c>
      <x:c r="H174" s="12" t="n">
        <x:f>G174/F174</x:f>
        <x:v>0.004873294346978557</x:v>
      </x:c>
      <x:c r="I174" s="11" t="n">
        <x:v>5</x:v>
      </x:c>
      <x:c r="J174" s="11" t="n">
        <x:v>0</x:v>
      </x:c>
      <x:c r="K174" s="11" t="n">
        <x:v>5</x:v>
      </x:c>
      <x:c r="L174" s="11" t="n">
        <x:v>0</x:v>
      </x:c>
      <x:c r="M174" s="11" t="n">
        <x:v>5</x:v>
      </x:c>
    </x:row>
    <x:row r="175" ht="23" customHeight="1">
      <x:c r="A175" s="10" t="str">
        <x:v>M7</x:v>
      </x:c>
      <x:c r="B175" s="10" t="str">
        <x:v>N</x:v>
      </x:c>
      <x:c r="C175" s="10" t="str">
        <x:v>H0至HT</x:v>
      </x:c>
      <x:c r="D175" s="10" t="str">
        <x:v>H0</x:v>
      </x:c>
      <x:c r="E175" s="10" t="str">
        <x:v>HT</x:v>
      </x:c>
      <x:c r="F175" s="11" t="n">
        <x:v>1026</x:v>
      </x:c>
      <x:c r="G175" s="11" t="n">
        <x:v>0</x:v>
      </x:c>
      <x:c r="H175" s="12" t="n">
        <x:f>G175/F175</x:f>
        <x:v>0</x:v>
      </x:c>
      <x:c r="I175" s="11" t="n">
        <x:v>0</x:v>
      </x:c>
      <x:c r="J175" s="11" t="n">
        <x:v>0</x:v>
      </x:c>
      <x:c r="K175" s="11" t="n">
        <x:v>0</x:v>
      </x:c>
      <x:c r="L175" s="11" t="n">
        <x:v>0</x:v>
      </x:c>
      <x:c r="M175" s="11" t="n">
        <x:v>0</x:v>
      </x:c>
    </x:row>
    <x:row r="176" ht="23" customHeight="1">
      <x:c r="A176" s="10" t="str">
        <x:v>M7</x:v>
      </x:c>
      <x:c r="B176" s="10" t="str">
        <x:v>N</x:v>
      </x:c>
      <x:c r="C176" s="10" t="str">
        <x:v>HT至H1</x:v>
      </x:c>
      <x:c r="D176" s="10" t="str">
        <x:v>HT</x:v>
      </x:c>
      <x:c r="E176" s="10" t="str">
        <x:v>H1</x:v>
      </x:c>
      <x:c r="F176" s="11" t="n">
        <x:v>1026</x:v>
      </x:c>
      <x:c r="G176" s="11" t="n">
        <x:v>5</x:v>
      </x:c>
      <x:c r="H176" s="12" t="n">
        <x:f>G176/F176</x:f>
        <x:v>0.004873294346978557</x:v>
      </x:c>
      <x:c r="I176" s="11" t="n">
        <x:v>5</x:v>
      </x:c>
      <x:c r="J176" s="11" t="n">
        <x:v>0</x:v>
      </x:c>
      <x:c r="K176" s="11" t="n">
        <x:v>5</x:v>
      </x:c>
      <x:c r="L176" s="11" t="n">
        <x:v>0</x:v>
      </x:c>
      <x:c r="M176" s="11" t="n">
        <x:v>5</x:v>
      </x:c>
    </x:row>
    <x:row r="177" ht="23" customHeight="1">
      <x:c r="A177" s="10" t="str">
        <x:v>M7</x:v>
      </x:c>
      <x:c r="B177" s="10" t="str">
        <x:v>C</x:v>
      </x:c>
      <x:c r="C177" s="10" t="str">
        <x:v>H0至H1</x:v>
      </x:c>
      <x:c r="D177" s="10" t="str">
        <x:v>H0</x:v>
      </x:c>
      <x:c r="E177" s="10" t="str">
        <x:v>H1</x:v>
      </x:c>
      <x:c r="F177" s="11" t="n">
        <x:v>1026</x:v>
      </x:c>
      <x:c r="G177" s="11" t="n">
        <x:v>1</x:v>
      </x:c>
      <x:c r="H177" s="12" t="n">
        <x:f>G177/F177</x:f>
        <x:v>0.0009746588693957114</x:v>
      </x:c>
      <x:c r="I177" s="11" t="n">
        <x:v>1</x:v>
      </x:c>
      <x:c r="J177" s="11" t="n">
        <x:v>0</x:v>
      </x:c>
      <x:c r="K177" s="11" t="n">
        <x:v>1</x:v>
      </x:c>
      <x:c r="L177" s="11" t="n">
        <x:v>0</x:v>
      </x:c>
      <x:c r="M177" s="11" t="n">
        <x:v>1</x:v>
      </x:c>
    </x:row>
    <x:row r="178" ht="23" customHeight="1">
      <x:c r="A178" s="10" t="str">
        <x:v>M7</x:v>
      </x:c>
      <x:c r="B178" s="10" t="str">
        <x:v>C</x:v>
      </x:c>
      <x:c r="C178" s="10" t="str">
        <x:v>H0至HT</x:v>
      </x:c>
      <x:c r="D178" s="10" t="str">
        <x:v>H0</x:v>
      </x:c>
      <x:c r="E178" s="10" t="str">
        <x:v>HT</x:v>
      </x:c>
      <x:c r="F178" s="11" t="n">
        <x:v>1026</x:v>
      </x:c>
      <x:c r="G178" s="11" t="n">
        <x:v>0</x:v>
      </x:c>
      <x:c r="H178" s="12" t="n">
        <x:f>G178/F178</x:f>
        <x:v>0</x:v>
      </x:c>
      <x:c r="I178" s="11" t="n">
        <x:v>0</x:v>
      </x:c>
      <x:c r="J178" s="11" t="n">
        <x:v>0</x:v>
      </x:c>
      <x:c r="K178" s="11" t="n">
        <x:v>0</x:v>
      </x:c>
      <x:c r="L178" s="11" t="n">
        <x:v>0</x:v>
      </x:c>
      <x:c r="M178" s="11" t="n">
        <x:v>0</x:v>
      </x:c>
    </x:row>
    <x:row r="179" ht="23" customHeight="1">
      <x:c r="A179" s="10" t="str">
        <x:v>M7</x:v>
      </x:c>
      <x:c r="B179" s="10" t="str">
        <x:v>C</x:v>
      </x:c>
      <x:c r="C179" s="10" t="str">
        <x:v>HT至H1</x:v>
      </x:c>
      <x:c r="D179" s="10" t="str">
        <x:v>HT</x:v>
      </x:c>
      <x:c r="E179" s="10" t="str">
        <x:v>H1</x:v>
      </x:c>
      <x:c r="F179" s="11" t="n">
        <x:v>1026</x:v>
      </x:c>
      <x:c r="G179" s="11" t="n">
        <x:v>1</x:v>
      </x:c>
      <x:c r="H179" s="12" t="n">
        <x:f>G179/F179</x:f>
        <x:v>0.0009746588693957114</x:v>
      </x:c>
      <x:c r="I179" s="11" t="n">
        <x:v>1</x:v>
      </x:c>
      <x:c r="J179" s="11" t="n">
        <x:v>0</x:v>
      </x:c>
      <x:c r="K179" s="11" t="n">
        <x:v>1</x:v>
      </x:c>
      <x:c r="L179" s="11" t="n">
        <x:v>0</x:v>
      </x:c>
      <x:c r="M179" s="11" t="n">
        <x:v>1</x:v>
      </x:c>
    </x:row>
    <x:row r="180" ht="23" customHeight="1">
      <x:c r="A180" s="10" t="str">
        <x:v>M7</x:v>
      </x:c>
      <x:c r="B180" s="10" t="str">
        <x:v>G</x:v>
      </x:c>
      <x:c r="C180" s="10" t="str">
        <x:v>H0至H1</x:v>
      </x:c>
      <x:c r="D180" s="10" t="str">
        <x:v>H0</x:v>
      </x:c>
      <x:c r="E180" s="10" t="str">
        <x:v>H1</x:v>
      </x:c>
      <x:c r="F180" s="11" t="n">
        <x:v>1026</x:v>
      </x:c>
      <x:c r="G180" s="11" t="n">
        <x:v>119</x:v>
      </x:c>
      <x:c r="H180" s="12" t="n">
        <x:f>G180/F180</x:f>
        <x:v>0.11598440545808966</x:v>
      </x:c>
      <x:c r="I180" s="11" t="n">
        <x:v>119</x:v>
      </x:c>
      <x:c r="J180" s="11" t="n">
        <x:v>0</x:v>
      </x:c>
      <x:c r="K180" s="11" t="n">
        <x:v>0</x:v>
      </x:c>
      <x:c r="L180" s="11" t="n">
        <x:v>0</x:v>
      </x:c>
      <x:c r="M180" s="11" t="n">
        <x:v>119</x:v>
      </x:c>
    </x:row>
    <x:row r="181" ht="23" customHeight="1">
      <x:c r="A181" s="10" t="str">
        <x:v>M7</x:v>
      </x:c>
      <x:c r="B181" s="10" t="str">
        <x:v>G</x:v>
      </x:c>
      <x:c r="C181" s="10" t="str">
        <x:v>H0至HT</x:v>
      </x:c>
      <x:c r="D181" s="10" t="str">
        <x:v>H0</x:v>
      </x:c>
      <x:c r="E181" s="10" t="str">
        <x:v>HT</x:v>
      </x:c>
      <x:c r="F181" s="11" t="n">
        <x:v>1026</x:v>
      </x:c>
      <x:c r="G181" s="11" t="n">
        <x:v>119</x:v>
      </x:c>
      <x:c r="H181" s="12" t="n">
        <x:f>G181/F181</x:f>
        <x:v>0.11598440545808966</x:v>
      </x:c>
      <x:c r="I181" s="11" t="n">
        <x:v>119</x:v>
      </x:c>
      <x:c r="J181" s="11" t="n">
        <x:v>0</x:v>
      </x:c>
      <x:c r="K181" s="11" t="n">
        <x:v>0</x:v>
      </x:c>
      <x:c r="L181" s="11" t="n">
        <x:v>0</x:v>
      </x:c>
      <x:c r="M181" s="11" t="n">
        <x:v>119</x:v>
      </x:c>
    </x:row>
    <x:row r="182" ht="23" customHeight="1">
      <x:c r="A182" s="10" t="str">
        <x:v>M7</x:v>
      </x:c>
      <x:c r="B182" s="10" t="str">
        <x:v>G</x:v>
      </x:c>
      <x:c r="C182" s="10" t="str">
        <x:v>HT至H1</x:v>
      </x:c>
      <x:c r="D182" s="10" t="str">
        <x:v>HT</x:v>
      </x:c>
      <x:c r="E182" s="10" t="str">
        <x:v>H1</x:v>
      </x:c>
      <x:c r="F182" s="11" t="n">
        <x:v>1026</x:v>
      </x:c>
      <x:c r="G182" s="11" t="n">
        <x:v>0</x:v>
      </x:c>
      <x:c r="H182" s="12" t="n">
        <x:f>G182/F182</x:f>
        <x:v>0</x:v>
      </x:c>
      <x:c r="I182" s="11" t="n">
        <x:v>0</x:v>
      </x:c>
      <x:c r="J182" s="11" t="n">
        <x:v>0</x:v>
      </x:c>
      <x:c r="K182" s="11" t="n">
        <x:v>0</x:v>
      </x:c>
      <x:c r="L182" s="11" t="n">
        <x:v>0</x:v>
      </x:c>
      <x:c r="M182" s="11" t="n">
        <x:v>0</x:v>
      </x:c>
    </x:row>
    <x:row r="183" ht="23" customHeight="1">
      <x:c r="A183" s="10" t="str">
        <x:v>M7</x:v>
      </x:c>
      <x:c r="B183" s="10" t="str">
        <x:v>NC</x:v>
      </x:c>
      <x:c r="C183" s="10" t="str">
        <x:v>H0至H1</x:v>
      </x:c>
      <x:c r="D183" s="10" t="str">
        <x:v>H0</x:v>
      </x:c>
      <x:c r="E183" s="10" t="str">
        <x:v>H1</x:v>
      </x:c>
      <x:c r="F183" s="11" t="n">
        <x:v>1026</x:v>
      </x:c>
      <x:c r="G183" s="11" t="n">
        <x:v>4</x:v>
      </x:c>
      <x:c r="H183" s="12" t="n">
        <x:f>G183/F183</x:f>
        <x:v>0.003898635477582846</x:v>
      </x:c>
      <x:c r="I183" s="11" t="n">
        <x:v>4</x:v>
      </x:c>
      <x:c r="J183" s="11" t="n">
        <x:v>0</x:v>
      </x:c>
      <x:c r="K183" s="11" t="n">
        <x:v>4</x:v>
      </x:c>
      <x:c r="L183" s="11" t="n">
        <x:v>0</x:v>
      </x:c>
      <x:c r="M183" s="11" t="n">
        <x:v>4</x:v>
      </x:c>
    </x:row>
    <x:row r="184" ht="23" customHeight="1">
      <x:c r="A184" s="10" t="str">
        <x:v>M7</x:v>
      </x:c>
      <x:c r="B184" s="10" t="str">
        <x:v>NC</x:v>
      </x:c>
      <x:c r="C184" s="10" t="str">
        <x:v>H0至HT</x:v>
      </x:c>
      <x:c r="D184" s="10" t="str">
        <x:v>H0</x:v>
      </x:c>
      <x:c r="E184" s="10" t="str">
        <x:v>HT</x:v>
      </x:c>
      <x:c r="F184" s="11" t="n">
        <x:v>1026</x:v>
      </x:c>
      <x:c r="G184" s="11" t="n">
        <x:v>0</x:v>
      </x:c>
      <x:c r="H184" s="12" t="n">
        <x:f>G184/F184</x:f>
        <x:v>0</x:v>
      </x:c>
      <x:c r="I184" s="11" t="n">
        <x:v>0</x:v>
      </x:c>
      <x:c r="J184" s="11" t="n">
        <x:v>0</x:v>
      </x:c>
      <x:c r="K184" s="11" t="n">
        <x:v>0</x:v>
      </x:c>
      <x:c r="L184" s="11" t="n">
        <x:v>0</x:v>
      </x:c>
      <x:c r="M184" s="11" t="n">
        <x:v>0</x:v>
      </x:c>
    </x:row>
    <x:row r="185" ht="23" customHeight="1">
      <x:c r="A185" s="10" t="str">
        <x:v>M7</x:v>
      </x:c>
      <x:c r="B185" s="10" t="str">
        <x:v>NC</x:v>
      </x:c>
      <x:c r="C185" s="10" t="str">
        <x:v>HT至H1</x:v>
      </x:c>
      <x:c r="D185" s="10" t="str">
        <x:v>HT</x:v>
      </x:c>
      <x:c r="E185" s="10" t="str">
        <x:v>H1</x:v>
      </x:c>
      <x:c r="F185" s="11" t="n">
        <x:v>1026</x:v>
      </x:c>
      <x:c r="G185" s="11" t="n">
        <x:v>4</x:v>
      </x:c>
      <x:c r="H185" s="12" t="n">
        <x:f>G185/F185</x:f>
        <x:v>0.003898635477582846</x:v>
      </x:c>
      <x:c r="I185" s="11" t="n">
        <x:v>4</x:v>
      </x:c>
      <x:c r="J185" s="11" t="n">
        <x:v>0</x:v>
      </x:c>
      <x:c r="K185" s="11" t="n">
        <x:v>4</x:v>
      </x:c>
      <x:c r="L185" s="11" t="n">
        <x:v>0</x:v>
      </x:c>
      <x:c r="M185" s="11" t="n">
        <x:v>4</x:v>
      </x:c>
    </x:row>
    <x:row r="186" ht="23" customHeight="1">
      <x:c r="A186" s="10" t="str">
        <x:v>M7</x:v>
      </x:c>
      <x:c r="B186" s="10" t="str">
        <x:v>NG</x:v>
      </x:c>
      <x:c r="C186" s="10" t="str">
        <x:v>H0至H1</x:v>
      </x:c>
      <x:c r="D186" s="10" t="str">
        <x:v>H0</x:v>
      </x:c>
      <x:c r="E186" s="10" t="str">
        <x:v>H1</x:v>
      </x:c>
      <x:c r="F186" s="11" t="n">
        <x:v>1026</x:v>
      </x:c>
      <x:c r="G186" s="11" t="n">
        <x:v>88</x:v>
      </x:c>
      <x:c r="H186" s="12" t="n">
        <x:f>G186/F186</x:f>
        <x:v>0.08576998050682261</x:v>
      </x:c>
      <x:c r="I186" s="11" t="n">
        <x:v>88</x:v>
      </x:c>
      <x:c r="J186" s="11" t="n">
        <x:v>0</x:v>
      </x:c>
      <x:c r="K186" s="11" t="n">
        <x:v>5</x:v>
      </x:c>
      <x:c r="L186" s="11" t="n">
        <x:v>0</x:v>
      </x:c>
      <x:c r="M186" s="11" t="n">
        <x:v>88</x:v>
      </x:c>
    </x:row>
    <x:row r="187" ht="23" customHeight="1">
      <x:c r="A187" s="10" t="str">
        <x:v>M7</x:v>
      </x:c>
      <x:c r="B187" s="10" t="str">
        <x:v>NG</x:v>
      </x:c>
      <x:c r="C187" s="10" t="str">
        <x:v>H0至HT</x:v>
      </x:c>
      <x:c r="D187" s="10" t="str">
        <x:v>H0</x:v>
      </x:c>
      <x:c r="E187" s="10" t="str">
        <x:v>HT</x:v>
      </x:c>
      <x:c r="F187" s="11" t="n">
        <x:v>1026</x:v>
      </x:c>
      <x:c r="G187" s="11" t="n">
        <x:v>83</x:v>
      </x:c>
      <x:c r="H187" s="12" t="n">
        <x:f>G187/F187</x:f>
        <x:v>0.08089668615984405</x:v>
      </x:c>
      <x:c r="I187" s="11" t="n">
        <x:v>83</x:v>
      </x:c>
      <x:c r="J187" s="11" t="n">
        <x:v>0</x:v>
      </x:c>
      <x:c r="K187" s="11" t="n">
        <x:v>0</x:v>
      </x:c>
      <x:c r="L187" s="11" t="n">
        <x:v>0</x:v>
      </x:c>
      <x:c r="M187" s="11" t="n">
        <x:v>83</x:v>
      </x:c>
    </x:row>
    <x:row r="188" ht="23" customHeight="1">
      <x:c r="A188" s="10" t="str">
        <x:v>M7</x:v>
      </x:c>
      <x:c r="B188" s="10" t="str">
        <x:v>NG</x:v>
      </x:c>
      <x:c r="C188" s="10" t="str">
        <x:v>HT至H1</x:v>
      </x:c>
      <x:c r="D188" s="10" t="str">
        <x:v>HT</x:v>
      </x:c>
      <x:c r="E188" s="10" t="str">
        <x:v>H1</x:v>
      </x:c>
      <x:c r="F188" s="11" t="n">
        <x:v>1026</x:v>
      </x:c>
      <x:c r="G188" s="11" t="n">
        <x:v>5</x:v>
      </x:c>
      <x:c r="H188" s="12" t="n">
        <x:f>G188/F188</x:f>
        <x:v>0.004873294346978557</x:v>
      </x:c>
      <x:c r="I188" s="11" t="n">
        <x:v>5</x:v>
      </x:c>
      <x:c r="J188" s="11" t="n">
        <x:v>0</x:v>
      </x:c>
      <x:c r="K188" s="11" t="n">
        <x:v>5</x:v>
      </x:c>
      <x:c r="L188" s="11" t="n">
        <x:v>0</x:v>
      </x:c>
      <x:c r="M188" s="11" t="n">
        <x:v>5</x:v>
      </x:c>
    </x:row>
    <x:row r="189" ht="23" customHeight="1">
      <x:c r="A189" s="10" t="str">
        <x:v>M7</x:v>
      </x:c>
      <x:c r="B189" s="10" t="str">
        <x:v>CG</x:v>
      </x:c>
      <x:c r="C189" s="10" t="str">
        <x:v>H0至H1</x:v>
      </x:c>
      <x:c r="D189" s="10" t="str">
        <x:v>H0</x:v>
      </x:c>
      <x:c r="E189" s="10" t="str">
        <x:v>H1</x:v>
      </x:c>
      <x:c r="F189" s="11" t="n">
        <x:v>1026</x:v>
      </x:c>
      <x:c r="G189" s="11" t="n">
        <x:v>107</x:v>
      </x:c>
      <x:c r="H189" s="12" t="n">
        <x:f>G189/F189</x:f>
        <x:v>0.10428849902534112</x:v>
      </x:c>
      <x:c r="I189" s="11" t="n">
        <x:v>107</x:v>
      </x:c>
      <x:c r="J189" s="11" t="n">
        <x:v>0</x:v>
      </x:c>
      <x:c r="K189" s="11" t="n">
        <x:v>1</x:v>
      </x:c>
      <x:c r="L189" s="11" t="n">
        <x:v>0</x:v>
      </x:c>
      <x:c r="M189" s="11" t="n">
        <x:v>107</x:v>
      </x:c>
    </x:row>
    <x:row r="190" ht="23" customHeight="1">
      <x:c r="A190" s="10" t="str">
        <x:v>M7</x:v>
      </x:c>
      <x:c r="B190" s="10" t="str">
        <x:v>CG</x:v>
      </x:c>
      <x:c r="C190" s="10" t="str">
        <x:v>H0至HT</x:v>
      </x:c>
      <x:c r="D190" s="10" t="str">
        <x:v>H0</x:v>
      </x:c>
      <x:c r="E190" s="10" t="str">
        <x:v>HT</x:v>
      </x:c>
      <x:c r="F190" s="11" t="n">
        <x:v>1026</x:v>
      </x:c>
      <x:c r="G190" s="11" t="n">
        <x:v>106</x:v>
      </x:c>
      <x:c r="H190" s="12" t="n">
        <x:f>G190/F190</x:f>
        <x:v>0.10331384015594541</x:v>
      </x:c>
      <x:c r="I190" s="11" t="n">
        <x:v>106</x:v>
      </x:c>
      <x:c r="J190" s="11" t="n">
        <x:v>0</x:v>
      </x:c>
      <x:c r="K190" s="11" t="n">
        <x:v>0</x:v>
      </x:c>
      <x:c r="L190" s="11" t="n">
        <x:v>0</x:v>
      </x:c>
      <x:c r="M190" s="11" t="n">
        <x:v>106</x:v>
      </x:c>
    </x:row>
    <x:row r="191" ht="23" customHeight="1">
      <x:c r="A191" s="10" t="str">
        <x:v>M7</x:v>
      </x:c>
      <x:c r="B191" s="10" t="str">
        <x:v>CG</x:v>
      </x:c>
      <x:c r="C191" s="10" t="str">
        <x:v>HT至H1</x:v>
      </x:c>
      <x:c r="D191" s="10" t="str">
        <x:v>HT</x:v>
      </x:c>
      <x:c r="E191" s="10" t="str">
        <x:v>H1</x:v>
      </x:c>
      <x:c r="F191" s="11" t="n">
        <x:v>1026</x:v>
      </x:c>
      <x:c r="G191" s="11" t="n">
        <x:v>1</x:v>
      </x:c>
      <x:c r="H191" s="12" t="n">
        <x:f>G191/F191</x:f>
        <x:v>0.0009746588693957114</x:v>
      </x:c>
      <x:c r="I191" s="11" t="n">
        <x:v>1</x:v>
      </x:c>
      <x:c r="J191" s="11" t="n">
        <x:v>0</x:v>
      </x:c>
      <x:c r="K191" s="11" t="n">
        <x:v>1</x:v>
      </x:c>
      <x:c r="L191" s="11" t="n">
        <x:v>0</x:v>
      </x:c>
      <x:c r="M191" s="11" t="n">
        <x:v>1</x:v>
      </x:c>
    </x:row>
    <x:row r="192" ht="23" customHeight="1">
      <x:c r="A192" s="10" t="str">
        <x:v>M7</x:v>
      </x:c>
      <x:c r="B192" s="10" t="str">
        <x:v>NCG</x:v>
      </x:c>
      <x:c r="C192" s="10" t="str">
        <x:v>H0至H1</x:v>
      </x:c>
      <x:c r="D192" s="10" t="str">
        <x:v>H0</x:v>
      </x:c>
      <x:c r="E192" s="10" t="str">
        <x:v>H1</x:v>
      </x:c>
      <x:c r="F192" s="11" t="n">
        <x:v>1026</x:v>
      </x:c>
      <x:c r="G192" s="11" t="n">
        <x:v>102</x:v>
      </x:c>
      <x:c r="H192" s="12" t="n">
        <x:f>G192/F192</x:f>
        <x:v>0.09941520467836257</x:v>
      </x:c>
      <x:c r="I192" s="11" t="n">
        <x:v>102</x:v>
      </x:c>
      <x:c r="J192" s="11" t="n">
        <x:v>0</x:v>
      </x:c>
      <x:c r="K192" s="11" t="n">
        <x:v>4</x:v>
      </x:c>
      <x:c r="L192" s="11" t="n">
        <x:v>0</x:v>
      </x:c>
      <x:c r="M192" s="11" t="n">
        <x:v>102</x:v>
      </x:c>
    </x:row>
    <x:row r="193" ht="23" customHeight="1">
      <x:c r="A193" s="10" t="str">
        <x:v>M7</x:v>
      </x:c>
      <x:c r="B193" s="10" t="str">
        <x:v>NCG</x:v>
      </x:c>
      <x:c r="C193" s="10" t="str">
        <x:v>H0至HT</x:v>
      </x:c>
      <x:c r="D193" s="10" t="str">
        <x:v>H0</x:v>
      </x:c>
      <x:c r="E193" s="10" t="str">
        <x:v>HT</x:v>
      </x:c>
      <x:c r="F193" s="11" t="n">
        <x:v>1026</x:v>
      </x:c>
      <x:c r="G193" s="11" t="n">
        <x:v>98</x:v>
      </x:c>
      <x:c r="H193" s="12" t="n">
        <x:f>G193/F193</x:f>
        <x:v>0.09551656920077972</x:v>
      </x:c>
      <x:c r="I193" s="11" t="n">
        <x:v>98</x:v>
      </x:c>
      <x:c r="J193" s="11" t="n">
        <x:v>0</x:v>
      </x:c>
      <x:c r="K193" s="11" t="n">
        <x:v>0</x:v>
      </x:c>
      <x:c r="L193" s="11" t="n">
        <x:v>0</x:v>
      </x:c>
      <x:c r="M193" s="11" t="n">
        <x:v>98</x:v>
      </x:c>
    </x:row>
    <x:row r="194" ht="23" customHeight="1">
      <x:c r="A194" s="10" t="str">
        <x:v>M7</x:v>
      </x:c>
      <x:c r="B194" s="10" t="str">
        <x:v>NCG</x:v>
      </x:c>
      <x:c r="C194" s="10" t="str">
        <x:v>HT至H1</x:v>
      </x:c>
      <x:c r="D194" s="10" t="str">
        <x:v>HT</x:v>
      </x:c>
      <x:c r="E194" s="10" t="str">
        <x:v>H1</x:v>
      </x:c>
      <x:c r="F194" s="11" t="n">
        <x:v>1026</x:v>
      </x:c>
      <x:c r="G194" s="11" t="n">
        <x:v>4</x:v>
      </x:c>
      <x:c r="H194" s="12" t="n">
        <x:f>G194/F194</x:f>
        <x:v>0.003898635477582846</x:v>
      </x:c>
      <x:c r="I194" s="11" t="n">
        <x:v>4</x:v>
      </x:c>
      <x:c r="J194" s="11" t="n">
        <x:v>0</x:v>
      </x:c>
      <x:c r="K194" s="11" t="n">
        <x:v>4</x:v>
      </x:c>
      <x:c r="L194" s="11" t="n">
        <x:v>0</x:v>
      </x:c>
      <x:c r="M194" s="11" t="n">
        <x:v>4</x:v>
      </x:c>
    </x:row>
    <x:row r="195" ht="23" customHeight="1">
      <x:c r="A195" s="10" t="str">
        <x:v>M7</x:v>
      </x:c>
      <x:c r="B195" s="10" t="str">
        <x:v>NCG</x:v>
      </x:c>
      <x:c r="C195" s="10" t="str">
        <x:v>叶名称辅助</x:v>
      </x:c>
      <x:c r="D195" s="10" t="str">
        <x:v>NCG_H0</x:v>
      </x:c>
      <x:c r="E195" s="10" t="str">
        <x:v>NCG_H0_M1</x:v>
      </x:c>
      <x:c r="F195" s="11" t="n">
        <x:v>1026</x:v>
      </x:c>
      <x:c r="G195" s="11" t="n">
        <x:v>39</x:v>
      </x:c>
      <x:c r="H195" s="12" t="n">
        <x:f>G195/F195</x:f>
        <x:v>0.038011695906432746</x:v>
      </x:c>
      <x:c r="I195" s="11" t="n">
        <x:v>38</x:v>
      </x:c>
      <x:c r="J195" s="11" t="n">
        <x:v>1</x:v>
      </x:c>
      <x:c r="K195" s="11" t="n">
        <x:v>88</x:v>
      </x:c>
      <x:c r="L195" s="11" t="n">
        <x:v>98</x:v>
      </x:c>
      <x:c r="M195" s="11" t="n">
        <x:v>39</x:v>
      </x:c>
    </x:row>
    <x:row r="196" ht="23" customHeight="1">
      <x:c r="A196" s="10" t="str">
        <x:v>M7</x:v>
      </x:c>
      <x:c r="B196" s="10" t="str">
        <x:v>NCG</x:v>
      </x:c>
      <x:c r="C196" s="10" t="str">
        <x:v>叶名称辅助</x:v>
      </x:c>
      <x:c r="D196" s="10" t="str">
        <x:v>NCG_H1</x:v>
      </x:c>
      <x:c r="E196" s="10" t="str">
        <x:v>NCG_H1_M1</x:v>
      </x:c>
      <x:c r="F196" s="11" t="n">
        <x:v>1026</x:v>
      </x:c>
      <x:c r="G196" s="11" t="n">
        <x:v>47</x:v>
      </x:c>
      <x:c r="H196" s="12" t="n">
        <x:f>G196/F196</x:f>
        <x:v>0.04580896686159844</x:v>
      </x:c>
      <x:c r="I196" s="11" t="n">
        <x:v>46</x:v>
      </x:c>
      <x:c r="J196" s="11" t="n">
        <x:v>1</x:v>
      </x:c>
      <x:c r="K196" s="11" t="n">
        <x:v>88</x:v>
      </x:c>
      <x:c r="L196" s="11" t="n">
        <x:v>98</x:v>
      </x:c>
      <x:c r="M196" s="11" t="n">
        <x:v>47</x:v>
      </x:c>
    </x:row>
    <x:row r="197" ht="23" customHeight="1">
      <x:c r="A197" s="10" t="str">
        <x:v>M7</x:v>
      </x:c>
      <x:c r="B197" s="10" t="str">
        <x:v>branch</x:v>
      </x:c>
      <x:c r="C197" s="10" t="str">
        <x:v>分支贡献</x:v>
      </x:c>
      <x:c r="D197" s="10" t="str">
        <x:v>N_H0</x:v>
      </x:c>
      <x:c r="E197" s="10" t="str">
        <x:v>NC_H0</x:v>
      </x:c>
      <x:c r="F197" s="11" t="n">
        <x:v>1026</x:v>
      </x:c>
      <x:c r="G197" s="11" t="n">
        <x:v>108</x:v>
      </x:c>
      <x:c r="H197" s="12" t="n">
        <x:f>G197/F197</x:f>
        <x:v>0.10526315789473684</x:v>
      </x:c>
      <x:c r="I197" s="11" t="n">
        <x:v>35</x:v>
      </x:c>
      <x:c r="J197" s="11" t="n">
        <x:v>73</x:v>
      </x:c>
      <x:c r="K197" s="11" t="n">
        <x:v>108</x:v>
      </x:c>
      <x:c r="L197" s="11" t="n">
        <x:v>172</x:v>
      </x:c>
      <x:c r="M197" s="11" t="n">
        <x:v>108</x:v>
      </x:c>
    </x:row>
    <x:row r="198" ht="23" customHeight="1">
      <x:c r="A198" s="10" t="str">
        <x:v>M7</x:v>
      </x:c>
      <x:c r="B198" s="10" t="str">
        <x:v>branch</x:v>
      </x:c>
      <x:c r="C198" s="10" t="str">
        <x:v>分支贡献</x:v>
      </x:c>
      <x:c r="D198" s="10" t="str">
        <x:v>C_H0</x:v>
      </x:c>
      <x:c r="E198" s="10" t="str">
        <x:v>NC_H0</x:v>
      </x:c>
      <x:c r="F198" s="11" t="n">
        <x:v>1026</x:v>
      </x:c>
      <x:c r="G198" s="11" t="n">
        <x:v>79</x:v>
      </x:c>
      <x:c r="H198" s="12" t="n">
        <x:f>G198/F198</x:f>
        <x:v>0.0769980506822612</x:v>
      </x:c>
      <x:c r="I198" s="11" t="n">
        <x:v>55</x:v>
      </x:c>
      <x:c r="J198" s="11" t="n">
        <x:v>24</x:v>
      </x:c>
      <x:c r="K198" s="11" t="n">
        <x:v>79</x:v>
      </x:c>
      <x:c r="L198" s="11" t="n">
        <x:v>243</x:v>
      </x:c>
      <x:c r="M198" s="11" t="n">
        <x:v>79</x:v>
      </x:c>
    </x:row>
    <x:row r="199" ht="23" customHeight="1">
      <x:c r="A199" s="10" t="str">
        <x:v>M7</x:v>
      </x:c>
      <x:c r="B199" s="10" t="str">
        <x:v>branch</x:v>
      </x:c>
      <x:c r="C199" s="10" t="str">
        <x:v>分支贡献</x:v>
      </x:c>
      <x:c r="D199" s="10" t="str">
        <x:v>N_H0</x:v>
      </x:c>
      <x:c r="E199" s="10" t="str">
        <x:v>NG_H0</x:v>
      </x:c>
      <x:c r="F199" s="11" t="n">
        <x:v>1026</x:v>
      </x:c>
      <x:c r="G199" s="11" t="n">
        <x:v>851</x:v>
      </x:c>
      <x:c r="H199" s="12" t="n">
        <x:f>G199/F199</x:f>
        <x:v>0.8294346978557505</x:v>
      </x:c>
      <x:c r="I199" s="11" t="n">
        <x:v>12</x:v>
      </x:c>
      <x:c r="J199" s="11" t="n">
        <x:v>839</x:v>
      </x:c>
      <x:c r="K199" s="11" t="n">
        <x:v>0</x:v>
      </x:c>
      <x:c r="L199" s="11" t="n">
        <x:v>0</x:v>
      </x:c>
      <x:c r="M199" s="11" t="n">
        <x:v>1026</x:v>
      </x:c>
    </x:row>
    <x:row r="200" ht="23" customHeight="1">
      <x:c r="A200" s="10" t="str">
        <x:v>M7</x:v>
      </x:c>
      <x:c r="B200" s="10" t="str">
        <x:v>branch</x:v>
      </x:c>
      <x:c r="C200" s="10" t="str">
        <x:v>分支贡献</x:v>
      </x:c>
      <x:c r="D200" s="10" t="str">
        <x:v>C_H0</x:v>
      </x:c>
      <x:c r="E200" s="10" t="str">
        <x:v>CG_H0</x:v>
      </x:c>
      <x:c r="F200" s="11" t="n">
        <x:v>1026</x:v>
      </x:c>
      <x:c r="G200" s="11" t="n">
        <x:v>915</x:v>
      </x:c>
      <x:c r="H200" s="12" t="n">
        <x:f>G200/F200</x:f>
        <x:v>0.8918128654970761</x:v>
      </x:c>
      <x:c r="I200" s="11" t="n">
        <x:v>56</x:v>
      </x:c>
      <x:c r="J200" s="11" t="n">
        <x:v>859</x:v>
      </x:c>
      <x:c r="K200" s="11" t="n">
        <x:v>0</x:v>
      </x:c>
      <x:c r="L200" s="11" t="n">
        <x:v>0</x:v>
      </x:c>
      <x:c r="M200" s="11" t="n">
        <x:v>1026</x:v>
      </x:c>
    </x:row>
    <x:row r="201" ht="23" customHeight="1">
      <x:c r="A201" s="10" t="str">
        <x:v>M7</x:v>
      </x:c>
      <x:c r="B201" s="10" t="str">
        <x:v>branch</x:v>
      </x:c>
      <x:c r="C201" s="10" t="str">
        <x:v>分支贡献</x:v>
      </x:c>
      <x:c r="D201" s="10" t="str">
        <x:v>NC_H0</x:v>
      </x:c>
      <x:c r="E201" s="10" t="str">
        <x:v>NCG_H0</x:v>
      </x:c>
      <x:c r="F201" s="11" t="n">
        <x:v>1026</x:v>
      </x:c>
      <x:c r="G201" s="11" t="n">
        <x:v>878</x:v>
      </x:c>
      <x:c r="H201" s="12" t="n">
        <x:f>G201/F201</x:f>
        <x:v>0.8557504873294347</x:v>
      </x:c>
      <x:c r="I201" s="11" t="n">
        <x:v>57</x:v>
      </x:c>
      <x:c r="J201" s="11" t="n">
        <x:v>821</x:v>
      </x:c>
      <x:c r="K201" s="11" t="n">
        <x:v>0</x:v>
      </x:c>
      <x:c r="L201" s="11" t="n">
        <x:v>0</x:v>
      </x:c>
      <x:c r="M201" s="11" t="n">
        <x:v>1026</x:v>
      </x:c>
    </x:row>
    <x:row r="202" ht="23" customHeight="1">
      <x:c r="A202" s="10" t="str">
        <x:v>M8</x:v>
      </x:c>
      <x:c r="B202" s="10" t="str">
        <x:v>N</x:v>
      </x:c>
      <x:c r="C202" s="10" t="str">
        <x:v>H0至H1</x:v>
      </x:c>
      <x:c r="D202" s="10" t="str">
        <x:v>H0</x:v>
      </x:c>
      <x:c r="E202" s="10" t="str">
        <x:v>H1</x:v>
      </x:c>
      <x:c r="F202" s="11" t="n">
        <x:v>6103</x:v>
      </x:c>
      <x:c r="G202" s="11" t="n">
        <x:v>52</x:v>
      </x:c>
      <x:c r="H202" s="12" t="n">
        <x:f>G202/F202</x:f>
        <x:v>0.008520399803375388</x:v>
      </x:c>
      <x:c r="I202" s="11" t="n">
        <x:v>52</x:v>
      </x:c>
      <x:c r="J202" s="11" t="n">
        <x:v>0</x:v>
      </x:c>
      <x:c r="K202" s="11" t="n">
        <x:v>52</x:v>
      </x:c>
      <x:c r="L202" s="11" t="n">
        <x:v>0</x:v>
      </x:c>
      <x:c r="M202" s="11" t="n">
        <x:v>52</x:v>
      </x:c>
    </x:row>
    <x:row r="203" ht="23" customHeight="1">
      <x:c r="A203" s="10" t="str">
        <x:v>M8</x:v>
      </x:c>
      <x:c r="B203" s="10" t="str">
        <x:v>N</x:v>
      </x:c>
      <x:c r="C203" s="10" t="str">
        <x:v>H0至HT</x:v>
      </x:c>
      <x:c r="D203" s="10" t="str">
        <x:v>H0</x:v>
      </x:c>
      <x:c r="E203" s="10" t="str">
        <x:v>HT</x:v>
      </x:c>
      <x:c r="F203" s="11" t="n">
        <x:v>6103</x:v>
      </x:c>
      <x:c r="G203" s="11" t="n">
        <x:v>0</x:v>
      </x:c>
      <x:c r="H203" s="12" t="n">
        <x:f>G203/F203</x:f>
        <x:v>0</x:v>
      </x:c>
      <x:c r="I203" s="11" t="n">
        <x:v>0</x:v>
      </x:c>
      <x:c r="J203" s="11" t="n">
        <x:v>0</x:v>
      </x:c>
      <x:c r="K203" s="11" t="n">
        <x:v>0</x:v>
      </x:c>
      <x:c r="L203" s="11" t="n">
        <x:v>0</x:v>
      </x:c>
      <x:c r="M203" s="11" t="n">
        <x:v>0</x:v>
      </x:c>
    </x:row>
    <x:row r="204" ht="23" customHeight="1">
      <x:c r="A204" s="10" t="str">
        <x:v>M8</x:v>
      </x:c>
      <x:c r="B204" s="10" t="str">
        <x:v>N</x:v>
      </x:c>
      <x:c r="C204" s="10" t="str">
        <x:v>HT至H1</x:v>
      </x:c>
      <x:c r="D204" s="10" t="str">
        <x:v>HT</x:v>
      </x:c>
      <x:c r="E204" s="10" t="str">
        <x:v>H1</x:v>
      </x:c>
      <x:c r="F204" s="11" t="n">
        <x:v>6103</x:v>
      </x:c>
      <x:c r="G204" s="11" t="n">
        <x:v>52</x:v>
      </x:c>
      <x:c r="H204" s="12" t="n">
        <x:f>G204/F204</x:f>
        <x:v>0.008520399803375388</x:v>
      </x:c>
      <x:c r="I204" s="11" t="n">
        <x:v>52</x:v>
      </x:c>
      <x:c r="J204" s="11" t="n">
        <x:v>0</x:v>
      </x:c>
      <x:c r="K204" s="11" t="n">
        <x:v>52</x:v>
      </x:c>
      <x:c r="L204" s="11" t="n">
        <x:v>0</x:v>
      </x:c>
      <x:c r="M204" s="11" t="n">
        <x:v>52</x:v>
      </x:c>
    </x:row>
    <x:row r="205" ht="23" customHeight="1">
      <x:c r="A205" s="10" t="str">
        <x:v>M8</x:v>
      </x:c>
      <x:c r="B205" s="10" t="str">
        <x:v>C</x:v>
      </x:c>
      <x:c r="C205" s="10" t="str">
        <x:v>H0至H1</x:v>
      </x:c>
      <x:c r="D205" s="10" t="str">
        <x:v>H0</x:v>
      </x:c>
      <x:c r="E205" s="10" t="str">
        <x:v>H1</x:v>
      </x:c>
      <x:c r="F205" s="11" t="n">
        <x:v>6103</x:v>
      </x:c>
      <x:c r="G205" s="11" t="n">
        <x:v>9</x:v>
      </x:c>
      <x:c r="H205" s="12" t="n">
        <x:f>G205/F205</x:f>
        <x:v>0.0014746845813534328</x:v>
      </x:c>
      <x:c r="I205" s="11" t="n">
        <x:v>9</x:v>
      </x:c>
      <x:c r="J205" s="11" t="n">
        <x:v>0</x:v>
      </x:c>
      <x:c r="K205" s="11" t="n">
        <x:v>9</x:v>
      </x:c>
      <x:c r="L205" s="11" t="n">
        <x:v>0</x:v>
      </x:c>
      <x:c r="M205" s="11" t="n">
        <x:v>9</x:v>
      </x:c>
    </x:row>
    <x:row r="206" ht="23" customHeight="1">
      <x:c r="A206" s="10" t="str">
        <x:v>M8</x:v>
      </x:c>
      <x:c r="B206" s="10" t="str">
        <x:v>C</x:v>
      </x:c>
      <x:c r="C206" s="10" t="str">
        <x:v>H0至HT</x:v>
      </x:c>
      <x:c r="D206" s="10" t="str">
        <x:v>H0</x:v>
      </x:c>
      <x:c r="E206" s="10" t="str">
        <x:v>HT</x:v>
      </x:c>
      <x:c r="F206" s="11" t="n">
        <x:v>6103</x:v>
      </x:c>
      <x:c r="G206" s="11" t="n">
        <x:v>0</x:v>
      </x:c>
      <x:c r="H206" s="12" t="n">
        <x:f>G206/F206</x:f>
        <x:v>0</x:v>
      </x:c>
      <x:c r="I206" s="11" t="n">
        <x:v>0</x:v>
      </x:c>
      <x:c r="J206" s="11" t="n">
        <x:v>0</x:v>
      </x:c>
      <x:c r="K206" s="11" t="n">
        <x:v>0</x:v>
      </x:c>
      <x:c r="L206" s="11" t="n">
        <x:v>0</x:v>
      </x:c>
      <x:c r="M206" s="11" t="n">
        <x:v>0</x:v>
      </x:c>
    </x:row>
    <x:row r="207" ht="23" customHeight="1">
      <x:c r="A207" s="10" t="str">
        <x:v>M8</x:v>
      </x:c>
      <x:c r="B207" s="10" t="str">
        <x:v>C</x:v>
      </x:c>
      <x:c r="C207" s="10" t="str">
        <x:v>HT至H1</x:v>
      </x:c>
      <x:c r="D207" s="10" t="str">
        <x:v>HT</x:v>
      </x:c>
      <x:c r="E207" s="10" t="str">
        <x:v>H1</x:v>
      </x:c>
      <x:c r="F207" s="11" t="n">
        <x:v>6103</x:v>
      </x:c>
      <x:c r="G207" s="11" t="n">
        <x:v>9</x:v>
      </x:c>
      <x:c r="H207" s="12" t="n">
        <x:f>G207/F207</x:f>
        <x:v>0.0014746845813534328</x:v>
      </x:c>
      <x:c r="I207" s="11" t="n">
        <x:v>9</x:v>
      </x:c>
      <x:c r="J207" s="11" t="n">
        <x:v>0</x:v>
      </x:c>
      <x:c r="K207" s="11" t="n">
        <x:v>9</x:v>
      </x:c>
      <x:c r="L207" s="11" t="n">
        <x:v>0</x:v>
      </x:c>
      <x:c r="M207" s="11" t="n">
        <x:v>9</x:v>
      </x:c>
    </x:row>
    <x:row r="208" ht="23" customHeight="1">
      <x:c r="A208" s="10" t="str">
        <x:v>M8</x:v>
      </x:c>
      <x:c r="B208" s="10" t="str">
        <x:v>G</x:v>
      </x:c>
      <x:c r="C208" s="10" t="str">
        <x:v>H0至H1</x:v>
      </x:c>
      <x:c r="D208" s="10" t="str">
        <x:v>H0</x:v>
      </x:c>
      <x:c r="E208" s="10" t="str">
        <x:v>H1</x:v>
      </x:c>
      <x:c r="F208" s="11" t="n">
        <x:v>6103</x:v>
      </x:c>
      <x:c r="G208" s="11" t="n">
        <x:v>733</x:v>
      </x:c>
      <x:c r="H208" s="12" t="n">
        <x:f>G208/F208</x:f>
        <x:v>0.12010486645911847</x:v>
      </x:c>
      <x:c r="I208" s="11" t="n">
        <x:v>733</x:v>
      </x:c>
      <x:c r="J208" s="11" t="n">
        <x:v>0</x:v>
      </x:c>
      <x:c r="K208" s="11" t="n">
        <x:v>0</x:v>
      </x:c>
      <x:c r="L208" s="11" t="n">
        <x:v>0</x:v>
      </x:c>
      <x:c r="M208" s="11" t="n">
        <x:v>733</x:v>
      </x:c>
    </x:row>
    <x:row r="209" ht="23" customHeight="1">
      <x:c r="A209" s="10" t="str">
        <x:v>M8</x:v>
      </x:c>
      <x:c r="B209" s="10" t="str">
        <x:v>G</x:v>
      </x:c>
      <x:c r="C209" s="10" t="str">
        <x:v>H0至HT</x:v>
      </x:c>
      <x:c r="D209" s="10" t="str">
        <x:v>H0</x:v>
      </x:c>
      <x:c r="E209" s="10" t="str">
        <x:v>HT</x:v>
      </x:c>
      <x:c r="F209" s="11" t="n">
        <x:v>6103</x:v>
      </x:c>
      <x:c r="G209" s="11" t="n">
        <x:v>733</x:v>
      </x:c>
      <x:c r="H209" s="12" t="n">
        <x:f>G209/F209</x:f>
        <x:v>0.12010486645911847</x:v>
      </x:c>
      <x:c r="I209" s="11" t="n">
        <x:v>733</x:v>
      </x:c>
      <x:c r="J209" s="11" t="n">
        <x:v>0</x:v>
      </x:c>
      <x:c r="K209" s="11" t="n">
        <x:v>0</x:v>
      </x:c>
      <x:c r="L209" s="11" t="n">
        <x:v>0</x:v>
      </x:c>
      <x:c r="M209" s="11" t="n">
        <x:v>733</x:v>
      </x:c>
    </x:row>
    <x:row r="210" ht="23" customHeight="1">
      <x:c r="A210" s="10" t="str">
        <x:v>M8</x:v>
      </x:c>
      <x:c r="B210" s="10" t="str">
        <x:v>G</x:v>
      </x:c>
      <x:c r="C210" s="10" t="str">
        <x:v>HT至H1</x:v>
      </x:c>
      <x:c r="D210" s="10" t="str">
        <x:v>HT</x:v>
      </x:c>
      <x:c r="E210" s="10" t="str">
        <x:v>H1</x:v>
      </x:c>
      <x:c r="F210" s="11" t="n">
        <x:v>6103</x:v>
      </x:c>
      <x:c r="G210" s="11" t="n">
        <x:v>0</x:v>
      </x:c>
      <x:c r="H210" s="12" t="n">
        <x:f>G210/F210</x:f>
        <x:v>0</x:v>
      </x:c>
      <x:c r="I210" s="11" t="n">
        <x:v>0</x:v>
      </x:c>
      <x:c r="J210" s="11" t="n">
        <x:v>0</x:v>
      </x:c>
      <x:c r="K210" s="11" t="n">
        <x:v>0</x:v>
      </x:c>
      <x:c r="L210" s="11" t="n">
        <x:v>0</x:v>
      </x:c>
      <x:c r="M210" s="11" t="n">
        <x:v>0</x:v>
      </x:c>
    </x:row>
    <x:row r="211" ht="23" customHeight="1">
      <x:c r="A211" s="10" t="str">
        <x:v>M8</x:v>
      </x:c>
      <x:c r="B211" s="10" t="str">
        <x:v>NC</x:v>
      </x:c>
      <x:c r="C211" s="10" t="str">
        <x:v>H0至H1</x:v>
      </x:c>
      <x:c r="D211" s="10" t="str">
        <x:v>H0</x:v>
      </x:c>
      <x:c r="E211" s="10" t="str">
        <x:v>H1</x:v>
      </x:c>
      <x:c r="F211" s="11" t="n">
        <x:v>6103</x:v>
      </x:c>
      <x:c r="G211" s="11" t="n">
        <x:v>52</x:v>
      </x:c>
      <x:c r="H211" s="12" t="n">
        <x:f>G211/F211</x:f>
        <x:v>0.008520399803375388</x:v>
      </x:c>
      <x:c r="I211" s="11" t="n">
        <x:v>52</x:v>
      </x:c>
      <x:c r="J211" s="11" t="n">
        <x:v>0</x:v>
      </x:c>
      <x:c r="K211" s="11" t="n">
        <x:v>52</x:v>
      </x:c>
      <x:c r="L211" s="11" t="n">
        <x:v>0</x:v>
      </x:c>
      <x:c r="M211" s="11" t="n">
        <x:v>52</x:v>
      </x:c>
    </x:row>
    <x:row r="212" ht="23" customHeight="1">
      <x:c r="A212" s="10" t="str">
        <x:v>M8</x:v>
      </x:c>
      <x:c r="B212" s="10" t="str">
        <x:v>NC</x:v>
      </x:c>
      <x:c r="C212" s="10" t="str">
        <x:v>H0至HT</x:v>
      </x:c>
      <x:c r="D212" s="10" t="str">
        <x:v>H0</x:v>
      </x:c>
      <x:c r="E212" s="10" t="str">
        <x:v>HT</x:v>
      </x:c>
      <x:c r="F212" s="11" t="n">
        <x:v>6103</x:v>
      </x:c>
      <x:c r="G212" s="11" t="n">
        <x:v>0</x:v>
      </x:c>
      <x:c r="H212" s="12" t="n">
        <x:f>G212/F212</x:f>
        <x:v>0</x:v>
      </x:c>
      <x:c r="I212" s="11" t="n">
        <x:v>0</x:v>
      </x:c>
      <x:c r="J212" s="11" t="n">
        <x:v>0</x:v>
      </x:c>
      <x:c r="K212" s="11" t="n">
        <x:v>0</x:v>
      </x:c>
      <x:c r="L212" s="11" t="n">
        <x:v>0</x:v>
      </x:c>
      <x:c r="M212" s="11" t="n">
        <x:v>0</x:v>
      </x:c>
    </x:row>
    <x:row r="213" ht="23" customHeight="1">
      <x:c r="A213" s="10" t="str">
        <x:v>M8</x:v>
      </x:c>
      <x:c r="B213" s="10" t="str">
        <x:v>NC</x:v>
      </x:c>
      <x:c r="C213" s="10" t="str">
        <x:v>HT至H1</x:v>
      </x:c>
      <x:c r="D213" s="10" t="str">
        <x:v>HT</x:v>
      </x:c>
      <x:c r="E213" s="10" t="str">
        <x:v>H1</x:v>
      </x:c>
      <x:c r="F213" s="11" t="n">
        <x:v>6103</x:v>
      </x:c>
      <x:c r="G213" s="11" t="n">
        <x:v>52</x:v>
      </x:c>
      <x:c r="H213" s="12" t="n">
        <x:f>G213/F213</x:f>
        <x:v>0.008520399803375388</x:v>
      </x:c>
      <x:c r="I213" s="11" t="n">
        <x:v>52</x:v>
      </x:c>
      <x:c r="J213" s="11" t="n">
        <x:v>0</x:v>
      </x:c>
      <x:c r="K213" s="11" t="n">
        <x:v>52</x:v>
      </x:c>
      <x:c r="L213" s="11" t="n">
        <x:v>0</x:v>
      </x:c>
      <x:c r="M213" s="11" t="n">
        <x:v>52</x:v>
      </x:c>
    </x:row>
    <x:row r="214" ht="23" customHeight="1">
      <x:c r="A214" s="10" t="str">
        <x:v>M8</x:v>
      </x:c>
      <x:c r="B214" s="10" t="str">
        <x:v>NG</x:v>
      </x:c>
      <x:c r="C214" s="10" t="str">
        <x:v>H0至H1</x:v>
      </x:c>
      <x:c r="D214" s="10" t="str">
        <x:v>H0</x:v>
      </x:c>
      <x:c r="E214" s="10" t="str">
        <x:v>H1</x:v>
      </x:c>
      <x:c r="F214" s="11" t="n">
        <x:v>6103</x:v>
      </x:c>
      <x:c r="G214" s="11" t="n">
        <x:v>663</x:v>
      </x:c>
      <x:c r="H214" s="12" t="n">
        <x:f>G214/F214</x:f>
        <x:v>0.10863509749303621</x:v>
      </x:c>
      <x:c r="I214" s="11" t="n">
        <x:v>663</x:v>
      </x:c>
      <x:c r="J214" s="11" t="n">
        <x:v>0</x:v>
      </x:c>
      <x:c r="K214" s="11" t="n">
        <x:v>52</x:v>
      </x:c>
      <x:c r="L214" s="11" t="n">
        <x:v>0</x:v>
      </x:c>
      <x:c r="M214" s="11" t="n">
        <x:v>663</x:v>
      </x:c>
    </x:row>
    <x:row r="215" ht="23" customHeight="1">
      <x:c r="A215" s="10" t="str">
        <x:v>M8</x:v>
      </x:c>
      <x:c r="B215" s="10" t="str">
        <x:v>NG</x:v>
      </x:c>
      <x:c r="C215" s="10" t="str">
        <x:v>H0至HT</x:v>
      </x:c>
      <x:c r="D215" s="10" t="str">
        <x:v>H0</x:v>
      </x:c>
      <x:c r="E215" s="10" t="str">
        <x:v>HT</x:v>
      </x:c>
      <x:c r="F215" s="11" t="n">
        <x:v>6103</x:v>
      </x:c>
      <x:c r="G215" s="11" t="n">
        <x:v>611</x:v>
      </x:c>
      <x:c r="H215" s="12" t="n">
        <x:f>G215/F215</x:f>
        <x:v>0.10011469768966082</x:v>
      </x:c>
      <x:c r="I215" s="11" t="n">
        <x:v>611</x:v>
      </x:c>
      <x:c r="J215" s="11" t="n">
        <x:v>0</x:v>
      </x:c>
      <x:c r="K215" s="11" t="n">
        <x:v>0</x:v>
      </x:c>
      <x:c r="L215" s="11" t="n">
        <x:v>0</x:v>
      </x:c>
      <x:c r="M215" s="11" t="n">
        <x:v>611</x:v>
      </x:c>
    </x:row>
    <x:row r="216" ht="23" customHeight="1">
      <x:c r="A216" s="10" t="str">
        <x:v>M8</x:v>
      </x:c>
      <x:c r="B216" s="10" t="str">
        <x:v>NG</x:v>
      </x:c>
      <x:c r="C216" s="10" t="str">
        <x:v>HT至H1</x:v>
      </x:c>
      <x:c r="D216" s="10" t="str">
        <x:v>HT</x:v>
      </x:c>
      <x:c r="E216" s="10" t="str">
        <x:v>H1</x:v>
      </x:c>
      <x:c r="F216" s="11" t="n">
        <x:v>6103</x:v>
      </x:c>
      <x:c r="G216" s="11" t="n">
        <x:v>52</x:v>
      </x:c>
      <x:c r="H216" s="12" t="n">
        <x:f>G216/F216</x:f>
        <x:v>0.008520399803375388</x:v>
      </x:c>
      <x:c r="I216" s="11" t="n">
        <x:v>52</x:v>
      </x:c>
      <x:c r="J216" s="11" t="n">
        <x:v>0</x:v>
      </x:c>
      <x:c r="K216" s="11" t="n">
        <x:v>52</x:v>
      </x:c>
      <x:c r="L216" s="11" t="n">
        <x:v>0</x:v>
      </x:c>
      <x:c r="M216" s="11" t="n">
        <x:v>52</x:v>
      </x:c>
    </x:row>
    <x:row r="217" ht="23" customHeight="1">
      <x:c r="A217" s="10" t="str">
        <x:v>M8</x:v>
      </x:c>
      <x:c r="B217" s="10" t="str">
        <x:v>CG</x:v>
      </x:c>
      <x:c r="C217" s="10" t="str">
        <x:v>H0至H1</x:v>
      </x:c>
      <x:c r="D217" s="10" t="str">
        <x:v>H0</x:v>
      </x:c>
      <x:c r="E217" s="10" t="str">
        <x:v>H1</x:v>
      </x:c>
      <x:c r="F217" s="11" t="n">
        <x:v>6103</x:v>
      </x:c>
      <x:c r="G217" s="11" t="n">
        <x:v>639</x:v>
      </x:c>
      <x:c r="H217" s="12" t="n">
        <x:f>G217/F217</x:f>
        <x:v>0.10470260527609372</x:v>
      </x:c>
      <x:c r="I217" s="11" t="n">
        <x:v>639</x:v>
      </x:c>
      <x:c r="J217" s="11" t="n">
        <x:v>0</x:v>
      </x:c>
      <x:c r="K217" s="11" t="n">
        <x:v>21</x:v>
      </x:c>
      <x:c r="L217" s="11" t="n">
        <x:v>12</x:v>
      </x:c>
      <x:c r="M217" s="11" t="n">
        <x:v>651</x:v>
      </x:c>
    </x:row>
    <x:row r="218" ht="23" customHeight="1">
      <x:c r="A218" s="10" t="str">
        <x:v>M8</x:v>
      </x:c>
      <x:c r="B218" s="10" t="str">
        <x:v>CG</x:v>
      </x:c>
      <x:c r="C218" s="10" t="str">
        <x:v>H0至HT</x:v>
      </x:c>
      <x:c r="D218" s="10" t="str">
        <x:v>H0</x:v>
      </x:c>
      <x:c r="E218" s="10" t="str">
        <x:v>HT</x:v>
      </x:c>
      <x:c r="F218" s="11" t="n">
        <x:v>6103</x:v>
      </x:c>
      <x:c r="G218" s="11" t="n">
        <x:v>630</x:v>
      </x:c>
      <x:c r="H218" s="12" t="n">
        <x:f>G218/F218</x:f>
        <x:v>0.1032279206947403</x:v>
      </x:c>
      <x:c r="I218" s="11" t="n">
        <x:v>630</x:v>
      </x:c>
      <x:c r="J218" s="11" t="n">
        <x:v>0</x:v>
      </x:c>
      <x:c r="K218" s="11" t="n">
        <x:v>12</x:v>
      </x:c>
      <x:c r="L218" s="11" t="n">
        <x:v>12</x:v>
      </x:c>
      <x:c r="M218" s="11" t="n">
        <x:v>642</x:v>
      </x:c>
    </x:row>
    <x:row r="219" ht="23" customHeight="1">
      <x:c r="A219" s="10" t="str">
        <x:v>M8</x:v>
      </x:c>
      <x:c r="B219" s="10" t="str">
        <x:v>CG</x:v>
      </x:c>
      <x:c r="C219" s="10" t="str">
        <x:v>HT至H1</x:v>
      </x:c>
      <x:c r="D219" s="10" t="str">
        <x:v>HT</x:v>
      </x:c>
      <x:c r="E219" s="10" t="str">
        <x:v>H1</x:v>
      </x:c>
      <x:c r="F219" s="11" t="n">
        <x:v>6103</x:v>
      </x:c>
      <x:c r="G219" s="11" t="n">
        <x:v>9</x:v>
      </x:c>
      <x:c r="H219" s="12" t="n">
        <x:f>G219/F219</x:f>
        <x:v>0.0014746845813534328</x:v>
      </x:c>
      <x:c r="I219" s="11" t="n">
        <x:v>9</x:v>
      </x:c>
      <x:c r="J219" s="11" t="n">
        <x:v>0</x:v>
      </x:c>
      <x:c r="K219" s="11" t="n">
        <x:v>9</x:v>
      </x:c>
      <x:c r="L219" s="11" t="n">
        <x:v>0</x:v>
      </x:c>
      <x:c r="M219" s="11" t="n">
        <x:v>9</x:v>
      </x:c>
    </x:row>
    <x:row r="220" ht="23" customHeight="1">
      <x:c r="A220" s="10" t="str">
        <x:v>M8</x:v>
      </x:c>
      <x:c r="B220" s="10" t="str">
        <x:v>NCG</x:v>
      </x:c>
      <x:c r="C220" s="10" t="str">
        <x:v>H0至H1</x:v>
      </x:c>
      <x:c r="D220" s="10" t="str">
        <x:v>H0</x:v>
      </x:c>
      <x:c r="E220" s="10" t="str">
        <x:v>H1</x:v>
      </x:c>
      <x:c r="F220" s="11" t="n">
        <x:v>6103</x:v>
      </x:c>
      <x:c r="G220" s="11" t="n">
        <x:v>599</x:v>
      </x:c>
      <x:c r="H220" s="12" t="n">
        <x:f>G220/F220</x:f>
        <x:v>0.09814845158118958</x:v>
      </x:c>
      <x:c r="I220" s="11" t="n">
        <x:v>599</x:v>
      </x:c>
      <x:c r="J220" s="11" t="n">
        <x:v>0</x:v>
      </x:c>
      <x:c r="K220" s="11" t="n">
        <x:v>64</x:v>
      </x:c>
      <x:c r="L220" s="11" t="n">
        <x:v>12</x:v>
      </x:c>
      <x:c r="M220" s="11" t="n">
        <x:v>608</x:v>
      </x:c>
    </x:row>
    <x:row r="221" ht="23" customHeight="1">
      <x:c r="A221" s="10" t="str">
        <x:v>M8</x:v>
      </x:c>
      <x:c r="B221" s="10" t="str">
        <x:v>NCG</x:v>
      </x:c>
      <x:c r="C221" s="10" t="str">
        <x:v>H0至HT</x:v>
      </x:c>
      <x:c r="D221" s="10" t="str">
        <x:v>H0</x:v>
      </x:c>
      <x:c r="E221" s="10" t="str">
        <x:v>HT</x:v>
      </x:c>
      <x:c r="F221" s="11" t="n">
        <x:v>6103</x:v>
      </x:c>
      <x:c r="G221" s="11" t="n">
        <x:v>547</x:v>
      </x:c>
      <x:c r="H221" s="12" t="n">
        <x:f>G221/F221</x:f>
        <x:v>0.08962805177781419</x:v>
      </x:c>
      <x:c r="I221" s="11" t="n">
        <x:v>547</x:v>
      </x:c>
      <x:c r="J221" s="11" t="n">
        <x:v>0</x:v>
      </x:c>
      <x:c r="K221" s="11" t="n">
        <x:v>12</x:v>
      </x:c>
      <x:c r="L221" s="11" t="n">
        <x:v>12</x:v>
      </x:c>
      <x:c r="M221" s="11" t="n">
        <x:v>556</x:v>
      </x:c>
    </x:row>
    <x:row r="222" ht="23" customHeight="1">
      <x:c r="A222" s="10" t="str">
        <x:v>M8</x:v>
      </x:c>
      <x:c r="B222" s="10" t="str">
        <x:v>NCG</x:v>
      </x:c>
      <x:c r="C222" s="10" t="str">
        <x:v>HT至H1</x:v>
      </x:c>
      <x:c r="D222" s="10" t="str">
        <x:v>HT</x:v>
      </x:c>
      <x:c r="E222" s="10" t="str">
        <x:v>H1</x:v>
      </x:c>
      <x:c r="F222" s="11" t="n">
        <x:v>6103</x:v>
      </x:c>
      <x:c r="G222" s="11" t="n">
        <x:v>52</x:v>
      </x:c>
      <x:c r="H222" s="12" t="n">
        <x:f>G222/F222</x:f>
        <x:v>0.008520399803375388</x:v>
      </x:c>
      <x:c r="I222" s="11" t="n">
        <x:v>52</x:v>
      </x:c>
      <x:c r="J222" s="11" t="n">
        <x:v>0</x:v>
      </x:c>
      <x:c r="K222" s="11" t="n">
        <x:v>52</x:v>
      </x:c>
      <x:c r="L222" s="11" t="n">
        <x:v>0</x:v>
      </x:c>
      <x:c r="M222" s="11" t="n">
        <x:v>52</x:v>
      </x:c>
    </x:row>
    <x:row r="223" ht="23" customHeight="1">
      <x:c r="A223" s="10" t="str">
        <x:v>M8</x:v>
      </x:c>
      <x:c r="B223" s="10" t="str">
        <x:v>NCG</x:v>
      </x:c>
      <x:c r="C223" s="10" t="str">
        <x:v>叶名称辅助</x:v>
      </x:c>
      <x:c r="D223" s="10" t="str">
        <x:v>NCG_H0</x:v>
      </x:c>
      <x:c r="E223" s="10" t="str">
        <x:v>NCG_H0_M1</x:v>
      </x:c>
      <x:c r="F223" s="11" t="n">
        <x:v>6103</x:v>
      </x:c>
      <x:c r="G223" s="11" t="n">
        <x:v>276</x:v>
      </x:c>
      <x:c r="H223" s="12" t="n">
        <x:f>G223/F223</x:f>
        <x:v>0.045223660494838606</x:v>
      </x:c>
      <x:c r="I223" s="11" t="n">
        <x:v>245</x:v>
      </x:c>
      <x:c r="J223" s="11" t="n">
        <x:v>31</x:v>
      </x:c>
      <x:c r="K223" s="11" t="n">
        <x:v>625</x:v>
      </x:c>
      <x:c r="L223" s="11" t="n">
        <x:v>734</x:v>
      </x:c>
      <x:c r="M223" s="11" t="n">
        <x:v>276</x:v>
      </x:c>
    </x:row>
    <x:row r="224" ht="23" customHeight="1">
      <x:c r="A224" s="10" t="str">
        <x:v>M8</x:v>
      </x:c>
      <x:c r="B224" s="10" t="str">
        <x:v>NCG</x:v>
      </x:c>
      <x:c r="C224" s="10" t="str">
        <x:v>叶名称辅助</x:v>
      </x:c>
      <x:c r="D224" s="10" t="str">
        <x:v>NCG_H1</x:v>
      </x:c>
      <x:c r="E224" s="10" t="str">
        <x:v>NCG_H1_M1</x:v>
      </x:c>
      <x:c r="F224" s="11" t="n">
        <x:v>6103</x:v>
      </x:c>
      <x:c r="G224" s="11" t="n">
        <x:v>292</x:v>
      </x:c>
      <x:c r="H224" s="12" t="n">
        <x:f>G224/F224</x:f>
        <x:v>0.04784532197280026</x:v>
      </x:c>
      <x:c r="I224" s="11" t="n">
        <x:v>254</x:v>
      </x:c>
      <x:c r="J224" s="11" t="n">
        <x:v>38</x:v>
      </x:c>
      <x:c r="K224" s="11" t="n">
        <x:v>625</x:v>
      </x:c>
      <x:c r="L224" s="11" t="n">
        <x:v>734</x:v>
      </x:c>
      <x:c r="M224" s="11" t="n">
        <x:v>292</x:v>
      </x:c>
    </x:row>
    <x:row r="225" ht="23" customHeight="1">
      <x:c r="A225" s="10" t="str">
        <x:v>M8</x:v>
      </x:c>
      <x:c r="B225" s="10" t="str">
        <x:v>branch</x:v>
      </x:c>
      <x:c r="C225" s="10" t="str">
        <x:v>分支贡献</x:v>
      </x:c>
      <x:c r="D225" s="10" t="str">
        <x:v>N_H0</x:v>
      </x:c>
      <x:c r="E225" s="10" t="str">
        <x:v>NC_H0</x:v>
      </x:c>
      <x:c r="F225" s="11" t="n">
        <x:v>6103</x:v>
      </x:c>
      <x:c r="G225" s="11" t="n">
        <x:v>1368</x:v>
      </x:c>
      <x:c r="H225" s="12" t="n">
        <x:f>G225/F225</x:f>
        <x:v>0.22415205636572177</x:v>
      </x:c>
      <x:c r="I225" s="11" t="n">
        <x:v>342</x:v>
      </x:c>
      <x:c r="J225" s="11" t="n">
        <x:v>1026</x:v>
      </x:c>
      <x:c r="K225" s="11" t="n">
        <x:v>1368</x:v>
      </x:c>
      <x:c r="L225" s="11" t="n">
        <x:v>2189</x:v>
      </x:c>
      <x:c r="M225" s="11" t="n">
        <x:v>1368</x:v>
      </x:c>
    </x:row>
    <x:row r="226" ht="23" customHeight="1">
      <x:c r="A226" s="10" t="str">
        <x:v>M8</x:v>
      </x:c>
      <x:c r="B226" s="10" t="str">
        <x:v>branch</x:v>
      </x:c>
      <x:c r="C226" s="10" t="str">
        <x:v>分支贡献</x:v>
      </x:c>
      <x:c r="D226" s="10" t="str">
        <x:v>C_H0</x:v>
      </x:c>
      <x:c r="E226" s="10" t="str">
        <x:v>NC_H0</x:v>
      </x:c>
      <x:c r="F226" s="11" t="n">
        <x:v>6103</x:v>
      </x:c>
      <x:c r="G226" s="11" t="n">
        <x:v>1057</x:v>
      </x:c>
      <x:c r="H226" s="12" t="n">
        <x:f>G226/F226</x:f>
        <x:v>0.17319351138784206</x:v>
      </x:c>
      <x:c r="I226" s="11" t="n">
        <x:v>697</x:v>
      </x:c>
      <x:c r="J226" s="11" t="n">
        <x:v>360</x:v>
      </x:c>
      <x:c r="K226" s="11" t="n">
        <x:v>1057</x:v>
      </x:c>
      <x:c r="L226" s="11" t="n">
        <x:v>1867</x:v>
      </x:c>
      <x:c r="M226" s="11" t="n">
        <x:v>1057</x:v>
      </x:c>
    </x:row>
    <x:row r="227" ht="23" customHeight="1">
      <x:c r="A227" s="10" t="str">
        <x:v>M8</x:v>
      </x:c>
      <x:c r="B227" s="10" t="str">
        <x:v>branch</x:v>
      </x:c>
      <x:c r="C227" s="10" t="str">
        <x:v>分支贡献</x:v>
      </x:c>
      <x:c r="D227" s="10" t="str">
        <x:v>N_H0</x:v>
      </x:c>
      <x:c r="E227" s="10" t="str">
        <x:v>NG_H0</x:v>
      </x:c>
      <x:c r="F227" s="11" t="n">
        <x:v>6103</x:v>
      </x:c>
      <x:c r="G227" s="11" t="n">
        <x:v>4424</x:v>
      </x:c>
      <x:c r="H227" s="12" t="n">
        <x:f>G227/F227</x:f>
        <x:v>0.7248893986563985</x:v>
      </x:c>
      <x:c r="I227" s="11" t="n">
        <x:v>120</x:v>
      </x:c>
      <x:c r="J227" s="11" t="n">
        <x:v>4304</x:v>
      </x:c>
      <x:c r="K227" s="11" t="n">
        <x:v>0</x:v>
      </x:c>
      <x:c r="L227" s="11" t="n">
        <x:v>0</x:v>
      </x:c>
      <x:c r="M227" s="11" t="n">
        <x:v>6103</x:v>
      </x:c>
    </x:row>
    <x:row r="228" ht="23" customHeight="1">
      <x:c r="A228" s="10" t="str">
        <x:v>M8</x:v>
      </x:c>
      <x:c r="B228" s="10" t="str">
        <x:v>branch</x:v>
      </x:c>
      <x:c r="C228" s="10" t="str">
        <x:v>分支贡献</x:v>
      </x:c>
      <x:c r="D228" s="10" t="str">
        <x:v>C_H0</x:v>
      </x:c>
      <x:c r="E228" s="10" t="str">
        <x:v>CG_H0</x:v>
      </x:c>
      <x:c r="F228" s="11" t="n">
        <x:v>6103</x:v>
      </x:c>
      <x:c r="G228" s="11" t="n">
        <x:v>4873</x:v>
      </x:c>
      <x:c r="H228" s="12" t="n">
        <x:f>G228/F228</x:f>
        <x:v>0.7984597738816975</x:v>
      </x:c>
      <x:c r="I228" s="11" t="n">
        <x:v>540</x:v>
      </x:c>
      <x:c r="J228" s="11" t="n">
        <x:v>4333</x:v>
      </x:c>
      <x:c r="K228" s="11" t="n">
        <x:v>0</x:v>
      </x:c>
      <x:c r="L228" s="11" t="n">
        <x:v>0</x:v>
      </x:c>
      <x:c r="M228" s="11" t="n">
        <x:v>6103</x:v>
      </x:c>
    </x:row>
    <x:row r="229" ht="23" customHeight="1">
      <x:c r="A229" s="10" t="str">
        <x:v>M8</x:v>
      </x:c>
      <x:c r="B229" s="10" t="str">
        <x:v>branch</x:v>
      </x:c>
      <x:c r="C229" s="10" t="str">
        <x:v>分支贡献</x:v>
      </x:c>
      <x:c r="D229" s="10" t="str">
        <x:v>NC_H0</x:v>
      </x:c>
      <x:c r="E229" s="10" t="str">
        <x:v>NCG_H0</x:v>
      </x:c>
      <x:c r="F229" s="11" t="n">
        <x:v>6103</x:v>
      </x:c>
      <x:c r="G229" s="11" t="n">
        <x:v>4636</x:v>
      </x:c>
      <x:c r="H229" s="12" t="n">
        <x:f>G229/F229</x:f>
        <x:v>0.7596264132393905</x:v>
      </x:c>
      <x:c r="I229" s="11" t="n">
        <x:v>745</x:v>
      </x:c>
      <x:c r="J229" s="11" t="n">
        <x:v>3891</x:v>
      </x:c>
      <x:c r="K229" s="11" t="n">
        <x:v>0</x:v>
      </x:c>
      <x:c r="L229" s="11" t="n">
        <x:v>0</x:v>
      </x:c>
      <x:c r="M229" s="11" t="n">
        <x:v>6103</x:v>
      </x:c>
    </x:row>
    <x:row r="230" ht="23" customHeight="1">
      <x:c r="A230" s="10" t="str">
        <x:v>M9</x:v>
      </x:c>
      <x:c r="B230" s="10" t="str">
        <x:v>N</x:v>
      </x:c>
      <x:c r="C230" s="10" t="str">
        <x:v>H0至H1</x:v>
      </x:c>
      <x:c r="D230" s="10" t="str">
        <x:v>H0</x:v>
      </x:c>
      <x:c r="E230" s="10" t="str">
        <x:v>H1</x:v>
      </x:c>
      <x:c r="F230" s="11" t="n">
        <x:v>3118</x:v>
      </x:c>
      <x:c r="G230" s="11" t="n">
        <x:v>5</x:v>
      </x:c>
      <x:c r="H230" s="12" t="n">
        <x:f>G230/F230</x:f>
        <x:v>0.001603592046183451</x:v>
      </x:c>
      <x:c r="I230" s="11" t="n">
        <x:v>5</x:v>
      </x:c>
      <x:c r="J230" s="11" t="n">
        <x:v>0</x:v>
      </x:c>
      <x:c r="K230" s="11" t="n">
        <x:v>5</x:v>
      </x:c>
      <x:c r="L230" s="11" t="n">
        <x:v>0</x:v>
      </x:c>
      <x:c r="M230" s="11" t="n">
        <x:v>5</x:v>
      </x:c>
    </x:row>
    <x:row r="231" ht="23" customHeight="1">
      <x:c r="A231" s="10" t="str">
        <x:v>M9</x:v>
      </x:c>
      <x:c r="B231" s="10" t="str">
        <x:v>N</x:v>
      </x:c>
      <x:c r="C231" s="10" t="str">
        <x:v>H0至HT</x:v>
      </x:c>
      <x:c r="D231" s="10" t="str">
        <x:v>H0</x:v>
      </x:c>
      <x:c r="E231" s="10" t="str">
        <x:v>HT</x:v>
      </x:c>
      <x:c r="F231" s="11" t="n">
        <x:v>3118</x:v>
      </x:c>
      <x:c r="G231" s="11" t="n">
        <x:v>0</x:v>
      </x:c>
      <x:c r="H231" s="12" t="n">
        <x:f>G231/F231</x:f>
        <x:v>0</x:v>
      </x:c>
      <x:c r="I231" s="11" t="n">
        <x:v>0</x:v>
      </x:c>
      <x:c r="J231" s="11" t="n">
        <x:v>0</x:v>
      </x:c>
      <x:c r="K231" s="11" t="n">
        <x:v>0</x:v>
      </x:c>
      <x:c r="L231" s="11" t="n">
        <x:v>0</x:v>
      </x:c>
      <x:c r="M231" s="11" t="n">
        <x:v>0</x:v>
      </x:c>
    </x:row>
    <x:row r="232" ht="23" customHeight="1">
      <x:c r="A232" s="10" t="str">
        <x:v>M9</x:v>
      </x:c>
      <x:c r="B232" s="10" t="str">
        <x:v>N</x:v>
      </x:c>
      <x:c r="C232" s="10" t="str">
        <x:v>HT至H1</x:v>
      </x:c>
      <x:c r="D232" s="10" t="str">
        <x:v>HT</x:v>
      </x:c>
      <x:c r="E232" s="10" t="str">
        <x:v>H1</x:v>
      </x:c>
      <x:c r="F232" s="11" t="n">
        <x:v>3118</x:v>
      </x:c>
      <x:c r="G232" s="11" t="n">
        <x:v>5</x:v>
      </x:c>
      <x:c r="H232" s="12" t="n">
        <x:f>G232/F232</x:f>
        <x:v>0.001603592046183451</x:v>
      </x:c>
      <x:c r="I232" s="11" t="n">
        <x:v>5</x:v>
      </x:c>
      <x:c r="J232" s="11" t="n">
        <x:v>0</x:v>
      </x:c>
      <x:c r="K232" s="11" t="n">
        <x:v>5</x:v>
      </x:c>
      <x:c r="L232" s="11" t="n">
        <x:v>0</x:v>
      </x:c>
      <x:c r="M232" s="11" t="n">
        <x:v>5</x:v>
      </x:c>
    </x:row>
    <x:row r="233" ht="23" customHeight="1">
      <x:c r="A233" s="10" t="str">
        <x:v>M9</x:v>
      </x:c>
      <x:c r="B233" s="10" t="str">
        <x:v>C</x:v>
      </x:c>
      <x:c r="C233" s="10" t="str">
        <x:v>H0至H1</x:v>
      </x:c>
      <x:c r="D233" s="10" t="str">
        <x:v>H0</x:v>
      </x:c>
      <x:c r="E233" s="10" t="str">
        <x:v>H1</x:v>
      </x:c>
      <x:c r="F233" s="11" t="n">
        <x:v>3118</x:v>
      </x:c>
      <x:c r="G233" s="11" t="n">
        <x:v>8</x:v>
      </x:c>
      <x:c r="H233" s="12" t="n">
        <x:f>G233/F233</x:f>
        <x:v>0.0025657472738935213</x:v>
      </x:c>
      <x:c r="I233" s="11" t="n">
        <x:v>8</x:v>
      </x:c>
      <x:c r="J233" s="11" t="n">
        <x:v>0</x:v>
      </x:c>
      <x:c r="K233" s="11" t="n">
        <x:v>8</x:v>
      </x:c>
      <x:c r="L233" s="11" t="n">
        <x:v>0</x:v>
      </x:c>
      <x:c r="M233" s="11" t="n">
        <x:v>8</x:v>
      </x:c>
    </x:row>
    <x:row r="234" ht="23" customHeight="1">
      <x:c r="A234" s="10" t="str">
        <x:v>M9</x:v>
      </x:c>
      <x:c r="B234" s="10" t="str">
        <x:v>C</x:v>
      </x:c>
      <x:c r="C234" s="10" t="str">
        <x:v>H0至HT</x:v>
      </x:c>
      <x:c r="D234" s="10" t="str">
        <x:v>H0</x:v>
      </x:c>
      <x:c r="E234" s="10" t="str">
        <x:v>HT</x:v>
      </x:c>
      <x:c r="F234" s="11" t="n">
        <x:v>3118</x:v>
      </x:c>
      <x:c r="G234" s="11" t="n">
        <x:v>0</x:v>
      </x:c>
      <x:c r="H234" s="12" t="n">
        <x:f>G234/F234</x:f>
        <x:v>0</x:v>
      </x:c>
      <x:c r="I234" s="11" t="n">
        <x:v>0</x:v>
      </x:c>
      <x:c r="J234" s="11" t="n">
        <x:v>0</x:v>
      </x:c>
      <x:c r="K234" s="11" t="n">
        <x:v>0</x:v>
      </x:c>
      <x:c r="L234" s="11" t="n">
        <x:v>0</x:v>
      </x:c>
      <x:c r="M234" s="11" t="n">
        <x:v>0</x:v>
      </x:c>
    </x:row>
    <x:row r="235" ht="23" customHeight="1">
      <x:c r="A235" s="10" t="str">
        <x:v>M9</x:v>
      </x:c>
      <x:c r="B235" s="10" t="str">
        <x:v>C</x:v>
      </x:c>
      <x:c r="C235" s="10" t="str">
        <x:v>HT至H1</x:v>
      </x:c>
      <x:c r="D235" s="10" t="str">
        <x:v>HT</x:v>
      </x:c>
      <x:c r="E235" s="10" t="str">
        <x:v>H1</x:v>
      </x:c>
      <x:c r="F235" s="11" t="n">
        <x:v>3118</x:v>
      </x:c>
      <x:c r="G235" s="11" t="n">
        <x:v>8</x:v>
      </x:c>
      <x:c r="H235" s="12" t="n">
        <x:f>G235/F235</x:f>
        <x:v>0.0025657472738935213</x:v>
      </x:c>
      <x:c r="I235" s="11" t="n">
        <x:v>8</x:v>
      </x:c>
      <x:c r="J235" s="11" t="n">
        <x:v>0</x:v>
      </x:c>
      <x:c r="K235" s="11" t="n">
        <x:v>8</x:v>
      </x:c>
      <x:c r="L235" s="11" t="n">
        <x:v>0</x:v>
      </x:c>
      <x:c r="M235" s="11" t="n">
        <x:v>8</x:v>
      </x:c>
    </x:row>
    <x:row r="236" ht="23" customHeight="1">
      <x:c r="A236" s="10" t="str">
        <x:v>M9</x:v>
      </x:c>
      <x:c r="B236" s="10" t="str">
        <x:v>G</x:v>
      </x:c>
      <x:c r="C236" s="10" t="str">
        <x:v>H0至H1</x:v>
      </x:c>
      <x:c r="D236" s="10" t="str">
        <x:v>H0</x:v>
      </x:c>
      <x:c r="E236" s="10" t="str">
        <x:v>H1</x:v>
      </x:c>
      <x:c r="F236" s="11" t="n">
        <x:v>3118</x:v>
      </x:c>
      <x:c r="G236" s="11" t="n">
        <x:v>254</x:v>
      </x:c>
      <x:c r="H236" s="12" t="n">
        <x:f>G236/F236</x:f>
        <x:v>0.0814624759461193</x:v>
      </x:c>
      <x:c r="I236" s="11" t="n">
        <x:v>254</x:v>
      </x:c>
      <x:c r="J236" s="11" t="n">
        <x:v>0</x:v>
      </x:c>
      <x:c r="K236" s="11" t="n">
        <x:v>0</x:v>
      </x:c>
      <x:c r="L236" s="11" t="n">
        <x:v>0</x:v>
      </x:c>
      <x:c r="M236" s="11" t="n">
        <x:v>254</x:v>
      </x:c>
    </x:row>
    <x:row r="237" ht="23" customHeight="1">
      <x:c r="A237" s="10" t="str">
        <x:v>M9</x:v>
      </x:c>
      <x:c r="B237" s="10" t="str">
        <x:v>G</x:v>
      </x:c>
      <x:c r="C237" s="10" t="str">
        <x:v>H0至HT</x:v>
      </x:c>
      <x:c r="D237" s="10" t="str">
        <x:v>H0</x:v>
      </x:c>
      <x:c r="E237" s="10" t="str">
        <x:v>HT</x:v>
      </x:c>
      <x:c r="F237" s="11" t="n">
        <x:v>3118</x:v>
      </x:c>
      <x:c r="G237" s="11" t="n">
        <x:v>254</x:v>
      </x:c>
      <x:c r="H237" s="12" t="n">
        <x:f>G237/F237</x:f>
        <x:v>0.0814624759461193</x:v>
      </x:c>
      <x:c r="I237" s="11" t="n">
        <x:v>254</x:v>
      </x:c>
      <x:c r="J237" s="11" t="n">
        <x:v>0</x:v>
      </x:c>
      <x:c r="K237" s="11" t="n">
        <x:v>0</x:v>
      </x:c>
      <x:c r="L237" s="11" t="n">
        <x:v>0</x:v>
      </x:c>
      <x:c r="M237" s="11" t="n">
        <x:v>254</x:v>
      </x:c>
    </x:row>
    <x:row r="238" ht="23" customHeight="1">
      <x:c r="A238" s="10" t="str">
        <x:v>M9</x:v>
      </x:c>
      <x:c r="B238" s="10" t="str">
        <x:v>G</x:v>
      </x:c>
      <x:c r="C238" s="10" t="str">
        <x:v>HT至H1</x:v>
      </x:c>
      <x:c r="D238" s="10" t="str">
        <x:v>HT</x:v>
      </x:c>
      <x:c r="E238" s="10" t="str">
        <x:v>H1</x:v>
      </x:c>
      <x:c r="F238" s="11" t="n">
        <x:v>3118</x:v>
      </x:c>
      <x:c r="G238" s="11" t="n">
        <x:v>0</x:v>
      </x:c>
      <x:c r="H238" s="12" t="n">
        <x:f>G238/F238</x:f>
        <x:v>0</x:v>
      </x:c>
      <x:c r="I238" s="11" t="n">
        <x:v>0</x:v>
      </x:c>
      <x:c r="J238" s="11" t="n">
        <x:v>0</x:v>
      </x:c>
      <x:c r="K238" s="11" t="n">
        <x:v>0</x:v>
      </x:c>
      <x:c r="L238" s="11" t="n">
        <x:v>0</x:v>
      </x:c>
      <x:c r="M238" s="11" t="n">
        <x:v>0</x:v>
      </x:c>
    </x:row>
    <x:row r="239" ht="23" customHeight="1">
      <x:c r="A239" s="10" t="str">
        <x:v>M9</x:v>
      </x:c>
      <x:c r="B239" s="10" t="str">
        <x:v>NC</x:v>
      </x:c>
      <x:c r="C239" s="10" t="str">
        <x:v>H0至H1</x:v>
      </x:c>
      <x:c r="D239" s="10" t="str">
        <x:v>H0</x:v>
      </x:c>
      <x:c r="E239" s="10" t="str">
        <x:v>H1</x:v>
      </x:c>
      <x:c r="F239" s="11" t="n">
        <x:v>3118</x:v>
      </x:c>
      <x:c r="G239" s="11" t="n">
        <x:v>10</x:v>
      </x:c>
      <x:c r="H239" s="12" t="n">
        <x:f>G239/F239</x:f>
        <x:v>0.003207184092366902</x:v>
      </x:c>
      <x:c r="I239" s="11" t="n">
        <x:v>10</x:v>
      </x:c>
      <x:c r="J239" s="11" t="n">
        <x:v>0</x:v>
      </x:c>
      <x:c r="K239" s="11" t="n">
        <x:v>10</x:v>
      </x:c>
      <x:c r="L239" s="11" t="n">
        <x:v>0</x:v>
      </x:c>
      <x:c r="M239" s="11" t="n">
        <x:v>10</x:v>
      </x:c>
    </x:row>
    <x:row r="240" ht="23" customHeight="1">
      <x:c r="A240" s="10" t="str">
        <x:v>M9</x:v>
      </x:c>
      <x:c r="B240" s="10" t="str">
        <x:v>NC</x:v>
      </x:c>
      <x:c r="C240" s="10" t="str">
        <x:v>H0至HT</x:v>
      </x:c>
      <x:c r="D240" s="10" t="str">
        <x:v>H0</x:v>
      </x:c>
      <x:c r="E240" s="10" t="str">
        <x:v>HT</x:v>
      </x:c>
      <x:c r="F240" s="11" t="n">
        <x:v>3118</x:v>
      </x:c>
      <x:c r="G240" s="11" t="n">
        <x:v>0</x:v>
      </x:c>
      <x:c r="H240" s="12" t="n">
        <x:f>G240/F240</x:f>
        <x:v>0</x:v>
      </x:c>
      <x:c r="I240" s="11" t="n">
        <x:v>0</x:v>
      </x:c>
      <x:c r="J240" s="11" t="n">
        <x:v>0</x:v>
      </x:c>
      <x:c r="K240" s="11" t="n">
        <x:v>0</x:v>
      </x:c>
      <x:c r="L240" s="11" t="n">
        <x:v>0</x:v>
      </x:c>
      <x:c r="M240" s="11" t="n">
        <x:v>0</x:v>
      </x:c>
    </x:row>
    <x:row r="241" ht="23" customHeight="1">
      <x:c r="A241" s="10" t="str">
        <x:v>M9</x:v>
      </x:c>
      <x:c r="B241" s="10" t="str">
        <x:v>NC</x:v>
      </x:c>
      <x:c r="C241" s="10" t="str">
        <x:v>HT至H1</x:v>
      </x:c>
      <x:c r="D241" s="10" t="str">
        <x:v>HT</x:v>
      </x:c>
      <x:c r="E241" s="10" t="str">
        <x:v>H1</x:v>
      </x:c>
      <x:c r="F241" s="11" t="n">
        <x:v>3118</x:v>
      </x:c>
      <x:c r="G241" s="11" t="n">
        <x:v>10</x:v>
      </x:c>
      <x:c r="H241" s="12" t="n">
        <x:f>G241/F241</x:f>
        <x:v>0.003207184092366902</x:v>
      </x:c>
      <x:c r="I241" s="11" t="n">
        <x:v>10</x:v>
      </x:c>
      <x:c r="J241" s="11" t="n">
        <x:v>0</x:v>
      </x:c>
      <x:c r="K241" s="11" t="n">
        <x:v>10</x:v>
      </x:c>
      <x:c r="L241" s="11" t="n">
        <x:v>0</x:v>
      </x:c>
      <x:c r="M241" s="11" t="n">
        <x:v>10</x:v>
      </x:c>
    </x:row>
    <x:row r="242" ht="23" customHeight="1">
      <x:c r="A242" s="10" t="str">
        <x:v>M9</x:v>
      </x:c>
      <x:c r="B242" s="10" t="str">
        <x:v>NG</x:v>
      </x:c>
      <x:c r="C242" s="10" t="str">
        <x:v>H0至H1</x:v>
      </x:c>
      <x:c r="D242" s="10" t="str">
        <x:v>H0</x:v>
      </x:c>
      <x:c r="E242" s="10" t="str">
        <x:v>H1</x:v>
      </x:c>
      <x:c r="F242" s="11" t="n">
        <x:v>3118</x:v>
      </x:c>
      <x:c r="G242" s="11" t="n">
        <x:v>188</x:v>
      </x:c>
      <x:c r="H242" s="12" t="n">
        <x:f>G242/F242</x:f>
        <x:v>0.06029506093649775</x:v>
      </x:c>
      <x:c r="I242" s="11" t="n">
        <x:v>188</x:v>
      </x:c>
      <x:c r="J242" s="11" t="n">
        <x:v>0</x:v>
      </x:c>
      <x:c r="K242" s="11" t="n">
        <x:v>5</x:v>
      </x:c>
      <x:c r="L242" s="11" t="n">
        <x:v>0</x:v>
      </x:c>
      <x:c r="M242" s="11" t="n">
        <x:v>188</x:v>
      </x:c>
    </x:row>
    <x:row r="243" ht="23" customHeight="1">
      <x:c r="A243" s="10" t="str">
        <x:v>M9</x:v>
      </x:c>
      <x:c r="B243" s="10" t="str">
        <x:v>NG</x:v>
      </x:c>
      <x:c r="C243" s="10" t="str">
        <x:v>H0至HT</x:v>
      </x:c>
      <x:c r="D243" s="10" t="str">
        <x:v>H0</x:v>
      </x:c>
      <x:c r="E243" s="10" t="str">
        <x:v>HT</x:v>
      </x:c>
      <x:c r="F243" s="11" t="n">
        <x:v>3118</x:v>
      </x:c>
      <x:c r="G243" s="11" t="n">
        <x:v>183</x:v>
      </x:c>
      <x:c r="H243" s="12" t="n">
        <x:f>G243/F243</x:f>
        <x:v>0.058691468890314305</x:v>
      </x:c>
      <x:c r="I243" s="11" t="n">
        <x:v>183</x:v>
      </x:c>
      <x:c r="J243" s="11" t="n">
        <x:v>0</x:v>
      </x:c>
      <x:c r="K243" s="11" t="n">
        <x:v>0</x:v>
      </x:c>
      <x:c r="L243" s="11" t="n">
        <x:v>0</x:v>
      </x:c>
      <x:c r="M243" s="11" t="n">
        <x:v>183</x:v>
      </x:c>
    </x:row>
    <x:row r="244" ht="23" customHeight="1">
      <x:c r="A244" s="10" t="str">
        <x:v>M9</x:v>
      </x:c>
      <x:c r="B244" s="10" t="str">
        <x:v>NG</x:v>
      </x:c>
      <x:c r="C244" s="10" t="str">
        <x:v>HT至H1</x:v>
      </x:c>
      <x:c r="D244" s="10" t="str">
        <x:v>HT</x:v>
      </x:c>
      <x:c r="E244" s="10" t="str">
        <x:v>H1</x:v>
      </x:c>
      <x:c r="F244" s="11" t="n">
        <x:v>3118</x:v>
      </x:c>
      <x:c r="G244" s="11" t="n">
        <x:v>5</x:v>
      </x:c>
      <x:c r="H244" s="12" t="n">
        <x:f>G244/F244</x:f>
        <x:v>0.001603592046183451</x:v>
      </x:c>
      <x:c r="I244" s="11" t="n">
        <x:v>5</x:v>
      </x:c>
      <x:c r="J244" s="11" t="n">
        <x:v>0</x:v>
      </x:c>
      <x:c r="K244" s="11" t="n">
        <x:v>5</x:v>
      </x:c>
      <x:c r="L244" s="11" t="n">
        <x:v>0</x:v>
      </x:c>
      <x:c r="M244" s="11" t="n">
        <x:v>5</x:v>
      </x:c>
    </x:row>
    <x:row r="245" ht="23" customHeight="1">
      <x:c r="A245" s="10" t="str">
        <x:v>M9</x:v>
      </x:c>
      <x:c r="B245" s="10" t="str">
        <x:v>CG</x:v>
      </x:c>
      <x:c r="C245" s="10" t="str">
        <x:v>H0至H1</x:v>
      </x:c>
      <x:c r="D245" s="10" t="str">
        <x:v>H0</x:v>
      </x:c>
      <x:c r="E245" s="10" t="str">
        <x:v>H1</x:v>
      </x:c>
      <x:c r="F245" s="11" t="n">
        <x:v>3118</x:v>
      </x:c>
      <x:c r="G245" s="11" t="n">
        <x:v>252</x:v>
      </x:c>
      <x:c r="H245" s="12" t="n">
        <x:f>G245/F245</x:f>
        <x:v>0.08082103912764593</x:v>
      </x:c>
      <x:c r="I245" s="11" t="n">
        <x:v>252</x:v>
      </x:c>
      <x:c r="J245" s="11" t="n">
        <x:v>0</x:v>
      </x:c>
      <x:c r="K245" s="11" t="n">
        <x:v>23</x:v>
      </x:c>
      <x:c r="L245" s="11" t="n">
        <x:v>15</x:v>
      </x:c>
      <x:c r="M245" s="11" t="n">
        <x:v>259</x:v>
      </x:c>
    </x:row>
    <x:row r="246" ht="23" customHeight="1">
      <x:c r="A246" s="10" t="str">
        <x:v>M9</x:v>
      </x:c>
      <x:c r="B246" s="10" t="str">
        <x:v>CG</x:v>
      </x:c>
      <x:c r="C246" s="10" t="str">
        <x:v>H0至HT</x:v>
      </x:c>
      <x:c r="D246" s="10" t="str">
        <x:v>H0</x:v>
      </x:c>
      <x:c r="E246" s="10" t="str">
        <x:v>HT</x:v>
      </x:c>
      <x:c r="F246" s="11" t="n">
        <x:v>3118</x:v>
      </x:c>
      <x:c r="G246" s="11" t="n">
        <x:v>244</x:v>
      </x:c>
      <x:c r="H246" s="12" t="n">
        <x:f>G246/F246</x:f>
        <x:v>0.0782552918537524</x:v>
      </x:c>
      <x:c r="I246" s="11" t="n">
        <x:v>244</x:v>
      </x:c>
      <x:c r="J246" s="11" t="n">
        <x:v>0</x:v>
      </x:c>
      <x:c r="K246" s="11" t="n">
        <x:v>15</x:v>
      </x:c>
      <x:c r="L246" s="11" t="n">
        <x:v>15</x:v>
      </x:c>
      <x:c r="M246" s="11" t="n">
        <x:v>251</x:v>
      </x:c>
    </x:row>
    <x:row r="247" ht="23" customHeight="1">
      <x:c r="A247" s="10" t="str">
        <x:v>M9</x:v>
      </x:c>
      <x:c r="B247" s="10" t="str">
        <x:v>CG</x:v>
      </x:c>
      <x:c r="C247" s="10" t="str">
        <x:v>HT至H1</x:v>
      </x:c>
      <x:c r="D247" s="10" t="str">
        <x:v>HT</x:v>
      </x:c>
      <x:c r="E247" s="10" t="str">
        <x:v>H1</x:v>
      </x:c>
      <x:c r="F247" s="11" t="n">
        <x:v>3118</x:v>
      </x:c>
      <x:c r="G247" s="11" t="n">
        <x:v>8</x:v>
      </x:c>
      <x:c r="H247" s="12" t="n">
        <x:f>G247/F247</x:f>
        <x:v>0.0025657472738935213</x:v>
      </x:c>
      <x:c r="I247" s="11" t="n">
        <x:v>8</x:v>
      </x:c>
      <x:c r="J247" s="11" t="n">
        <x:v>0</x:v>
      </x:c>
      <x:c r="K247" s="11" t="n">
        <x:v>8</x:v>
      </x:c>
      <x:c r="L247" s="11" t="n">
        <x:v>0</x:v>
      </x:c>
      <x:c r="M247" s="11" t="n">
        <x:v>8</x:v>
      </x:c>
    </x:row>
    <x:row r="248" ht="23" customHeight="1">
      <x:c r="A248" s="10" t="str">
        <x:v>M9</x:v>
      </x:c>
      <x:c r="B248" s="10" t="str">
        <x:v>NCG</x:v>
      </x:c>
      <x:c r="C248" s="10" t="str">
        <x:v>H0至H1</x:v>
      </x:c>
      <x:c r="D248" s="10" t="str">
        <x:v>H0</x:v>
      </x:c>
      <x:c r="E248" s="10" t="str">
        <x:v>H1</x:v>
      </x:c>
      <x:c r="F248" s="11" t="n">
        <x:v>3118</x:v>
      </x:c>
      <x:c r="G248" s="11" t="n">
        <x:v>194</x:v>
      </x:c>
      <x:c r="H248" s="12" t="n">
        <x:f>G248/F248</x:f>
        <x:v>0.062219371391917896</x:v>
      </x:c>
      <x:c r="I248" s="11" t="n">
        <x:v>194</x:v>
      </x:c>
      <x:c r="J248" s="11" t="n">
        <x:v>0</x:v>
      </x:c>
      <x:c r="K248" s="11" t="n">
        <x:v>23</x:v>
      </x:c>
      <x:c r="L248" s="11" t="n">
        <x:v>13</x:v>
      </x:c>
      <x:c r="M248" s="11" t="n">
        <x:v>197</x:v>
      </x:c>
    </x:row>
    <x:row r="249" ht="23" customHeight="1">
      <x:c r="A249" s="10" t="str">
        <x:v>M9</x:v>
      </x:c>
      <x:c r="B249" s="10" t="str">
        <x:v>NCG</x:v>
      </x:c>
      <x:c r="C249" s="10" t="str">
        <x:v>H0至HT</x:v>
      </x:c>
      <x:c r="D249" s="10" t="str">
        <x:v>H0</x:v>
      </x:c>
      <x:c r="E249" s="10" t="str">
        <x:v>HT</x:v>
      </x:c>
      <x:c r="F249" s="11" t="n">
        <x:v>3118</x:v>
      </x:c>
      <x:c r="G249" s="11" t="n">
        <x:v>184</x:v>
      </x:c>
      <x:c r="H249" s="12" t="n">
        <x:f>G249/F249</x:f>
        <x:v>0.059012187299550996</x:v>
      </x:c>
      <x:c r="I249" s="11" t="n">
        <x:v>184</x:v>
      </x:c>
      <x:c r="J249" s="11" t="n">
        <x:v>0</x:v>
      </x:c>
      <x:c r="K249" s="11" t="n">
        <x:v>13</x:v>
      </x:c>
      <x:c r="L249" s="11" t="n">
        <x:v>13</x:v>
      </x:c>
      <x:c r="M249" s="11" t="n">
        <x:v>187</x:v>
      </x:c>
    </x:row>
    <x:row r="250" ht="23" customHeight="1">
      <x:c r="A250" s="10" t="str">
        <x:v>M9</x:v>
      </x:c>
      <x:c r="B250" s="10" t="str">
        <x:v>NCG</x:v>
      </x:c>
      <x:c r="C250" s="10" t="str">
        <x:v>HT至H1</x:v>
      </x:c>
      <x:c r="D250" s="10" t="str">
        <x:v>HT</x:v>
      </x:c>
      <x:c r="E250" s="10" t="str">
        <x:v>H1</x:v>
      </x:c>
      <x:c r="F250" s="11" t="n">
        <x:v>3118</x:v>
      </x:c>
      <x:c r="G250" s="11" t="n">
        <x:v>10</x:v>
      </x:c>
      <x:c r="H250" s="12" t="n">
        <x:f>G250/F250</x:f>
        <x:v>0.003207184092366902</x:v>
      </x:c>
      <x:c r="I250" s="11" t="n">
        <x:v>10</x:v>
      </x:c>
      <x:c r="J250" s="11" t="n">
        <x:v>0</x:v>
      </x:c>
      <x:c r="K250" s="11" t="n">
        <x:v>10</x:v>
      </x:c>
      <x:c r="L250" s="11" t="n">
        <x:v>0</x:v>
      </x:c>
      <x:c r="M250" s="11" t="n">
        <x:v>10</x:v>
      </x:c>
    </x:row>
    <x:row r="251" ht="23" customHeight="1">
      <x:c r="A251" s="10" t="str">
        <x:v>M9</x:v>
      </x:c>
      <x:c r="B251" s="10" t="str">
        <x:v>NCG</x:v>
      </x:c>
      <x:c r="C251" s="10" t="str">
        <x:v>叶名称辅助</x:v>
      </x:c>
      <x:c r="D251" s="10" t="str">
        <x:v>NCG_H0</x:v>
      </x:c>
      <x:c r="E251" s="10" t="str">
        <x:v>NCG_H0_M1</x:v>
      </x:c>
      <x:c r="F251" s="11" t="n">
        <x:v>3118</x:v>
      </x:c>
      <x:c r="G251" s="11" t="n">
        <x:v>476</x:v>
      </x:c>
      <x:c r="H251" s="12" t="n">
        <x:f>G251/F251</x:f>
        <x:v>0.15266196279666452</x:v>
      </x:c>
      <x:c r="I251" s="11" t="n">
        <x:v>430</x:v>
      </x:c>
      <x:c r="J251" s="11" t="n">
        <x:v>46</x:v>
      </x:c>
      <x:c r="K251" s="11" t="n">
        <x:v>623</x:v>
      </x:c>
      <x:c r="L251" s="11" t="n">
        <x:v>777</x:v>
      </x:c>
      <x:c r="M251" s="11" t="n">
        <x:v>476</x:v>
      </x:c>
    </x:row>
    <x:row r="252" ht="23" customHeight="1">
      <x:c r="A252" s="10" t="str">
        <x:v>M9</x:v>
      </x:c>
      <x:c r="B252" s="10" t="str">
        <x:v>NCG</x:v>
      </x:c>
      <x:c r="C252" s="10" t="str">
        <x:v>叶名称辅助</x:v>
      </x:c>
      <x:c r="D252" s="10" t="str">
        <x:v>NCG_H1</x:v>
      </x:c>
      <x:c r="E252" s="10" t="str">
        <x:v>NCG_H1_M1</x:v>
      </x:c>
      <x:c r="F252" s="11" t="n">
        <x:v>3118</x:v>
      </x:c>
      <x:c r="G252" s="11" t="n">
        <x:v>508</x:v>
      </x:c>
      <x:c r="H252" s="12" t="n">
        <x:f>G252/F252</x:f>
        <x:v>0.1629249518922386</x:v>
      </x:c>
      <x:c r="I252" s="11" t="n">
        <x:v>460</x:v>
      </x:c>
      <x:c r="J252" s="11" t="n">
        <x:v>48</x:v>
      </x:c>
      <x:c r="K252" s="11" t="n">
        <x:v>623</x:v>
      </x:c>
      <x:c r="L252" s="11" t="n">
        <x:v>777</x:v>
      </x:c>
      <x:c r="M252" s="11" t="n">
        <x:v>508</x:v>
      </x:c>
    </x:row>
    <x:row r="253" ht="23" customHeight="1">
      <x:c r="A253" s="10" t="str">
        <x:v>M9</x:v>
      </x:c>
      <x:c r="B253" s="10" t="str">
        <x:v>branch</x:v>
      </x:c>
      <x:c r="C253" s="10" t="str">
        <x:v>分支贡献</x:v>
      </x:c>
      <x:c r="D253" s="10" t="str">
        <x:v>N_H0</x:v>
      </x:c>
      <x:c r="E253" s="10" t="str">
        <x:v>NC_H0</x:v>
      </x:c>
      <x:c r="F253" s="11" t="n">
        <x:v>3118</x:v>
      </x:c>
      <x:c r="G253" s="11" t="n">
        <x:v>750</x:v>
      </x:c>
      <x:c r="H253" s="12" t="n">
        <x:f>G253/F253</x:f>
        <x:v>0.24053880692751764</x:v>
      </x:c>
      <x:c r="I253" s="11" t="n">
        <x:v>64</x:v>
      </x:c>
      <x:c r="J253" s="11" t="n">
        <x:v>686</x:v>
      </x:c>
      <x:c r="K253" s="11" t="n">
        <x:v>750</x:v>
      </x:c>
      <x:c r="L253" s="11" t="n">
        <x:v>1019</x:v>
      </x:c>
      <x:c r="M253" s="11" t="n">
        <x:v>750</x:v>
      </x:c>
    </x:row>
    <x:row r="254" ht="23" customHeight="1">
      <x:c r="A254" s="10" t="str">
        <x:v>M9</x:v>
      </x:c>
      <x:c r="B254" s="10" t="str">
        <x:v>branch</x:v>
      </x:c>
      <x:c r="C254" s="10" t="str">
        <x:v>分支贡献</x:v>
      </x:c>
      <x:c r="D254" s="10" t="str">
        <x:v>C_H0</x:v>
      </x:c>
      <x:c r="E254" s="10" t="str">
        <x:v>NC_H0</x:v>
      </x:c>
      <x:c r="F254" s="11" t="n">
        <x:v>3118</x:v>
      </x:c>
      <x:c r="G254" s="11" t="n">
        <x:v>803</x:v>
      </x:c>
      <x:c r="H254" s="12" t="n">
        <x:f>G254/F254</x:f>
        <x:v>0.2575368826170622</x:v>
      </x:c>
      <x:c r="I254" s="11" t="n">
        <x:v>669</x:v>
      </x:c>
      <x:c r="J254" s="11" t="n">
        <x:v>134</x:v>
      </x:c>
      <x:c r="K254" s="11" t="n">
        <x:v>803</x:v>
      </x:c>
      <x:c r="L254" s="11" t="n">
        <x:v>1224</x:v>
      </x:c>
      <x:c r="M254" s="11" t="n">
        <x:v>803</x:v>
      </x:c>
    </x:row>
    <x:row r="255" ht="23" customHeight="1">
      <x:c r="A255" s="10" t="str">
        <x:v>M9</x:v>
      </x:c>
      <x:c r="B255" s="10" t="str">
        <x:v>branch</x:v>
      </x:c>
      <x:c r="C255" s="10" t="str">
        <x:v>分支贡献</x:v>
      </x:c>
      <x:c r="D255" s="10" t="str">
        <x:v>N_H0</x:v>
      </x:c>
      <x:c r="E255" s="10" t="str">
        <x:v>NG_H0</x:v>
      </x:c>
      <x:c r="F255" s="11" t="n">
        <x:v>3118</x:v>
      </x:c>
      <x:c r="G255" s="11" t="n">
        <x:v>2027</x:v>
      </x:c>
      <x:c r="H255" s="12" t="n">
        <x:f>G255/F255</x:f>
        <x:v>0.650096215522771</x:v>
      </x:c>
      <x:c r="I255" s="11" t="n">
        <x:v>134</x:v>
      </x:c>
      <x:c r="J255" s="11" t="n">
        <x:v>1893</x:v>
      </x:c>
      <x:c r="K255" s="11" t="n">
        <x:v>0</x:v>
      </x:c>
      <x:c r="L255" s="11" t="n">
        <x:v>0</x:v>
      </x:c>
      <x:c r="M255" s="11" t="n">
        <x:v>3118</x:v>
      </x:c>
    </x:row>
    <x:row r="256" ht="23" customHeight="1">
      <x:c r="A256" s="10" t="str">
        <x:v>M9</x:v>
      </x:c>
      <x:c r="B256" s="10" t="str">
        <x:v>branch</x:v>
      </x:c>
      <x:c r="C256" s="10" t="str">
        <x:v>分支贡献</x:v>
      </x:c>
      <x:c r="D256" s="10" t="str">
        <x:v>C_H0</x:v>
      </x:c>
      <x:c r="E256" s="10" t="str">
        <x:v>CG_H0</x:v>
      </x:c>
      <x:c r="F256" s="11" t="n">
        <x:v>3118</x:v>
      </x:c>
      <x:c r="G256" s="11" t="n">
        <x:v>2794</x:v>
      </x:c>
      <x:c r="H256" s="12" t="n">
        <x:f>G256/F256</x:f>
        <x:v>0.8960872354073124</x:v>
      </x:c>
      <x:c r="I256" s="11" t="n">
        <x:v>578</x:v>
      </x:c>
      <x:c r="J256" s="11" t="n">
        <x:v>2216</x:v>
      </x:c>
      <x:c r="K256" s="11" t="n">
        <x:v>0</x:v>
      </x:c>
      <x:c r="L256" s="11" t="n">
        <x:v>0</x:v>
      </x:c>
      <x:c r="M256" s="11" t="n">
        <x:v>3118</x:v>
      </x:c>
    </x:row>
    <x:row r="257" ht="23" customHeight="1">
      <x:c r="A257" s="10" t="str">
        <x:v>M9</x:v>
      </x:c>
      <x:c r="B257" s="10" t="str">
        <x:v>branch</x:v>
      </x:c>
      <x:c r="C257" s="10" t="str">
        <x:v>分支贡献</x:v>
      </x:c>
      <x:c r="D257" s="10" t="str">
        <x:v>NC_H0</x:v>
      </x:c>
      <x:c r="E257" s="10" t="str">
        <x:v>NCG_H0</x:v>
      </x:c>
      <x:c r="F257" s="11" t="n">
        <x:v>3118</x:v>
      </x:c>
      <x:c r="G257" s="11" t="n">
        <x:v>2242</x:v>
      </x:c>
      <x:c r="H257" s="12" t="n">
        <x:f>G257/F257</x:f>
        <x:v>0.7190506735086594</x:v>
      </x:c>
      <x:c r="I257" s="11" t="n">
        <x:v>614</x:v>
      </x:c>
      <x:c r="J257" s="11" t="n">
        <x:v>1628</x:v>
      </x:c>
      <x:c r="K257" s="11" t="n">
        <x:v>0</x:v>
      </x:c>
      <x:c r="L257" s="11" t="n">
        <x:v>0</x:v>
      </x:c>
      <x:c r="M257" s="11" t="n">
        <x:v>3118</x:v>
      </x:c>
    </x:row>
    <x:row r="258" ht="23" customHeight="1">
      <x:c r="A258" s="10" t="str">
        <x:v>M10</x:v>
      </x:c>
      <x:c r="B258" s="10" t="str">
        <x:v>N</x:v>
      </x:c>
      <x:c r="C258" s="10" t="str">
        <x:v>H0至H1</x:v>
      </x:c>
      <x:c r="D258" s="10" t="str">
        <x:v>H0</x:v>
      </x:c>
      <x:c r="E258" s="10" t="str">
        <x:v>H1</x:v>
      </x:c>
      <x:c r="F258" s="11" t="n">
        <x:v>5198</x:v>
      </x:c>
      <x:c r="G258" s="11" t="n">
        <x:v>145</x:v>
      </x:c>
      <x:c r="H258" s="12" t="n">
        <x:f>G258/F258</x:f>
        <x:v>0.027895344363216622</x:v>
      </x:c>
      <x:c r="I258" s="11" t="n">
        <x:v>145</x:v>
      </x:c>
      <x:c r="J258" s="11" t="n">
        <x:v>0</x:v>
      </x:c>
      <x:c r="K258" s="11" t="n">
        <x:v>145</x:v>
      </x:c>
      <x:c r="L258" s="11" t="n">
        <x:v>0</x:v>
      </x:c>
      <x:c r="M258" s="11" t="n">
        <x:v>145</x:v>
      </x:c>
    </x:row>
    <x:row r="259" ht="23" customHeight="1">
      <x:c r="A259" s="10" t="str">
        <x:v>M10</x:v>
      </x:c>
      <x:c r="B259" s="10" t="str">
        <x:v>N</x:v>
      </x:c>
      <x:c r="C259" s="10" t="str">
        <x:v>H0至HT</x:v>
      </x:c>
      <x:c r="D259" s="10" t="str">
        <x:v>H0</x:v>
      </x:c>
      <x:c r="E259" s="10" t="str">
        <x:v>HT</x:v>
      </x:c>
      <x:c r="F259" s="11" t="n">
        <x:v>5198</x:v>
      </x:c>
      <x:c r="G259" s="11" t="n">
        <x:v>0</x:v>
      </x:c>
      <x:c r="H259" s="12" t="n">
        <x:f>G259/F259</x:f>
        <x:v>0</x:v>
      </x:c>
      <x:c r="I259" s="11" t="n">
        <x:v>0</x:v>
      </x:c>
      <x:c r="J259" s="11" t="n">
        <x:v>0</x:v>
      </x:c>
      <x:c r="K259" s="11" t="n">
        <x:v>0</x:v>
      </x:c>
      <x:c r="L259" s="11" t="n">
        <x:v>0</x:v>
      </x:c>
      <x:c r="M259" s="11" t="n">
        <x:v>0</x:v>
      </x:c>
    </x:row>
    <x:row r="260" ht="23" customHeight="1">
      <x:c r="A260" s="10" t="str">
        <x:v>M10</x:v>
      </x:c>
      <x:c r="B260" s="10" t="str">
        <x:v>N</x:v>
      </x:c>
      <x:c r="C260" s="10" t="str">
        <x:v>HT至H1</x:v>
      </x:c>
      <x:c r="D260" s="10" t="str">
        <x:v>HT</x:v>
      </x:c>
      <x:c r="E260" s="10" t="str">
        <x:v>H1</x:v>
      </x:c>
      <x:c r="F260" s="11" t="n">
        <x:v>5198</x:v>
      </x:c>
      <x:c r="G260" s="11" t="n">
        <x:v>145</x:v>
      </x:c>
      <x:c r="H260" s="12" t="n">
        <x:f>G260/F260</x:f>
        <x:v>0.027895344363216622</x:v>
      </x:c>
      <x:c r="I260" s="11" t="n">
        <x:v>145</x:v>
      </x:c>
      <x:c r="J260" s="11" t="n">
        <x:v>0</x:v>
      </x:c>
      <x:c r="K260" s="11" t="n">
        <x:v>145</x:v>
      </x:c>
      <x:c r="L260" s="11" t="n">
        <x:v>0</x:v>
      </x:c>
      <x:c r="M260" s="11" t="n">
        <x:v>145</x:v>
      </x:c>
    </x:row>
    <x:row r="261" ht="23" customHeight="1">
      <x:c r="A261" s="10" t="str">
        <x:v>M10</x:v>
      </x:c>
      <x:c r="B261" s="10" t="str">
        <x:v>C</x:v>
      </x:c>
      <x:c r="C261" s="10" t="str">
        <x:v>H0至H1</x:v>
      </x:c>
      <x:c r="D261" s="10" t="str">
        <x:v>H0</x:v>
      </x:c>
      <x:c r="E261" s="10" t="str">
        <x:v>H1</x:v>
      </x:c>
      <x:c r="F261" s="11" t="n">
        <x:v>5198</x:v>
      </x:c>
      <x:c r="G261" s="11" t="n">
        <x:v>0</x:v>
      </x:c>
      <x:c r="H261" s="12" t="n">
        <x:f>G261/F261</x:f>
        <x:v>0</x:v>
      </x:c>
      <x:c r="I261" s="11" t="n">
        <x:v>0</x:v>
      </x:c>
      <x:c r="J261" s="11" t="n">
        <x:v>0</x:v>
      </x:c>
      <x:c r="K261" s="11" t="n">
        <x:v>0</x:v>
      </x:c>
      <x:c r="L261" s="11" t="n">
        <x:v>0</x:v>
      </x:c>
      <x:c r="M261" s="11" t="n">
        <x:v>0</x:v>
      </x:c>
    </x:row>
    <x:row r="262" ht="23" customHeight="1">
      <x:c r="A262" s="10" t="str">
        <x:v>M10</x:v>
      </x:c>
      <x:c r="B262" s="10" t="str">
        <x:v>C</x:v>
      </x:c>
      <x:c r="C262" s="10" t="str">
        <x:v>H0至HT</x:v>
      </x:c>
      <x:c r="D262" s="10" t="str">
        <x:v>H0</x:v>
      </x:c>
      <x:c r="E262" s="10" t="str">
        <x:v>HT</x:v>
      </x:c>
      <x:c r="F262" s="11" t="n">
        <x:v>5198</x:v>
      </x:c>
      <x:c r="G262" s="11" t="n">
        <x:v>0</x:v>
      </x:c>
      <x:c r="H262" s="12" t="n">
        <x:f>G262/F262</x:f>
        <x:v>0</x:v>
      </x:c>
      <x:c r="I262" s="11" t="n">
        <x:v>0</x:v>
      </x:c>
      <x:c r="J262" s="11" t="n">
        <x:v>0</x:v>
      </x:c>
      <x:c r="K262" s="11" t="n">
        <x:v>0</x:v>
      </x:c>
      <x:c r="L262" s="11" t="n">
        <x:v>0</x:v>
      </x:c>
      <x:c r="M262" s="11" t="n">
        <x:v>0</x:v>
      </x:c>
    </x:row>
    <x:row r="263" ht="23" customHeight="1">
      <x:c r="A263" s="10" t="str">
        <x:v>M10</x:v>
      </x:c>
      <x:c r="B263" s="10" t="str">
        <x:v>C</x:v>
      </x:c>
      <x:c r="C263" s="10" t="str">
        <x:v>HT至H1</x:v>
      </x:c>
      <x:c r="D263" s="10" t="str">
        <x:v>HT</x:v>
      </x:c>
      <x:c r="E263" s="10" t="str">
        <x:v>H1</x:v>
      </x:c>
      <x:c r="F263" s="11" t="n">
        <x:v>5198</x:v>
      </x:c>
      <x:c r="G263" s="11" t="n">
        <x:v>0</x:v>
      </x:c>
      <x:c r="H263" s="12" t="n">
        <x:f>G263/F263</x:f>
        <x:v>0</x:v>
      </x:c>
      <x:c r="I263" s="11" t="n">
        <x:v>0</x:v>
      </x:c>
      <x:c r="J263" s="11" t="n">
        <x:v>0</x:v>
      </x:c>
      <x:c r="K263" s="11" t="n">
        <x:v>0</x:v>
      </x:c>
      <x:c r="L263" s="11" t="n">
        <x:v>0</x:v>
      </x:c>
      <x:c r="M263" s="11" t="n">
        <x:v>0</x:v>
      </x:c>
    </x:row>
    <x:row r="264" ht="23" customHeight="1">
      <x:c r="A264" s="10" t="str">
        <x:v>M10</x:v>
      </x:c>
      <x:c r="B264" s="10" t="str">
        <x:v>G</x:v>
      </x:c>
      <x:c r="C264" s="10" t="str">
        <x:v>H0至H1</x:v>
      </x:c>
      <x:c r="D264" s="10" t="str">
        <x:v>H0</x:v>
      </x:c>
      <x:c r="E264" s="10" t="str">
        <x:v>H1</x:v>
      </x:c>
      <x:c r="F264" s="11" t="n">
        <x:v>5198</x:v>
      </x:c>
      <x:c r="G264" s="11" t="n">
        <x:v>862</x:v>
      </x:c>
      <x:c r="H264" s="12" t="n">
        <x:f>G264/F264</x:f>
        <x:v>0.16583301269719122</x:v>
      </x:c>
      <x:c r="I264" s="11" t="n">
        <x:v>862</x:v>
      </x:c>
      <x:c r="J264" s="11" t="n">
        <x:v>0</x:v>
      </x:c>
      <x:c r="K264" s="11" t="n">
        <x:v>0</x:v>
      </x:c>
      <x:c r="L264" s="11" t="n">
        <x:v>0</x:v>
      </x:c>
      <x:c r="M264" s="11" t="n">
        <x:v>862</x:v>
      </x:c>
    </x:row>
    <x:row r="265" ht="23" customHeight="1">
      <x:c r="A265" s="10" t="str">
        <x:v>M10</x:v>
      </x:c>
      <x:c r="B265" s="10" t="str">
        <x:v>G</x:v>
      </x:c>
      <x:c r="C265" s="10" t="str">
        <x:v>H0至HT</x:v>
      </x:c>
      <x:c r="D265" s="10" t="str">
        <x:v>H0</x:v>
      </x:c>
      <x:c r="E265" s="10" t="str">
        <x:v>HT</x:v>
      </x:c>
      <x:c r="F265" s="11" t="n">
        <x:v>5198</x:v>
      </x:c>
      <x:c r="G265" s="11" t="n">
        <x:v>862</x:v>
      </x:c>
      <x:c r="H265" s="12" t="n">
        <x:f>G265/F265</x:f>
        <x:v>0.16583301269719122</x:v>
      </x:c>
      <x:c r="I265" s="11" t="n">
        <x:v>862</x:v>
      </x:c>
      <x:c r="J265" s="11" t="n">
        <x:v>0</x:v>
      </x:c>
      <x:c r="K265" s="11" t="n">
        <x:v>0</x:v>
      </x:c>
      <x:c r="L265" s="11" t="n">
        <x:v>0</x:v>
      </x:c>
      <x:c r="M265" s="11" t="n">
        <x:v>862</x:v>
      </x:c>
    </x:row>
    <x:row r="266" ht="23" customHeight="1">
      <x:c r="A266" s="10" t="str">
        <x:v>M10</x:v>
      </x:c>
      <x:c r="B266" s="10" t="str">
        <x:v>G</x:v>
      </x:c>
      <x:c r="C266" s="10" t="str">
        <x:v>HT至H1</x:v>
      </x:c>
      <x:c r="D266" s="10" t="str">
        <x:v>HT</x:v>
      </x:c>
      <x:c r="E266" s="10" t="str">
        <x:v>H1</x:v>
      </x:c>
      <x:c r="F266" s="11" t="n">
        <x:v>5198</x:v>
      </x:c>
      <x:c r="G266" s="11" t="n">
        <x:v>0</x:v>
      </x:c>
      <x:c r="H266" s="12" t="n">
        <x:f>G266/F266</x:f>
        <x:v>0</x:v>
      </x:c>
      <x:c r="I266" s="11" t="n">
        <x:v>0</x:v>
      </x:c>
      <x:c r="J266" s="11" t="n">
        <x:v>0</x:v>
      </x:c>
      <x:c r="K266" s="11" t="n">
        <x:v>0</x:v>
      </x:c>
      <x:c r="L266" s="11" t="n">
        <x:v>0</x:v>
      </x:c>
      <x:c r="M266" s="11" t="n">
        <x:v>0</x:v>
      </x:c>
    </x:row>
    <x:row r="267" ht="23" customHeight="1">
      <x:c r="A267" s="10" t="str">
        <x:v>M10</x:v>
      </x:c>
      <x:c r="B267" s="10" t="str">
        <x:v>NC</x:v>
      </x:c>
      <x:c r="C267" s="10" t="str">
        <x:v>H0至H1</x:v>
      </x:c>
      <x:c r="D267" s="10" t="str">
        <x:v>H0</x:v>
      </x:c>
      <x:c r="E267" s="10" t="str">
        <x:v>H1</x:v>
      </x:c>
      <x:c r="F267" s="11" t="n">
        <x:v>5198</x:v>
      </x:c>
      <x:c r="G267" s="11" t="n">
        <x:v>141</x:v>
      </x:c>
      <x:c r="H267" s="12" t="n">
        <x:f>G267/F267</x:f>
        <x:v>0.02712581762216237</x:v>
      </x:c>
      <x:c r="I267" s="11" t="n">
        <x:v>141</x:v>
      </x:c>
      <x:c r="J267" s="11" t="n">
        <x:v>0</x:v>
      </x:c>
      <x:c r="K267" s="11" t="n">
        <x:v>141</x:v>
      </x:c>
      <x:c r="L267" s="11" t="n">
        <x:v>0</x:v>
      </x:c>
      <x:c r="M267" s="11" t="n">
        <x:v>141</x:v>
      </x:c>
    </x:row>
    <x:row r="268" ht="23" customHeight="1">
      <x:c r="A268" s="10" t="str">
        <x:v>M10</x:v>
      </x:c>
      <x:c r="B268" s="10" t="str">
        <x:v>NC</x:v>
      </x:c>
      <x:c r="C268" s="10" t="str">
        <x:v>H0至HT</x:v>
      </x:c>
      <x:c r="D268" s="10" t="str">
        <x:v>H0</x:v>
      </x:c>
      <x:c r="E268" s="10" t="str">
        <x:v>HT</x:v>
      </x:c>
      <x:c r="F268" s="11" t="n">
        <x:v>5198</x:v>
      </x:c>
      <x:c r="G268" s="11" t="n">
        <x:v>0</x:v>
      </x:c>
      <x:c r="H268" s="12" t="n">
        <x:f>G268/F268</x:f>
        <x:v>0</x:v>
      </x:c>
      <x:c r="I268" s="11" t="n">
        <x:v>0</x:v>
      </x:c>
      <x:c r="J268" s="11" t="n">
        <x:v>0</x:v>
      </x:c>
      <x:c r="K268" s="11" t="n">
        <x:v>0</x:v>
      </x:c>
      <x:c r="L268" s="11" t="n">
        <x:v>0</x:v>
      </x:c>
      <x:c r="M268" s="11" t="n">
        <x:v>0</x:v>
      </x:c>
    </x:row>
    <x:row r="269" ht="23" customHeight="1">
      <x:c r="A269" s="10" t="str">
        <x:v>M10</x:v>
      </x:c>
      <x:c r="B269" s="10" t="str">
        <x:v>NC</x:v>
      </x:c>
      <x:c r="C269" s="10" t="str">
        <x:v>HT至H1</x:v>
      </x:c>
      <x:c r="D269" s="10" t="str">
        <x:v>HT</x:v>
      </x:c>
      <x:c r="E269" s="10" t="str">
        <x:v>H1</x:v>
      </x:c>
      <x:c r="F269" s="11" t="n">
        <x:v>5198</x:v>
      </x:c>
      <x:c r="G269" s="11" t="n">
        <x:v>141</x:v>
      </x:c>
      <x:c r="H269" s="12" t="n">
        <x:f>G269/F269</x:f>
        <x:v>0.02712581762216237</x:v>
      </x:c>
      <x:c r="I269" s="11" t="n">
        <x:v>141</x:v>
      </x:c>
      <x:c r="J269" s="11" t="n">
        <x:v>0</x:v>
      </x:c>
      <x:c r="K269" s="11" t="n">
        <x:v>141</x:v>
      </x:c>
      <x:c r="L269" s="11" t="n">
        <x:v>0</x:v>
      </x:c>
      <x:c r="M269" s="11" t="n">
        <x:v>141</x:v>
      </x:c>
    </x:row>
    <x:row r="270" ht="23" customHeight="1">
      <x:c r="A270" s="10" t="str">
        <x:v>M10</x:v>
      </x:c>
      <x:c r="B270" s="10" t="str">
        <x:v>NG</x:v>
      </x:c>
      <x:c r="C270" s="10" t="str">
        <x:v>H0至H1</x:v>
      </x:c>
      <x:c r="D270" s="10" t="str">
        <x:v>H0</x:v>
      </x:c>
      <x:c r="E270" s="10" t="str">
        <x:v>H1</x:v>
      </x:c>
      <x:c r="F270" s="11" t="n">
        <x:v>5198</x:v>
      </x:c>
      <x:c r="G270" s="11" t="n">
        <x:v>943</x:v>
      </x:c>
      <x:c r="H270" s="12" t="n">
        <x:f>G270/F270</x:f>
        <x:v>0.18141592920353983</x:v>
      </x:c>
      <x:c r="I270" s="11" t="n">
        <x:v>943</x:v>
      </x:c>
      <x:c r="J270" s="11" t="n">
        <x:v>0</x:v>
      </x:c>
      <x:c r="K270" s="11" t="n">
        <x:v>145</x:v>
      </x:c>
      <x:c r="L270" s="11" t="n">
        <x:v>0</x:v>
      </x:c>
      <x:c r="M270" s="11" t="n">
        <x:v>943</x:v>
      </x:c>
    </x:row>
    <x:row r="271" ht="23" customHeight="1">
      <x:c r="A271" s="10" t="str">
        <x:v>M10</x:v>
      </x:c>
      <x:c r="B271" s="10" t="str">
        <x:v>NG</x:v>
      </x:c>
      <x:c r="C271" s="10" t="str">
        <x:v>H0至HT</x:v>
      </x:c>
      <x:c r="D271" s="10" t="str">
        <x:v>H0</x:v>
      </x:c>
      <x:c r="E271" s="10" t="str">
        <x:v>HT</x:v>
      </x:c>
      <x:c r="F271" s="11" t="n">
        <x:v>5198</x:v>
      </x:c>
      <x:c r="G271" s="11" t="n">
        <x:v>798</x:v>
      </x:c>
      <x:c r="H271" s="12" t="n">
        <x:f>G271/F271</x:f>
        <x:v>0.1535205848403232</x:v>
      </x:c>
      <x:c r="I271" s="11" t="n">
        <x:v>798</x:v>
      </x:c>
      <x:c r="J271" s="11" t="n">
        <x:v>0</x:v>
      </x:c>
      <x:c r="K271" s="11" t="n">
        <x:v>0</x:v>
      </x:c>
      <x:c r="L271" s="11" t="n">
        <x:v>0</x:v>
      </x:c>
      <x:c r="M271" s="11" t="n">
        <x:v>798</x:v>
      </x:c>
    </x:row>
    <x:row r="272" ht="23" customHeight="1">
      <x:c r="A272" s="10" t="str">
        <x:v>M10</x:v>
      </x:c>
      <x:c r="B272" s="10" t="str">
        <x:v>NG</x:v>
      </x:c>
      <x:c r="C272" s="10" t="str">
        <x:v>HT至H1</x:v>
      </x:c>
      <x:c r="D272" s="10" t="str">
        <x:v>HT</x:v>
      </x:c>
      <x:c r="E272" s="10" t="str">
        <x:v>H1</x:v>
      </x:c>
      <x:c r="F272" s="11" t="n">
        <x:v>5198</x:v>
      </x:c>
      <x:c r="G272" s="11" t="n">
        <x:v>145</x:v>
      </x:c>
      <x:c r="H272" s="12" t="n">
        <x:f>G272/F272</x:f>
        <x:v>0.027895344363216622</x:v>
      </x:c>
      <x:c r="I272" s="11" t="n">
        <x:v>145</x:v>
      </x:c>
      <x:c r="J272" s="11" t="n">
        <x:v>0</x:v>
      </x:c>
      <x:c r="K272" s="11" t="n">
        <x:v>145</x:v>
      </x:c>
      <x:c r="L272" s="11" t="n">
        <x:v>0</x:v>
      </x:c>
      <x:c r="M272" s="11" t="n">
        <x:v>145</x:v>
      </x:c>
    </x:row>
    <x:row r="273" ht="23" customHeight="1">
      <x:c r="A273" s="10" t="str">
        <x:v>M10</x:v>
      </x:c>
      <x:c r="B273" s="10" t="str">
        <x:v>CG</x:v>
      </x:c>
      <x:c r="C273" s="10" t="str">
        <x:v>H0至H1</x:v>
      </x:c>
      <x:c r="D273" s="10" t="str">
        <x:v>H0</x:v>
      </x:c>
      <x:c r="E273" s="10" t="str">
        <x:v>H1</x:v>
      </x:c>
      <x:c r="F273" s="11" t="n">
        <x:v>5198</x:v>
      </x:c>
      <x:c r="G273" s="11" t="n">
        <x:v>804</x:v>
      </x:c>
      <x:c r="H273" s="12" t="n">
        <x:f>G273/F273</x:f>
        <x:v>0.15467487495190457</x:v>
      </x:c>
      <x:c r="I273" s="11" t="n">
        <x:v>804</x:v>
      </x:c>
      <x:c r="J273" s="11" t="n">
        <x:v>0</x:v>
      </x:c>
      <x:c r="K273" s="11" t="n">
        <x:v>1</x:v>
      </x:c>
      <x:c r="L273" s="11" t="n">
        <x:v>1</x:v>
      </x:c>
      <x:c r="M273" s="11" t="n">
        <x:v>804</x:v>
      </x:c>
    </x:row>
    <x:row r="274" ht="23" customHeight="1">
      <x:c r="A274" s="10" t="str">
        <x:v>M10</x:v>
      </x:c>
      <x:c r="B274" s="10" t="str">
        <x:v>CG</x:v>
      </x:c>
      <x:c r="C274" s="10" t="str">
        <x:v>H0至HT</x:v>
      </x:c>
      <x:c r="D274" s="10" t="str">
        <x:v>H0</x:v>
      </x:c>
      <x:c r="E274" s="10" t="str">
        <x:v>HT</x:v>
      </x:c>
      <x:c r="F274" s="11" t="n">
        <x:v>5198</x:v>
      </x:c>
      <x:c r="G274" s="11" t="n">
        <x:v>804</x:v>
      </x:c>
      <x:c r="H274" s="12" t="n">
        <x:f>G274/F274</x:f>
        <x:v>0.15467487495190457</x:v>
      </x:c>
      <x:c r="I274" s="11" t="n">
        <x:v>804</x:v>
      </x:c>
      <x:c r="J274" s="11" t="n">
        <x:v>0</x:v>
      </x:c>
      <x:c r="K274" s="11" t="n">
        <x:v>1</x:v>
      </x:c>
      <x:c r="L274" s="11" t="n">
        <x:v>1</x:v>
      </x:c>
      <x:c r="M274" s="11" t="n">
        <x:v>804</x:v>
      </x:c>
    </x:row>
    <x:row r="275" ht="23" customHeight="1">
      <x:c r="A275" s="10" t="str">
        <x:v>M10</x:v>
      </x:c>
      <x:c r="B275" s="10" t="str">
        <x:v>CG</x:v>
      </x:c>
      <x:c r="C275" s="10" t="str">
        <x:v>HT至H1</x:v>
      </x:c>
      <x:c r="D275" s="10" t="str">
        <x:v>HT</x:v>
      </x:c>
      <x:c r="E275" s="10" t="str">
        <x:v>H1</x:v>
      </x:c>
      <x:c r="F275" s="11" t="n">
        <x:v>5198</x:v>
      </x:c>
      <x:c r="G275" s="11" t="n">
        <x:v>0</x:v>
      </x:c>
      <x:c r="H275" s="12" t="n">
        <x:f>G275/F275</x:f>
        <x:v>0</x:v>
      </x:c>
      <x:c r="I275" s="11" t="n">
        <x:v>0</x:v>
      </x:c>
      <x:c r="J275" s="11" t="n">
        <x:v>0</x:v>
      </x:c>
      <x:c r="K275" s="11" t="n">
        <x:v>0</x:v>
      </x:c>
      <x:c r="L275" s="11" t="n">
        <x:v>0</x:v>
      </x:c>
      <x:c r="M275" s="11" t="n">
        <x:v>0</x:v>
      </x:c>
    </x:row>
    <x:row r="276" ht="23" customHeight="1">
      <x:c r="A276" s="10" t="str">
        <x:v>M10</x:v>
      </x:c>
      <x:c r="B276" s="10" t="str">
        <x:v>NCG</x:v>
      </x:c>
      <x:c r="C276" s="10" t="str">
        <x:v>H0至H1</x:v>
      </x:c>
      <x:c r="D276" s="10" t="str">
        <x:v>H0</x:v>
      </x:c>
      <x:c r="E276" s="10" t="str">
        <x:v>H1</x:v>
      </x:c>
      <x:c r="F276" s="11" t="n">
        <x:v>5198</x:v>
      </x:c>
      <x:c r="G276" s="11" t="n">
        <x:v>955</x:v>
      </x:c>
      <x:c r="H276" s="12" t="n">
        <x:f>G276/F276</x:f>
        <x:v>0.18372450942670257</x:v>
      </x:c>
      <x:c r="I276" s="11" t="n">
        <x:v>955</x:v>
      </x:c>
      <x:c r="J276" s="11" t="n">
        <x:v>0</x:v>
      </x:c>
      <x:c r="K276" s="11" t="n">
        <x:v>142</x:v>
      </x:c>
      <x:c r="L276" s="11" t="n">
        <x:v>1</x:v>
      </x:c>
      <x:c r="M276" s="11" t="n">
        <x:v>955</x:v>
      </x:c>
    </x:row>
    <x:row r="277" ht="23" customHeight="1">
      <x:c r="A277" s="10" t="str">
        <x:v>M10</x:v>
      </x:c>
      <x:c r="B277" s="10" t="str">
        <x:v>NCG</x:v>
      </x:c>
      <x:c r="C277" s="10" t="str">
        <x:v>H0至HT</x:v>
      </x:c>
      <x:c r="D277" s="10" t="str">
        <x:v>H0</x:v>
      </x:c>
      <x:c r="E277" s="10" t="str">
        <x:v>HT</x:v>
      </x:c>
      <x:c r="F277" s="11" t="n">
        <x:v>5198</x:v>
      </x:c>
      <x:c r="G277" s="11" t="n">
        <x:v>814</x:v>
      </x:c>
      <x:c r="H277" s="12" t="n">
        <x:f>G277/F277</x:f>
        <x:v>0.1565986918045402</x:v>
      </x:c>
      <x:c r="I277" s="11" t="n">
        <x:v>814</x:v>
      </x:c>
      <x:c r="J277" s="11" t="n">
        <x:v>0</x:v>
      </x:c>
      <x:c r="K277" s="11" t="n">
        <x:v>1</x:v>
      </x:c>
      <x:c r="L277" s="11" t="n">
        <x:v>1</x:v>
      </x:c>
      <x:c r="M277" s="11" t="n">
        <x:v>814</x:v>
      </x:c>
    </x:row>
    <x:row r="278" ht="23" customHeight="1">
      <x:c r="A278" s="10" t="str">
        <x:v>M10</x:v>
      </x:c>
      <x:c r="B278" s="10" t="str">
        <x:v>NCG</x:v>
      </x:c>
      <x:c r="C278" s="10" t="str">
        <x:v>HT至H1</x:v>
      </x:c>
      <x:c r="D278" s="10" t="str">
        <x:v>HT</x:v>
      </x:c>
      <x:c r="E278" s="10" t="str">
        <x:v>H1</x:v>
      </x:c>
      <x:c r="F278" s="11" t="n">
        <x:v>5198</x:v>
      </x:c>
      <x:c r="G278" s="11" t="n">
        <x:v>141</x:v>
      </x:c>
      <x:c r="H278" s="12" t="n">
        <x:f>G278/F278</x:f>
        <x:v>0.02712581762216237</x:v>
      </x:c>
      <x:c r="I278" s="11" t="n">
        <x:v>141</x:v>
      </x:c>
      <x:c r="J278" s="11" t="n">
        <x:v>0</x:v>
      </x:c>
      <x:c r="K278" s="11" t="n">
        <x:v>141</x:v>
      </x:c>
      <x:c r="L278" s="11" t="n">
        <x:v>0</x:v>
      </x:c>
      <x:c r="M278" s="11" t="n">
        <x:v>141</x:v>
      </x:c>
    </x:row>
    <x:row r="279" ht="23" customHeight="1">
      <x:c r="A279" s="10" t="str">
        <x:v>M10</x:v>
      </x:c>
      <x:c r="B279" s="10" t="str">
        <x:v>NCG</x:v>
      </x:c>
      <x:c r="C279" s="10" t="str">
        <x:v>叶名称辅助</x:v>
      </x:c>
      <x:c r="D279" s="10" t="str">
        <x:v>NCG_H0</x:v>
      </x:c>
      <x:c r="E279" s="10" t="str">
        <x:v>NCG_H0_M1</x:v>
      </x:c>
      <x:c r="F279" s="11" t="n">
        <x:v>5198</x:v>
      </x:c>
      <x:c r="G279" s="11" t="n">
        <x:v>636</x:v>
      </x:c>
      <x:c r="H279" s="12" t="n">
        <x:f>G279/F279</x:f>
        <x:v>0.12235475182762601</x:v>
      </x:c>
      <x:c r="I279" s="11" t="n">
        <x:v>514</x:v>
      </x:c>
      <x:c r="J279" s="11" t="n">
        <x:v>122</x:v>
      </x:c>
      <x:c r="K279" s="11" t="n">
        <x:v>1258</x:v>
      </x:c>
      <x:c r="L279" s="11" t="n">
        <x:v>2259</x:v>
      </x:c>
      <x:c r="M279" s="11" t="n">
        <x:v>636</x:v>
      </x:c>
    </x:row>
    <x:row r="280" ht="23" customHeight="1">
      <x:c r="A280" s="10" t="str">
        <x:v>M10</x:v>
      </x:c>
      <x:c r="B280" s="10" t="str">
        <x:v>NCG</x:v>
      </x:c>
      <x:c r="C280" s="10" t="str">
        <x:v>叶名称辅助</x:v>
      </x:c>
      <x:c r="D280" s="10" t="str">
        <x:v>NCG_H1</x:v>
      </x:c>
      <x:c r="E280" s="10" t="str">
        <x:v>NCG_H1_M1</x:v>
      </x:c>
      <x:c r="F280" s="11" t="n">
        <x:v>5198</x:v>
      </x:c>
      <x:c r="G280" s="11" t="n">
        <x:v>880</x:v>
      </x:c>
      <x:c r="H280" s="12" t="n">
        <x:f>G280/F280</x:f>
        <x:v>0.16929588303193535</x:v>
      </x:c>
      <x:c r="I280" s="11" t="n">
        <x:v>623</x:v>
      </x:c>
      <x:c r="J280" s="11" t="n">
        <x:v>257</x:v>
      </x:c>
      <x:c r="K280" s="11" t="n">
        <x:v>1258</x:v>
      </x:c>
      <x:c r="L280" s="11" t="n">
        <x:v>2259</x:v>
      </x:c>
      <x:c r="M280" s="11" t="n">
        <x:v>880</x:v>
      </x:c>
    </x:row>
    <x:row r="281" ht="23" customHeight="1">
      <x:c r="A281" s="10" t="str">
        <x:v>M10</x:v>
      </x:c>
      <x:c r="B281" s="10" t="str">
        <x:v>branch</x:v>
      </x:c>
      <x:c r="C281" s="10" t="str">
        <x:v>分支贡献</x:v>
      </x:c>
      <x:c r="D281" s="10" t="str">
        <x:v>N_H0</x:v>
      </x:c>
      <x:c r="E281" s="10" t="str">
        <x:v>NC_H0</x:v>
      </x:c>
      <x:c r="F281" s="11" t="n">
        <x:v>5198</x:v>
      </x:c>
      <x:c r="G281" s="11" t="n">
        <x:v>1030</x:v>
      </x:c>
      <x:c r="H281" s="12" t="n">
        <x:f>G281/F281</x:f>
        <x:v>0.1981531358214698</x:v>
      </x:c>
      <x:c r="I281" s="11" t="n">
        <x:v>178</x:v>
      </x:c>
      <x:c r="J281" s="11" t="n">
        <x:v>852</x:v>
      </x:c>
      <x:c r="K281" s="11" t="n">
        <x:v>1030</x:v>
      </x:c>
      <x:c r="L281" s="11" t="n">
        <x:v>1605</x:v>
      </x:c>
      <x:c r="M281" s="11" t="n">
        <x:v>1030</x:v>
      </x:c>
    </x:row>
    <x:row r="282" ht="23" customHeight="1">
      <x:c r="A282" s="10" t="str">
        <x:v>M10</x:v>
      </x:c>
      <x:c r="B282" s="10" t="str">
        <x:v>branch</x:v>
      </x:c>
      <x:c r="C282" s="10" t="str">
        <x:v>分支贡献</x:v>
      </x:c>
      <x:c r="D282" s="10" t="str">
        <x:v>C_H0</x:v>
      </x:c>
      <x:c r="E282" s="10" t="str">
        <x:v>NC_H0</x:v>
      </x:c>
      <x:c r="F282" s="11" t="n">
        <x:v>5198</x:v>
      </x:c>
      <x:c r="G282" s="11" t="n">
        <x:v>1027</x:v>
      </x:c>
      <x:c r="H282" s="12" t="n">
        <x:f>G282/F282</x:f>
        <x:v>0.1975759907656791</x:v>
      </x:c>
      <x:c r="I282" s="11" t="n">
        <x:v>603</x:v>
      </x:c>
      <x:c r="J282" s="11" t="n">
        <x:v>424</x:v>
      </x:c>
      <x:c r="K282" s="11" t="n">
        <x:v>1027</x:v>
      </x:c>
      <x:c r="L282" s="11" t="n">
        <x:v>1695</x:v>
      </x:c>
      <x:c r="M282" s="11" t="n">
        <x:v>1027</x:v>
      </x:c>
    </x:row>
    <x:row r="283" ht="23" customHeight="1">
      <x:c r="A283" s="10" t="str">
        <x:v>M10</x:v>
      </x:c>
      <x:c r="B283" s="10" t="str">
        <x:v>branch</x:v>
      </x:c>
      <x:c r="C283" s="10" t="str">
        <x:v>分支贡献</x:v>
      </x:c>
      <x:c r="D283" s="10" t="str">
        <x:v>N_H0</x:v>
      </x:c>
      <x:c r="E283" s="10" t="str">
        <x:v>NG_H0</x:v>
      </x:c>
      <x:c r="F283" s="11" t="n">
        <x:v>5198</x:v>
      </x:c>
      <x:c r="G283" s="11" t="n">
        <x:v>4149</x:v>
      </x:c>
      <x:c r="H283" s="12" t="n">
        <x:f>G283/F283</x:f>
        <x:v>0.7981916121585225</x:v>
      </x:c>
      <x:c r="I283" s="11" t="n">
        <x:v>169</x:v>
      </x:c>
      <x:c r="J283" s="11" t="n">
        <x:v>3980</x:v>
      </x:c>
      <x:c r="K283" s="11" t="n">
        <x:v>0</x:v>
      </x:c>
      <x:c r="L283" s="11" t="n">
        <x:v>0</x:v>
      </x:c>
      <x:c r="M283" s="11" t="n">
        <x:v>5198</x:v>
      </x:c>
    </x:row>
    <x:row r="284" ht="23" customHeight="1">
      <x:c r="A284" s="10" t="str">
        <x:v>M10</x:v>
      </x:c>
      <x:c r="B284" s="10" t="str">
        <x:v>branch</x:v>
      </x:c>
      <x:c r="C284" s="10" t="str">
        <x:v>分支贡献</x:v>
      </x:c>
      <x:c r="D284" s="10" t="str">
        <x:v>C_H0</x:v>
      </x:c>
      <x:c r="E284" s="10" t="str">
        <x:v>CG_H0</x:v>
      </x:c>
      <x:c r="F284" s="11" t="n">
        <x:v>5198</x:v>
      </x:c>
      <x:c r="G284" s="11" t="n">
        <x:v>4497</x:v>
      </x:c>
      <x:c r="H284" s="12" t="n">
        <x:f>G284/F284</x:f>
        <x:v>0.8651404386302424</x:v>
      </x:c>
      <x:c r="I284" s="11" t="n">
        <x:v>583</x:v>
      </x:c>
      <x:c r="J284" s="11" t="n">
        <x:v>3914</x:v>
      </x:c>
      <x:c r="K284" s="11" t="n">
        <x:v>0</x:v>
      </x:c>
      <x:c r="L284" s="11" t="n">
        <x:v>0</x:v>
      </x:c>
      <x:c r="M284" s="11" t="n">
        <x:v>5198</x:v>
      </x:c>
    </x:row>
    <x:row r="285" ht="23" customHeight="1">
      <x:c r="A285" s="10" t="str">
        <x:v>M10</x:v>
      </x:c>
      <x:c r="B285" s="10" t="str">
        <x:v>branch</x:v>
      </x:c>
      <x:c r="C285" s="10" t="str">
        <x:v>分支贡献</x:v>
      </x:c>
      <x:c r="D285" s="10" t="str">
        <x:v>NC_H0</x:v>
      </x:c>
      <x:c r="E285" s="10" t="str">
        <x:v>NCG_H0</x:v>
      </x:c>
      <x:c r="F285" s="11" t="n">
        <x:v>5198</x:v>
      </x:c>
      <x:c r="G285" s="11" t="n">
        <x:v>4078</x:v>
      </x:c>
      <x:c r="H285" s="12" t="n">
        <x:f>G285/F285</x:f>
        <x:v>0.7845325125048095</x:v>
      </x:c>
      <x:c r="I285" s="11" t="n">
        <x:v>571</x:v>
      </x:c>
      <x:c r="J285" s="11" t="n">
        <x:v>3507</x:v>
      </x:c>
      <x:c r="K285" s="11" t="n">
        <x:v>0</x:v>
      </x:c>
      <x:c r="L285" s="11" t="n">
        <x:v>0</x:v>
      </x:c>
      <x:c r="M285" s="11" t="n">
        <x:v>5198</x:v>
      </x:c>
    </x:row>
    <x:row r="286" ht="23" customHeight="1">
      <x:c r="A286" s="10" t="str">
        <x:v>M11</x:v>
      </x:c>
      <x:c r="B286" s="10" t="str">
        <x:v>N</x:v>
      </x:c>
      <x:c r="C286" s="10" t="str">
        <x:v>H0至H1</x:v>
      </x:c>
      <x:c r="D286" s="10" t="str">
        <x:v>H0</x:v>
      </x:c>
      <x:c r="E286" s="10" t="str">
        <x:v>H1</x:v>
      </x:c>
      <x:c r="F286" s="11" t="n">
        <x:v>15723</x:v>
      </x:c>
      <x:c r="G286" s="11" t="n">
        <x:v>384</x:v>
      </x:c>
      <x:c r="H286" s="12" t="n">
        <x:f>G286/F286</x:f>
        <x:v>0.024422820072505246</x:v>
      </x:c>
      <x:c r="I286" s="11" t="n">
        <x:v>384</x:v>
      </x:c>
      <x:c r="J286" s="11" t="n">
        <x:v>0</x:v>
      </x:c>
      <x:c r="K286" s="11" t="n">
        <x:v>384</x:v>
      </x:c>
      <x:c r="L286" s="11" t="n">
        <x:v>0</x:v>
      </x:c>
      <x:c r="M286" s="11" t="n">
        <x:v>384</x:v>
      </x:c>
    </x:row>
    <x:row r="287" ht="23" customHeight="1">
      <x:c r="A287" s="10" t="str">
        <x:v>M11</x:v>
      </x:c>
      <x:c r="B287" s="10" t="str">
        <x:v>N</x:v>
      </x:c>
      <x:c r="C287" s="10" t="str">
        <x:v>H0至HT</x:v>
      </x:c>
      <x:c r="D287" s="10" t="str">
        <x:v>H0</x:v>
      </x:c>
      <x:c r="E287" s="10" t="str">
        <x:v>HT</x:v>
      </x:c>
      <x:c r="F287" s="11" t="n">
        <x:v>15723</x:v>
      </x:c>
      <x:c r="G287" s="11" t="n">
        <x:v>0</x:v>
      </x:c>
      <x:c r="H287" s="12" t="n">
        <x:f>G287/F287</x:f>
        <x:v>0</x:v>
      </x:c>
      <x:c r="I287" s="11" t="n">
        <x:v>0</x:v>
      </x:c>
      <x:c r="J287" s="11" t="n">
        <x:v>0</x:v>
      </x:c>
      <x:c r="K287" s="11" t="n">
        <x:v>0</x:v>
      </x:c>
      <x:c r="L287" s="11" t="n">
        <x:v>0</x:v>
      </x:c>
      <x:c r="M287" s="11" t="n">
        <x:v>0</x:v>
      </x:c>
    </x:row>
    <x:row r="288" ht="23" customHeight="1">
      <x:c r="A288" s="10" t="str">
        <x:v>M11</x:v>
      </x:c>
      <x:c r="B288" s="10" t="str">
        <x:v>N</x:v>
      </x:c>
      <x:c r="C288" s="10" t="str">
        <x:v>HT至H1</x:v>
      </x:c>
      <x:c r="D288" s="10" t="str">
        <x:v>HT</x:v>
      </x:c>
      <x:c r="E288" s="10" t="str">
        <x:v>H1</x:v>
      </x:c>
      <x:c r="F288" s="11" t="n">
        <x:v>15723</x:v>
      </x:c>
      <x:c r="G288" s="11" t="n">
        <x:v>384</x:v>
      </x:c>
      <x:c r="H288" s="12" t="n">
        <x:f>G288/F288</x:f>
        <x:v>0.024422820072505246</x:v>
      </x:c>
      <x:c r="I288" s="11" t="n">
        <x:v>384</x:v>
      </x:c>
      <x:c r="J288" s="11" t="n">
        <x:v>0</x:v>
      </x:c>
      <x:c r="K288" s="11" t="n">
        <x:v>384</x:v>
      </x:c>
      <x:c r="L288" s="11" t="n">
        <x:v>0</x:v>
      </x:c>
      <x:c r="M288" s="11" t="n">
        <x:v>384</x:v>
      </x:c>
    </x:row>
    <x:row r="289" ht="23" customHeight="1">
      <x:c r="A289" s="10" t="str">
        <x:v>M11</x:v>
      </x:c>
      <x:c r="B289" s="10" t="str">
        <x:v>C</x:v>
      </x:c>
      <x:c r="C289" s="10" t="str">
        <x:v>H0至H1</x:v>
      </x:c>
      <x:c r="D289" s="10" t="str">
        <x:v>H0</x:v>
      </x:c>
      <x:c r="E289" s="10" t="str">
        <x:v>H1</x:v>
      </x:c>
      <x:c r="F289" s="11" t="n">
        <x:v>15723</x:v>
      </x:c>
      <x:c r="G289" s="11" t="n">
        <x:v>187</x:v>
      </x:c>
      <x:c r="H289" s="12" t="n">
        <x:f>G289/F289</x:f>
        <x:v>0.011893404566558545</x:v>
      </x:c>
      <x:c r="I289" s="11" t="n">
        <x:v>187</x:v>
      </x:c>
      <x:c r="J289" s="11" t="n">
        <x:v>0</x:v>
      </x:c>
      <x:c r="K289" s="11" t="n">
        <x:v>187</x:v>
      </x:c>
      <x:c r="L289" s="11" t="n">
        <x:v>0</x:v>
      </x:c>
      <x:c r="M289" s="11" t="n">
        <x:v>187</x:v>
      </x:c>
    </x:row>
    <x:row r="290" ht="23" customHeight="1">
      <x:c r="A290" s="10" t="str">
        <x:v>M11</x:v>
      </x:c>
      <x:c r="B290" s="10" t="str">
        <x:v>C</x:v>
      </x:c>
      <x:c r="C290" s="10" t="str">
        <x:v>H0至HT</x:v>
      </x:c>
      <x:c r="D290" s="10" t="str">
        <x:v>H0</x:v>
      </x:c>
      <x:c r="E290" s="10" t="str">
        <x:v>HT</x:v>
      </x:c>
      <x:c r="F290" s="11" t="n">
        <x:v>15723</x:v>
      </x:c>
      <x:c r="G290" s="11" t="n">
        <x:v>0</x:v>
      </x:c>
      <x:c r="H290" s="12" t="n">
        <x:f>G290/F290</x:f>
        <x:v>0</x:v>
      </x:c>
      <x:c r="I290" s="11" t="n">
        <x:v>0</x:v>
      </x:c>
      <x:c r="J290" s="11" t="n">
        <x:v>0</x:v>
      </x:c>
      <x:c r="K290" s="11" t="n">
        <x:v>0</x:v>
      </x:c>
      <x:c r="L290" s="11" t="n">
        <x:v>0</x:v>
      </x:c>
      <x:c r="M290" s="11" t="n">
        <x:v>0</x:v>
      </x:c>
    </x:row>
    <x:row r="291" ht="23" customHeight="1">
      <x:c r="A291" s="10" t="str">
        <x:v>M11</x:v>
      </x:c>
      <x:c r="B291" s="10" t="str">
        <x:v>C</x:v>
      </x:c>
      <x:c r="C291" s="10" t="str">
        <x:v>HT至H1</x:v>
      </x:c>
      <x:c r="D291" s="10" t="str">
        <x:v>HT</x:v>
      </x:c>
      <x:c r="E291" s="10" t="str">
        <x:v>H1</x:v>
      </x:c>
      <x:c r="F291" s="11" t="n">
        <x:v>15723</x:v>
      </x:c>
      <x:c r="G291" s="11" t="n">
        <x:v>187</x:v>
      </x:c>
      <x:c r="H291" s="12" t="n">
        <x:f>G291/F291</x:f>
        <x:v>0.011893404566558545</x:v>
      </x:c>
      <x:c r="I291" s="11" t="n">
        <x:v>187</x:v>
      </x:c>
      <x:c r="J291" s="11" t="n">
        <x:v>0</x:v>
      </x:c>
      <x:c r="K291" s="11" t="n">
        <x:v>187</x:v>
      </x:c>
      <x:c r="L291" s="11" t="n">
        <x:v>0</x:v>
      </x:c>
      <x:c r="M291" s="11" t="n">
        <x:v>187</x:v>
      </x:c>
    </x:row>
    <x:row r="292" ht="23" customHeight="1">
      <x:c r="A292" s="10" t="str">
        <x:v>M11</x:v>
      </x:c>
      <x:c r="B292" s="10" t="str">
        <x:v>G</x:v>
      </x:c>
      <x:c r="C292" s="10" t="str">
        <x:v>H0至H1</x:v>
      </x:c>
      <x:c r="D292" s="10" t="str">
        <x:v>H0</x:v>
      </x:c>
      <x:c r="E292" s="10" t="str">
        <x:v>H1</x:v>
      </x:c>
      <x:c r="F292" s="11" t="n">
        <x:v>15723</x:v>
      </x:c>
      <x:c r="G292" s="11" t="n">
        <x:v>3687</x:v>
      </x:c>
      <x:c r="H292" s="12" t="n">
        <x:f>G292/F292</x:f>
        <x:v>0.23449723335241365</x:v>
      </x:c>
      <x:c r="I292" s="11" t="n">
        <x:v>3687</x:v>
      </x:c>
      <x:c r="J292" s="11" t="n">
        <x:v>0</x:v>
      </x:c>
      <x:c r="K292" s="11" t="n">
        <x:v>0</x:v>
      </x:c>
      <x:c r="L292" s="11" t="n">
        <x:v>0</x:v>
      </x:c>
      <x:c r="M292" s="11" t="n">
        <x:v>3687</x:v>
      </x:c>
    </x:row>
    <x:row r="293" ht="23" customHeight="1">
      <x:c r="A293" s="10" t="str">
        <x:v>M11</x:v>
      </x:c>
      <x:c r="B293" s="10" t="str">
        <x:v>G</x:v>
      </x:c>
      <x:c r="C293" s="10" t="str">
        <x:v>H0至HT</x:v>
      </x:c>
      <x:c r="D293" s="10" t="str">
        <x:v>H0</x:v>
      </x:c>
      <x:c r="E293" s="10" t="str">
        <x:v>HT</x:v>
      </x:c>
      <x:c r="F293" s="11" t="n">
        <x:v>15723</x:v>
      </x:c>
      <x:c r="G293" s="11" t="n">
        <x:v>3687</x:v>
      </x:c>
      <x:c r="H293" s="12" t="n">
        <x:f>G293/F293</x:f>
        <x:v>0.23449723335241365</x:v>
      </x:c>
      <x:c r="I293" s="11" t="n">
        <x:v>3687</x:v>
      </x:c>
      <x:c r="J293" s="11" t="n">
        <x:v>0</x:v>
      </x:c>
      <x:c r="K293" s="11" t="n">
        <x:v>0</x:v>
      </x:c>
      <x:c r="L293" s="11" t="n">
        <x:v>0</x:v>
      </x:c>
      <x:c r="M293" s="11" t="n">
        <x:v>3687</x:v>
      </x:c>
    </x:row>
    <x:row r="294" ht="23" customHeight="1">
      <x:c r="A294" s="10" t="str">
        <x:v>M11</x:v>
      </x:c>
      <x:c r="B294" s="10" t="str">
        <x:v>G</x:v>
      </x:c>
      <x:c r="C294" s="10" t="str">
        <x:v>HT至H1</x:v>
      </x:c>
      <x:c r="D294" s="10" t="str">
        <x:v>HT</x:v>
      </x:c>
      <x:c r="E294" s="10" t="str">
        <x:v>H1</x:v>
      </x:c>
      <x:c r="F294" s="11" t="n">
        <x:v>15723</x:v>
      </x:c>
      <x:c r="G294" s="11" t="n">
        <x:v>0</x:v>
      </x:c>
      <x:c r="H294" s="12" t="n">
        <x:f>G294/F294</x:f>
        <x:v>0</x:v>
      </x:c>
      <x:c r="I294" s="11" t="n">
        <x:v>0</x:v>
      </x:c>
      <x:c r="J294" s="11" t="n">
        <x:v>0</x:v>
      </x:c>
      <x:c r="K294" s="11" t="n">
        <x:v>0</x:v>
      </x:c>
      <x:c r="L294" s="11" t="n">
        <x:v>0</x:v>
      </x:c>
      <x:c r="M294" s="11" t="n">
        <x:v>0</x:v>
      </x:c>
    </x:row>
    <x:row r="295" ht="23" customHeight="1">
      <x:c r="A295" s="10" t="str">
        <x:v>M11</x:v>
      </x:c>
      <x:c r="B295" s="10" t="str">
        <x:v>NC</x:v>
      </x:c>
      <x:c r="C295" s="10" t="str">
        <x:v>H0至H1</x:v>
      </x:c>
      <x:c r="D295" s="10" t="str">
        <x:v>H0</x:v>
      </x:c>
      <x:c r="E295" s="10" t="str">
        <x:v>H1</x:v>
      </x:c>
      <x:c r="F295" s="11" t="n">
        <x:v>15723</x:v>
      </x:c>
      <x:c r="G295" s="11" t="n">
        <x:v>439</x:v>
      </x:c>
      <x:c r="H295" s="12" t="n">
        <x:f>G295/F295</x:f>
        <x:v>0.027920880239140113</x:v>
      </x:c>
      <x:c r="I295" s="11" t="n">
        <x:v>439</x:v>
      </x:c>
      <x:c r="J295" s="11" t="n">
        <x:v>0</x:v>
      </x:c>
      <x:c r="K295" s="11" t="n">
        <x:v>439</x:v>
      </x:c>
      <x:c r="L295" s="11" t="n">
        <x:v>0</x:v>
      </x:c>
      <x:c r="M295" s="11" t="n">
        <x:v>439</x:v>
      </x:c>
    </x:row>
    <x:row r="296" ht="23" customHeight="1">
      <x:c r="A296" s="10" t="str">
        <x:v>M11</x:v>
      </x:c>
      <x:c r="B296" s="10" t="str">
        <x:v>NC</x:v>
      </x:c>
      <x:c r="C296" s="10" t="str">
        <x:v>H0至HT</x:v>
      </x:c>
      <x:c r="D296" s="10" t="str">
        <x:v>H0</x:v>
      </x:c>
      <x:c r="E296" s="10" t="str">
        <x:v>HT</x:v>
      </x:c>
      <x:c r="F296" s="11" t="n">
        <x:v>15723</x:v>
      </x:c>
      <x:c r="G296" s="11" t="n">
        <x:v>0</x:v>
      </x:c>
      <x:c r="H296" s="12" t="n">
        <x:f>G296/F296</x:f>
        <x:v>0</x:v>
      </x:c>
      <x:c r="I296" s="11" t="n">
        <x:v>0</x:v>
      </x:c>
      <x:c r="J296" s="11" t="n">
        <x:v>0</x:v>
      </x:c>
      <x:c r="K296" s="11" t="n">
        <x:v>0</x:v>
      </x:c>
      <x:c r="L296" s="11" t="n">
        <x:v>0</x:v>
      </x:c>
      <x:c r="M296" s="11" t="n">
        <x:v>0</x:v>
      </x:c>
    </x:row>
    <x:row r="297" ht="23" customHeight="1">
      <x:c r="A297" s="10" t="str">
        <x:v>M11</x:v>
      </x:c>
      <x:c r="B297" s="10" t="str">
        <x:v>NC</x:v>
      </x:c>
      <x:c r="C297" s="10" t="str">
        <x:v>HT至H1</x:v>
      </x:c>
      <x:c r="D297" s="10" t="str">
        <x:v>HT</x:v>
      </x:c>
      <x:c r="E297" s="10" t="str">
        <x:v>H1</x:v>
      </x:c>
      <x:c r="F297" s="11" t="n">
        <x:v>15723</x:v>
      </x:c>
      <x:c r="G297" s="11" t="n">
        <x:v>439</x:v>
      </x:c>
      <x:c r="H297" s="12" t="n">
        <x:f>G297/F297</x:f>
        <x:v>0.027920880239140113</x:v>
      </x:c>
      <x:c r="I297" s="11" t="n">
        <x:v>439</x:v>
      </x:c>
      <x:c r="J297" s="11" t="n">
        <x:v>0</x:v>
      </x:c>
      <x:c r="K297" s="11" t="n">
        <x:v>439</x:v>
      </x:c>
      <x:c r="L297" s="11" t="n">
        <x:v>0</x:v>
      </x:c>
      <x:c r="M297" s="11" t="n">
        <x:v>439</x:v>
      </x:c>
    </x:row>
    <x:row r="298" ht="23" customHeight="1">
      <x:c r="A298" s="10" t="str">
        <x:v>M11</x:v>
      </x:c>
      <x:c r="B298" s="10" t="str">
        <x:v>NG</x:v>
      </x:c>
      <x:c r="C298" s="10" t="str">
        <x:v>H0至H1</x:v>
      </x:c>
      <x:c r="D298" s="10" t="str">
        <x:v>H0</x:v>
      </x:c>
      <x:c r="E298" s="10" t="str">
        <x:v>H1</x:v>
      </x:c>
      <x:c r="F298" s="11" t="n">
        <x:v>15723</x:v>
      </x:c>
      <x:c r="G298" s="11" t="n">
        <x:v>2773</x:v>
      </x:c>
      <x:c r="H298" s="12" t="n">
        <x:f>G298/F298</x:f>
        <x:v>0.17636583349233606</x:v>
      </x:c>
      <x:c r="I298" s="11" t="n">
        <x:v>2773</x:v>
      </x:c>
      <x:c r="J298" s="11" t="n">
        <x:v>0</x:v>
      </x:c>
      <x:c r="K298" s="11" t="n">
        <x:v>384</x:v>
      </x:c>
      <x:c r="L298" s="11" t="n">
        <x:v>0</x:v>
      </x:c>
      <x:c r="M298" s="11" t="n">
        <x:v>2773</x:v>
      </x:c>
    </x:row>
    <x:row r="299" ht="23" customHeight="1">
      <x:c r="A299" s="10" t="str">
        <x:v>M11</x:v>
      </x:c>
      <x:c r="B299" s="10" t="str">
        <x:v>NG</x:v>
      </x:c>
      <x:c r="C299" s="10" t="str">
        <x:v>H0至HT</x:v>
      </x:c>
      <x:c r="D299" s="10" t="str">
        <x:v>H0</x:v>
      </x:c>
      <x:c r="E299" s="10" t="str">
        <x:v>HT</x:v>
      </x:c>
      <x:c r="F299" s="11" t="n">
        <x:v>15723</x:v>
      </x:c>
      <x:c r="G299" s="11" t="n">
        <x:v>2398</x:v>
      </x:c>
      <x:c r="H299" s="12" t="n">
        <x:f>G299/F299</x:f>
        <x:v>0.15251542326528017</x:v>
      </x:c>
      <x:c r="I299" s="11" t="n">
        <x:v>2398</x:v>
      </x:c>
      <x:c r="J299" s="11" t="n">
        <x:v>0</x:v>
      </x:c>
      <x:c r="K299" s="11" t="n">
        <x:v>0</x:v>
      </x:c>
      <x:c r="L299" s="11" t="n">
        <x:v>0</x:v>
      </x:c>
      <x:c r="M299" s="11" t="n">
        <x:v>2398</x:v>
      </x:c>
    </x:row>
    <x:row r="300" ht="23" customHeight="1">
      <x:c r="A300" s="10" t="str">
        <x:v>M11</x:v>
      </x:c>
      <x:c r="B300" s="10" t="str">
        <x:v>NG</x:v>
      </x:c>
      <x:c r="C300" s="10" t="str">
        <x:v>HT至H1</x:v>
      </x:c>
      <x:c r="D300" s="10" t="str">
        <x:v>HT</x:v>
      </x:c>
      <x:c r="E300" s="10" t="str">
        <x:v>H1</x:v>
      </x:c>
      <x:c r="F300" s="11" t="n">
        <x:v>15723</x:v>
      </x:c>
      <x:c r="G300" s="11" t="n">
        <x:v>384</x:v>
      </x:c>
      <x:c r="H300" s="12" t="n">
        <x:f>G300/F300</x:f>
        <x:v>0.024422820072505246</x:v>
      </x:c>
      <x:c r="I300" s="11" t="n">
        <x:v>384</x:v>
      </x:c>
      <x:c r="J300" s="11" t="n">
        <x:v>0</x:v>
      </x:c>
      <x:c r="K300" s="11" t="n">
        <x:v>384</x:v>
      </x:c>
      <x:c r="L300" s="11" t="n">
        <x:v>0</x:v>
      </x:c>
      <x:c r="M300" s="11" t="n">
        <x:v>384</x:v>
      </x:c>
    </x:row>
    <x:row r="301" ht="23" customHeight="1">
      <x:c r="A301" s="10" t="str">
        <x:v>M11</x:v>
      </x:c>
      <x:c r="B301" s="10" t="str">
        <x:v>CG</x:v>
      </x:c>
      <x:c r="C301" s="10" t="str">
        <x:v>H0至H1</x:v>
      </x:c>
      <x:c r="D301" s="10" t="str">
        <x:v>H0</x:v>
      </x:c>
      <x:c r="E301" s="10" t="str">
        <x:v>H1</x:v>
      </x:c>
      <x:c r="F301" s="11" t="n">
        <x:v>15723</x:v>
      </x:c>
      <x:c r="G301" s="11" t="n">
        <x:v>3540</x:v>
      </x:c>
      <x:c r="H301" s="12" t="n">
        <x:f>G301/F301</x:f>
        <x:v>0.22514787254340773</x:v>
      </x:c>
      <x:c r="I301" s="11" t="n">
        <x:v>3540</x:v>
      </x:c>
      <x:c r="J301" s="11" t="n">
        <x:v>0</x:v>
      </x:c>
      <x:c r="K301" s="11" t="n">
        <x:v>196</x:v>
      </x:c>
      <x:c r="L301" s="11" t="n">
        <x:v>9</x:v>
      </x:c>
      <x:c r="M301" s="11" t="n">
        <x:v>3549</x:v>
      </x:c>
    </x:row>
    <x:row r="302" ht="23" customHeight="1">
      <x:c r="A302" s="10" t="str">
        <x:v>M11</x:v>
      </x:c>
      <x:c r="B302" s="10" t="str">
        <x:v>CG</x:v>
      </x:c>
      <x:c r="C302" s="10" t="str">
        <x:v>H0至HT</x:v>
      </x:c>
      <x:c r="D302" s="10" t="str">
        <x:v>H0</x:v>
      </x:c>
      <x:c r="E302" s="10" t="str">
        <x:v>HT</x:v>
      </x:c>
      <x:c r="F302" s="11" t="n">
        <x:v>15723</x:v>
      </x:c>
      <x:c r="G302" s="11" t="n">
        <x:v>3353</x:v>
      </x:c>
      <x:c r="H302" s="12" t="n">
        <x:f>G302/F302</x:f>
        <x:v>0.2132544679768492</x:v>
      </x:c>
      <x:c r="I302" s="11" t="n">
        <x:v>3353</x:v>
      </x:c>
      <x:c r="J302" s="11" t="n">
        <x:v>0</x:v>
      </x:c>
      <x:c r="K302" s="11" t="n">
        <x:v>9</x:v>
      </x:c>
      <x:c r="L302" s="11" t="n">
        <x:v>9</x:v>
      </x:c>
      <x:c r="M302" s="11" t="n">
        <x:v>3362</x:v>
      </x:c>
    </x:row>
    <x:row r="303" ht="23" customHeight="1">
      <x:c r="A303" s="10" t="str">
        <x:v>M11</x:v>
      </x:c>
      <x:c r="B303" s="10" t="str">
        <x:v>CG</x:v>
      </x:c>
      <x:c r="C303" s="10" t="str">
        <x:v>HT至H1</x:v>
      </x:c>
      <x:c r="D303" s="10" t="str">
        <x:v>HT</x:v>
      </x:c>
      <x:c r="E303" s="10" t="str">
        <x:v>H1</x:v>
      </x:c>
      <x:c r="F303" s="11" t="n">
        <x:v>15723</x:v>
      </x:c>
      <x:c r="G303" s="11" t="n">
        <x:v>187</x:v>
      </x:c>
      <x:c r="H303" s="12" t="n">
        <x:f>G303/F303</x:f>
        <x:v>0.011893404566558545</x:v>
      </x:c>
      <x:c r="I303" s="11" t="n">
        <x:v>187</x:v>
      </x:c>
      <x:c r="J303" s="11" t="n">
        <x:v>0</x:v>
      </x:c>
      <x:c r="K303" s="11" t="n">
        <x:v>187</x:v>
      </x:c>
      <x:c r="L303" s="11" t="n">
        <x:v>0</x:v>
      </x:c>
      <x:c r="M303" s="11" t="n">
        <x:v>187</x:v>
      </x:c>
    </x:row>
    <x:row r="304" ht="23" customHeight="1">
      <x:c r="A304" s="10" t="str">
        <x:v>M11</x:v>
      </x:c>
      <x:c r="B304" s="10" t="str">
        <x:v>NCG</x:v>
      </x:c>
      <x:c r="C304" s="10" t="str">
        <x:v>H0至H1</x:v>
      </x:c>
      <x:c r="D304" s="10" t="str">
        <x:v>H0</x:v>
      </x:c>
      <x:c r="E304" s="10" t="str">
        <x:v>H1</x:v>
      </x:c>
      <x:c r="F304" s="11" t="n">
        <x:v>15723</x:v>
      </x:c>
      <x:c r="G304" s="11" t="n">
        <x:v>2550</x:v>
      </x:c>
      <x:c r="H304" s="12" t="n">
        <x:f>G304/F304</x:f>
        <x:v>0.16218278954398016</x:v>
      </x:c>
      <x:c r="I304" s="11" t="n">
        <x:v>2550</x:v>
      </x:c>
      <x:c r="J304" s="11" t="n">
        <x:v>0</x:v>
      </x:c>
      <x:c r="K304" s="11" t="n">
        <x:v>448</x:v>
      </x:c>
      <x:c r="L304" s="11" t="n">
        <x:v>9</x:v>
      </x:c>
      <x:c r="M304" s="11" t="n">
        <x:v>2559</x:v>
      </x:c>
    </x:row>
    <x:row r="305" ht="23" customHeight="1">
      <x:c r="A305" s="10" t="str">
        <x:v>M11</x:v>
      </x:c>
      <x:c r="B305" s="10" t="str">
        <x:v>NCG</x:v>
      </x:c>
      <x:c r="C305" s="10" t="str">
        <x:v>H0至HT</x:v>
      </x:c>
      <x:c r="D305" s="10" t="str">
        <x:v>H0</x:v>
      </x:c>
      <x:c r="E305" s="10" t="str">
        <x:v>HT</x:v>
      </x:c>
      <x:c r="F305" s="11" t="n">
        <x:v>15723</x:v>
      </x:c>
      <x:c r="G305" s="11" t="n">
        <x:v>2118</x:v>
      </x:c>
      <x:c r="H305" s="12" t="n">
        <x:f>G305/F305</x:f>
        <x:v>0.13470711696241175</x:v>
      </x:c>
      <x:c r="I305" s="11" t="n">
        <x:v>2118</x:v>
      </x:c>
      <x:c r="J305" s="11" t="n">
        <x:v>0</x:v>
      </x:c>
      <x:c r="K305" s="11" t="n">
        <x:v>9</x:v>
      </x:c>
      <x:c r="L305" s="11" t="n">
        <x:v>9</x:v>
      </x:c>
      <x:c r="M305" s="11" t="n">
        <x:v>2127</x:v>
      </x:c>
    </x:row>
    <x:row r="306" ht="23" customHeight="1">
      <x:c r="A306" s="10" t="str">
        <x:v>M11</x:v>
      </x:c>
      <x:c r="B306" s="10" t="str">
        <x:v>NCG</x:v>
      </x:c>
      <x:c r="C306" s="10" t="str">
        <x:v>HT至H1</x:v>
      </x:c>
      <x:c r="D306" s="10" t="str">
        <x:v>HT</x:v>
      </x:c>
      <x:c r="E306" s="10" t="str">
        <x:v>H1</x:v>
      </x:c>
      <x:c r="F306" s="11" t="n">
        <x:v>15723</x:v>
      </x:c>
      <x:c r="G306" s="11" t="n">
        <x:v>439</x:v>
      </x:c>
      <x:c r="H306" s="12" t="n">
        <x:f>G306/F306</x:f>
        <x:v>0.027920880239140113</x:v>
      </x:c>
      <x:c r="I306" s="11" t="n">
        <x:v>439</x:v>
      </x:c>
      <x:c r="J306" s="11" t="n">
        <x:v>0</x:v>
      </x:c>
      <x:c r="K306" s="11" t="n">
        <x:v>439</x:v>
      </x:c>
      <x:c r="L306" s="11" t="n">
        <x:v>0</x:v>
      </x:c>
      <x:c r="M306" s="11" t="n">
        <x:v>439</x:v>
      </x:c>
    </x:row>
    <x:row r="307" ht="23" customHeight="1">
      <x:c r="A307" s="10" t="str">
        <x:v>M11</x:v>
      </x:c>
      <x:c r="B307" s="10" t="str">
        <x:v>NCG</x:v>
      </x:c>
      <x:c r="C307" s="10" t="str">
        <x:v>叶名称辅助</x:v>
      </x:c>
      <x:c r="D307" s="10" t="str">
        <x:v>NCG_H0</x:v>
      </x:c>
      <x:c r="E307" s="10" t="str">
        <x:v>NCG_H0_M1</x:v>
      </x:c>
      <x:c r="F307" s="11" t="n">
        <x:v>15723</x:v>
      </x:c>
      <x:c r="G307" s="11" t="n">
        <x:v>1822</x:v>
      </x:c>
      <x:c r="H307" s="12" t="n">
        <x:f>G307/F307</x:f>
        <x:v>0.11588119315652229</x:v>
      </x:c>
      <x:c r="I307" s="11" t="n">
        <x:v>1770</x:v>
      </x:c>
      <x:c r="J307" s="11" t="n">
        <x:v>52</x:v>
      </x:c>
      <x:c r="K307" s="11" t="n">
        <x:v>3005</x:v>
      </x:c>
      <x:c r="L307" s="11" t="n">
        <x:v>4108</x:v>
      </x:c>
      <x:c r="M307" s="11" t="n">
        <x:v>1822</x:v>
      </x:c>
    </x:row>
    <x:row r="308" ht="23" customHeight="1">
      <x:c r="A308" s="10" t="str">
        <x:v>M11</x:v>
      </x:c>
      <x:c r="B308" s="10" t="str">
        <x:v>NCG</x:v>
      </x:c>
      <x:c r="C308" s="10" t="str">
        <x:v>叶名称辅助</x:v>
      </x:c>
      <x:c r="D308" s="10" t="str">
        <x:v>NCG_H1</x:v>
      </x:c>
      <x:c r="E308" s="10" t="str">
        <x:v>NCG_H1_M1</x:v>
      </x:c>
      <x:c r="F308" s="11" t="n">
        <x:v>15723</x:v>
      </x:c>
      <x:c r="G308" s="11" t="n">
        <x:v>2235</x:v>
      </x:c>
      <x:c r="H308" s="12" t="n">
        <x:f>G308/F308</x:f>
        <x:v>0.14214844495325318</x:v>
      </x:c>
      <x:c r="I308" s="11" t="n">
        <x:v>2098</x:v>
      </x:c>
      <x:c r="J308" s="11" t="n">
        <x:v>137</x:v>
      </x:c>
      <x:c r="K308" s="11" t="n">
        <x:v>3005</x:v>
      </x:c>
      <x:c r="L308" s="11" t="n">
        <x:v>4108</x:v>
      </x:c>
      <x:c r="M308" s="11" t="n">
        <x:v>2239</x:v>
      </x:c>
    </x:row>
    <x:row r="309" ht="23" customHeight="1">
      <x:c r="A309" s="10" t="str">
        <x:v>M11</x:v>
      </x:c>
      <x:c r="B309" s="10" t="str">
        <x:v>branch</x:v>
      </x:c>
      <x:c r="C309" s="10" t="str">
        <x:v>分支贡献</x:v>
      </x:c>
      <x:c r="D309" s="10" t="str">
        <x:v>N_H0</x:v>
      </x:c>
      <x:c r="E309" s="10" t="str">
        <x:v>NC_H0</x:v>
      </x:c>
      <x:c r="F309" s="11" t="n">
        <x:v>15723</x:v>
      </x:c>
      <x:c r="G309" s="11" t="n">
        <x:v>4350</x:v>
      </x:c>
      <x:c r="H309" s="12" t="n">
        <x:f>G309/F309</x:f>
        <x:v>0.2766647586338485</x:v>
      </x:c>
      <x:c r="I309" s="11" t="n">
        <x:v>398</x:v>
      </x:c>
      <x:c r="J309" s="11" t="n">
        <x:v>3952</x:v>
      </x:c>
      <x:c r="K309" s="11" t="n">
        <x:v>4350</x:v>
      </x:c>
      <x:c r="L309" s="11" t="n">
        <x:v>6210</x:v>
      </x:c>
      <x:c r="M309" s="11" t="n">
        <x:v>4350</x:v>
      </x:c>
    </x:row>
    <x:row r="310" ht="23" customHeight="1">
      <x:c r="A310" s="10" t="str">
        <x:v>M11</x:v>
      </x:c>
      <x:c r="B310" s="10" t="str">
        <x:v>branch</x:v>
      </x:c>
      <x:c r="C310" s="10" t="str">
        <x:v>分支贡献</x:v>
      </x:c>
      <x:c r="D310" s="10" t="str">
        <x:v>C_H0</x:v>
      </x:c>
      <x:c r="E310" s="10" t="str">
        <x:v>NC_H0</x:v>
      </x:c>
      <x:c r="F310" s="11" t="n">
        <x:v>15723</x:v>
      </x:c>
      <x:c r="G310" s="11" t="n">
        <x:v>3791</x:v>
      </x:c>
      <x:c r="H310" s="12" t="n">
        <x:f>G310/F310</x:f>
        <x:v>0.2411117471220505</x:v>
      </x:c>
      <x:c r="I310" s="11" t="n">
        <x:v>2699</x:v>
      </x:c>
      <x:c r="J310" s="11" t="n">
        <x:v>1092</x:v>
      </x:c>
      <x:c r="K310" s="11" t="n">
        <x:v>3791</x:v>
      </x:c>
      <x:c r="L310" s="11" t="n">
        <x:v>5267</x:v>
      </x:c>
      <x:c r="M310" s="11" t="n">
        <x:v>3791</x:v>
      </x:c>
    </x:row>
    <x:row r="311" ht="23" customHeight="1">
      <x:c r="A311" s="10" t="str">
        <x:v>M11</x:v>
      </x:c>
      <x:c r="B311" s="10" t="str">
        <x:v>branch</x:v>
      </x:c>
      <x:c r="C311" s="10" t="str">
        <x:v>分支贡献</x:v>
      </x:c>
      <x:c r="D311" s="10" t="str">
        <x:v>N_H0</x:v>
      </x:c>
      <x:c r="E311" s="10" t="str">
        <x:v>NG_H0</x:v>
      </x:c>
      <x:c r="F311" s="11" t="n">
        <x:v>15723</x:v>
      </x:c>
      <x:c r="G311" s="11" t="n">
        <x:v>11138</x:v>
      </x:c>
      <x:c r="H311" s="12" t="n">
        <x:f>G311/F311</x:f>
        <x:v>0.7083889842905298</x:v>
      </x:c>
      <x:c r="I311" s="11" t="n">
        <x:v>88</x:v>
      </x:c>
      <x:c r="J311" s="11" t="n">
        <x:v>11050</x:v>
      </x:c>
      <x:c r="K311" s="11" t="n">
        <x:v>0</x:v>
      </x:c>
      <x:c r="L311" s="11" t="n">
        <x:v>0</x:v>
      </x:c>
      <x:c r="M311" s="11" t="n">
        <x:v>15723</x:v>
      </x:c>
    </x:row>
    <x:row r="312" ht="23" customHeight="1">
      <x:c r="A312" s="10" t="str">
        <x:v>M11</x:v>
      </x:c>
      <x:c r="B312" s="10" t="str">
        <x:v>branch</x:v>
      </x:c>
      <x:c r="C312" s="10" t="str">
        <x:v>分支贡献</x:v>
      </x:c>
      <x:c r="D312" s="10" t="str">
        <x:v>C_H0</x:v>
      </x:c>
      <x:c r="E312" s="10" t="str">
        <x:v>CG_H0</x:v>
      </x:c>
      <x:c r="F312" s="11" t="n">
        <x:v>15723</x:v>
      </x:c>
      <x:c r="G312" s="11" t="n">
        <x:v>12548</x:v>
      </x:c>
      <x:c r="H312" s="12" t="n">
        <x:f>G312/F312</x:f>
        <x:v>0.79806652674426</x:v>
      </x:c>
      <x:c r="I312" s="11" t="n">
        <x:v>1380</x:v>
      </x:c>
      <x:c r="J312" s="11" t="n">
        <x:v>11168</x:v>
      </x:c>
      <x:c r="K312" s="11" t="n">
        <x:v>0</x:v>
      </x:c>
      <x:c r="L312" s="11" t="n">
        <x:v>0</x:v>
      </x:c>
      <x:c r="M312" s="11" t="n">
        <x:v>15723</x:v>
      </x:c>
    </x:row>
    <x:row r="313" ht="23" customHeight="1">
      <x:c r="A313" s="10" t="str">
        <x:v>M11</x:v>
      </x:c>
      <x:c r="B313" s="10" t="str">
        <x:v>branch</x:v>
      </x:c>
      <x:c r="C313" s="10" t="str">
        <x:v>分支贡献</x:v>
      </x:c>
      <x:c r="D313" s="10" t="str">
        <x:v>NC_H0</x:v>
      </x:c>
      <x:c r="E313" s="10" t="str">
        <x:v>NCG_H0</x:v>
      </x:c>
      <x:c r="F313" s="11" t="n">
        <x:v>15723</x:v>
      </x:c>
      <x:c r="G313" s="11" t="n">
        <x:v>12137</x:v>
      </x:c>
      <x:c r="H313" s="12" t="n">
        <x:f>G313/F313</x:f>
        <x:v>0.7719264771354067</x:v>
      </x:c>
      <x:c r="I313" s="11" t="n">
        <x:v>1803</x:v>
      </x:c>
      <x:c r="J313" s="11" t="n">
        <x:v>10334</x:v>
      </x:c>
      <x:c r="K313" s="11" t="n">
        <x:v>0</x:v>
      </x:c>
      <x:c r="L313" s="11" t="n">
        <x:v>0</x:v>
      </x:c>
      <x:c r="M313" s="11" t="n">
        <x:v>15723</x:v>
      </x:c>
    </x:row>
    <x:row r="314" ht="23" customHeight="1">
      <x:c r="A314" s="10" t="str">
        <x:v>M12</x:v>
      </x:c>
      <x:c r="B314" s="10" t="str">
        <x:v>N</x:v>
      </x:c>
      <x:c r="C314" s="10" t="str">
        <x:v>H0至H1</x:v>
      </x:c>
      <x:c r="D314" s="10" t="str">
        <x:v>H0</x:v>
      </x:c>
      <x:c r="E314" s="10" t="str">
        <x:v>H1</x:v>
      </x:c>
      <x:c r="F314" s="11" t="n">
        <x:v>7163</x:v>
      </x:c>
      <x:c r="G314" s="11" t="n">
        <x:v>0</x:v>
      </x:c>
      <x:c r="H314" s="12" t="n">
        <x:f>G314/F314</x:f>
        <x:v>0</x:v>
      </x:c>
      <x:c r="I314" s="11" t="n">
        <x:v>0</x:v>
      </x:c>
      <x:c r="J314" s="11" t="n">
        <x:v>0</x:v>
      </x:c>
      <x:c r="K314" s="11" t="n">
        <x:v>0</x:v>
      </x:c>
      <x:c r="L314" s="11" t="n">
        <x:v>0</x:v>
      </x:c>
      <x:c r="M314" s="11" t="n">
        <x:v>0</x:v>
      </x:c>
    </x:row>
    <x:row r="315" ht="23" customHeight="1">
      <x:c r="A315" s="10" t="str">
        <x:v>M12</x:v>
      </x:c>
      <x:c r="B315" s="10" t="str">
        <x:v>N</x:v>
      </x:c>
      <x:c r="C315" s="10" t="str">
        <x:v>H0至HT</x:v>
      </x:c>
      <x:c r="D315" s="10" t="str">
        <x:v>H0</x:v>
      </x:c>
      <x:c r="E315" s="10" t="str">
        <x:v>HT</x:v>
      </x:c>
      <x:c r="F315" s="11" t="n">
        <x:v>7163</x:v>
      </x:c>
      <x:c r="G315" s="11" t="n">
        <x:v>0</x:v>
      </x:c>
      <x:c r="H315" s="12" t="n">
        <x:f>G315/F315</x:f>
        <x:v>0</x:v>
      </x:c>
      <x:c r="I315" s="11" t="n">
        <x:v>0</x:v>
      </x:c>
      <x:c r="J315" s="11" t="n">
        <x:v>0</x:v>
      </x:c>
      <x:c r="K315" s="11" t="n">
        <x:v>0</x:v>
      </x:c>
      <x:c r="L315" s="11" t="n">
        <x:v>0</x:v>
      </x:c>
      <x:c r="M315" s="11" t="n">
        <x:v>0</x:v>
      </x:c>
    </x:row>
    <x:row r="316" ht="23" customHeight="1">
      <x:c r="A316" s="10" t="str">
        <x:v>M12</x:v>
      </x:c>
      <x:c r="B316" s="10" t="str">
        <x:v>N</x:v>
      </x:c>
      <x:c r="C316" s="10" t="str">
        <x:v>HT至H1</x:v>
      </x:c>
      <x:c r="D316" s="10" t="str">
        <x:v>HT</x:v>
      </x:c>
      <x:c r="E316" s="10" t="str">
        <x:v>H1</x:v>
      </x:c>
      <x:c r="F316" s="11" t="n">
        <x:v>7163</x:v>
      </x:c>
      <x:c r="G316" s="11" t="n">
        <x:v>0</x:v>
      </x:c>
      <x:c r="H316" s="12" t="n">
        <x:f>G316/F316</x:f>
        <x:v>0</x:v>
      </x:c>
      <x:c r="I316" s="11" t="n">
        <x:v>0</x:v>
      </x:c>
      <x:c r="J316" s="11" t="n">
        <x:v>0</x:v>
      </x:c>
      <x:c r="K316" s="11" t="n">
        <x:v>0</x:v>
      </x:c>
      <x:c r="L316" s="11" t="n">
        <x:v>0</x:v>
      </x:c>
      <x:c r="M316" s="11" t="n">
        <x:v>0</x:v>
      </x:c>
    </x:row>
    <x:row r="317" ht="23" customHeight="1">
      <x:c r="A317" s="10" t="str">
        <x:v>M12</x:v>
      </x:c>
      <x:c r="B317" s="10" t="str">
        <x:v>C</x:v>
      </x:c>
      <x:c r="C317" s="10" t="str">
        <x:v>H0至H1</x:v>
      </x:c>
      <x:c r="D317" s="10" t="str">
        <x:v>H0</x:v>
      </x:c>
      <x:c r="E317" s="10" t="str">
        <x:v>H1</x:v>
      </x:c>
      <x:c r="F317" s="11" t="n">
        <x:v>7163</x:v>
      </x:c>
      <x:c r="G317" s="11" t="n">
        <x:v>0</x:v>
      </x:c>
      <x:c r="H317" s="12" t="n">
        <x:f>G317/F317</x:f>
        <x:v>0</x:v>
      </x:c>
      <x:c r="I317" s="11" t="n">
        <x:v>0</x:v>
      </x:c>
      <x:c r="J317" s="11" t="n">
        <x:v>0</x:v>
      </x:c>
      <x:c r="K317" s="11" t="n">
        <x:v>0</x:v>
      </x:c>
      <x:c r="L317" s="11" t="n">
        <x:v>0</x:v>
      </x:c>
      <x:c r="M317" s="11" t="n">
        <x:v>0</x:v>
      </x:c>
    </x:row>
    <x:row r="318" ht="23" customHeight="1">
      <x:c r="A318" s="10" t="str">
        <x:v>M12</x:v>
      </x:c>
      <x:c r="B318" s="10" t="str">
        <x:v>C</x:v>
      </x:c>
      <x:c r="C318" s="10" t="str">
        <x:v>H0至HT</x:v>
      </x:c>
      <x:c r="D318" s="10" t="str">
        <x:v>H0</x:v>
      </x:c>
      <x:c r="E318" s="10" t="str">
        <x:v>HT</x:v>
      </x:c>
      <x:c r="F318" s="11" t="n">
        <x:v>7163</x:v>
      </x:c>
      <x:c r="G318" s="11" t="n">
        <x:v>0</x:v>
      </x:c>
      <x:c r="H318" s="12" t="n">
        <x:f>G318/F318</x:f>
        <x:v>0</x:v>
      </x:c>
      <x:c r="I318" s="11" t="n">
        <x:v>0</x:v>
      </x:c>
      <x:c r="J318" s="11" t="n">
        <x:v>0</x:v>
      </x:c>
      <x:c r="K318" s="11" t="n">
        <x:v>0</x:v>
      </x:c>
      <x:c r="L318" s="11" t="n">
        <x:v>0</x:v>
      </x:c>
      <x:c r="M318" s="11" t="n">
        <x:v>0</x:v>
      </x:c>
    </x:row>
    <x:row r="319" ht="23" customHeight="1">
      <x:c r="A319" s="10" t="str">
        <x:v>M12</x:v>
      </x:c>
      <x:c r="B319" s="10" t="str">
        <x:v>C</x:v>
      </x:c>
      <x:c r="C319" s="10" t="str">
        <x:v>HT至H1</x:v>
      </x:c>
      <x:c r="D319" s="10" t="str">
        <x:v>HT</x:v>
      </x:c>
      <x:c r="E319" s="10" t="str">
        <x:v>H1</x:v>
      </x:c>
      <x:c r="F319" s="11" t="n">
        <x:v>7163</x:v>
      </x:c>
      <x:c r="G319" s="11" t="n">
        <x:v>0</x:v>
      </x:c>
      <x:c r="H319" s="12" t="n">
        <x:f>G319/F319</x:f>
        <x:v>0</x:v>
      </x:c>
      <x:c r="I319" s="11" t="n">
        <x:v>0</x:v>
      </x:c>
      <x:c r="J319" s="11" t="n">
        <x:v>0</x:v>
      </x:c>
      <x:c r="K319" s="11" t="n">
        <x:v>0</x:v>
      </x:c>
      <x:c r="L319" s="11" t="n">
        <x:v>0</x:v>
      </x:c>
      <x:c r="M319" s="11" t="n">
        <x:v>0</x:v>
      </x:c>
    </x:row>
    <x:row r="320" ht="23" customHeight="1">
      <x:c r="A320" s="10" t="str">
        <x:v>M12</x:v>
      </x:c>
      <x:c r="B320" s="10" t="str">
        <x:v>G</x:v>
      </x:c>
      <x:c r="C320" s="10" t="str">
        <x:v>H0至H1</x:v>
      </x:c>
      <x:c r="D320" s="10" t="str">
        <x:v>H0</x:v>
      </x:c>
      <x:c r="E320" s="10" t="str">
        <x:v>H1</x:v>
      </x:c>
      <x:c r="F320" s="11" t="n">
        <x:v>7163</x:v>
      </x:c>
      <x:c r="G320" s="11" t="n">
        <x:v>3822</x:v>
      </x:c>
      <x:c r="H320" s="12" t="n">
        <x:f>G320/F320</x:f>
        <x:v>0.5335753176043557</x:v>
      </x:c>
      <x:c r="I320" s="11" t="n">
        <x:v>3822</x:v>
      </x:c>
      <x:c r="J320" s="11" t="n">
        <x:v>0</x:v>
      </x:c>
      <x:c r="K320" s="11" t="n">
        <x:v>0</x:v>
      </x:c>
      <x:c r="L320" s="11" t="n">
        <x:v>0</x:v>
      </x:c>
      <x:c r="M320" s="11" t="n">
        <x:v>3822</x:v>
      </x:c>
    </x:row>
    <x:row r="321" ht="23" customHeight="1">
      <x:c r="A321" s="10" t="str">
        <x:v>M12</x:v>
      </x:c>
      <x:c r="B321" s="10" t="str">
        <x:v>G</x:v>
      </x:c>
      <x:c r="C321" s="10" t="str">
        <x:v>H0至HT</x:v>
      </x:c>
      <x:c r="D321" s="10" t="str">
        <x:v>H0</x:v>
      </x:c>
      <x:c r="E321" s="10" t="str">
        <x:v>HT</x:v>
      </x:c>
      <x:c r="F321" s="11" t="n">
        <x:v>7163</x:v>
      </x:c>
      <x:c r="G321" s="11" t="n">
        <x:v>3822</x:v>
      </x:c>
      <x:c r="H321" s="12" t="n">
        <x:f>G321/F321</x:f>
        <x:v>0.5335753176043557</x:v>
      </x:c>
      <x:c r="I321" s="11" t="n">
        <x:v>3822</x:v>
      </x:c>
      <x:c r="J321" s="11" t="n">
        <x:v>0</x:v>
      </x:c>
      <x:c r="K321" s="11" t="n">
        <x:v>0</x:v>
      </x:c>
      <x:c r="L321" s="11" t="n">
        <x:v>0</x:v>
      </x:c>
      <x:c r="M321" s="11" t="n">
        <x:v>3822</x:v>
      </x:c>
    </x:row>
    <x:row r="322" ht="23" customHeight="1">
      <x:c r="A322" s="10" t="str">
        <x:v>M12</x:v>
      </x:c>
      <x:c r="B322" s="10" t="str">
        <x:v>G</x:v>
      </x:c>
      <x:c r="C322" s="10" t="str">
        <x:v>HT至H1</x:v>
      </x:c>
      <x:c r="D322" s="10" t="str">
        <x:v>HT</x:v>
      </x:c>
      <x:c r="E322" s="10" t="str">
        <x:v>H1</x:v>
      </x:c>
      <x:c r="F322" s="11" t="n">
        <x:v>7163</x:v>
      </x:c>
      <x:c r="G322" s="11" t="n">
        <x:v>0</x:v>
      </x:c>
      <x:c r="H322" s="12" t="n">
        <x:f>G322/F322</x:f>
        <x:v>0</x:v>
      </x:c>
      <x:c r="I322" s="11" t="n">
        <x:v>0</x:v>
      </x:c>
      <x:c r="J322" s="11" t="n">
        <x:v>0</x:v>
      </x:c>
      <x:c r="K322" s="11" t="n">
        <x:v>0</x:v>
      </x:c>
      <x:c r="L322" s="11" t="n">
        <x:v>0</x:v>
      </x:c>
      <x:c r="M322" s="11" t="n">
        <x:v>0</x:v>
      </x:c>
    </x:row>
    <x:row r="323" ht="23" customHeight="1">
      <x:c r="A323" s="10" t="str">
        <x:v>M12</x:v>
      </x:c>
      <x:c r="B323" s="10" t="str">
        <x:v>NC</x:v>
      </x:c>
      <x:c r="C323" s="10" t="str">
        <x:v>H0至H1</x:v>
      </x:c>
      <x:c r="D323" s="10" t="str">
        <x:v>H0</x:v>
      </x:c>
      <x:c r="E323" s="10" t="str">
        <x:v>H1</x:v>
      </x:c>
      <x:c r="F323" s="11" t="n">
        <x:v>7163</x:v>
      </x:c>
      <x:c r="G323" s="11" t="n">
        <x:v>0</x:v>
      </x:c>
      <x:c r="H323" s="12" t="n">
        <x:f>G323/F323</x:f>
        <x:v>0</x:v>
      </x:c>
      <x:c r="I323" s="11" t="n">
        <x:v>0</x:v>
      </x:c>
      <x:c r="J323" s="11" t="n">
        <x:v>0</x:v>
      </x:c>
      <x:c r="K323" s="11" t="n">
        <x:v>0</x:v>
      </x:c>
      <x:c r="L323" s="11" t="n">
        <x:v>0</x:v>
      </x:c>
      <x:c r="M323" s="11" t="n">
        <x:v>0</x:v>
      </x:c>
    </x:row>
    <x:row r="324" ht="23" customHeight="1">
      <x:c r="A324" s="10" t="str">
        <x:v>M12</x:v>
      </x:c>
      <x:c r="B324" s="10" t="str">
        <x:v>NC</x:v>
      </x:c>
      <x:c r="C324" s="10" t="str">
        <x:v>H0至HT</x:v>
      </x:c>
      <x:c r="D324" s="10" t="str">
        <x:v>H0</x:v>
      </x:c>
      <x:c r="E324" s="10" t="str">
        <x:v>HT</x:v>
      </x:c>
      <x:c r="F324" s="11" t="n">
        <x:v>7163</x:v>
      </x:c>
      <x:c r="G324" s="11" t="n">
        <x:v>0</x:v>
      </x:c>
      <x:c r="H324" s="12" t="n">
        <x:f>G324/F324</x:f>
        <x:v>0</x:v>
      </x:c>
      <x:c r="I324" s="11" t="n">
        <x:v>0</x:v>
      </x:c>
      <x:c r="J324" s="11" t="n">
        <x:v>0</x:v>
      </x:c>
      <x:c r="K324" s="11" t="n">
        <x:v>0</x:v>
      </x:c>
      <x:c r="L324" s="11" t="n">
        <x:v>0</x:v>
      </x:c>
      <x:c r="M324" s="11" t="n">
        <x:v>0</x:v>
      </x:c>
    </x:row>
    <x:row r="325" ht="23" customHeight="1">
      <x:c r="A325" s="10" t="str">
        <x:v>M12</x:v>
      </x:c>
      <x:c r="B325" s="10" t="str">
        <x:v>NC</x:v>
      </x:c>
      <x:c r="C325" s="10" t="str">
        <x:v>HT至H1</x:v>
      </x:c>
      <x:c r="D325" s="10" t="str">
        <x:v>HT</x:v>
      </x:c>
      <x:c r="E325" s="10" t="str">
        <x:v>H1</x:v>
      </x:c>
      <x:c r="F325" s="11" t="n">
        <x:v>7163</x:v>
      </x:c>
      <x:c r="G325" s="11" t="n">
        <x:v>0</x:v>
      </x:c>
      <x:c r="H325" s="12" t="n">
        <x:f>G325/F325</x:f>
        <x:v>0</x:v>
      </x:c>
      <x:c r="I325" s="11" t="n">
        <x:v>0</x:v>
      </x:c>
      <x:c r="J325" s="11" t="n">
        <x:v>0</x:v>
      </x:c>
      <x:c r="K325" s="11" t="n">
        <x:v>0</x:v>
      </x:c>
      <x:c r="L325" s="11" t="n">
        <x:v>0</x:v>
      </x:c>
      <x:c r="M325" s="11" t="n">
        <x:v>0</x:v>
      </x:c>
    </x:row>
    <x:row r="326" ht="23" customHeight="1">
      <x:c r="A326" s="10" t="str">
        <x:v>M12</x:v>
      </x:c>
      <x:c r="B326" s="10" t="str">
        <x:v>NG</x:v>
      </x:c>
      <x:c r="C326" s="10" t="str">
        <x:v>H0至H1</x:v>
      </x:c>
      <x:c r="D326" s="10" t="str">
        <x:v>H0</x:v>
      </x:c>
      <x:c r="E326" s="10" t="str">
        <x:v>H1</x:v>
      </x:c>
      <x:c r="F326" s="11" t="n">
        <x:v>7163</x:v>
      </x:c>
      <x:c r="G326" s="11" t="n">
        <x:v>2941</x:v>
      </x:c>
      <x:c r="H326" s="12" t="n">
        <x:f>G326/F326</x:f>
        <x:v>0.41058215831355577</x:v>
      </x:c>
      <x:c r="I326" s="11" t="n">
        <x:v>2941</x:v>
      </x:c>
      <x:c r="J326" s="11" t="n">
        <x:v>0</x:v>
      </x:c>
      <x:c r="K326" s="11" t="n">
        <x:v>0</x:v>
      </x:c>
      <x:c r="L326" s="11" t="n">
        <x:v>0</x:v>
      </x:c>
      <x:c r="M326" s="11" t="n">
        <x:v>2941</x:v>
      </x:c>
    </x:row>
    <x:row r="327" ht="23" customHeight="1">
      <x:c r="A327" s="10" t="str">
        <x:v>M12</x:v>
      </x:c>
      <x:c r="B327" s="10" t="str">
        <x:v>NG</x:v>
      </x:c>
      <x:c r="C327" s="10" t="str">
        <x:v>H0至HT</x:v>
      </x:c>
      <x:c r="D327" s="10" t="str">
        <x:v>H0</x:v>
      </x:c>
      <x:c r="E327" s="10" t="str">
        <x:v>HT</x:v>
      </x:c>
      <x:c r="F327" s="11" t="n">
        <x:v>7163</x:v>
      </x:c>
      <x:c r="G327" s="11" t="n">
        <x:v>2941</x:v>
      </x:c>
      <x:c r="H327" s="12" t="n">
        <x:f>G327/F327</x:f>
        <x:v>0.41058215831355577</x:v>
      </x:c>
      <x:c r="I327" s="11" t="n">
        <x:v>2941</x:v>
      </x:c>
      <x:c r="J327" s="11" t="n">
        <x:v>0</x:v>
      </x:c>
      <x:c r="K327" s="11" t="n">
        <x:v>0</x:v>
      </x:c>
      <x:c r="L327" s="11" t="n">
        <x:v>0</x:v>
      </x:c>
      <x:c r="M327" s="11" t="n">
        <x:v>2941</x:v>
      </x:c>
    </x:row>
    <x:row r="328" ht="23" customHeight="1">
      <x:c r="A328" s="10" t="str">
        <x:v>M12</x:v>
      </x:c>
      <x:c r="B328" s="10" t="str">
        <x:v>NG</x:v>
      </x:c>
      <x:c r="C328" s="10" t="str">
        <x:v>HT至H1</x:v>
      </x:c>
      <x:c r="D328" s="10" t="str">
        <x:v>HT</x:v>
      </x:c>
      <x:c r="E328" s="10" t="str">
        <x:v>H1</x:v>
      </x:c>
      <x:c r="F328" s="11" t="n">
        <x:v>7163</x:v>
      </x:c>
      <x:c r="G328" s="11" t="n">
        <x:v>0</x:v>
      </x:c>
      <x:c r="H328" s="12" t="n">
        <x:f>G328/F328</x:f>
        <x:v>0</x:v>
      </x:c>
      <x:c r="I328" s="11" t="n">
        <x:v>0</x:v>
      </x:c>
      <x:c r="J328" s="11" t="n">
        <x:v>0</x:v>
      </x:c>
      <x:c r="K328" s="11" t="n">
        <x:v>0</x:v>
      </x:c>
      <x:c r="L328" s="11" t="n">
        <x:v>0</x:v>
      </x:c>
      <x:c r="M328" s="11" t="n">
        <x:v>0</x:v>
      </x:c>
    </x:row>
    <x:row r="329" ht="23" customHeight="1">
      <x:c r="A329" s="10" t="str">
        <x:v>M12</x:v>
      </x:c>
      <x:c r="B329" s="10" t="str">
        <x:v>CG</x:v>
      </x:c>
      <x:c r="C329" s="10" t="str">
        <x:v>H0至H1</x:v>
      </x:c>
      <x:c r="D329" s="10" t="str">
        <x:v>H0</x:v>
      </x:c>
      <x:c r="E329" s="10" t="str">
        <x:v>H1</x:v>
      </x:c>
      <x:c r="F329" s="11" t="n">
        <x:v>7163</x:v>
      </x:c>
      <x:c r="G329" s="11" t="n">
        <x:v>3458</x:v>
      </x:c>
      <x:c r="H329" s="12" t="n">
        <x:f>G329/F329</x:f>
        <x:v>0.4827586206896552</x:v>
      </x:c>
      <x:c r="I329" s="11" t="n">
        <x:v>3458</x:v>
      </x:c>
      <x:c r="J329" s="11" t="n">
        <x:v>0</x:v>
      </x:c>
      <x:c r="K329" s="11" t="n">
        <x:v>0</x:v>
      </x:c>
      <x:c r="L329" s="11" t="n">
        <x:v>0</x:v>
      </x:c>
      <x:c r="M329" s="11" t="n">
        <x:v>3458</x:v>
      </x:c>
    </x:row>
    <x:row r="330" ht="23" customHeight="1">
      <x:c r="A330" s="10" t="str">
        <x:v>M12</x:v>
      </x:c>
      <x:c r="B330" s="10" t="str">
        <x:v>CG</x:v>
      </x:c>
      <x:c r="C330" s="10" t="str">
        <x:v>H0至HT</x:v>
      </x:c>
      <x:c r="D330" s="10" t="str">
        <x:v>H0</x:v>
      </x:c>
      <x:c r="E330" s="10" t="str">
        <x:v>HT</x:v>
      </x:c>
      <x:c r="F330" s="11" t="n">
        <x:v>7163</x:v>
      </x:c>
      <x:c r="G330" s="11" t="n">
        <x:v>3458</x:v>
      </x:c>
      <x:c r="H330" s="12" t="n">
        <x:f>G330/F330</x:f>
        <x:v>0.4827586206896552</x:v>
      </x:c>
      <x:c r="I330" s="11" t="n">
        <x:v>3458</x:v>
      </x:c>
      <x:c r="J330" s="11" t="n">
        <x:v>0</x:v>
      </x:c>
      <x:c r="K330" s="11" t="n">
        <x:v>0</x:v>
      </x:c>
      <x:c r="L330" s="11" t="n">
        <x:v>0</x:v>
      </x:c>
      <x:c r="M330" s="11" t="n">
        <x:v>3458</x:v>
      </x:c>
    </x:row>
    <x:row r="331" ht="23" customHeight="1">
      <x:c r="A331" s="10" t="str">
        <x:v>M12</x:v>
      </x:c>
      <x:c r="B331" s="10" t="str">
        <x:v>CG</x:v>
      </x:c>
      <x:c r="C331" s="10" t="str">
        <x:v>HT至H1</x:v>
      </x:c>
      <x:c r="D331" s="10" t="str">
        <x:v>HT</x:v>
      </x:c>
      <x:c r="E331" s="10" t="str">
        <x:v>H1</x:v>
      </x:c>
      <x:c r="F331" s="11" t="n">
        <x:v>7163</x:v>
      </x:c>
      <x:c r="G331" s="11" t="n">
        <x:v>0</x:v>
      </x:c>
      <x:c r="H331" s="12" t="n">
        <x:f>G331/F331</x:f>
        <x:v>0</x:v>
      </x:c>
      <x:c r="I331" s="11" t="n">
        <x:v>0</x:v>
      </x:c>
      <x:c r="J331" s="11" t="n">
        <x:v>0</x:v>
      </x:c>
      <x:c r="K331" s="11" t="n">
        <x:v>0</x:v>
      </x:c>
      <x:c r="L331" s="11" t="n">
        <x:v>0</x:v>
      </x:c>
      <x:c r="M331" s="11" t="n">
        <x:v>0</x:v>
      </x:c>
    </x:row>
    <x:row r="332" ht="23" customHeight="1">
      <x:c r="A332" s="10" t="str">
        <x:v>M12</x:v>
      </x:c>
      <x:c r="B332" s="10" t="str">
        <x:v>NCG</x:v>
      </x:c>
      <x:c r="C332" s="10" t="str">
        <x:v>H0至H1</x:v>
      </x:c>
      <x:c r="D332" s="10" t="str">
        <x:v>H0</x:v>
      </x:c>
      <x:c r="E332" s="10" t="str">
        <x:v>H1</x:v>
      </x:c>
      <x:c r="F332" s="11" t="n">
        <x:v>7163</x:v>
      </x:c>
      <x:c r="G332" s="11" t="n">
        <x:v>2484</x:v>
      </x:c>
      <x:c r="H332" s="12" t="n">
        <x:f>G332/F332</x:f>
        <x:v>0.34678207454976967</x:v>
      </x:c>
      <x:c r="I332" s="11" t="n">
        <x:v>2484</x:v>
      </x:c>
      <x:c r="J332" s="11" t="n">
        <x:v>0</x:v>
      </x:c>
      <x:c r="K332" s="11" t="n">
        <x:v>0</x:v>
      </x:c>
      <x:c r="L332" s="11" t="n">
        <x:v>0</x:v>
      </x:c>
      <x:c r="M332" s="11" t="n">
        <x:v>2484</x:v>
      </x:c>
    </x:row>
    <x:row r="333" ht="23" customHeight="1">
      <x:c r="A333" s="10" t="str">
        <x:v>M12</x:v>
      </x:c>
      <x:c r="B333" s="10" t="str">
        <x:v>NCG</x:v>
      </x:c>
      <x:c r="C333" s="10" t="str">
        <x:v>H0至HT</x:v>
      </x:c>
      <x:c r="D333" s="10" t="str">
        <x:v>H0</x:v>
      </x:c>
      <x:c r="E333" s="10" t="str">
        <x:v>HT</x:v>
      </x:c>
      <x:c r="F333" s="11" t="n">
        <x:v>7163</x:v>
      </x:c>
      <x:c r="G333" s="11" t="n">
        <x:v>2484</x:v>
      </x:c>
      <x:c r="H333" s="12" t="n">
        <x:f>G333/F333</x:f>
        <x:v>0.34678207454976967</x:v>
      </x:c>
      <x:c r="I333" s="11" t="n">
        <x:v>2484</x:v>
      </x:c>
      <x:c r="J333" s="11" t="n">
        <x:v>0</x:v>
      </x:c>
      <x:c r="K333" s="11" t="n">
        <x:v>0</x:v>
      </x:c>
      <x:c r="L333" s="11" t="n">
        <x:v>0</x:v>
      </x:c>
      <x:c r="M333" s="11" t="n">
        <x:v>2484</x:v>
      </x:c>
    </x:row>
    <x:row r="334" ht="23" customHeight="1">
      <x:c r="A334" s="10" t="str">
        <x:v>M12</x:v>
      </x:c>
      <x:c r="B334" s="10" t="str">
        <x:v>NCG</x:v>
      </x:c>
      <x:c r="C334" s="10" t="str">
        <x:v>HT至H1</x:v>
      </x:c>
      <x:c r="D334" s="10" t="str">
        <x:v>HT</x:v>
      </x:c>
      <x:c r="E334" s="10" t="str">
        <x:v>H1</x:v>
      </x:c>
      <x:c r="F334" s="11" t="n">
        <x:v>7163</x:v>
      </x:c>
      <x:c r="G334" s="11" t="n">
        <x:v>0</x:v>
      </x:c>
      <x:c r="H334" s="12" t="n">
        <x:f>G334/F334</x:f>
        <x:v>0</x:v>
      </x:c>
      <x:c r="I334" s="11" t="n">
        <x:v>0</x:v>
      </x:c>
      <x:c r="J334" s="11" t="n">
        <x:v>0</x:v>
      </x:c>
      <x:c r="K334" s="11" t="n">
        <x:v>0</x:v>
      </x:c>
      <x:c r="L334" s="11" t="n">
        <x:v>0</x:v>
      </x:c>
      <x:c r="M334" s="11" t="n">
        <x:v>0</x:v>
      </x:c>
    </x:row>
    <x:row r="335" ht="23" customHeight="1">
      <x:c r="A335" s="10" t="str">
        <x:v>M12</x:v>
      </x:c>
      <x:c r="B335" s="10" t="str">
        <x:v>NCG</x:v>
      </x:c>
      <x:c r="C335" s="10" t="str">
        <x:v>叶名称辅助</x:v>
      </x:c>
      <x:c r="D335" s="10" t="str">
        <x:v>NCG_H0</x:v>
      </x:c>
      <x:c r="E335" s="10" t="str">
        <x:v>NCG_H0_M1</x:v>
      </x:c>
      <x:c r="F335" s="11" t="n">
        <x:v>7163</x:v>
      </x:c>
      <x:c r="G335" s="11" t="n">
        <x:v>192</x:v>
      </x:c>
      <x:c r="H335" s="12" t="n">
        <x:f>G335/F335</x:f>
        <x:v>0.026804411559402486</x:v>
      </x:c>
      <x:c r="I335" s="11" t="n">
        <x:v>179</x:v>
      </x:c>
      <x:c r="J335" s="11" t="n">
        <x:v>13</x:v>
      </x:c>
      <x:c r="K335" s="11" t="n">
        <x:v>264</x:v>
      </x:c>
      <x:c r="L335" s="11" t="n">
        <x:v>340</x:v>
      </x:c>
      <x:c r="M335" s="11" t="n">
        <x:v>192</x:v>
      </x:c>
    </x:row>
    <x:row r="336" ht="23" customHeight="1">
      <x:c r="A336" s="10" t="str">
        <x:v>M12</x:v>
      </x:c>
      <x:c r="B336" s="10" t="str">
        <x:v>NCG</x:v>
      </x:c>
      <x:c r="C336" s="10" t="str">
        <x:v>叶名称辅助</x:v>
      </x:c>
      <x:c r="D336" s="10" t="str">
        <x:v>NCG_H1</x:v>
      </x:c>
      <x:c r="E336" s="10" t="str">
        <x:v>NCG_H1_M1</x:v>
      </x:c>
      <x:c r="F336" s="11" t="n">
        <x:v>7163</x:v>
      </x:c>
      <x:c r="G336" s="11" t="n">
        <x:v>192</x:v>
      </x:c>
      <x:c r="H336" s="12" t="n">
        <x:f>G336/F336</x:f>
        <x:v>0.026804411559402486</x:v>
      </x:c>
      <x:c r="I336" s="11" t="n">
        <x:v>179</x:v>
      </x:c>
      <x:c r="J336" s="11" t="n">
        <x:v>13</x:v>
      </x:c>
      <x:c r="K336" s="11" t="n">
        <x:v>264</x:v>
      </x:c>
      <x:c r="L336" s="11" t="n">
        <x:v>340</x:v>
      </x:c>
      <x:c r="M336" s="11" t="n">
        <x:v>192</x:v>
      </x:c>
    </x:row>
    <x:row r="337" ht="23" customHeight="1">
      <x:c r="A337" s="10" t="str">
        <x:v>M12</x:v>
      </x:c>
      <x:c r="B337" s="10" t="str">
        <x:v>branch</x:v>
      </x:c>
      <x:c r="C337" s="10" t="str">
        <x:v>分支贡献</x:v>
      </x:c>
      <x:c r="D337" s="10" t="str">
        <x:v>N_H0</x:v>
      </x:c>
      <x:c r="E337" s="10" t="str">
        <x:v>NC_H0</x:v>
      </x:c>
      <x:c r="F337" s="11" t="n">
        <x:v>7163</x:v>
      </x:c>
      <x:c r="G337" s="11" t="n">
        <x:v>1890</x:v>
      </x:c>
      <x:c r="H337" s="12" t="n">
        <x:f>G337/F337</x:f>
        <x:v>0.2638559262878682</x:v>
      </x:c>
      <x:c r="I337" s="11" t="n">
        <x:v>452</x:v>
      </x:c>
      <x:c r="J337" s="11" t="n">
        <x:v>1438</x:v>
      </x:c>
      <x:c r="K337" s="11" t="n">
        <x:v>1890</x:v>
      </x:c>
      <x:c r="L337" s="11" t="n">
        <x:v>3002</x:v>
      </x:c>
      <x:c r="M337" s="11" t="n">
        <x:v>1890</x:v>
      </x:c>
    </x:row>
    <x:row r="338" ht="23" customHeight="1">
      <x:c r="A338" s="10" t="str">
        <x:v>M12</x:v>
      </x:c>
      <x:c r="B338" s="10" t="str">
        <x:v>branch</x:v>
      </x:c>
      <x:c r="C338" s="10" t="str">
        <x:v>分支贡献</x:v>
      </x:c>
      <x:c r="D338" s="10" t="str">
        <x:v>C_H0</x:v>
      </x:c>
      <x:c r="E338" s="10" t="str">
        <x:v>NC_H0</x:v>
      </x:c>
      <x:c r="F338" s="11" t="n">
        <x:v>7163</x:v>
      </x:c>
      <x:c r="G338" s="11" t="n">
        <x:v>1279</x:v>
      </x:c>
      <x:c r="H338" s="12" t="n">
        <x:f>G338/F338</x:f>
        <x:v>0.17855647075247802</x:v>
      </x:c>
      <x:c r="I338" s="11" t="n">
        <x:v>440</x:v>
      </x:c>
      <x:c r="J338" s="11" t="n">
        <x:v>839</x:v>
      </x:c>
      <x:c r="K338" s="11" t="n">
        <x:v>1279</x:v>
      </x:c>
      <x:c r="L338" s="11" t="n">
        <x:v>1864</x:v>
      </x:c>
      <x:c r="M338" s="11" t="n">
        <x:v>1279</x:v>
      </x:c>
    </x:row>
    <x:row r="339" ht="23" customHeight="1">
      <x:c r="A339" s="10" t="str">
        <x:v>M12</x:v>
      </x:c>
      <x:c r="B339" s="10" t="str">
        <x:v>branch</x:v>
      </x:c>
      <x:c r="C339" s="10" t="str">
        <x:v>分支贡献</x:v>
      </x:c>
      <x:c r="D339" s="10" t="str">
        <x:v>N_H0</x:v>
      </x:c>
      <x:c r="E339" s="10" t="str">
        <x:v>NG_H0</x:v>
      </x:c>
      <x:c r="F339" s="11" t="n">
        <x:v>7163</x:v>
      </x:c>
      <x:c r="G339" s="11" t="n">
        <x:v>5119</x:v>
      </x:c>
      <x:c r="H339" s="12" t="n">
        <x:f>G339/F339</x:f>
        <x:v>0.7146447019405278</x:v>
      </x:c>
      <x:c r="I339" s="11" t="n">
        <x:v>47</x:v>
      </x:c>
      <x:c r="J339" s="11" t="n">
        <x:v>5072</x:v>
      </x:c>
      <x:c r="K339" s="11" t="n">
        <x:v>0</x:v>
      </x:c>
      <x:c r="L339" s="11" t="n">
        <x:v>0</x:v>
      </x:c>
      <x:c r="M339" s="11" t="n">
        <x:v>7163</x:v>
      </x:c>
    </x:row>
    <x:row r="340" ht="23" customHeight="1">
      <x:c r="A340" s="10" t="str">
        <x:v>M12</x:v>
      </x:c>
      <x:c r="B340" s="10" t="str">
        <x:v>branch</x:v>
      </x:c>
      <x:c r="C340" s="10" t="str">
        <x:v>分支贡献</x:v>
      </x:c>
      <x:c r="D340" s="10" t="str">
        <x:v>C_H0</x:v>
      </x:c>
      <x:c r="E340" s="10" t="str">
        <x:v>CG_H0</x:v>
      </x:c>
      <x:c r="F340" s="11" t="n">
        <x:v>7163</x:v>
      </x:c>
      <x:c r="G340" s="11" t="n">
        <x:v>5746</x:v>
      </x:c>
      <x:c r="H340" s="12" t="n">
        <x:f>G340/F340</x:f>
        <x:v>0.8021778584392014</x:v>
      </x:c>
      <x:c r="I340" s="11" t="n">
        <x:v>322</x:v>
      </x:c>
      <x:c r="J340" s="11" t="n">
        <x:v>5424</x:v>
      </x:c>
      <x:c r="K340" s="11" t="n">
        <x:v>0</x:v>
      </x:c>
      <x:c r="L340" s="11" t="n">
        <x:v>0</x:v>
      </x:c>
      <x:c r="M340" s="11" t="n">
        <x:v>7163</x:v>
      </x:c>
    </x:row>
    <x:row r="341" ht="23" customHeight="1">
      <x:c r="A341" s="10" t="str">
        <x:v>M12</x:v>
      </x:c>
      <x:c r="B341" s="10" t="str">
        <x:v>branch</x:v>
      </x:c>
      <x:c r="C341" s="10" t="str">
        <x:v>分支贡献</x:v>
      </x:c>
      <x:c r="D341" s="10" t="str">
        <x:v>NC_H0</x:v>
      </x:c>
      <x:c r="E341" s="10" t="str">
        <x:v>NCG_H0</x:v>
      </x:c>
      <x:c r="F341" s="11" t="n">
        <x:v>7163</x:v>
      </x:c>
      <x:c r="G341" s="11" t="n">
        <x:v>4691</x:v>
      </x:c>
      <x:c r="H341" s="12" t="n">
        <x:f>G341/F341</x:f>
        <x:v>0.654893201172693</x:v>
      </x:c>
      <x:c r="I341" s="11" t="n">
        <x:v>433</x:v>
      </x:c>
      <x:c r="J341" s="11" t="n">
        <x:v>4258</x:v>
      </x:c>
      <x:c r="K341" s="11" t="n">
        <x:v>0</x:v>
      </x:c>
      <x:c r="L341" s="11" t="n">
        <x:v>0</x:v>
      </x:c>
      <x:c r="M341" s="11" t="n">
        <x:v>7163</x:v>
      </x:c>
    </x:row>
    <x:row r="342" ht="23" customHeight="1">
      <x:c r="A342" s="10" t="str">
        <x:v>M13</x:v>
      </x:c>
      <x:c r="B342" s="10" t="str">
        <x:v>N</x:v>
      </x:c>
      <x:c r="C342" s="10" t="str">
        <x:v>H0至H1</x:v>
      </x:c>
      <x:c r="D342" s="10" t="str">
        <x:v>H0</x:v>
      </x:c>
      <x:c r="E342" s="10" t="str">
        <x:v>H1</x:v>
      </x:c>
      <x:c r="F342" s="11" t="n">
        <x:v>15968</x:v>
      </x:c>
      <x:c r="G342" s="11" t="n">
        <x:v>177</x:v>
      </x:c>
      <x:c r="H342" s="12" t="n">
        <x:f>G342/F342</x:f>
        <x:v>0.011084669338677355</x:v>
      </x:c>
      <x:c r="I342" s="11" t="n">
        <x:v>177</x:v>
      </x:c>
      <x:c r="J342" s="11" t="n">
        <x:v>0</x:v>
      </x:c>
      <x:c r="K342" s="11" t="n">
        <x:v>177</x:v>
      </x:c>
      <x:c r="L342" s="11" t="n">
        <x:v>0</x:v>
      </x:c>
      <x:c r="M342" s="11" t="n">
        <x:v>177</x:v>
      </x:c>
    </x:row>
    <x:row r="343" ht="23" customHeight="1">
      <x:c r="A343" s="10" t="str">
        <x:v>M13</x:v>
      </x:c>
      <x:c r="B343" s="10" t="str">
        <x:v>N</x:v>
      </x:c>
      <x:c r="C343" s="10" t="str">
        <x:v>H0至HT</x:v>
      </x:c>
      <x:c r="D343" s="10" t="str">
        <x:v>H0</x:v>
      </x:c>
      <x:c r="E343" s="10" t="str">
        <x:v>HT</x:v>
      </x:c>
      <x:c r="F343" s="11" t="n">
        <x:v>15968</x:v>
      </x:c>
      <x:c r="G343" s="11" t="n">
        <x:v>0</x:v>
      </x:c>
      <x:c r="H343" s="12" t="n">
        <x:f>G343/F343</x:f>
        <x:v>0</x:v>
      </x:c>
      <x:c r="I343" s="11" t="n">
        <x:v>0</x:v>
      </x:c>
      <x:c r="J343" s="11" t="n">
        <x:v>0</x:v>
      </x:c>
      <x:c r="K343" s="11" t="n">
        <x:v>0</x:v>
      </x:c>
      <x:c r="L343" s="11" t="n">
        <x:v>0</x:v>
      </x:c>
      <x:c r="M343" s="11" t="n">
        <x:v>0</x:v>
      </x:c>
    </x:row>
    <x:row r="344" ht="23" customHeight="1">
      <x:c r="A344" s="10" t="str">
        <x:v>M13</x:v>
      </x:c>
      <x:c r="B344" s="10" t="str">
        <x:v>N</x:v>
      </x:c>
      <x:c r="C344" s="10" t="str">
        <x:v>HT至H1</x:v>
      </x:c>
      <x:c r="D344" s="10" t="str">
        <x:v>HT</x:v>
      </x:c>
      <x:c r="E344" s="10" t="str">
        <x:v>H1</x:v>
      </x:c>
      <x:c r="F344" s="11" t="n">
        <x:v>15968</x:v>
      </x:c>
      <x:c r="G344" s="11" t="n">
        <x:v>177</x:v>
      </x:c>
      <x:c r="H344" s="12" t="n">
        <x:f>G344/F344</x:f>
        <x:v>0.011084669338677355</x:v>
      </x:c>
      <x:c r="I344" s="11" t="n">
        <x:v>177</x:v>
      </x:c>
      <x:c r="J344" s="11" t="n">
        <x:v>0</x:v>
      </x:c>
      <x:c r="K344" s="11" t="n">
        <x:v>177</x:v>
      </x:c>
      <x:c r="L344" s="11" t="n">
        <x:v>0</x:v>
      </x:c>
      <x:c r="M344" s="11" t="n">
        <x:v>177</x:v>
      </x:c>
    </x:row>
    <x:row r="345" ht="23" customHeight="1">
      <x:c r="A345" s="10" t="str">
        <x:v>M13</x:v>
      </x:c>
      <x:c r="B345" s="10" t="str">
        <x:v>C</x:v>
      </x:c>
      <x:c r="C345" s="10" t="str">
        <x:v>H0至H1</x:v>
      </x:c>
      <x:c r="D345" s="10" t="str">
        <x:v>H0</x:v>
      </x:c>
      <x:c r="E345" s="10" t="str">
        <x:v>H1</x:v>
      </x:c>
      <x:c r="F345" s="11" t="n">
        <x:v>15968</x:v>
      </x:c>
      <x:c r="G345" s="11" t="n">
        <x:v>40</x:v>
      </x:c>
      <x:c r="H345" s="12" t="n">
        <x:f>G345/F345</x:f>
        <x:v>0.00250501002004008</x:v>
      </x:c>
      <x:c r="I345" s="11" t="n">
        <x:v>40</x:v>
      </x:c>
      <x:c r="J345" s="11" t="n">
        <x:v>0</x:v>
      </x:c>
      <x:c r="K345" s="11" t="n">
        <x:v>40</x:v>
      </x:c>
      <x:c r="L345" s="11" t="n">
        <x:v>0</x:v>
      </x:c>
      <x:c r="M345" s="11" t="n">
        <x:v>40</x:v>
      </x:c>
    </x:row>
    <x:row r="346" ht="23" customHeight="1">
      <x:c r="A346" s="10" t="str">
        <x:v>M13</x:v>
      </x:c>
      <x:c r="B346" s="10" t="str">
        <x:v>C</x:v>
      </x:c>
      <x:c r="C346" s="10" t="str">
        <x:v>H0至HT</x:v>
      </x:c>
      <x:c r="D346" s="10" t="str">
        <x:v>H0</x:v>
      </x:c>
      <x:c r="E346" s="10" t="str">
        <x:v>HT</x:v>
      </x:c>
      <x:c r="F346" s="11" t="n">
        <x:v>15968</x:v>
      </x:c>
      <x:c r="G346" s="11" t="n">
        <x:v>0</x:v>
      </x:c>
      <x:c r="H346" s="12" t="n">
        <x:f>G346/F346</x:f>
        <x:v>0</x:v>
      </x:c>
      <x:c r="I346" s="11" t="n">
        <x:v>0</x:v>
      </x:c>
      <x:c r="J346" s="11" t="n">
        <x:v>0</x:v>
      </x:c>
      <x:c r="K346" s="11" t="n">
        <x:v>0</x:v>
      </x:c>
      <x:c r="L346" s="11" t="n">
        <x:v>0</x:v>
      </x:c>
      <x:c r="M346" s="11" t="n">
        <x:v>0</x:v>
      </x:c>
    </x:row>
    <x:row r="347" ht="23" customHeight="1">
      <x:c r="A347" s="10" t="str">
        <x:v>M13</x:v>
      </x:c>
      <x:c r="B347" s="10" t="str">
        <x:v>C</x:v>
      </x:c>
      <x:c r="C347" s="10" t="str">
        <x:v>HT至H1</x:v>
      </x:c>
      <x:c r="D347" s="10" t="str">
        <x:v>HT</x:v>
      </x:c>
      <x:c r="E347" s="10" t="str">
        <x:v>H1</x:v>
      </x:c>
      <x:c r="F347" s="11" t="n">
        <x:v>15968</x:v>
      </x:c>
      <x:c r="G347" s="11" t="n">
        <x:v>40</x:v>
      </x:c>
      <x:c r="H347" s="12" t="n">
        <x:f>G347/F347</x:f>
        <x:v>0.00250501002004008</x:v>
      </x:c>
      <x:c r="I347" s="11" t="n">
        <x:v>40</x:v>
      </x:c>
      <x:c r="J347" s="11" t="n">
        <x:v>0</x:v>
      </x:c>
      <x:c r="K347" s="11" t="n">
        <x:v>40</x:v>
      </x:c>
      <x:c r="L347" s="11" t="n">
        <x:v>0</x:v>
      </x:c>
      <x:c r="M347" s="11" t="n">
        <x:v>40</x:v>
      </x:c>
    </x:row>
    <x:row r="348" ht="23" customHeight="1">
      <x:c r="A348" s="10" t="str">
        <x:v>M13</x:v>
      </x:c>
      <x:c r="B348" s="10" t="str">
        <x:v>G</x:v>
      </x:c>
      <x:c r="C348" s="10" t="str">
        <x:v>H0至H1</x:v>
      </x:c>
      <x:c r="D348" s="10" t="str">
        <x:v>H0</x:v>
      </x:c>
      <x:c r="E348" s="10" t="str">
        <x:v>H1</x:v>
      </x:c>
      <x:c r="F348" s="11" t="n">
        <x:v>15968</x:v>
      </x:c>
      <x:c r="G348" s="11" t="n">
        <x:v>3674</x:v>
      </x:c>
      <x:c r="H348" s="12" t="n">
        <x:f>G348/F348</x:f>
        <x:v>0.23008517034068135</x:v>
      </x:c>
      <x:c r="I348" s="11" t="n">
        <x:v>3674</x:v>
      </x:c>
      <x:c r="J348" s="11" t="n">
        <x:v>0</x:v>
      </x:c>
      <x:c r="K348" s="11" t="n">
        <x:v>0</x:v>
      </x:c>
      <x:c r="L348" s="11" t="n">
        <x:v>0</x:v>
      </x:c>
      <x:c r="M348" s="11" t="n">
        <x:v>3674</x:v>
      </x:c>
    </x:row>
    <x:row r="349" ht="23" customHeight="1">
      <x:c r="A349" s="10" t="str">
        <x:v>M13</x:v>
      </x:c>
      <x:c r="B349" s="10" t="str">
        <x:v>G</x:v>
      </x:c>
      <x:c r="C349" s="10" t="str">
        <x:v>H0至HT</x:v>
      </x:c>
      <x:c r="D349" s="10" t="str">
        <x:v>H0</x:v>
      </x:c>
      <x:c r="E349" s="10" t="str">
        <x:v>HT</x:v>
      </x:c>
      <x:c r="F349" s="11" t="n">
        <x:v>15968</x:v>
      </x:c>
      <x:c r="G349" s="11" t="n">
        <x:v>3674</x:v>
      </x:c>
      <x:c r="H349" s="12" t="n">
        <x:f>G349/F349</x:f>
        <x:v>0.23008517034068135</x:v>
      </x:c>
      <x:c r="I349" s="11" t="n">
        <x:v>3674</x:v>
      </x:c>
      <x:c r="J349" s="11" t="n">
        <x:v>0</x:v>
      </x:c>
      <x:c r="K349" s="11" t="n">
        <x:v>0</x:v>
      </x:c>
      <x:c r="L349" s="11" t="n">
        <x:v>0</x:v>
      </x:c>
      <x:c r="M349" s="11" t="n">
        <x:v>3674</x:v>
      </x:c>
    </x:row>
    <x:row r="350" ht="23" customHeight="1">
      <x:c r="A350" s="10" t="str">
        <x:v>M13</x:v>
      </x:c>
      <x:c r="B350" s="10" t="str">
        <x:v>G</x:v>
      </x:c>
      <x:c r="C350" s="10" t="str">
        <x:v>HT至H1</x:v>
      </x:c>
      <x:c r="D350" s="10" t="str">
        <x:v>HT</x:v>
      </x:c>
      <x:c r="E350" s="10" t="str">
        <x:v>H1</x:v>
      </x:c>
      <x:c r="F350" s="11" t="n">
        <x:v>15968</x:v>
      </x:c>
      <x:c r="G350" s="11" t="n">
        <x:v>0</x:v>
      </x:c>
      <x:c r="H350" s="12" t="n">
        <x:f>G350/F350</x:f>
        <x:v>0</x:v>
      </x:c>
      <x:c r="I350" s="11" t="n">
        <x:v>0</x:v>
      </x:c>
      <x:c r="J350" s="11" t="n">
        <x:v>0</x:v>
      </x:c>
      <x:c r="K350" s="11" t="n">
        <x:v>0</x:v>
      </x:c>
      <x:c r="L350" s="11" t="n">
        <x:v>0</x:v>
      </x:c>
      <x:c r="M350" s="11" t="n">
        <x:v>0</x:v>
      </x:c>
    </x:row>
    <x:row r="351" ht="23" customHeight="1">
      <x:c r="A351" s="10" t="str">
        <x:v>M13</x:v>
      </x:c>
      <x:c r="B351" s="10" t="str">
        <x:v>NC</x:v>
      </x:c>
      <x:c r="C351" s="10" t="str">
        <x:v>H0至H1</x:v>
      </x:c>
      <x:c r="D351" s="10" t="str">
        <x:v>H0</x:v>
      </x:c>
      <x:c r="E351" s="10" t="str">
        <x:v>H1</x:v>
      </x:c>
      <x:c r="F351" s="11" t="n">
        <x:v>15968</x:v>
      </x:c>
      <x:c r="G351" s="11" t="n">
        <x:v>148</x:v>
      </x:c>
      <x:c r="H351" s="12" t="n">
        <x:f>G351/F351</x:f>
        <x:v>0.009268537074148297</x:v>
      </x:c>
      <x:c r="I351" s="11" t="n">
        <x:v>148</x:v>
      </x:c>
      <x:c r="J351" s="11" t="n">
        <x:v>0</x:v>
      </x:c>
      <x:c r="K351" s="11" t="n">
        <x:v>148</x:v>
      </x:c>
      <x:c r="L351" s="11" t="n">
        <x:v>0</x:v>
      </x:c>
      <x:c r="M351" s="11" t="n">
        <x:v>148</x:v>
      </x:c>
    </x:row>
    <x:row r="352" ht="23" customHeight="1">
      <x:c r="A352" s="10" t="str">
        <x:v>M13</x:v>
      </x:c>
      <x:c r="B352" s="10" t="str">
        <x:v>NC</x:v>
      </x:c>
      <x:c r="C352" s="10" t="str">
        <x:v>H0至HT</x:v>
      </x:c>
      <x:c r="D352" s="10" t="str">
        <x:v>H0</x:v>
      </x:c>
      <x:c r="E352" s="10" t="str">
        <x:v>HT</x:v>
      </x:c>
      <x:c r="F352" s="11" t="n">
        <x:v>15968</x:v>
      </x:c>
      <x:c r="G352" s="11" t="n">
        <x:v>0</x:v>
      </x:c>
      <x:c r="H352" s="12" t="n">
        <x:f>G352/F352</x:f>
        <x:v>0</x:v>
      </x:c>
      <x:c r="I352" s="11" t="n">
        <x:v>0</x:v>
      </x:c>
      <x:c r="J352" s="11" t="n">
        <x:v>0</x:v>
      </x:c>
      <x:c r="K352" s="11" t="n">
        <x:v>0</x:v>
      </x:c>
      <x:c r="L352" s="11" t="n">
        <x:v>0</x:v>
      </x:c>
      <x:c r="M352" s="11" t="n">
        <x:v>0</x:v>
      </x:c>
    </x:row>
    <x:row r="353" ht="23" customHeight="1">
      <x:c r="A353" s="10" t="str">
        <x:v>M13</x:v>
      </x:c>
      <x:c r="B353" s="10" t="str">
        <x:v>NC</x:v>
      </x:c>
      <x:c r="C353" s="10" t="str">
        <x:v>HT至H1</x:v>
      </x:c>
      <x:c r="D353" s="10" t="str">
        <x:v>HT</x:v>
      </x:c>
      <x:c r="E353" s="10" t="str">
        <x:v>H1</x:v>
      </x:c>
      <x:c r="F353" s="11" t="n">
        <x:v>15968</x:v>
      </x:c>
      <x:c r="G353" s="11" t="n">
        <x:v>148</x:v>
      </x:c>
      <x:c r="H353" s="12" t="n">
        <x:f>G353/F353</x:f>
        <x:v>0.009268537074148297</x:v>
      </x:c>
      <x:c r="I353" s="11" t="n">
        <x:v>148</x:v>
      </x:c>
      <x:c r="J353" s="11" t="n">
        <x:v>0</x:v>
      </x:c>
      <x:c r="K353" s="11" t="n">
        <x:v>148</x:v>
      </x:c>
      <x:c r="L353" s="11" t="n">
        <x:v>0</x:v>
      </x:c>
      <x:c r="M353" s="11" t="n">
        <x:v>148</x:v>
      </x:c>
    </x:row>
    <x:row r="354" ht="23" customHeight="1">
      <x:c r="A354" s="10" t="str">
        <x:v>M13</x:v>
      </x:c>
      <x:c r="B354" s="10" t="str">
        <x:v>NG</x:v>
      </x:c>
      <x:c r="C354" s="10" t="str">
        <x:v>H0至H1</x:v>
      </x:c>
      <x:c r="D354" s="10" t="str">
        <x:v>H0</x:v>
      </x:c>
      <x:c r="E354" s="10" t="str">
        <x:v>H1</x:v>
      </x:c>
      <x:c r="F354" s="11" t="n">
        <x:v>15968</x:v>
      </x:c>
      <x:c r="G354" s="11" t="n">
        <x:v>3207</x:v>
      </x:c>
      <x:c r="H354" s="12" t="n">
        <x:f>G354/F354</x:f>
        <x:v>0.20083917835671342</x:v>
      </x:c>
      <x:c r="I354" s="11" t="n">
        <x:v>3207</x:v>
      </x:c>
      <x:c r="J354" s="11" t="n">
        <x:v>0</x:v>
      </x:c>
      <x:c r="K354" s="11" t="n">
        <x:v>177</x:v>
      </x:c>
      <x:c r="L354" s="11" t="n">
        <x:v>0</x:v>
      </x:c>
      <x:c r="M354" s="11" t="n">
        <x:v>3207</x:v>
      </x:c>
    </x:row>
    <x:row r="355" ht="23" customHeight="1">
      <x:c r="A355" s="10" t="str">
        <x:v>M13</x:v>
      </x:c>
      <x:c r="B355" s="10" t="str">
        <x:v>NG</x:v>
      </x:c>
      <x:c r="C355" s="10" t="str">
        <x:v>H0至HT</x:v>
      </x:c>
      <x:c r="D355" s="10" t="str">
        <x:v>H0</x:v>
      </x:c>
      <x:c r="E355" s="10" t="str">
        <x:v>HT</x:v>
      </x:c>
      <x:c r="F355" s="11" t="n">
        <x:v>15968</x:v>
      </x:c>
      <x:c r="G355" s="11" t="n">
        <x:v>3032</x:v>
      </x:c>
      <x:c r="H355" s="12" t="n">
        <x:f>G355/F355</x:f>
        <x:v>0.18987975951903807</x:v>
      </x:c>
      <x:c r="I355" s="11" t="n">
        <x:v>3032</x:v>
      </x:c>
      <x:c r="J355" s="11" t="n">
        <x:v>0</x:v>
      </x:c>
      <x:c r="K355" s="11" t="n">
        <x:v>0</x:v>
      </x:c>
      <x:c r="L355" s="11" t="n">
        <x:v>0</x:v>
      </x:c>
      <x:c r="M355" s="11" t="n">
        <x:v>3032</x:v>
      </x:c>
    </x:row>
    <x:row r="356" ht="23" customHeight="1">
      <x:c r="A356" s="10" t="str">
        <x:v>M13</x:v>
      </x:c>
      <x:c r="B356" s="10" t="str">
        <x:v>NG</x:v>
      </x:c>
      <x:c r="C356" s="10" t="str">
        <x:v>HT至H1</x:v>
      </x:c>
      <x:c r="D356" s="10" t="str">
        <x:v>HT</x:v>
      </x:c>
      <x:c r="E356" s="10" t="str">
        <x:v>H1</x:v>
      </x:c>
      <x:c r="F356" s="11" t="n">
        <x:v>15968</x:v>
      </x:c>
      <x:c r="G356" s="11" t="n">
        <x:v>177</x:v>
      </x:c>
      <x:c r="H356" s="12" t="n">
        <x:f>G356/F356</x:f>
        <x:v>0.011084669338677355</x:v>
      </x:c>
      <x:c r="I356" s="11" t="n">
        <x:v>177</x:v>
      </x:c>
      <x:c r="J356" s="11" t="n">
        <x:v>0</x:v>
      </x:c>
      <x:c r="K356" s="11" t="n">
        <x:v>177</x:v>
      </x:c>
      <x:c r="L356" s="11" t="n">
        <x:v>0</x:v>
      </x:c>
      <x:c r="M356" s="11" t="n">
        <x:v>177</x:v>
      </x:c>
    </x:row>
    <x:row r="357" ht="23" customHeight="1">
      <x:c r="A357" s="10" t="str">
        <x:v>M13</x:v>
      </x:c>
      <x:c r="B357" s="10" t="str">
        <x:v>CG</x:v>
      </x:c>
      <x:c r="C357" s="10" t="str">
        <x:v>H0至H1</x:v>
      </x:c>
      <x:c r="D357" s="10" t="str">
        <x:v>H0</x:v>
      </x:c>
      <x:c r="E357" s="10" t="str">
        <x:v>H1</x:v>
      </x:c>
      <x:c r="F357" s="11" t="n">
        <x:v>15968</x:v>
      </x:c>
      <x:c r="G357" s="11" t="n">
        <x:v>3471</x:v>
      </x:c>
      <x:c r="H357" s="12" t="n">
        <x:f>G357/F357</x:f>
        <x:v>0.21737224448897796</x:v>
      </x:c>
      <x:c r="I357" s="11" t="n">
        <x:v>3471</x:v>
      </x:c>
      <x:c r="J357" s="11" t="n">
        <x:v>0</x:v>
      </x:c>
      <x:c r="K357" s="11" t="n">
        <x:v>43</x:v>
      </x:c>
      <x:c r="L357" s="11" t="n">
        <x:v>3</x:v>
      </x:c>
      <x:c r="M357" s="11" t="n">
        <x:v>3472</x:v>
      </x:c>
    </x:row>
    <x:row r="358" ht="23" customHeight="1">
      <x:c r="A358" s="10" t="str">
        <x:v>M13</x:v>
      </x:c>
      <x:c r="B358" s="10" t="str">
        <x:v>CG</x:v>
      </x:c>
      <x:c r="C358" s="10" t="str">
        <x:v>H0至HT</x:v>
      </x:c>
      <x:c r="D358" s="10" t="str">
        <x:v>H0</x:v>
      </x:c>
      <x:c r="E358" s="10" t="str">
        <x:v>HT</x:v>
      </x:c>
      <x:c r="F358" s="11" t="n">
        <x:v>15968</x:v>
      </x:c>
      <x:c r="G358" s="11" t="n">
        <x:v>3431</x:v>
      </x:c>
      <x:c r="H358" s="12" t="n">
        <x:f>G358/F358</x:f>
        <x:v>0.21486723446893788</x:v>
      </x:c>
      <x:c r="I358" s="11" t="n">
        <x:v>3431</x:v>
      </x:c>
      <x:c r="J358" s="11" t="n">
        <x:v>0</x:v>
      </x:c>
      <x:c r="K358" s="11" t="n">
        <x:v>3</x:v>
      </x:c>
      <x:c r="L358" s="11" t="n">
        <x:v>3</x:v>
      </x:c>
      <x:c r="M358" s="11" t="n">
        <x:v>3432</x:v>
      </x:c>
    </x:row>
    <x:row r="359" ht="23" customHeight="1">
      <x:c r="A359" s="10" t="str">
        <x:v>M13</x:v>
      </x:c>
      <x:c r="B359" s="10" t="str">
        <x:v>CG</x:v>
      </x:c>
      <x:c r="C359" s="10" t="str">
        <x:v>HT至H1</x:v>
      </x:c>
      <x:c r="D359" s="10" t="str">
        <x:v>HT</x:v>
      </x:c>
      <x:c r="E359" s="10" t="str">
        <x:v>H1</x:v>
      </x:c>
      <x:c r="F359" s="11" t="n">
        <x:v>15968</x:v>
      </x:c>
      <x:c r="G359" s="11" t="n">
        <x:v>40</x:v>
      </x:c>
      <x:c r="H359" s="12" t="n">
        <x:f>G359/F359</x:f>
        <x:v>0.00250501002004008</x:v>
      </x:c>
      <x:c r="I359" s="11" t="n">
        <x:v>40</x:v>
      </x:c>
      <x:c r="J359" s="11" t="n">
        <x:v>0</x:v>
      </x:c>
      <x:c r="K359" s="11" t="n">
        <x:v>40</x:v>
      </x:c>
      <x:c r="L359" s="11" t="n">
        <x:v>0</x:v>
      </x:c>
      <x:c r="M359" s="11" t="n">
        <x:v>40</x:v>
      </x:c>
    </x:row>
    <x:row r="360" ht="23" customHeight="1">
      <x:c r="A360" s="10" t="str">
        <x:v>M13</x:v>
      </x:c>
      <x:c r="B360" s="10" t="str">
        <x:v>NCG</x:v>
      </x:c>
      <x:c r="C360" s="10" t="str">
        <x:v>H0至H1</x:v>
      </x:c>
      <x:c r="D360" s="10" t="str">
        <x:v>H0</x:v>
      </x:c>
      <x:c r="E360" s="10" t="str">
        <x:v>H1</x:v>
      </x:c>
      <x:c r="F360" s="11" t="n">
        <x:v>15968</x:v>
      </x:c>
      <x:c r="G360" s="11" t="n">
        <x:v>3247</x:v>
      </x:c>
      <x:c r="H360" s="12" t="n">
        <x:f>G360/F360</x:f>
        <x:v>0.2033441883767535</x:v>
      </x:c>
      <x:c r="I360" s="11" t="n">
        <x:v>3247</x:v>
      </x:c>
      <x:c r="J360" s="11" t="n">
        <x:v>0</x:v>
      </x:c>
      <x:c r="K360" s="11" t="n">
        <x:v>151</x:v>
      </x:c>
      <x:c r="L360" s="11" t="n">
        <x:v>3</x:v>
      </x:c>
      <x:c r="M360" s="11" t="n">
        <x:v>3248</x:v>
      </x:c>
    </x:row>
    <x:row r="361" ht="23" customHeight="1">
      <x:c r="A361" s="10" t="str">
        <x:v>M13</x:v>
      </x:c>
      <x:c r="B361" s="10" t="str">
        <x:v>NCG</x:v>
      </x:c>
      <x:c r="C361" s="10" t="str">
        <x:v>H0至HT</x:v>
      </x:c>
      <x:c r="D361" s="10" t="str">
        <x:v>H0</x:v>
      </x:c>
      <x:c r="E361" s="10" t="str">
        <x:v>HT</x:v>
      </x:c>
      <x:c r="F361" s="11" t="n">
        <x:v>15968</x:v>
      </x:c>
      <x:c r="G361" s="11" t="n">
        <x:v>3099</x:v>
      </x:c>
      <x:c r="H361" s="12" t="n">
        <x:f>G361/F361</x:f>
        <x:v>0.1940756513026052</x:v>
      </x:c>
      <x:c r="I361" s="11" t="n">
        <x:v>3099</x:v>
      </x:c>
      <x:c r="J361" s="11" t="n">
        <x:v>0</x:v>
      </x:c>
      <x:c r="K361" s="11" t="n">
        <x:v>3</x:v>
      </x:c>
      <x:c r="L361" s="11" t="n">
        <x:v>3</x:v>
      </x:c>
      <x:c r="M361" s="11" t="n">
        <x:v>3100</x:v>
      </x:c>
    </x:row>
    <x:row r="362" ht="23" customHeight="1">
      <x:c r="A362" s="10" t="str">
        <x:v>M13</x:v>
      </x:c>
      <x:c r="B362" s="10" t="str">
        <x:v>NCG</x:v>
      </x:c>
      <x:c r="C362" s="10" t="str">
        <x:v>HT至H1</x:v>
      </x:c>
      <x:c r="D362" s="10" t="str">
        <x:v>HT</x:v>
      </x:c>
      <x:c r="E362" s="10" t="str">
        <x:v>H1</x:v>
      </x:c>
      <x:c r="F362" s="11" t="n">
        <x:v>15968</x:v>
      </x:c>
      <x:c r="G362" s="11" t="n">
        <x:v>148</x:v>
      </x:c>
      <x:c r="H362" s="12" t="n">
        <x:f>G362/F362</x:f>
        <x:v>0.009268537074148297</x:v>
      </x:c>
      <x:c r="I362" s="11" t="n">
        <x:v>148</x:v>
      </x:c>
      <x:c r="J362" s="11" t="n">
        <x:v>0</x:v>
      </x:c>
      <x:c r="K362" s="11" t="n">
        <x:v>148</x:v>
      </x:c>
      <x:c r="L362" s="11" t="n">
        <x:v>0</x:v>
      </x:c>
      <x:c r="M362" s="11" t="n">
        <x:v>148</x:v>
      </x:c>
    </x:row>
    <x:row r="363" ht="23" customHeight="1">
      <x:c r="A363" s="10" t="str">
        <x:v>M13</x:v>
      </x:c>
      <x:c r="B363" s="10" t="str">
        <x:v>NCG</x:v>
      </x:c>
      <x:c r="C363" s="10" t="str">
        <x:v>叶名称辅助</x:v>
      </x:c>
      <x:c r="D363" s="10" t="str">
        <x:v>NCG_H0</x:v>
      </x:c>
      <x:c r="E363" s="10" t="str">
        <x:v>NCG_H0_M1</x:v>
      </x:c>
      <x:c r="F363" s="11" t="n">
        <x:v>15968</x:v>
      </x:c>
      <x:c r="G363" s="11" t="n">
        <x:v>523</x:v>
      </x:c>
      <x:c r="H363" s="12" t="n">
        <x:f>G363/F363</x:f>
        <x:v>0.03275300601202405</x:v>
      </x:c>
      <x:c r="I363" s="11" t="n">
        <x:v>518</x:v>
      </x:c>
      <x:c r="J363" s="11" t="n">
        <x:v>5</x:v>
      </x:c>
      <x:c r="K363" s="11" t="n">
        <x:v>825</x:v>
      </x:c>
      <x:c r="L363" s="11" t="n">
        <x:v>946</x:v>
      </x:c>
      <x:c r="M363" s="11" t="n">
        <x:v>523</x:v>
      </x:c>
    </x:row>
    <x:row r="364" ht="23" customHeight="1">
      <x:c r="A364" s="10" t="str">
        <x:v>M13</x:v>
      </x:c>
      <x:c r="B364" s="10" t="str">
        <x:v>NCG</x:v>
      </x:c>
      <x:c r="C364" s="10" t="str">
        <x:v>叶名称辅助</x:v>
      </x:c>
      <x:c r="D364" s="10" t="str">
        <x:v>NCG_H1</x:v>
      </x:c>
      <x:c r="E364" s="10" t="str">
        <x:v>NCG_H1_M1</x:v>
      </x:c>
      <x:c r="F364" s="11" t="n">
        <x:v>15968</x:v>
      </x:c>
      <x:c r="G364" s="11" t="n">
        <x:v>530</x:v>
      </x:c>
      <x:c r="H364" s="12" t="n">
        <x:f>G364/F364</x:f>
        <x:v>0.03319138276553106</x:v>
      </x:c>
      <x:c r="I364" s="11" t="n">
        <x:v>518</x:v>
      </x:c>
      <x:c r="J364" s="11" t="n">
        <x:v>12</x:v>
      </x:c>
      <x:c r="K364" s="11" t="n">
        <x:v>825</x:v>
      </x:c>
      <x:c r="L364" s="11" t="n">
        <x:v>946</x:v>
      </x:c>
      <x:c r="M364" s="11" t="n">
        <x:v>530</x:v>
      </x:c>
    </x:row>
    <x:row r="365" ht="23" customHeight="1">
      <x:c r="A365" s="10" t="str">
        <x:v>M13</x:v>
      </x:c>
      <x:c r="B365" s="10" t="str">
        <x:v>branch</x:v>
      </x:c>
      <x:c r="C365" s="10" t="str">
        <x:v>分支贡献</x:v>
      </x:c>
      <x:c r="D365" s="10" t="str">
        <x:v>N_H0</x:v>
      </x:c>
      <x:c r="E365" s="10" t="str">
        <x:v>NC_H0</x:v>
      </x:c>
      <x:c r="F365" s="11" t="n">
        <x:v>15968</x:v>
      </x:c>
      <x:c r="G365" s="11" t="n">
        <x:v>4987</x:v>
      </x:c>
      <x:c r="H365" s="12" t="n">
        <x:f>G365/F365</x:f>
        <x:v>0.31231212424849697</x:v>
      </x:c>
      <x:c r="I365" s="11" t="n">
        <x:v>1078</x:v>
      </x:c>
      <x:c r="J365" s="11" t="n">
        <x:v>3909</x:v>
      </x:c>
      <x:c r="K365" s="11" t="n">
        <x:v>4987</x:v>
      </x:c>
      <x:c r="L365" s="11" t="n">
        <x:v>6734</x:v>
      </x:c>
      <x:c r="M365" s="11" t="n">
        <x:v>4987</x:v>
      </x:c>
    </x:row>
    <x:row r="366" ht="23" customHeight="1">
      <x:c r="A366" s="10" t="str">
        <x:v>M13</x:v>
      </x:c>
      <x:c r="B366" s="10" t="str">
        <x:v>branch</x:v>
      </x:c>
      <x:c r="C366" s="10" t="str">
        <x:v>分支贡献</x:v>
      </x:c>
      <x:c r="D366" s="10" t="str">
        <x:v>C_H0</x:v>
      </x:c>
      <x:c r="E366" s="10" t="str">
        <x:v>NC_H0</x:v>
      </x:c>
      <x:c r="F366" s="11" t="n">
        <x:v>15968</x:v>
      </x:c>
      <x:c r="G366" s="11" t="n">
        <x:v>2328</x:v>
      </x:c>
      <x:c r="H366" s="12" t="n">
        <x:f>G366/F366</x:f>
        <x:v>0.14579158316633267</x:v>
      </x:c>
      <x:c r="I366" s="11" t="n">
        <x:v>1509</x:v>
      </x:c>
      <x:c r="J366" s="11" t="n">
        <x:v>819</x:v>
      </x:c>
      <x:c r="K366" s="11" t="n">
        <x:v>2328</x:v>
      </x:c>
      <x:c r="L366" s="11" t="n">
        <x:v>4881</x:v>
      </x:c>
      <x:c r="M366" s="11" t="n">
        <x:v>2328</x:v>
      </x:c>
    </x:row>
    <x:row r="367" ht="23" customHeight="1">
      <x:c r="A367" s="10" t="str">
        <x:v>M13</x:v>
      </x:c>
      <x:c r="B367" s="10" t="str">
        <x:v>branch</x:v>
      </x:c>
      <x:c r="C367" s="10" t="str">
        <x:v>分支贡献</x:v>
      </x:c>
      <x:c r="D367" s="10" t="str">
        <x:v>N_H0</x:v>
      </x:c>
      <x:c r="E367" s="10" t="str">
        <x:v>NG_H0</x:v>
      </x:c>
      <x:c r="F367" s="11" t="n">
        <x:v>15968</x:v>
      </x:c>
      <x:c r="G367" s="11" t="n">
        <x:v>12095</x:v>
      </x:c>
      <x:c r="H367" s="12" t="n">
        <x:f>G367/F367</x:f>
        <x:v>0.7574524048096193</x:v>
      </x:c>
      <x:c r="I367" s="11" t="n">
        <x:v>62</x:v>
      </x:c>
      <x:c r="J367" s="11" t="n">
        <x:v>12033</x:v>
      </x:c>
      <x:c r="K367" s="11" t="n">
        <x:v>0</x:v>
      </x:c>
      <x:c r="L367" s="11" t="n">
        <x:v>0</x:v>
      </x:c>
      <x:c r="M367" s="11" t="n">
        <x:v>15968</x:v>
      </x:c>
    </x:row>
    <x:row r="368" ht="23" customHeight="1">
      <x:c r="A368" s="10" t="str">
        <x:v>M13</x:v>
      </x:c>
      <x:c r="B368" s="10" t="str">
        <x:v>branch</x:v>
      </x:c>
      <x:c r="C368" s="10" t="str">
        <x:v>分支贡献</x:v>
      </x:c>
      <x:c r="D368" s="10" t="str">
        <x:v>C_H0</x:v>
      </x:c>
      <x:c r="E368" s="10" t="str">
        <x:v>CG_H0</x:v>
      </x:c>
      <x:c r="F368" s="11" t="n">
        <x:v>15968</x:v>
      </x:c>
      <x:c r="G368" s="11" t="n">
        <x:v>12797</x:v>
      </x:c>
      <x:c r="H368" s="12" t="n">
        <x:f>G368/F368</x:f>
        <x:v>0.8014153306613226</x:v>
      </x:c>
      <x:c r="I368" s="11" t="n">
        <x:v>686</x:v>
      </x:c>
      <x:c r="J368" s="11" t="n">
        <x:v>12111</x:v>
      </x:c>
      <x:c r="K368" s="11" t="n">
        <x:v>0</x:v>
      </x:c>
      <x:c r="L368" s="11" t="n">
        <x:v>0</x:v>
      </x:c>
      <x:c r="M368" s="11" t="n">
        <x:v>15968</x:v>
      </x:c>
    </x:row>
    <x:row r="369" ht="23" customHeight="1">
      <x:c r="A369" s="10" t="str">
        <x:v>M13</x:v>
      </x:c>
      <x:c r="B369" s="10" t="str">
        <x:v>branch</x:v>
      </x:c>
      <x:c r="C369" s="10" t="str">
        <x:v>分支贡献</x:v>
      </x:c>
      <x:c r="D369" s="10" t="str">
        <x:v>NC_H0</x:v>
      </x:c>
      <x:c r="E369" s="10" t="str">
        <x:v>NCG_H0</x:v>
      </x:c>
      <x:c r="F369" s="11" t="n">
        <x:v>15968</x:v>
      </x:c>
      <x:c r="G369" s="11" t="n">
        <x:v>11979</x:v>
      </x:c>
      <x:c r="H369" s="12" t="n">
        <x:f>G369/F369</x:f>
        <x:v>0.750187875751503</x:v>
      </x:c>
      <x:c r="I369" s="11" t="n">
        <x:v>1387</x:v>
      </x:c>
      <x:c r="J369" s="11" t="n">
        <x:v>10592</x:v>
      </x:c>
      <x:c r="K369" s="11" t="n">
        <x:v>0</x:v>
      </x:c>
      <x:c r="L369" s="11" t="n">
        <x:v>0</x:v>
      </x:c>
      <x:c r="M369" s="11" t="n">
        <x:v>15968</x:v>
      </x:c>
    </x:row>
  </x:sheetData>
  <x:pageMargins left="0.7" right="0.7" top="0.75" bottom="0.75" header="0.3" footer="0.3"/>
  <x:tableParts count="1">
    <x:tablePart xmlns:r="http://schemas.openxmlformats.org/officeDocument/2006/relationships" r:id="R149f8b877162439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22" hidden="0" customWidth="1"/>
    <x:col min="3" max="3" width="21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3" t="str">
        <x:v>功能未知节点的几何分型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3" customHeight="1">
      <x:c r="A3" s="4" t="str">
        <x:v>来源：unknown_geometry_families.csv；仅NCG_H1，几何形态不等于对象身份。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6" customHeight="1">
      <x:c r="A5" s="8" t="str">
        <x:v>模型</x:v>
      </x:c>
      <x:c r="B5" s="8" t="str">
        <x:v>几何分型</x:v>
      </x:c>
      <x:c r="C5" s="8" t="str">
        <x:v>功能未知总数</x:v>
      </x:c>
      <x:c r="D5" s="8" t="str">
        <x:v>该型节点数</x:v>
      </x:c>
      <x:c r="E5" s="8" t="str">
        <x:v>该型占比</x:v>
      </x:c>
      <x:c r="F5" s="8" t="str">
        <x:v>P1节点</x:v>
      </x:c>
      <x:c r="G5" s="8" t="str">
        <x:v>P2节点</x:v>
      </x:c>
      <x:c r="H5" s="8" t="str">
        <x:v>P3节点</x:v>
      </x:c>
      <x:c r="I5" s="8" t="str">
        <x:v>P4节点</x:v>
      </x:c>
      <x:c r="J5" s="8" t="str">
        <x:v>P5节点</x:v>
      </x:c>
      <x:c r="K5" s="8" t="str">
        <x:v>P6节点</x:v>
      </x:c>
      <x:c r="L5" s="8" t="str">
        <x:v>P7节点</x:v>
      </x:c>
      <x:c r="M5" s="8" t="str">
        <x:v>P8节点</x:v>
      </x:c>
      <x:c r="N5" s="8" t="str">
        <x:v>P9节点</x:v>
      </x:c>
      <x:c r="O5" s="8" t="str">
        <x:v>P10节点</x:v>
      </x:c>
    </x:row>
    <x:row r="6" ht="23" customHeight="1">
      <x:c r="A6" s="10" t="str">
        <x:v>M1</x:v>
      </x:c>
      <x:c r="B6" s="10" t="str">
        <x:v>曲面紧凑</x:v>
      </x:c>
      <x:c r="C6" s="11" t="n">
        <x:f>'全部组合'!F26</x:f>
        <x:v>783</x:v>
      </x:c>
      <x:c r="D6" s="11" t="n">
        <x:f>SUM(F6:O6)</x:f>
        <x:v>154</x:v>
      </x:c>
      <x:c r="E6" s="12" t="n">
        <x:f>IF(C6=0,"n.a.",D6/C6)</x:f>
        <x:v>0.1966794380587484</x:v>
      </x:c>
      <x:c r="F6" s="11" t="n">
        <x:v>0</x:v>
      </x:c>
      <x:c r="G6" s="11" t="n">
        <x:v>3</x:v>
      </x:c>
      <x:c r="H6" s="11" t="n">
        <x:v>89</x:v>
      </x:c>
      <x:c r="I6" s="11" t="n">
        <x:v>60</x:v>
      </x:c>
      <x:c r="J6" s="11" t="n">
        <x:v>2</x:v>
      </x:c>
      <x:c r="K6" s="11" t="n">
        <x:v>0</x:v>
      </x:c>
      <x:c r="L6" s="11" t="n">
        <x:v>0</x:v>
      </x:c>
      <x:c r="M6" s="11" t="n">
        <x:v>0</x:v>
      </x:c>
      <x:c r="N6" s="11" t="n">
        <x:v>0</x:v>
      </x:c>
      <x:c r="O6" s="11" t="n">
        <x:v>0</x:v>
      </x:c>
    </x:row>
    <x:row r="7" ht="23" customHeight="1">
      <x:c r="A7" s="10" t="str">
        <x:v>M1</x:v>
      </x:c>
      <x:c r="B7" s="10" t="str">
        <x:v>局部特征紧凑</x:v>
      </x:c>
      <x:c r="C7" s="11" t="n">
        <x:f>'全部组合'!F26</x:f>
        <x:v>783</x:v>
      </x:c>
      <x:c r="D7" s="11" t="n">
        <x:f>SUM(F7:O7)</x:f>
        <x:v>48</x:v>
      </x:c>
      <x:c r="E7" s="12" t="n">
        <x:f>IF(C7=0,"n.a.",D7/C7)</x:f>
        <x:v>0.06130268199233716</x:v>
      </x:c>
      <x:c r="F7" s="11" t="n">
        <x:v>0</x:v>
      </x:c>
      <x:c r="G7" s="11" t="n">
        <x:v>0</x:v>
      </x:c>
      <x:c r="H7" s="11" t="n">
        <x:v>7</x:v>
      </x:c>
      <x:c r="I7" s="11" t="n">
        <x:v>40</x:v>
      </x:c>
      <x:c r="J7" s="11" t="n">
        <x:v>1</x:v>
      </x:c>
      <x:c r="K7" s="11" t="n">
        <x:v>0</x:v>
      </x:c>
      <x:c r="L7" s="11" t="n">
        <x:v>0</x:v>
      </x:c>
      <x:c r="M7" s="11" t="n">
        <x:v>0</x:v>
      </x:c>
      <x:c r="N7" s="11" t="n">
        <x:v>0</x:v>
      </x:c>
      <x:c r="O7" s="11" t="n">
        <x:v>0</x:v>
      </x:c>
    </x:row>
    <x:row r="8" ht="23" customHeight="1">
      <x:c r="A8" s="10" t="str">
        <x:v>M1</x:v>
      </x:c>
      <x:c r="B8" s="10" t="str">
        <x:v>简单紧凑</x:v>
      </x:c>
      <x:c r="C8" s="11" t="n">
        <x:f>'全部组合'!F26</x:f>
        <x:v>783</x:v>
      </x:c>
      <x:c r="D8" s="11" t="n">
        <x:f>SUM(F8:O8)</x:f>
        <x:v>334</x:v>
      </x:c>
      <x:c r="E8" s="12" t="n">
        <x:f>IF(C8=0,"n.a.",D8/C8)</x:f>
        <x:v>0.42656449553001274</x:v>
      </x:c>
      <x:c r="F8" s="11" t="n">
        <x:v>0</x:v>
      </x:c>
      <x:c r="G8" s="11" t="n">
        <x:v>3</x:v>
      </x:c>
      <x:c r="H8" s="11" t="n">
        <x:v>256</x:v>
      </x:c>
      <x:c r="I8" s="11" t="n">
        <x:v>75</x:v>
      </x:c>
      <x:c r="J8" s="11" t="n">
        <x:v>0</x:v>
      </x:c>
      <x:c r="K8" s="11" t="n">
        <x:v>0</x:v>
      </x:c>
      <x:c r="L8" s="11" t="n">
        <x:v>0</x:v>
      </x:c>
      <x:c r="M8" s="11" t="n">
        <x:v>0</x:v>
      </x:c>
      <x:c r="N8" s="11" t="n">
        <x:v>0</x:v>
      </x:c>
      <x:c r="O8" s="11" t="n">
        <x:v>0</x:v>
      </x:c>
    </x:row>
    <x:row r="9" ht="23" customHeight="1">
      <x:c r="A9" s="10" t="str">
        <x:v>M1</x:v>
      </x:c>
      <x:c r="B9" s="10" t="str">
        <x:v>分布复合</x:v>
      </x:c>
      <x:c r="C9" s="11" t="n">
        <x:f>'全部组合'!F26</x:f>
        <x:v>783</x:v>
      </x:c>
      <x:c r="D9" s="11" t="n">
        <x:f>SUM(F9:O9)</x:f>
        <x:v>0</x:v>
      </x:c>
      <x:c r="E9" s="12" t="n">
        <x:f>IF(C9=0,"n.a.",D9/C9)</x:f>
        <x:v>0</x:v>
      </x:c>
      <x:c r="F9" s="11" t="n">
        <x:v>0</x:v>
      </x:c>
      <x:c r="G9" s="11" t="n">
        <x:v>0</x:v>
      </x:c>
      <x:c r="H9" s="11" t="n">
        <x:v>0</x:v>
      </x:c>
      <x:c r="I9" s="11" t="n">
        <x:v>0</x:v>
      </x:c>
      <x:c r="J9" s="11" t="n">
        <x:v>0</x:v>
      </x:c>
      <x:c r="K9" s="11" t="n">
        <x:v>0</x:v>
      </x:c>
      <x:c r="L9" s="11" t="n">
        <x:v>0</x:v>
      </x:c>
      <x:c r="M9" s="11" t="n">
        <x:v>0</x:v>
      </x:c>
      <x:c r="N9" s="11" t="n">
        <x:v>0</x:v>
      </x:c>
      <x:c r="O9" s="11" t="n">
        <x:v>0</x:v>
      </x:c>
    </x:row>
    <x:row r="10" ht="23" customHeight="1">
      <x:c r="A10" s="10" t="str">
        <x:v>M1</x:v>
      </x:c>
      <x:c r="B10" s="10" t="str">
        <x:v>细长片状</x:v>
      </x:c>
      <x:c r="C10" s="11" t="n">
        <x:f>'全部组合'!F26</x:f>
        <x:v>783</x:v>
      </x:c>
      <x:c r="D10" s="11" t="n">
        <x:f>SUM(F10:O10)</x:f>
        <x:v>0</x:v>
      </x:c>
      <x:c r="E10" s="12" t="n">
        <x:f>IF(C10=0,"n.a.",D10/C10)</x:f>
        <x:v>0</x:v>
      </x:c>
      <x:c r="F10" s="11" t="n">
        <x:v>0</x:v>
      </x:c>
      <x:c r="G10" s="11" t="n">
        <x:v>0</x:v>
      </x:c>
      <x:c r="H10" s="11" t="n">
        <x:v>0</x:v>
      </x:c>
      <x:c r="I10" s="11" t="n">
        <x:v>0</x:v>
      </x:c>
      <x:c r="J10" s="11" t="n">
        <x:v>0</x:v>
      </x:c>
      <x:c r="K10" s="11" t="n">
        <x:v>0</x:v>
      </x:c>
      <x:c r="L10" s="11" t="n">
        <x:v>0</x:v>
      </x:c>
      <x:c r="M10" s="11" t="n">
        <x:v>0</x:v>
      </x:c>
      <x:c r="N10" s="11" t="n">
        <x:v>0</x:v>
      </x:c>
      <x:c r="O10" s="11" t="n">
        <x:v>0</x:v>
      </x:c>
    </x:row>
    <x:row r="11" ht="23" customHeight="1">
      <x:c r="A11" s="10" t="str">
        <x:v>M1</x:v>
      </x:c>
      <x:c r="B11" s="10" t="str">
        <x:v>板状</x:v>
      </x:c>
      <x:c r="C11" s="11" t="n">
        <x:f>'全部组合'!F26</x:f>
        <x:v>783</x:v>
      </x:c>
      <x:c r="D11" s="11" t="n">
        <x:f>SUM(F11:O11)</x:f>
        <x:v>115</x:v>
      </x:c>
      <x:c r="E11" s="12" t="n">
        <x:f>IF(C11=0,"n.a.",D11/C11)</x:f>
        <x:v>0.14687100893997446</x:v>
      </x:c>
      <x:c r="F11" s="11" t="n">
        <x:v>0</x:v>
      </x:c>
      <x:c r="G11" s="11" t="n">
        <x:v>6</x:v>
      </x:c>
      <x:c r="H11" s="11" t="n">
        <x:v>4</x:v>
      </x:c>
      <x:c r="I11" s="11" t="n">
        <x:v>63</x:v>
      </x:c>
      <x:c r="J11" s="11" t="n">
        <x:v>42</x:v>
      </x:c>
      <x:c r="K11" s="11" t="n">
        <x:v>0</x:v>
      </x:c>
      <x:c r="L11" s="11" t="n">
        <x:v>0</x:v>
      </x:c>
      <x:c r="M11" s="11" t="n">
        <x:v>0</x:v>
      </x:c>
      <x:c r="N11" s="11" t="n">
        <x:v>0</x:v>
      </x:c>
      <x:c r="O11" s="11" t="n">
        <x:v>0</x:v>
      </x:c>
    </x:row>
    <x:row r="12" ht="23" customHeight="1">
      <x:c r="A12" s="10" t="str">
        <x:v>M1</x:v>
      </x:c>
      <x:c r="B12" s="10" t="str">
        <x:v>杆状</x:v>
      </x:c>
      <x:c r="C12" s="11" t="n">
        <x:f>'全部组合'!F26</x:f>
        <x:v>783</x:v>
      </x:c>
      <x:c r="D12" s="11" t="n">
        <x:f>SUM(F12:O12)</x:f>
        <x:v>132</x:v>
      </x:c>
      <x:c r="E12" s="12" t="n">
        <x:f>IF(C12=0,"n.a.",D12/C12)</x:f>
        <x:v>0.1685823754789272</x:v>
      </x:c>
      <x:c r="F12" s="11" t="n">
        <x:v>0</x:v>
      </x:c>
      <x:c r="G12" s="11" t="n">
        <x:v>0</x:v>
      </x:c>
      <x:c r="H12" s="11" t="n">
        <x:v>14</x:v>
      </x:c>
      <x:c r="I12" s="11" t="n">
        <x:v>5</x:v>
      </x:c>
      <x:c r="J12" s="11" t="n">
        <x:v>72</x:v>
      </x:c>
      <x:c r="K12" s="11" t="n">
        <x:v>41</x:v>
      </x:c>
      <x:c r="L12" s="11" t="n">
        <x:v>0</x:v>
      </x:c>
      <x:c r="M12" s="11" t="n">
        <x:v>0</x:v>
      </x:c>
      <x:c r="N12" s="11" t="n">
        <x:v>0</x:v>
      </x:c>
      <x:c r="O12" s="11" t="n">
        <x:v>0</x:v>
      </x:c>
    </x:row>
    <x:row r="13" ht="23" customHeight="1">
      <x:c r="A13" s="10" t="str">
        <x:v>M2</x:v>
      </x:c>
      <x:c r="B13" s="10" t="str">
        <x:v>曲面紧凑</x:v>
      </x:c>
      <x:c r="C13" s="11" t="n">
        <x:f>'全部组合'!F49</x:f>
        <x:v>913</x:v>
      </x:c>
      <x:c r="D13" s="11" t="n">
        <x:f>SUM(F13:O13)</x:f>
        <x:v>50</x:v>
      </x:c>
      <x:c r="E13" s="12" t="n">
        <x:f>IF(C13=0,"n.a.",D13/C13)</x:f>
        <x:v>0.054764512595837894</x:v>
      </x:c>
      <x:c r="F13" s="11" t="n">
        <x:v>0</x:v>
      </x:c>
      <x:c r="G13" s="11" t="n">
        <x:v>0</x:v>
      </x:c>
      <x:c r="H13" s="11" t="n">
        <x:v>39</x:v>
      </x:c>
      <x:c r="I13" s="11" t="n">
        <x:v>11</x:v>
      </x:c>
      <x:c r="J13" s="11" t="n">
        <x:v>0</x:v>
      </x:c>
      <x:c r="K13" s="11" t="n">
        <x:v>0</x:v>
      </x:c>
      <x:c r="L13" s="11" t="n">
        <x:v>0</x:v>
      </x:c>
      <x:c r="M13" s="11" t="n">
        <x:v>0</x:v>
      </x:c>
      <x:c r="N13" s="11" t="n">
        <x:v>0</x:v>
      </x:c>
      <x:c r="O13" s="11" t="n">
        <x:v>0</x:v>
      </x:c>
    </x:row>
    <x:row r="14" ht="23" customHeight="1">
      <x:c r="A14" s="10" t="str">
        <x:v>M2</x:v>
      </x:c>
      <x:c r="B14" s="10" t="str">
        <x:v>局部特征紧凑</x:v>
      </x:c>
      <x:c r="C14" s="11" t="n">
        <x:f>'全部组合'!F49</x:f>
        <x:v>913</x:v>
      </x:c>
      <x:c r="D14" s="11" t="n">
        <x:f>SUM(F14:O14)</x:f>
        <x:v>52</x:v>
      </x:c>
      <x:c r="E14" s="12" t="n">
        <x:f>IF(C14=0,"n.a.",D14/C14)</x:f>
        <x:v>0.056955093099671415</x:v>
      </x:c>
      <x:c r="F14" s="11" t="n">
        <x:v>0</x:v>
      </x:c>
      <x:c r="G14" s="11" t="n">
        <x:v>0</x:v>
      </x:c>
      <x:c r="H14" s="11" t="n">
        <x:v>5</x:v>
      </x:c>
      <x:c r="I14" s="11" t="n">
        <x:v>46</x:v>
      </x:c>
      <x:c r="J14" s="11" t="n">
        <x:v>1</x:v>
      </x:c>
      <x:c r="K14" s="11" t="n">
        <x:v>0</x:v>
      </x:c>
      <x:c r="L14" s="11" t="n">
        <x:v>0</x:v>
      </x:c>
      <x:c r="M14" s="11" t="n">
        <x:v>0</x:v>
      </x:c>
      <x:c r="N14" s="11" t="n">
        <x:v>0</x:v>
      </x:c>
      <x:c r="O14" s="11" t="n">
        <x:v>0</x:v>
      </x:c>
    </x:row>
    <x:row r="15" ht="23" customHeight="1">
      <x:c r="A15" s="10" t="str">
        <x:v>M2</x:v>
      </x:c>
      <x:c r="B15" s="10" t="str">
        <x:v>简单紧凑</x:v>
      </x:c>
      <x:c r="C15" s="11" t="n">
        <x:f>'全部组合'!F49</x:f>
        <x:v>913</x:v>
      </x:c>
      <x:c r="D15" s="11" t="n">
        <x:f>SUM(F15:O15)</x:f>
        <x:v>634</x:v>
      </x:c>
      <x:c r="E15" s="12" t="n">
        <x:f>IF(C15=0,"n.a.",D15/C15)</x:f>
        <x:v>0.6944140197152245</x:v>
      </x:c>
      <x:c r="F15" s="11" t="n">
        <x:v>0</x:v>
      </x:c>
      <x:c r="G15" s="11" t="n">
        <x:v>16</x:v>
      </x:c>
      <x:c r="H15" s="11" t="n">
        <x:v>477</x:v>
      </x:c>
      <x:c r="I15" s="11" t="n">
        <x:v>141</x:v>
      </x:c>
      <x:c r="J15" s="11" t="n">
        <x:v>0</x:v>
      </x:c>
      <x:c r="K15" s="11" t="n">
        <x:v>0</x:v>
      </x:c>
      <x:c r="L15" s="11" t="n">
        <x:v>0</x:v>
      </x:c>
      <x:c r="M15" s="11" t="n">
        <x:v>0</x:v>
      </x:c>
      <x:c r="N15" s="11" t="n">
        <x:v>0</x:v>
      </x:c>
      <x:c r="O15" s="11" t="n">
        <x:v>0</x:v>
      </x:c>
    </x:row>
    <x:row r="16" ht="23" customHeight="1">
      <x:c r="A16" s="10" t="str">
        <x:v>M2</x:v>
      </x:c>
      <x:c r="B16" s="10" t="str">
        <x:v>分布复合</x:v>
      </x:c>
      <x:c r="C16" s="11" t="n">
        <x:f>'全部组合'!F49</x:f>
        <x:v>913</x:v>
      </x:c>
      <x:c r="D16" s="11" t="n">
        <x:f>SUM(F16:O16)</x:f>
        <x:v>1</x:v>
      </x:c>
      <x:c r="E16" s="12" t="n">
        <x:f>IF(C16=0,"n.a.",D16/C16)</x:f>
        <x:v>0.001095290251916758</x:v>
      </x:c>
      <x:c r="F16" s="11" t="n">
        <x:v>0</x:v>
      </x:c>
      <x:c r="G16" s="11" t="n">
        <x:v>0</x:v>
      </x:c>
      <x:c r="H16" s="11" t="n">
        <x:v>0</x:v>
      </x:c>
      <x:c r="I16" s="11" t="n">
        <x:v>0</x:v>
      </x:c>
      <x:c r="J16" s="11" t="n">
        <x:v>1</x:v>
      </x:c>
      <x:c r="K16" s="11" t="n">
        <x:v>0</x:v>
      </x:c>
      <x:c r="L16" s="11" t="n">
        <x:v>0</x:v>
      </x:c>
      <x:c r="M16" s="11" t="n">
        <x:v>0</x:v>
      </x:c>
      <x:c r="N16" s="11" t="n">
        <x:v>0</x:v>
      </x:c>
      <x:c r="O16" s="11" t="n">
        <x:v>0</x:v>
      </x:c>
    </x:row>
    <x:row r="17" ht="23" customHeight="1">
      <x:c r="A17" s="10" t="str">
        <x:v>M2</x:v>
      </x:c>
      <x:c r="B17" s="10" t="str">
        <x:v>细长片状</x:v>
      </x:c>
      <x:c r="C17" s="11" t="n">
        <x:f>'全部组合'!F49</x:f>
        <x:v>913</x:v>
      </x:c>
      <x:c r="D17" s="11" t="n">
        <x:f>SUM(F17:O17)</x:f>
        <x:v>0</x:v>
      </x:c>
      <x:c r="E17" s="12" t="n">
        <x:f>IF(C17=0,"n.a.",D17/C17)</x:f>
        <x:v>0</x:v>
      </x:c>
      <x:c r="F17" s="11" t="n">
        <x:v>0</x:v>
      </x:c>
      <x:c r="G17" s="11" t="n">
        <x:v>0</x:v>
      </x:c>
      <x:c r="H17" s="11" t="n">
        <x:v>0</x:v>
      </x:c>
      <x:c r="I17" s="11" t="n">
        <x:v>0</x:v>
      </x:c>
      <x:c r="J17" s="11" t="n">
        <x:v>0</x:v>
      </x:c>
      <x:c r="K17" s="11" t="n">
        <x:v>0</x:v>
      </x:c>
      <x:c r="L17" s="11" t="n">
        <x:v>0</x:v>
      </x:c>
      <x:c r="M17" s="11" t="n">
        <x:v>0</x:v>
      </x:c>
      <x:c r="N17" s="11" t="n">
        <x:v>0</x:v>
      </x:c>
      <x:c r="O17" s="11" t="n">
        <x:v>0</x:v>
      </x:c>
    </x:row>
    <x:row r="18" ht="23" customHeight="1">
      <x:c r="A18" s="10" t="str">
        <x:v>M2</x:v>
      </x:c>
      <x:c r="B18" s="10" t="str">
        <x:v>板状</x:v>
      </x:c>
      <x:c r="C18" s="11" t="n">
        <x:f>'全部组合'!F49</x:f>
        <x:v>913</x:v>
      </x:c>
      <x:c r="D18" s="11" t="n">
        <x:f>SUM(F18:O18)</x:f>
        <x:v>72</x:v>
      </x:c>
      <x:c r="E18" s="12" t="n">
        <x:f>IF(C18=0,"n.a.",D18/C18)</x:f>
        <x:v>0.07886089813800658</x:v>
      </x:c>
      <x:c r="F18" s="11" t="n">
        <x:v>0</x:v>
      </x:c>
      <x:c r="G18" s="11" t="n">
        <x:v>0</x:v>
      </x:c>
      <x:c r="H18" s="11" t="n">
        <x:v>19</x:v>
      </x:c>
      <x:c r="I18" s="11" t="n">
        <x:v>31</x:v>
      </x:c>
      <x:c r="J18" s="11" t="n">
        <x:v>22</x:v>
      </x:c>
      <x:c r="K18" s="11" t="n">
        <x:v>0</x:v>
      </x:c>
      <x:c r="L18" s="11" t="n">
        <x:v>0</x:v>
      </x:c>
      <x:c r="M18" s="11" t="n">
        <x:v>0</x:v>
      </x:c>
      <x:c r="N18" s="11" t="n">
        <x:v>0</x:v>
      </x:c>
      <x:c r="O18" s="11" t="n">
        <x:v>0</x:v>
      </x:c>
    </x:row>
    <x:row r="19" ht="23" customHeight="1">
      <x:c r="A19" s="10" t="str">
        <x:v>M2</x:v>
      </x:c>
      <x:c r="B19" s="10" t="str">
        <x:v>杆状</x:v>
      </x:c>
      <x:c r="C19" s="11" t="n">
        <x:f>'全部组合'!F49</x:f>
        <x:v>913</x:v>
      </x:c>
      <x:c r="D19" s="11" t="n">
        <x:f>SUM(F19:O19)</x:f>
        <x:v>104</x:v>
      </x:c>
      <x:c r="E19" s="12" t="n">
        <x:f>IF(C19=0,"n.a.",D19/C19)</x:f>
        <x:v>0.11391018619934283</x:v>
      </x:c>
      <x:c r="F19" s="11" t="n">
        <x:v>0</x:v>
      </x:c>
      <x:c r="G19" s="11" t="n">
        <x:v>0</x:v>
      </x:c>
      <x:c r="H19" s="11" t="n">
        <x:v>3</x:v>
      </x:c>
      <x:c r="I19" s="11" t="n">
        <x:v>64</x:v>
      </x:c>
      <x:c r="J19" s="11" t="n">
        <x:v>25</x:v>
      </x:c>
      <x:c r="K19" s="11" t="n">
        <x:v>12</x:v>
      </x:c>
      <x:c r="L19" s="11" t="n">
        <x:v>0</x:v>
      </x:c>
      <x:c r="M19" s="11" t="n">
        <x:v>0</x:v>
      </x:c>
      <x:c r="N19" s="11" t="n">
        <x:v>0</x:v>
      </x:c>
      <x:c r="O19" s="11" t="n">
        <x:v>0</x:v>
      </x:c>
    </x:row>
    <x:row r="20" ht="23" customHeight="1">
      <x:c r="A20" s="10" t="str">
        <x:v>M3</x:v>
      </x:c>
      <x:c r="B20" s="10" t="str">
        <x:v>曲面紧凑</x:v>
      </x:c>
      <x:c r="C20" s="11" t="n">
        <x:f>'全部组合'!F72</x:f>
        <x:v>1061</x:v>
      </x:c>
      <x:c r="D20" s="11" t="n">
        <x:f>SUM(F20:O20)</x:f>
        <x:v>361</x:v>
      </x:c>
      <x:c r="E20" s="12" t="n">
        <x:f>IF(C20=0,"n.a.",D20/C20)</x:f>
        <x:v>0.3402450518378888</x:v>
      </x:c>
      <x:c r="F20" s="11" t="n">
        <x:v>0</x:v>
      </x:c>
      <x:c r="G20" s="11" t="n">
        <x:v>6</x:v>
      </x:c>
      <x:c r="H20" s="11" t="n">
        <x:v>227</x:v>
      </x:c>
      <x:c r="I20" s="11" t="n">
        <x:v>122</x:v>
      </x:c>
      <x:c r="J20" s="11" t="n">
        <x:v>6</x:v>
      </x:c>
      <x:c r="K20" s="11" t="n">
        <x:v>0</x:v>
      </x:c>
      <x:c r="L20" s="11" t="n">
        <x:v>0</x:v>
      </x:c>
      <x:c r="M20" s="11" t="n">
        <x:v>0</x:v>
      </x:c>
      <x:c r="N20" s="11" t="n">
        <x:v>0</x:v>
      </x:c>
      <x:c r="O20" s="11" t="n">
        <x:v>0</x:v>
      </x:c>
    </x:row>
    <x:row r="21" ht="23" customHeight="1">
      <x:c r="A21" s="10" t="str">
        <x:v>M3</x:v>
      </x:c>
      <x:c r="B21" s="10" t="str">
        <x:v>局部特征紧凑</x:v>
      </x:c>
      <x:c r="C21" s="11" t="n">
        <x:f>'全部组合'!F72</x:f>
        <x:v>1061</x:v>
      </x:c>
      <x:c r="D21" s="11" t="n">
        <x:f>SUM(F21:O21)</x:f>
        <x:v>23</x:v>
      </x:c>
      <x:c r="E21" s="12" t="n">
        <x:f>IF(C21=0,"n.a.",D21/C21)</x:f>
        <x:v>0.021677662582469368</x:v>
      </x:c>
      <x:c r="F21" s="11" t="n">
        <x:v>0</x:v>
      </x:c>
      <x:c r="G21" s="11" t="n">
        <x:v>0</x:v>
      </x:c>
      <x:c r="H21" s="11" t="n">
        <x:v>12</x:v>
      </x:c>
      <x:c r="I21" s="11" t="n">
        <x:v>11</x:v>
      </x:c>
      <x:c r="J21" s="11" t="n">
        <x:v>0</x:v>
      </x:c>
      <x:c r="K21" s="11" t="n">
        <x:v>0</x:v>
      </x:c>
      <x:c r="L21" s="11" t="n">
        <x:v>0</x:v>
      </x:c>
      <x:c r="M21" s="11" t="n">
        <x:v>0</x:v>
      </x:c>
      <x:c r="N21" s="11" t="n">
        <x:v>0</x:v>
      </x:c>
      <x:c r="O21" s="11" t="n">
        <x:v>0</x:v>
      </x:c>
    </x:row>
    <x:row r="22" ht="23" customHeight="1">
      <x:c r="A22" s="10" t="str">
        <x:v>M3</x:v>
      </x:c>
      <x:c r="B22" s="10" t="str">
        <x:v>简单紧凑</x:v>
      </x:c>
      <x:c r="C22" s="11" t="n">
        <x:f>'全部组合'!F72</x:f>
        <x:v>1061</x:v>
      </x:c>
      <x:c r="D22" s="11" t="n">
        <x:f>SUM(F22:O22)</x:f>
        <x:v>525</x:v>
      </x:c>
      <x:c r="E22" s="12" t="n">
        <x:f>IF(C22=0,"n.a.",D22/C22)</x:f>
        <x:v>0.4948162111215834</x:v>
      </x:c>
      <x:c r="F22" s="11" t="n">
        <x:v>0</x:v>
      </x:c>
      <x:c r="G22" s="11" t="n">
        <x:v>43</x:v>
      </x:c>
      <x:c r="H22" s="11" t="n">
        <x:v>381</x:v>
      </x:c>
      <x:c r="I22" s="11" t="n">
        <x:v>100</x:v>
      </x:c>
      <x:c r="J22" s="11" t="n">
        <x:v>1</x:v>
      </x:c>
      <x:c r="K22" s="11" t="n">
        <x:v>0</x:v>
      </x:c>
      <x:c r="L22" s="11" t="n">
        <x:v>0</x:v>
      </x:c>
      <x:c r="M22" s="11" t="n">
        <x:v>0</x:v>
      </x:c>
      <x:c r="N22" s="11" t="n">
        <x:v>0</x:v>
      </x:c>
      <x:c r="O22" s="11" t="n">
        <x:v>0</x:v>
      </x:c>
    </x:row>
    <x:row r="23" ht="23" customHeight="1">
      <x:c r="A23" s="10" t="str">
        <x:v>M3</x:v>
      </x:c>
      <x:c r="B23" s="10" t="str">
        <x:v>分布复合</x:v>
      </x:c>
      <x:c r="C23" s="11" t="n">
        <x:f>'全部组合'!F72</x:f>
        <x:v>1061</x:v>
      </x:c>
      <x:c r="D23" s="11" t="n">
        <x:f>SUM(F23:O23)</x:f>
        <x:v>31</x:v>
      </x:c>
      <x:c r="E23" s="12" t="n">
        <x:f>IF(C23=0,"n.a.",D23/C23)</x:f>
        <x:v>0.029217719132893498</x:v>
      </x:c>
      <x:c r="F23" s="11" t="n">
        <x:v>0</x:v>
      </x:c>
      <x:c r="G23" s="11" t="n">
        <x:v>0</x:v>
      </x:c>
      <x:c r="H23" s="11" t="n">
        <x:v>0</x:v>
      </x:c>
      <x:c r="I23" s="11" t="n">
        <x:v>17</x:v>
      </x:c>
      <x:c r="J23" s="11" t="n">
        <x:v>12</x:v>
      </x:c>
      <x:c r="K23" s="11" t="n">
        <x:v>2</x:v>
      </x:c>
      <x:c r="L23" s="11" t="n">
        <x:v>0</x:v>
      </x:c>
      <x:c r="M23" s="11" t="n">
        <x:v>0</x:v>
      </x:c>
      <x:c r="N23" s="11" t="n">
        <x:v>0</x:v>
      </x:c>
      <x:c r="O23" s="11" t="n">
        <x:v>0</x:v>
      </x:c>
    </x:row>
    <x:row r="24" ht="23" customHeight="1">
      <x:c r="A24" s="10" t="str">
        <x:v>M3</x:v>
      </x:c>
      <x:c r="B24" s="10" t="str">
        <x:v>细长片状</x:v>
      </x:c>
      <x:c r="C24" s="11" t="n">
        <x:f>'全部组合'!F72</x:f>
        <x:v>1061</x:v>
      </x:c>
      <x:c r="D24" s="11" t="n">
        <x:f>SUM(F24:O24)</x:f>
        <x:v>2</x:v>
      </x:c>
      <x:c r="E24" s="12" t="n">
        <x:f>IF(C24=0,"n.a.",D24/C24)</x:f>
        <x:v>0.001885014137606032</x:v>
      </x:c>
      <x:c r="F24" s="11" t="n">
        <x:v>0</x:v>
      </x:c>
      <x:c r="G24" s="11" t="n">
        <x:v>0</x:v>
      </x:c>
      <x:c r="H24" s="11" t="n">
        <x:v>0</x:v>
      </x:c>
      <x:c r="I24" s="11" t="n">
        <x:v>0</x:v>
      </x:c>
      <x:c r="J24" s="11" t="n">
        <x:v>2</x:v>
      </x:c>
      <x:c r="K24" s="11" t="n">
        <x:v>0</x:v>
      </x:c>
      <x:c r="L24" s="11" t="n">
        <x:v>0</x:v>
      </x:c>
      <x:c r="M24" s="11" t="n">
        <x:v>0</x:v>
      </x:c>
      <x:c r="N24" s="11" t="n">
        <x:v>0</x:v>
      </x:c>
      <x:c r="O24" s="11" t="n">
        <x:v>0</x:v>
      </x:c>
    </x:row>
    <x:row r="25" ht="23" customHeight="1">
      <x:c r="A25" s="10" t="str">
        <x:v>M3</x:v>
      </x:c>
      <x:c r="B25" s="10" t="str">
        <x:v>板状</x:v>
      </x:c>
      <x:c r="C25" s="11" t="n">
        <x:f>'全部组合'!F72</x:f>
        <x:v>1061</x:v>
      </x:c>
      <x:c r="D25" s="11" t="n">
        <x:f>SUM(F25:O25)</x:f>
        <x:v>46</x:v>
      </x:c>
      <x:c r="E25" s="12" t="n">
        <x:f>IF(C25=0,"n.a.",D25/C25)</x:f>
        <x:v>0.043355325164938736</x:v>
      </x:c>
      <x:c r="F25" s="11" t="n">
        <x:v>0</x:v>
      </x:c>
      <x:c r="G25" s="11" t="n">
        <x:v>0</x:v>
      </x:c>
      <x:c r="H25" s="11" t="n">
        <x:v>0</x:v>
      </x:c>
      <x:c r="I25" s="11" t="n">
        <x:v>23</x:v>
      </x:c>
      <x:c r="J25" s="11" t="n">
        <x:v>23</x:v>
      </x:c>
      <x:c r="K25" s="11" t="n">
        <x:v>0</x:v>
      </x:c>
      <x:c r="L25" s="11" t="n">
        <x:v>0</x:v>
      </x:c>
      <x:c r="M25" s="11" t="n">
        <x:v>0</x:v>
      </x:c>
      <x:c r="N25" s="11" t="n">
        <x:v>0</x:v>
      </x:c>
      <x:c r="O25" s="11" t="n">
        <x:v>0</x:v>
      </x:c>
    </x:row>
    <x:row r="26" ht="23" customHeight="1">
      <x:c r="A26" s="10" t="str">
        <x:v>M3</x:v>
      </x:c>
      <x:c r="B26" s="10" t="str">
        <x:v>杆状</x:v>
      </x:c>
      <x:c r="C26" s="11" t="n">
        <x:f>'全部组合'!F72</x:f>
        <x:v>1061</x:v>
      </x:c>
      <x:c r="D26" s="11" t="n">
        <x:f>SUM(F26:O26)</x:f>
        <x:v>73</x:v>
      </x:c>
      <x:c r="E26" s="12" t="n">
        <x:f>IF(C26=0,"n.a.",D26/C26)</x:f>
        <x:v>0.06880301602262016</x:v>
      </x:c>
      <x:c r="F26" s="11" t="n">
        <x:v>0</x:v>
      </x:c>
      <x:c r="G26" s="11" t="n">
        <x:v>0</x:v>
      </x:c>
      <x:c r="H26" s="11" t="n">
        <x:v>5</x:v>
      </x:c>
      <x:c r="I26" s="11" t="n">
        <x:v>51</x:v>
      </x:c>
      <x:c r="J26" s="11" t="n">
        <x:v>15</x:v>
      </x:c>
      <x:c r="K26" s="11" t="n">
        <x:v>2</x:v>
      </x:c>
      <x:c r="L26" s="11" t="n">
        <x:v>0</x:v>
      </x:c>
      <x:c r="M26" s="11" t="n">
        <x:v>0</x:v>
      </x:c>
      <x:c r="N26" s="11" t="n">
        <x:v>0</x:v>
      </x:c>
      <x:c r="O26" s="11" t="n">
        <x:v>0</x:v>
      </x:c>
    </x:row>
    <x:row r="27" ht="23" customHeight="1">
      <x:c r="A27" s="10" t="str">
        <x:v>M4</x:v>
      </x:c>
      <x:c r="B27" s="10" t="str">
        <x:v>曲面紧凑</x:v>
      </x:c>
      <x:c r="C27" s="11" t="n">
        <x:f>'全部组合'!F95</x:f>
        <x:v>4067</x:v>
      </x:c>
      <x:c r="D27" s="11" t="n">
        <x:f>SUM(F27:O27)</x:f>
        <x:v>758</x:v>
      </x:c>
      <x:c r="E27" s="12" t="n">
        <x:f>IF(C27=0,"n.a.",D27/C27)</x:f>
        <x:v>0.18637816572412097</x:v>
      </x:c>
      <x:c r="F27" s="11" t="n">
        <x:v>0</x:v>
      </x:c>
      <x:c r="G27" s="11" t="n">
        <x:v>83</x:v>
      </x:c>
      <x:c r="H27" s="11" t="n">
        <x:v>564</x:v>
      </x:c>
      <x:c r="I27" s="11" t="n">
        <x:v>111</x:v>
      </x:c>
      <x:c r="J27" s="11" t="n">
        <x:v>0</x:v>
      </x:c>
      <x:c r="K27" s="11" t="n">
        <x:v>0</x:v>
      </x:c>
      <x:c r="L27" s="11" t="n">
        <x:v>0</x:v>
      </x:c>
      <x:c r="M27" s="11" t="n">
        <x:v>0</x:v>
      </x:c>
      <x:c r="N27" s="11" t="n">
        <x:v>0</x:v>
      </x:c>
      <x:c r="O27" s="11" t="n">
        <x:v>0</x:v>
      </x:c>
    </x:row>
    <x:row r="28" ht="23" customHeight="1">
      <x:c r="A28" s="10" t="str">
        <x:v>M4</x:v>
      </x:c>
      <x:c r="B28" s="10" t="str">
        <x:v>局部特征紧凑</x:v>
      </x:c>
      <x:c r="C28" s="11" t="n">
        <x:f>'全部组合'!F95</x:f>
        <x:v>4067</x:v>
      </x:c>
      <x:c r="D28" s="11" t="n">
        <x:f>SUM(F28:O28)</x:f>
        <x:v>238</x:v>
      </x:c>
      <x:c r="E28" s="12" t="n">
        <x:f>IF(C28=0,"n.a.",D28/C28)</x:f>
        <x:v>0.058519793459552494</x:v>
      </x:c>
      <x:c r="F28" s="11" t="n">
        <x:v>0</x:v>
      </x:c>
      <x:c r="G28" s="11" t="n">
        <x:v>0</x:v>
      </x:c>
      <x:c r="H28" s="11" t="n">
        <x:v>181</x:v>
      </x:c>
      <x:c r="I28" s="11" t="n">
        <x:v>57</x:v>
      </x:c>
      <x:c r="J28" s="11" t="n">
        <x:v>0</x:v>
      </x:c>
      <x:c r="K28" s="11" t="n">
        <x:v>0</x:v>
      </x:c>
      <x:c r="L28" s="11" t="n">
        <x:v>0</x:v>
      </x:c>
      <x:c r="M28" s="11" t="n">
        <x:v>0</x:v>
      </x:c>
      <x:c r="N28" s="11" t="n">
        <x:v>0</x:v>
      </x:c>
      <x:c r="O28" s="11" t="n">
        <x:v>0</x:v>
      </x:c>
    </x:row>
    <x:row r="29" ht="23" customHeight="1">
      <x:c r="A29" s="10" t="str">
        <x:v>M4</x:v>
      </x:c>
      <x:c r="B29" s="10" t="str">
        <x:v>简单紧凑</x:v>
      </x:c>
      <x:c r="C29" s="11" t="n">
        <x:f>'全部组合'!F95</x:f>
        <x:v>4067</x:v>
      </x:c>
      <x:c r="D29" s="11" t="n">
        <x:f>SUM(F29:O29)</x:f>
        <x:v>761</x:v>
      </x:c>
      <x:c r="E29" s="12" t="n">
        <x:f>IF(C29=0,"n.a.",D29/C29)</x:f>
        <x:v>0.1871158101794935</x:v>
      </x:c>
      <x:c r="F29" s="11" t="n">
        <x:v>0</x:v>
      </x:c>
      <x:c r="G29" s="11" t="n">
        <x:v>207</x:v>
      </x:c>
      <x:c r="H29" s="11" t="n">
        <x:v>475</x:v>
      </x:c>
      <x:c r="I29" s="11" t="n">
        <x:v>79</x:v>
      </x:c>
      <x:c r="J29" s="11" t="n">
        <x:v>0</x:v>
      </x:c>
      <x:c r="K29" s="11" t="n">
        <x:v>0</x:v>
      </x:c>
      <x:c r="L29" s="11" t="n">
        <x:v>0</x:v>
      </x:c>
      <x:c r="M29" s="11" t="n">
        <x:v>0</x:v>
      </x:c>
      <x:c r="N29" s="11" t="n">
        <x:v>0</x:v>
      </x:c>
      <x:c r="O29" s="11" t="n">
        <x:v>0</x:v>
      </x:c>
    </x:row>
    <x:row r="30" ht="23" customHeight="1">
      <x:c r="A30" s="10" t="str">
        <x:v>M4</x:v>
      </x:c>
      <x:c r="B30" s="10" t="str">
        <x:v>分布复合</x:v>
      </x:c>
      <x:c r="C30" s="11" t="n">
        <x:f>'全部组合'!F95</x:f>
        <x:v>4067</x:v>
      </x:c>
      <x:c r="D30" s="11" t="n">
        <x:f>SUM(F30:O30)</x:f>
        <x:v>8</x:v>
      </x:c>
      <x:c r="E30" s="12" t="n">
        <x:f>IF(C30=0,"n.a.",D30/C30)</x:f>
        <x:v>0.001967051880993361</x:v>
      </x:c>
      <x:c r="F30" s="11" t="n">
        <x:v>0</x:v>
      </x:c>
      <x:c r="G30" s="11" t="n">
        <x:v>0</x:v>
      </x:c>
      <x:c r="H30" s="11" t="n">
        <x:v>2</x:v>
      </x:c>
      <x:c r="I30" s="11" t="n">
        <x:v>6</x:v>
      </x:c>
      <x:c r="J30" s="11" t="n">
        <x:v>0</x:v>
      </x:c>
      <x:c r="K30" s="11" t="n">
        <x:v>0</x:v>
      </x:c>
      <x:c r="L30" s="11" t="n">
        <x:v>0</x:v>
      </x:c>
      <x:c r="M30" s="11" t="n">
        <x:v>0</x:v>
      </x:c>
      <x:c r="N30" s="11" t="n">
        <x:v>0</x:v>
      </x:c>
      <x:c r="O30" s="11" t="n">
        <x:v>0</x:v>
      </x:c>
    </x:row>
    <x:row r="31" ht="23" customHeight="1">
      <x:c r="A31" s="10" t="str">
        <x:v>M4</x:v>
      </x:c>
      <x:c r="B31" s="10" t="str">
        <x:v>细长片状</x:v>
      </x:c>
      <x:c r="C31" s="11" t="n">
        <x:f>'全部组合'!F95</x:f>
        <x:v>4067</x:v>
      </x:c>
      <x:c r="D31" s="11" t="n">
        <x:f>SUM(F31:O31)</x:f>
        <x:v>5</x:v>
      </x:c>
      <x:c r="E31" s="12" t="n">
        <x:f>IF(C31=0,"n.a.",D31/C31)</x:f>
        <x:v>0.0012294074256208507</x:v>
      </x:c>
      <x:c r="F31" s="11" t="n">
        <x:v>0</x:v>
      </x:c>
      <x:c r="G31" s="11" t="n">
        <x:v>0</x:v>
      </x:c>
      <x:c r="H31" s="11" t="n">
        <x:v>0</x:v>
      </x:c>
      <x:c r="I31" s="11" t="n">
        <x:v>4</x:v>
      </x:c>
      <x:c r="J31" s="11" t="n">
        <x:v>1</x:v>
      </x:c>
      <x:c r="K31" s="11" t="n">
        <x:v>0</x:v>
      </x:c>
      <x:c r="L31" s="11" t="n">
        <x:v>0</x:v>
      </x:c>
      <x:c r="M31" s="11" t="n">
        <x:v>0</x:v>
      </x:c>
      <x:c r="N31" s="11" t="n">
        <x:v>0</x:v>
      </x:c>
      <x:c r="O31" s="11" t="n">
        <x:v>0</x:v>
      </x:c>
    </x:row>
    <x:row r="32" ht="23" customHeight="1">
      <x:c r="A32" s="10" t="str">
        <x:v>M4</x:v>
      </x:c>
      <x:c r="B32" s="10" t="str">
        <x:v>板状</x:v>
      </x:c>
      <x:c r="C32" s="11" t="n">
        <x:f>'全部组合'!F95</x:f>
        <x:v>4067</x:v>
      </x:c>
      <x:c r="D32" s="11" t="n">
        <x:f>SUM(F32:O32)</x:f>
        <x:v>2211</x:v>
      </x:c>
      <x:c r="E32" s="12" t="n">
        <x:f>IF(C32=0,"n.a.",D32/C32)</x:f>
        <x:v>0.5436439636095401</x:v>
      </x:c>
      <x:c r="F32" s="11" t="n">
        <x:v>0</x:v>
      </x:c>
      <x:c r="G32" s="11" t="n">
        <x:v>2</x:v>
      </x:c>
      <x:c r="H32" s="11" t="n">
        <x:v>2101</x:v>
      </x:c>
      <x:c r="I32" s="11" t="n">
        <x:v>98</x:v>
      </x:c>
      <x:c r="J32" s="11" t="n">
        <x:v>10</x:v>
      </x:c>
      <x:c r="K32" s="11" t="n">
        <x:v>0</x:v>
      </x:c>
      <x:c r="L32" s="11" t="n">
        <x:v>0</x:v>
      </x:c>
      <x:c r="M32" s="11" t="n">
        <x:v>0</x:v>
      </x:c>
      <x:c r="N32" s="11" t="n">
        <x:v>0</x:v>
      </x:c>
      <x:c r="O32" s="11" t="n">
        <x:v>0</x:v>
      </x:c>
    </x:row>
    <x:row r="33" ht="23" customHeight="1">
      <x:c r="A33" s="10" t="str">
        <x:v>M4</x:v>
      </x:c>
      <x:c r="B33" s="10" t="str">
        <x:v>杆状</x:v>
      </x:c>
      <x:c r="C33" s="11" t="n">
        <x:f>'全部组合'!F95</x:f>
        <x:v>4067</x:v>
      </x:c>
      <x:c r="D33" s="11" t="n">
        <x:f>SUM(F33:O33)</x:f>
        <x:v>86</x:v>
      </x:c>
      <x:c r="E33" s="12" t="n">
        <x:f>IF(C33=0,"n.a.",D33/C33)</x:f>
        <x:v>0.021145807720678634</x:v>
      </x:c>
      <x:c r="F33" s="11" t="n">
        <x:v>0</x:v>
      </x:c>
      <x:c r="G33" s="11" t="n">
        <x:v>0</x:v>
      </x:c>
      <x:c r="H33" s="11" t="n">
        <x:v>20</x:v>
      </x:c>
      <x:c r="I33" s="11" t="n">
        <x:v>50</x:v>
      </x:c>
      <x:c r="J33" s="11" t="n">
        <x:v>16</x:v>
      </x:c>
      <x:c r="K33" s="11" t="n">
        <x:v>0</x:v>
      </x:c>
      <x:c r="L33" s="11" t="n">
        <x:v>0</x:v>
      </x:c>
      <x:c r="M33" s="11" t="n">
        <x:v>0</x:v>
      </x:c>
      <x:c r="N33" s="11" t="n">
        <x:v>0</x:v>
      </x:c>
      <x:c r="O33" s="11" t="n">
        <x:v>0</x:v>
      </x:c>
    </x:row>
    <x:row r="34" ht="23" customHeight="1">
      <x:c r="A34" s="10" t="str">
        <x:v>M5</x:v>
      </x:c>
      <x:c r="B34" s="10" t="str">
        <x:v>曲面紧凑</x:v>
      </x:c>
      <x:c r="C34" s="11" t="n">
        <x:f>'全部组合'!F118</x:f>
        <x:v>1131</x:v>
      </x:c>
      <x:c r="D34" s="11" t="n">
        <x:f>SUM(F34:O34)</x:f>
        <x:v>341</x:v>
      </x:c>
      <x:c r="E34" s="12" t="n">
        <x:f>IF(C34=0,"n.a.",D34/C34)</x:f>
        <x:v>0.3015030946065429</x:v>
      </x:c>
      <x:c r="F34" s="11" t="n">
        <x:v>0</x:v>
      </x:c>
      <x:c r="G34" s="11" t="n">
        <x:v>24</x:v>
      </x:c>
      <x:c r="H34" s="11" t="n">
        <x:v>235</x:v>
      </x:c>
      <x:c r="I34" s="11" t="n">
        <x:v>80</x:v>
      </x:c>
      <x:c r="J34" s="11" t="n">
        <x:v>2</x:v>
      </x:c>
      <x:c r="K34" s="11" t="n">
        <x:v>0</x:v>
      </x:c>
      <x:c r="L34" s="11" t="n">
        <x:v>0</x:v>
      </x:c>
      <x:c r="M34" s="11" t="n">
        <x:v>0</x:v>
      </x:c>
      <x:c r="N34" s="11" t="n">
        <x:v>0</x:v>
      </x:c>
      <x:c r="O34" s="11" t="n">
        <x:v>0</x:v>
      </x:c>
    </x:row>
    <x:row r="35" ht="23" customHeight="1">
      <x:c r="A35" s="10" t="str">
        <x:v>M5</x:v>
      </x:c>
      <x:c r="B35" s="10" t="str">
        <x:v>局部特征紧凑</x:v>
      </x:c>
      <x:c r="C35" s="11" t="n">
        <x:f>'全部组合'!F118</x:f>
        <x:v>1131</x:v>
      </x:c>
      <x:c r="D35" s="11" t="n">
        <x:f>SUM(F35:O35)</x:f>
        <x:v>73</x:v>
      </x:c>
      <x:c r="E35" s="12" t="n">
        <x:f>IF(C35=0,"n.a.",D35/C35)</x:f>
        <x:v>0.0645446507515473</x:v>
      </x:c>
      <x:c r="F35" s="11" t="n">
        <x:v>0</x:v>
      </x:c>
      <x:c r="G35" s="11" t="n">
        <x:v>0</x:v>
      </x:c>
      <x:c r="H35" s="11" t="n">
        <x:v>34</x:v>
      </x:c>
      <x:c r="I35" s="11" t="n">
        <x:v>38</x:v>
      </x:c>
      <x:c r="J35" s="11" t="n">
        <x:v>1</x:v>
      </x:c>
      <x:c r="K35" s="11" t="n">
        <x:v>0</x:v>
      </x:c>
      <x:c r="L35" s="11" t="n">
        <x:v>0</x:v>
      </x:c>
      <x:c r="M35" s="11" t="n">
        <x:v>0</x:v>
      </x:c>
      <x:c r="N35" s="11" t="n">
        <x:v>0</x:v>
      </x:c>
      <x:c r="O35" s="11" t="n">
        <x:v>0</x:v>
      </x:c>
    </x:row>
    <x:row r="36" ht="23" customHeight="1">
      <x:c r="A36" s="10" t="str">
        <x:v>M5</x:v>
      </x:c>
      <x:c r="B36" s="10" t="str">
        <x:v>简单紧凑</x:v>
      </x:c>
      <x:c r="C36" s="11" t="n">
        <x:f>'全部组合'!F118</x:f>
        <x:v>1131</x:v>
      </x:c>
      <x:c r="D36" s="11" t="n">
        <x:f>SUM(F36:O36)</x:f>
        <x:v>401</x:v>
      </x:c>
      <x:c r="E36" s="12" t="n">
        <x:f>IF(C36=0,"n.a.",D36/C36)</x:f>
        <x:v>0.35455349248452694</x:v>
      </x:c>
      <x:c r="F36" s="11" t="n">
        <x:v>0</x:v>
      </x:c>
      <x:c r="G36" s="11" t="n">
        <x:v>89</x:v>
      </x:c>
      <x:c r="H36" s="11" t="n">
        <x:v>275</x:v>
      </x:c>
      <x:c r="I36" s="11" t="n">
        <x:v>36</x:v>
      </x:c>
      <x:c r="J36" s="11" t="n">
        <x:v>1</x:v>
      </x:c>
      <x:c r="K36" s="11" t="n">
        <x:v>0</x:v>
      </x:c>
      <x:c r="L36" s="11" t="n">
        <x:v>0</x:v>
      </x:c>
      <x:c r="M36" s="11" t="n">
        <x:v>0</x:v>
      </x:c>
      <x:c r="N36" s="11" t="n">
        <x:v>0</x:v>
      </x:c>
      <x:c r="O36" s="11" t="n">
        <x:v>0</x:v>
      </x:c>
    </x:row>
    <x:row r="37" ht="23" customHeight="1">
      <x:c r="A37" s="10" t="str">
        <x:v>M5</x:v>
      </x:c>
      <x:c r="B37" s="10" t="str">
        <x:v>分布复合</x:v>
      </x:c>
      <x:c r="C37" s="11" t="n">
        <x:f>'全部组合'!F118</x:f>
        <x:v>1131</x:v>
      </x:c>
      <x:c r="D37" s="11" t="n">
        <x:f>SUM(F37:O37)</x:f>
        <x:v>135</x:v>
      </x:c>
      <x:c r="E37" s="12" t="n">
        <x:f>IF(C37=0,"n.a.",D37/C37)</x:f>
        <x:v>0.11936339522546419</x:v>
      </x:c>
      <x:c r="F37" s="11" t="n">
        <x:v>0</x:v>
      </x:c>
      <x:c r="G37" s="11" t="n">
        <x:v>0</x:v>
      </x:c>
      <x:c r="H37" s="11" t="n">
        <x:v>1</x:v>
      </x:c>
      <x:c r="I37" s="11" t="n">
        <x:v>14</x:v>
      </x:c>
      <x:c r="J37" s="11" t="n">
        <x:v>120</x:v>
      </x:c>
      <x:c r="K37" s="11" t="n">
        <x:v>0</x:v>
      </x:c>
      <x:c r="L37" s="11" t="n">
        <x:v>0</x:v>
      </x:c>
      <x:c r="M37" s="11" t="n">
        <x:v>0</x:v>
      </x:c>
      <x:c r="N37" s="11" t="n">
        <x:v>0</x:v>
      </x:c>
      <x:c r="O37" s="11" t="n">
        <x:v>0</x:v>
      </x:c>
    </x:row>
    <x:row r="38" ht="23" customHeight="1">
      <x:c r="A38" s="10" t="str">
        <x:v>M5</x:v>
      </x:c>
      <x:c r="B38" s="10" t="str">
        <x:v>细长片状</x:v>
      </x:c>
      <x:c r="C38" s="11" t="n">
        <x:f>'全部组合'!F118</x:f>
        <x:v>1131</x:v>
      </x:c>
      <x:c r="D38" s="11" t="n">
        <x:f>SUM(F38:O38)</x:f>
        <x:v>3</x:v>
      </x:c>
      <x:c r="E38" s="12" t="n">
        <x:f>IF(C38=0,"n.a.",D38/C38)</x:f>
        <x:v>0.002652519893899204</x:v>
      </x:c>
      <x:c r="F38" s="11" t="n">
        <x:v>0</x:v>
      </x:c>
      <x:c r="G38" s="11" t="n">
        <x:v>0</x:v>
      </x:c>
      <x:c r="H38" s="11" t="n">
        <x:v>0</x:v>
      </x:c>
      <x:c r="I38" s="11" t="n">
        <x:v>1</x:v>
      </x:c>
      <x:c r="J38" s="11" t="n">
        <x:v>2</x:v>
      </x:c>
      <x:c r="K38" s="11" t="n">
        <x:v>0</x:v>
      </x:c>
      <x:c r="L38" s="11" t="n">
        <x:v>0</x:v>
      </x:c>
      <x:c r="M38" s="11" t="n">
        <x:v>0</x:v>
      </x:c>
      <x:c r="N38" s="11" t="n">
        <x:v>0</x:v>
      </x:c>
      <x:c r="O38" s="11" t="n">
        <x:v>0</x:v>
      </x:c>
    </x:row>
    <x:row r="39" ht="23" customHeight="1">
      <x:c r="A39" s="10" t="str">
        <x:v>M5</x:v>
      </x:c>
      <x:c r="B39" s="10" t="str">
        <x:v>板状</x:v>
      </x:c>
      <x:c r="C39" s="11" t="n">
        <x:f>'全部组合'!F118</x:f>
        <x:v>1131</x:v>
      </x:c>
      <x:c r="D39" s="11" t="n">
        <x:f>SUM(F39:O39)</x:f>
        <x:v>99</x:v>
      </x:c>
      <x:c r="E39" s="12" t="n">
        <x:f>IF(C39=0,"n.a.",D39/C39)</x:f>
        <x:v>0.08753315649867374</x:v>
      </x:c>
      <x:c r="F39" s="11" t="n">
        <x:v>0</x:v>
      </x:c>
      <x:c r="G39" s="11" t="n">
        <x:v>1</x:v>
      </x:c>
      <x:c r="H39" s="11" t="n">
        <x:v>12</x:v>
      </x:c>
      <x:c r="I39" s="11" t="n">
        <x:v>55</x:v>
      </x:c>
      <x:c r="J39" s="11" t="n">
        <x:v>31</x:v>
      </x:c>
      <x:c r="K39" s="11" t="n">
        <x:v>0</x:v>
      </x:c>
      <x:c r="L39" s="11" t="n">
        <x:v>0</x:v>
      </x:c>
      <x:c r="M39" s="11" t="n">
        <x:v>0</x:v>
      </x:c>
      <x:c r="N39" s="11" t="n">
        <x:v>0</x:v>
      </x:c>
      <x:c r="O39" s="11" t="n">
        <x:v>0</x:v>
      </x:c>
    </x:row>
    <x:row r="40" ht="23" customHeight="1">
      <x:c r="A40" s="10" t="str">
        <x:v>M5</x:v>
      </x:c>
      <x:c r="B40" s="10" t="str">
        <x:v>杆状</x:v>
      </x:c>
      <x:c r="C40" s="11" t="n">
        <x:f>'全部组合'!F118</x:f>
        <x:v>1131</x:v>
      </x:c>
      <x:c r="D40" s="11" t="n">
        <x:f>SUM(F40:O40)</x:f>
        <x:v>79</x:v>
      </x:c>
      <x:c r="E40" s="12" t="n">
        <x:f>IF(C40=0,"n.a.",D40/C40)</x:f>
        <x:v>0.06984969053934571</x:v>
      </x:c>
      <x:c r="F40" s="11" t="n">
        <x:v>0</x:v>
      </x:c>
      <x:c r="G40" s="11" t="n">
        <x:v>0</x:v>
      </x:c>
      <x:c r="H40" s="11" t="n">
        <x:v>23</x:v>
      </x:c>
      <x:c r="I40" s="11" t="n">
        <x:v>47</x:v>
      </x:c>
      <x:c r="J40" s="11" t="n">
        <x:v>9</x:v>
      </x:c>
      <x:c r="K40" s="11" t="n">
        <x:v>0</x:v>
      </x:c>
      <x:c r="L40" s="11" t="n">
        <x:v>0</x:v>
      </x:c>
      <x:c r="M40" s="11" t="n">
        <x:v>0</x:v>
      </x:c>
      <x:c r="N40" s="11" t="n">
        <x:v>0</x:v>
      </x:c>
      <x:c r="O40" s="11" t="n">
        <x:v>0</x:v>
      </x:c>
    </x:row>
    <x:row r="41" ht="23" customHeight="1">
      <x:c r="A41" s="10" t="str">
        <x:v>M6</x:v>
      </x:c>
      <x:c r="B41" s="10" t="str">
        <x:v>曲面紧凑</x:v>
      </x:c>
      <x:c r="C41" s="11" t="n">
        <x:f>'全部组合'!F141</x:f>
        <x:v>1884</x:v>
      </x:c>
      <x:c r="D41" s="11" t="n">
        <x:f>SUM(F41:O41)</x:f>
        <x:v>641</x:v>
      </x:c>
      <x:c r="E41" s="12" t="n">
        <x:f>IF(C41=0,"n.a.",D41/C41)</x:f>
        <x:v>0.34023354564755837</x:v>
      </x:c>
      <x:c r="F41" s="11" t="n">
        <x:v>0</x:v>
      </x:c>
      <x:c r="G41" s="11" t="n">
        <x:v>115</x:v>
      </x:c>
      <x:c r="H41" s="11" t="n">
        <x:v>491</x:v>
      </x:c>
      <x:c r="I41" s="11" t="n">
        <x:v>35</x:v>
      </x:c>
      <x:c r="J41" s="11" t="n">
        <x:v>0</x:v>
      </x:c>
      <x:c r="K41" s="11" t="n">
        <x:v>0</x:v>
      </x:c>
      <x:c r="L41" s="11" t="n">
        <x:v>0</x:v>
      </x:c>
      <x:c r="M41" s="11" t="n">
        <x:v>0</x:v>
      </x:c>
      <x:c r="N41" s="11" t="n">
        <x:v>0</x:v>
      </x:c>
      <x:c r="O41" s="11" t="n">
        <x:v>0</x:v>
      </x:c>
    </x:row>
    <x:row r="42" ht="23" customHeight="1">
      <x:c r="A42" s="10" t="str">
        <x:v>M6</x:v>
      </x:c>
      <x:c r="B42" s="10" t="str">
        <x:v>局部特征紧凑</x:v>
      </x:c>
      <x:c r="C42" s="11" t="n">
        <x:f>'全部组合'!F141</x:f>
        <x:v>1884</x:v>
      </x:c>
      <x:c r="D42" s="11" t="n">
        <x:f>SUM(F42:O42)</x:f>
        <x:v>136</x:v>
      </x:c>
      <x:c r="E42" s="12" t="n">
        <x:f>IF(C42=0,"n.a.",D42/C42)</x:f>
        <x:v>0.07218683651804671</x:v>
      </x:c>
      <x:c r="F42" s="11" t="n">
        <x:v>0</x:v>
      </x:c>
      <x:c r="G42" s="11" t="n">
        <x:v>0</x:v>
      </x:c>
      <x:c r="H42" s="11" t="n">
        <x:v>103</x:v>
      </x:c>
      <x:c r="I42" s="11" t="n">
        <x:v>33</x:v>
      </x:c>
      <x:c r="J42" s="11" t="n">
        <x:v>0</x:v>
      </x:c>
      <x:c r="K42" s="11" t="n">
        <x:v>0</x:v>
      </x:c>
      <x:c r="L42" s="11" t="n">
        <x:v>0</x:v>
      </x:c>
      <x:c r="M42" s="11" t="n">
        <x:v>0</x:v>
      </x:c>
      <x:c r="N42" s="11" t="n">
        <x:v>0</x:v>
      </x:c>
      <x:c r="O42" s="11" t="n">
        <x:v>0</x:v>
      </x:c>
    </x:row>
    <x:row r="43" ht="23" customHeight="1">
      <x:c r="A43" s="10" t="str">
        <x:v>M6</x:v>
      </x:c>
      <x:c r="B43" s="10" t="str">
        <x:v>简单紧凑</x:v>
      </x:c>
      <x:c r="C43" s="11" t="n">
        <x:f>'全部组合'!F141</x:f>
        <x:v>1884</x:v>
      </x:c>
      <x:c r="D43" s="11" t="n">
        <x:f>SUM(F43:O43)</x:f>
        <x:v>485</x:v>
      </x:c>
      <x:c r="E43" s="12" t="n">
        <x:f>IF(C43=0,"n.a.",D43/C43)</x:f>
        <x:v>0.25743099787685775</x:v>
      </x:c>
      <x:c r="F43" s="11" t="n">
        <x:v>0</x:v>
      </x:c>
      <x:c r="G43" s="11" t="n">
        <x:v>152</x:v>
      </x:c>
      <x:c r="H43" s="11" t="n">
        <x:v>309</x:v>
      </x:c>
      <x:c r="I43" s="11" t="n">
        <x:v>24</x:v>
      </x:c>
      <x:c r="J43" s="11" t="n">
        <x:v>0</x:v>
      </x:c>
      <x:c r="K43" s="11" t="n">
        <x:v>0</x:v>
      </x:c>
      <x:c r="L43" s="11" t="n">
        <x:v>0</x:v>
      </x:c>
      <x:c r="M43" s="11" t="n">
        <x:v>0</x:v>
      </x:c>
      <x:c r="N43" s="11" t="n">
        <x:v>0</x:v>
      </x:c>
      <x:c r="O43" s="11" t="n">
        <x:v>0</x:v>
      </x:c>
    </x:row>
    <x:row r="44" ht="23" customHeight="1">
      <x:c r="A44" s="10" t="str">
        <x:v>M6</x:v>
      </x:c>
      <x:c r="B44" s="10" t="str">
        <x:v>分布复合</x:v>
      </x:c>
      <x:c r="C44" s="11" t="n">
        <x:f>'全部组合'!F141</x:f>
        <x:v>1884</x:v>
      </x:c>
      <x:c r="D44" s="11" t="n">
        <x:f>SUM(F44:O44)</x:f>
        <x:v>50</x:v>
      </x:c>
      <x:c r="E44" s="12" t="n">
        <x:f>IF(C44=0,"n.a.",D44/C44)</x:f>
        <x:v>0.02653927813163482</x:v>
      </x:c>
      <x:c r="F44" s="11" t="n">
        <x:v>0</x:v>
      </x:c>
      <x:c r="G44" s="11" t="n">
        <x:v>0</x:v>
      </x:c>
      <x:c r="H44" s="11" t="n">
        <x:v>7</x:v>
      </x:c>
      <x:c r="I44" s="11" t="n">
        <x:v>31</x:v>
      </x:c>
      <x:c r="J44" s="11" t="n">
        <x:v>8</x:v>
      </x:c>
      <x:c r="K44" s="11" t="n">
        <x:v>3</x:v>
      </x:c>
      <x:c r="L44" s="11" t="n">
        <x:v>1</x:v>
      </x:c>
      <x:c r="M44" s="11" t="n">
        <x:v>0</x:v>
      </x:c>
      <x:c r="N44" s="11" t="n">
        <x:v>0</x:v>
      </x:c>
      <x:c r="O44" s="11" t="n">
        <x:v>0</x:v>
      </x:c>
    </x:row>
    <x:row r="45" ht="23" customHeight="1">
      <x:c r="A45" s="10" t="str">
        <x:v>M6</x:v>
      </x:c>
      <x:c r="B45" s="10" t="str">
        <x:v>细长片状</x:v>
      </x:c>
      <x:c r="C45" s="11" t="n">
        <x:f>'全部组合'!F141</x:f>
        <x:v>1884</x:v>
      </x:c>
      <x:c r="D45" s="11" t="n">
        <x:f>SUM(F45:O45)</x:f>
        <x:v>2</x:v>
      </x:c>
      <x:c r="E45" s="12" t="n">
        <x:f>IF(C45=0,"n.a.",D45/C45)</x:f>
        <x:v>0.0010615711252653928</x:v>
      </x:c>
      <x:c r="F45" s="11" t="n">
        <x:v>0</x:v>
      </x:c>
      <x:c r="G45" s="11" t="n">
        <x:v>0</x:v>
      </x:c>
      <x:c r="H45" s="11" t="n">
        <x:v>0</x:v>
      </x:c>
      <x:c r="I45" s="11" t="n">
        <x:v>0</x:v>
      </x:c>
      <x:c r="J45" s="11" t="n">
        <x:v>2</x:v>
      </x:c>
      <x:c r="K45" s="11" t="n">
        <x:v>0</x:v>
      </x:c>
      <x:c r="L45" s="11" t="n">
        <x:v>0</x:v>
      </x:c>
      <x:c r="M45" s="11" t="n">
        <x:v>0</x:v>
      </x:c>
      <x:c r="N45" s="11" t="n">
        <x:v>0</x:v>
      </x:c>
      <x:c r="O45" s="11" t="n">
        <x:v>0</x:v>
      </x:c>
    </x:row>
    <x:row r="46" ht="23" customHeight="1">
      <x:c r="A46" s="10" t="str">
        <x:v>M6</x:v>
      </x:c>
      <x:c r="B46" s="10" t="str">
        <x:v>板状</x:v>
      </x:c>
      <x:c r="C46" s="11" t="n">
        <x:f>'全部组合'!F141</x:f>
        <x:v>1884</x:v>
      </x:c>
      <x:c r="D46" s="11" t="n">
        <x:f>SUM(F46:O46)</x:f>
        <x:v>392</x:v>
      </x:c>
      <x:c r="E46" s="12" t="n">
        <x:f>IF(C46=0,"n.a.",D46/C46)</x:f>
        <x:v>0.208067940552017</x:v>
      </x:c>
      <x:c r="F46" s="11" t="n">
        <x:v>0</x:v>
      </x:c>
      <x:c r="G46" s="11" t="n">
        <x:v>27</x:v>
      </x:c>
      <x:c r="H46" s="11" t="n">
        <x:v>112</x:v>
      </x:c>
      <x:c r="I46" s="11" t="n">
        <x:v>187</x:v>
      </x:c>
      <x:c r="J46" s="11" t="n">
        <x:v>66</x:v>
      </x:c>
      <x:c r="K46" s="11" t="n">
        <x:v>0</x:v>
      </x:c>
      <x:c r="L46" s="11" t="n">
        <x:v>0</x:v>
      </x:c>
      <x:c r="M46" s="11" t="n">
        <x:v>0</x:v>
      </x:c>
      <x:c r="N46" s="11" t="n">
        <x:v>0</x:v>
      </x:c>
      <x:c r="O46" s="11" t="n">
        <x:v>0</x:v>
      </x:c>
    </x:row>
    <x:row r="47" ht="23" customHeight="1">
      <x:c r="A47" s="10" t="str">
        <x:v>M6</x:v>
      </x:c>
      <x:c r="B47" s="10" t="str">
        <x:v>杆状</x:v>
      </x:c>
      <x:c r="C47" s="11" t="n">
        <x:f>'全部组合'!F141</x:f>
        <x:v>1884</x:v>
      </x:c>
      <x:c r="D47" s="11" t="n">
        <x:f>SUM(F47:O47)</x:f>
        <x:v>178</x:v>
      </x:c>
      <x:c r="E47" s="12" t="n">
        <x:f>IF(C47=0,"n.a.",D47/C47)</x:f>
        <x:v>0.09447983014861996</x:v>
      </x:c>
      <x:c r="F47" s="11" t="n">
        <x:v>0</x:v>
      </x:c>
      <x:c r="G47" s="11" t="n">
        <x:v>0</x:v>
      </x:c>
      <x:c r="H47" s="11" t="n">
        <x:v>55</x:v>
      </x:c>
      <x:c r="I47" s="11" t="n">
        <x:v>101</x:v>
      </x:c>
      <x:c r="J47" s="11" t="n">
        <x:v>21</x:v>
      </x:c>
      <x:c r="K47" s="11" t="n">
        <x:v>1</x:v>
      </x:c>
      <x:c r="L47" s="11" t="n">
        <x:v>0</x:v>
      </x:c>
      <x:c r="M47" s="11" t="n">
        <x:v>0</x:v>
      </x:c>
      <x:c r="N47" s="11" t="n">
        <x:v>0</x:v>
      </x:c>
      <x:c r="O47" s="11" t="n">
        <x:v>0</x:v>
      </x:c>
    </x:row>
    <x:row r="48" ht="23" customHeight="1">
      <x:c r="A48" s="10" t="str">
        <x:v>M7</x:v>
      </x:c>
      <x:c r="B48" s="10" t="str">
        <x:v>曲面紧凑</x:v>
      </x:c>
      <x:c r="C48" s="11" t="n">
        <x:f>'全部组合'!F164</x:f>
        <x:v>885</x:v>
      </x:c>
      <x:c r="D48" s="11" t="n">
        <x:f>SUM(F48:O48)</x:f>
        <x:v>516</x:v>
      </x:c>
      <x:c r="E48" s="12" t="n">
        <x:f>IF(C48=0,"n.a.",D48/C48)</x:f>
        <x:v>0.5830508474576271</x:v>
      </x:c>
      <x:c r="F48" s="11" t="n">
        <x:v>0</x:v>
      </x:c>
      <x:c r="G48" s="11" t="n">
        <x:v>23</x:v>
      </x:c>
      <x:c r="H48" s="11" t="n">
        <x:v>489</x:v>
      </x:c>
      <x:c r="I48" s="11" t="n">
        <x:v>4</x:v>
      </x:c>
      <x:c r="J48" s="11" t="n">
        <x:v>0</x:v>
      </x:c>
      <x:c r="K48" s="11" t="n">
        <x:v>0</x:v>
      </x:c>
      <x:c r="L48" s="11" t="n">
        <x:v>0</x:v>
      </x:c>
      <x:c r="M48" s="11" t="n">
        <x:v>0</x:v>
      </x:c>
      <x:c r="N48" s="11" t="n">
        <x:v>0</x:v>
      </x:c>
      <x:c r="O48" s="11" t="n">
        <x:v>0</x:v>
      </x:c>
    </x:row>
    <x:row r="49" ht="23" customHeight="1">
      <x:c r="A49" s="10" t="str">
        <x:v>M7</x:v>
      </x:c>
      <x:c r="B49" s="10" t="str">
        <x:v>局部特征紧凑</x:v>
      </x:c>
      <x:c r="C49" s="11" t="n">
        <x:f>'全部组合'!F164</x:f>
        <x:v>885</x:v>
      </x:c>
      <x:c r="D49" s="11" t="n">
        <x:f>SUM(F49:O49)</x:f>
        <x:v>4</x:v>
      </x:c>
      <x:c r="E49" s="12" t="n">
        <x:f>IF(C49=0,"n.a.",D49/C49)</x:f>
        <x:v>0.004519774011299435</x:v>
      </x:c>
      <x:c r="F49" s="11" t="n">
        <x:v>0</x:v>
      </x:c>
      <x:c r="G49" s="11" t="n">
        <x:v>0</x:v>
      </x:c>
      <x:c r="H49" s="11" t="n">
        <x:v>3</x:v>
      </x:c>
      <x:c r="I49" s="11" t="n">
        <x:v>0</x:v>
      </x:c>
      <x:c r="J49" s="11" t="n">
        <x:v>1</x:v>
      </x:c>
      <x:c r="K49" s="11" t="n">
        <x:v>0</x:v>
      </x:c>
      <x:c r="L49" s="11" t="n">
        <x:v>0</x:v>
      </x:c>
      <x:c r="M49" s="11" t="n">
        <x:v>0</x:v>
      </x:c>
      <x:c r="N49" s="11" t="n">
        <x:v>0</x:v>
      </x:c>
      <x:c r="O49" s="11" t="n">
        <x:v>0</x:v>
      </x:c>
    </x:row>
    <x:row r="50" ht="23" customHeight="1">
      <x:c r="A50" s="10" t="str">
        <x:v>M7</x:v>
      </x:c>
      <x:c r="B50" s="10" t="str">
        <x:v>简单紧凑</x:v>
      </x:c>
      <x:c r="C50" s="11" t="n">
        <x:f>'全部组合'!F164</x:f>
        <x:v>885</x:v>
      </x:c>
      <x:c r="D50" s="11" t="n">
        <x:f>SUM(F50:O50)</x:f>
        <x:v>197</x:v>
      </x:c>
      <x:c r="E50" s="12" t="n">
        <x:f>IF(C50=0,"n.a.",D50/C50)</x:f>
        <x:v>0.22259887005649717</x:v>
      </x:c>
      <x:c r="F50" s="11" t="n">
        <x:v>0</x:v>
      </x:c>
      <x:c r="G50" s="11" t="n">
        <x:v>27</x:v>
      </x:c>
      <x:c r="H50" s="11" t="n">
        <x:v>157</x:v>
      </x:c>
      <x:c r="I50" s="11" t="n">
        <x:v>13</x:v>
      </x:c>
      <x:c r="J50" s="11" t="n">
        <x:v>0</x:v>
      </x:c>
      <x:c r="K50" s="11" t="n">
        <x:v>0</x:v>
      </x:c>
      <x:c r="L50" s="11" t="n">
        <x:v>0</x:v>
      </x:c>
      <x:c r="M50" s="11" t="n">
        <x:v>0</x:v>
      </x:c>
      <x:c r="N50" s="11" t="n">
        <x:v>0</x:v>
      </x:c>
      <x:c r="O50" s="11" t="n">
        <x:v>0</x:v>
      </x:c>
    </x:row>
    <x:row r="51" ht="23" customHeight="1">
      <x:c r="A51" s="10" t="str">
        <x:v>M7</x:v>
      </x:c>
      <x:c r="B51" s="10" t="str">
        <x:v>分布复合</x:v>
      </x:c>
      <x:c r="C51" s="11" t="n">
        <x:f>'全部组合'!F164</x:f>
        <x:v>885</x:v>
      </x:c>
      <x:c r="D51" s="11" t="n">
        <x:f>SUM(F51:O51)</x:f>
        <x:v>40</x:v>
      </x:c>
      <x:c r="E51" s="12" t="n">
        <x:f>IF(C51=0,"n.a.",D51/C51)</x:f>
        <x:v>0.04519774011299435</x:v>
      </x:c>
      <x:c r="F51" s="11" t="n">
        <x:v>0</x:v>
      </x:c>
      <x:c r="G51" s="11" t="n">
        <x:v>0</x:v>
      </x:c>
      <x:c r="H51" s="11" t="n">
        <x:v>1</x:v>
      </x:c>
      <x:c r="I51" s="11" t="n">
        <x:v>6</x:v>
      </x:c>
      <x:c r="J51" s="11" t="n">
        <x:v>28</x:v>
      </x:c>
      <x:c r="K51" s="11" t="n">
        <x:v>5</x:v>
      </x:c>
      <x:c r="L51" s="11" t="n">
        <x:v>0</x:v>
      </x:c>
      <x:c r="M51" s="11" t="n">
        <x:v>0</x:v>
      </x:c>
      <x:c r="N51" s="11" t="n">
        <x:v>0</x:v>
      </x:c>
      <x:c r="O51" s="11" t="n">
        <x:v>0</x:v>
      </x:c>
    </x:row>
    <x:row r="52" ht="23" customHeight="1">
      <x:c r="A52" s="10" t="str">
        <x:v>M7</x:v>
      </x:c>
      <x:c r="B52" s="10" t="str">
        <x:v>细长片状</x:v>
      </x:c>
      <x:c r="C52" s="11" t="n">
        <x:f>'全部组合'!F164</x:f>
        <x:v>885</x:v>
      </x:c>
      <x:c r="D52" s="11" t="n">
        <x:f>SUM(F52:O52)</x:f>
        <x:v>5</x:v>
      </x:c>
      <x:c r="E52" s="12" t="n">
        <x:f>IF(C52=0,"n.a.",D52/C52)</x:f>
        <x:v>0.005649717514124294</x:v>
      </x:c>
      <x:c r="F52" s="11" t="n">
        <x:v>0</x:v>
      </x:c>
      <x:c r="G52" s="11" t="n">
        <x:v>0</x:v>
      </x:c>
      <x:c r="H52" s="11" t="n">
        <x:v>0</x:v>
      </x:c>
      <x:c r="I52" s="11" t="n">
        <x:v>2</x:v>
      </x:c>
      <x:c r="J52" s="11" t="n">
        <x:v>3</x:v>
      </x:c>
      <x:c r="K52" s="11" t="n">
        <x:v>0</x:v>
      </x:c>
      <x:c r="L52" s="11" t="n">
        <x:v>0</x:v>
      </x:c>
      <x:c r="M52" s="11" t="n">
        <x:v>0</x:v>
      </x:c>
      <x:c r="N52" s="11" t="n">
        <x:v>0</x:v>
      </x:c>
      <x:c r="O52" s="11" t="n">
        <x:v>0</x:v>
      </x:c>
    </x:row>
    <x:row r="53" ht="23" customHeight="1">
      <x:c r="A53" s="10" t="str">
        <x:v>M7</x:v>
      </x:c>
      <x:c r="B53" s="10" t="str">
        <x:v>板状</x:v>
      </x:c>
      <x:c r="C53" s="11" t="n">
        <x:f>'全部组合'!F164</x:f>
        <x:v>885</x:v>
      </x:c>
      <x:c r="D53" s="11" t="n">
        <x:f>SUM(F53:O53)</x:f>
        <x:v>103</x:v>
      </x:c>
      <x:c r="E53" s="12" t="n">
        <x:f>IF(C53=0,"n.a.",D53/C53)</x:f>
        <x:v>0.11638418079096045</x:v>
      </x:c>
      <x:c r="F53" s="11" t="n">
        <x:v>0</x:v>
      </x:c>
      <x:c r="G53" s="11" t="n">
        <x:v>0</x:v>
      </x:c>
      <x:c r="H53" s="11" t="n">
        <x:v>9</x:v>
      </x:c>
      <x:c r="I53" s="11" t="n">
        <x:v>80</x:v>
      </x:c>
      <x:c r="J53" s="11" t="n">
        <x:v>14</x:v>
      </x:c>
      <x:c r="K53" s="11" t="n">
        <x:v>0</x:v>
      </x:c>
      <x:c r="L53" s="11" t="n">
        <x:v>0</x:v>
      </x:c>
      <x:c r="M53" s="11" t="n">
        <x:v>0</x:v>
      </x:c>
      <x:c r="N53" s="11" t="n">
        <x:v>0</x:v>
      </x:c>
      <x:c r="O53" s="11" t="n">
        <x:v>0</x:v>
      </x:c>
    </x:row>
    <x:row r="54" ht="23" customHeight="1">
      <x:c r="A54" s="10" t="str">
        <x:v>M7</x:v>
      </x:c>
      <x:c r="B54" s="10" t="str">
        <x:v>杆状</x:v>
      </x:c>
      <x:c r="C54" s="11" t="n">
        <x:f>'全部组合'!F164</x:f>
        <x:v>885</x:v>
      </x:c>
      <x:c r="D54" s="11" t="n">
        <x:f>SUM(F54:O54)</x:f>
        <x:v>20</x:v>
      </x:c>
      <x:c r="E54" s="12" t="n">
        <x:f>IF(C54=0,"n.a.",D54/C54)</x:f>
        <x:v>0.022598870056497175</x:v>
      </x:c>
      <x:c r="F54" s="11" t="n">
        <x:v>0</x:v>
      </x:c>
      <x:c r="G54" s="11" t="n">
        <x:v>0</x:v>
      </x:c>
      <x:c r="H54" s="11" t="n">
        <x:v>1</x:v>
      </x:c>
      <x:c r="I54" s="11" t="n">
        <x:v>2</x:v>
      </x:c>
      <x:c r="J54" s="11" t="n">
        <x:v>17</x:v>
      </x:c>
      <x:c r="K54" s="11" t="n">
        <x:v>0</x:v>
      </x:c>
      <x:c r="L54" s="11" t="n">
        <x:v>0</x:v>
      </x:c>
      <x:c r="M54" s="11" t="n">
        <x:v>0</x:v>
      </x:c>
      <x:c r="N54" s="11" t="n">
        <x:v>0</x:v>
      </x:c>
      <x:c r="O54" s="11" t="n">
        <x:v>0</x:v>
      </x:c>
    </x:row>
    <x:row r="55" ht="23" customHeight="1">
      <x:c r="A55" s="10" t="str">
        <x:v>M8</x:v>
      </x:c>
      <x:c r="B55" s="10" t="str">
        <x:v>曲面紧凑</x:v>
      </x:c>
      <x:c r="C55" s="11" t="n">
        <x:f>'全部组合'!F187</x:f>
        <x:v>4013</x:v>
      </x:c>
      <x:c r="D55" s="11" t="n">
        <x:f>SUM(F55:O55)</x:f>
        <x:v>977</x:v>
      </x:c>
      <x:c r="E55" s="12" t="n">
        <x:f>IF(C55=0,"n.a.",D55/C55)</x:f>
        <x:v>0.2434587590331423</x:v>
      </x:c>
      <x:c r="F55" s="11" t="n">
        <x:v>0</x:v>
      </x:c>
      <x:c r="G55" s="11" t="n">
        <x:v>80</x:v>
      </x:c>
      <x:c r="H55" s="11" t="n">
        <x:v>795</x:v>
      </x:c>
      <x:c r="I55" s="11" t="n">
        <x:v>100</x:v>
      </x:c>
      <x:c r="J55" s="11" t="n">
        <x:v>2</x:v>
      </x:c>
      <x:c r="K55" s="11" t="n">
        <x:v>0</x:v>
      </x:c>
      <x:c r="L55" s="11" t="n">
        <x:v>0</x:v>
      </x:c>
      <x:c r="M55" s="11" t="n">
        <x:v>0</x:v>
      </x:c>
      <x:c r="N55" s="11" t="n">
        <x:v>0</x:v>
      </x:c>
      <x:c r="O55" s="11" t="n">
        <x:v>0</x:v>
      </x:c>
    </x:row>
    <x:row r="56" ht="23" customHeight="1">
      <x:c r="A56" s="10" t="str">
        <x:v>M8</x:v>
      </x:c>
      <x:c r="B56" s="10" t="str">
        <x:v>局部特征紧凑</x:v>
      </x:c>
      <x:c r="C56" s="11" t="n">
        <x:f>'全部组合'!F187</x:f>
        <x:v>4013</x:v>
      </x:c>
      <x:c r="D56" s="11" t="n">
        <x:f>SUM(F56:O56)</x:f>
        <x:v>173</x:v>
      </x:c>
      <x:c r="E56" s="12" t="n">
        <x:f>IF(C56=0,"n.a.",D56/C56)</x:f>
        <x:v>0.04310989284824321</x:v>
      </x:c>
      <x:c r="F56" s="11" t="n">
        <x:v>0</x:v>
      </x:c>
      <x:c r="G56" s="11" t="n">
        <x:v>0</x:v>
      </x:c>
      <x:c r="H56" s="11" t="n">
        <x:v>126</x:v>
      </x:c>
      <x:c r="I56" s="11" t="n">
        <x:v>46</x:v>
      </x:c>
      <x:c r="J56" s="11" t="n">
        <x:v>1</x:v>
      </x:c>
      <x:c r="K56" s="11" t="n">
        <x:v>0</x:v>
      </x:c>
      <x:c r="L56" s="11" t="n">
        <x:v>0</x:v>
      </x:c>
      <x:c r="M56" s="11" t="n">
        <x:v>0</x:v>
      </x:c>
      <x:c r="N56" s="11" t="n">
        <x:v>0</x:v>
      </x:c>
      <x:c r="O56" s="11" t="n">
        <x:v>0</x:v>
      </x:c>
    </x:row>
    <x:row r="57" ht="23" customHeight="1">
      <x:c r="A57" s="10" t="str">
        <x:v>M8</x:v>
      </x:c>
      <x:c r="B57" s="10" t="str">
        <x:v>简单紧凑</x:v>
      </x:c>
      <x:c r="C57" s="11" t="n">
        <x:f>'全部组合'!F187</x:f>
        <x:v>4013</x:v>
      </x:c>
      <x:c r="D57" s="11" t="n">
        <x:f>SUM(F57:O57)</x:f>
        <x:v>1315</x:v>
      </x:c>
      <x:c r="E57" s="12" t="n">
        <x:f>IF(C57=0,"n.a.",D57/C57)</x:f>
        <x:v>0.32768502367306257</x:v>
      </x:c>
      <x:c r="F57" s="11" t="n">
        <x:v>0</x:v>
      </x:c>
      <x:c r="G57" s="11" t="n">
        <x:v>166</x:v>
      </x:c>
      <x:c r="H57" s="11" t="n">
        <x:v>1094</x:v>
      </x:c>
      <x:c r="I57" s="11" t="n">
        <x:v>55</x:v>
      </x:c>
      <x:c r="J57" s="11" t="n">
        <x:v>0</x:v>
      </x:c>
      <x:c r="K57" s="11" t="n">
        <x:v>0</x:v>
      </x:c>
      <x:c r="L57" s="11" t="n">
        <x:v>0</x:v>
      </x:c>
      <x:c r="M57" s="11" t="n">
        <x:v>0</x:v>
      </x:c>
      <x:c r="N57" s="11" t="n">
        <x:v>0</x:v>
      </x:c>
      <x:c r="O57" s="11" t="n">
        <x:v>0</x:v>
      </x:c>
    </x:row>
    <x:row r="58" ht="23" customHeight="1">
      <x:c r="A58" s="10" t="str">
        <x:v>M8</x:v>
      </x:c>
      <x:c r="B58" s="10" t="str">
        <x:v>分布复合</x:v>
      </x:c>
      <x:c r="C58" s="11" t="n">
        <x:f>'全部组合'!F187</x:f>
        <x:v>4013</x:v>
      </x:c>
      <x:c r="D58" s="11" t="n">
        <x:f>SUM(F58:O58)</x:f>
        <x:v>87</x:v>
      </x:c>
      <x:c r="E58" s="12" t="n">
        <x:f>IF(C58=0,"n.a.",D58/C58)</x:f>
        <x:v>0.02167954149015699</x:v>
      </x:c>
      <x:c r="F58" s="11" t="n">
        <x:v>0</x:v>
      </x:c>
      <x:c r="G58" s="11" t="n">
        <x:v>0</x:v>
      </x:c>
      <x:c r="H58" s="11" t="n">
        <x:v>8</x:v>
      </x:c>
      <x:c r="I58" s="11" t="n">
        <x:v>60</x:v>
      </x:c>
      <x:c r="J58" s="11" t="n">
        <x:v>15</x:v>
      </x:c>
      <x:c r="K58" s="11" t="n">
        <x:v>4</x:v>
      </x:c>
      <x:c r="L58" s="11" t="n">
        <x:v>0</x:v>
      </x:c>
      <x:c r="M58" s="11" t="n">
        <x:v>0</x:v>
      </x:c>
      <x:c r="N58" s="11" t="n">
        <x:v>0</x:v>
      </x:c>
      <x:c r="O58" s="11" t="n">
        <x:v>0</x:v>
      </x:c>
    </x:row>
    <x:row r="59" ht="23" customHeight="1">
      <x:c r="A59" s="10" t="str">
        <x:v>M8</x:v>
      </x:c>
      <x:c r="B59" s="10" t="str">
        <x:v>细长片状</x:v>
      </x:c>
      <x:c r="C59" s="11" t="n">
        <x:f>'全部组合'!F187</x:f>
        <x:v>4013</x:v>
      </x:c>
      <x:c r="D59" s="11" t="n">
        <x:f>SUM(F59:O59)</x:f>
        <x:v>3</x:v>
      </x:c>
      <x:c r="E59" s="12" t="n">
        <x:f>IF(C59=0,"n.a.",D59/C59)</x:f>
        <x:v>0.00074757039621231</x:v>
      </x:c>
      <x:c r="F59" s="11" t="n">
        <x:v>0</x:v>
      </x:c>
      <x:c r="G59" s="11" t="n">
        <x:v>0</x:v>
      </x:c>
      <x:c r="H59" s="11" t="n">
        <x:v>0</x:v>
      </x:c>
      <x:c r="I59" s="11" t="n">
        <x:v>2</x:v>
      </x:c>
      <x:c r="J59" s="11" t="n">
        <x:v>1</x:v>
      </x:c>
      <x:c r="K59" s="11" t="n">
        <x:v>0</x:v>
      </x:c>
      <x:c r="L59" s="11" t="n">
        <x:v>0</x:v>
      </x:c>
      <x:c r="M59" s="11" t="n">
        <x:v>0</x:v>
      </x:c>
      <x:c r="N59" s="11" t="n">
        <x:v>0</x:v>
      </x:c>
      <x:c r="O59" s="11" t="n">
        <x:v>0</x:v>
      </x:c>
    </x:row>
    <x:row r="60" ht="23" customHeight="1">
      <x:c r="A60" s="10" t="str">
        <x:v>M8</x:v>
      </x:c>
      <x:c r="B60" s="10" t="str">
        <x:v>板状</x:v>
      </x:c>
      <x:c r="C60" s="11" t="n">
        <x:f>'全部组合'!F187</x:f>
        <x:v>4013</x:v>
      </x:c>
      <x:c r="D60" s="11" t="n">
        <x:f>SUM(F60:O60)</x:f>
        <x:v>1136</x:v>
      </x:c>
      <x:c r="E60" s="12" t="n">
        <x:f>IF(C60=0,"n.a.",D60/C60)</x:f>
        <x:v>0.2830799900323947</x:v>
      </x:c>
      <x:c r="F60" s="11" t="n">
        <x:v>0</x:v>
      </x:c>
      <x:c r="G60" s="11" t="n">
        <x:v>43</x:v>
      </x:c>
      <x:c r="H60" s="11" t="n">
        <x:v>840</x:v>
      </x:c>
      <x:c r="I60" s="11" t="n">
        <x:v>231</x:v>
      </x:c>
      <x:c r="J60" s="11" t="n">
        <x:v>22</x:v>
      </x:c>
      <x:c r="K60" s="11" t="n">
        <x:v>0</x:v>
      </x:c>
      <x:c r="L60" s="11" t="n">
        <x:v>0</x:v>
      </x:c>
      <x:c r="M60" s="11" t="n">
        <x:v>0</x:v>
      </x:c>
      <x:c r="N60" s="11" t="n">
        <x:v>0</x:v>
      </x:c>
      <x:c r="O60" s="11" t="n">
        <x:v>0</x:v>
      </x:c>
    </x:row>
    <x:row r="61" ht="23" customHeight="1">
      <x:c r="A61" s="10" t="str">
        <x:v>M8</x:v>
      </x:c>
      <x:c r="B61" s="10" t="str">
        <x:v>杆状</x:v>
      </x:c>
      <x:c r="C61" s="11" t="n">
        <x:f>'全部组合'!F187</x:f>
        <x:v>4013</x:v>
      </x:c>
      <x:c r="D61" s="11" t="n">
        <x:f>SUM(F61:O61)</x:f>
        <x:v>322</x:v>
      </x:c>
      <x:c r="E61" s="12" t="n">
        <x:f>IF(C61=0,"n.a.",D61/C61)</x:f>
        <x:v>0.08023922252678795</x:v>
      </x:c>
      <x:c r="F61" s="11" t="n">
        <x:v>0</x:v>
      </x:c>
      <x:c r="G61" s="11" t="n">
        <x:v>0</x:v>
      </x:c>
      <x:c r="H61" s="11" t="n">
        <x:v>100</x:v>
      </x:c>
      <x:c r="I61" s="11" t="n">
        <x:v>96</x:v>
      </x:c>
      <x:c r="J61" s="11" t="n">
        <x:v>114</x:v>
      </x:c>
      <x:c r="K61" s="11" t="n">
        <x:v>12</x:v>
      </x:c>
      <x:c r="L61" s="11" t="n">
        <x:v>0</x:v>
      </x:c>
      <x:c r="M61" s="11" t="n">
        <x:v>0</x:v>
      </x:c>
      <x:c r="N61" s="11" t="n">
        <x:v>0</x:v>
      </x:c>
      <x:c r="O61" s="11" t="n">
        <x:v>0</x:v>
      </x:c>
    </x:row>
    <x:row r="62" ht="23" customHeight="1">
      <x:c r="A62" s="10" t="str">
        <x:v>M9</x:v>
      </x:c>
      <x:c r="B62" s="10" t="str">
        <x:v>曲面紧凑</x:v>
      </x:c>
      <x:c r="C62" s="11" t="n">
        <x:f>'全部组合'!F210</x:f>
        <x:v>1769</x:v>
      </x:c>
      <x:c r="D62" s="11" t="n">
        <x:f>SUM(F62:O62)</x:f>
        <x:v>712</x:v>
      </x:c>
      <x:c r="E62" s="12" t="n">
        <x:f>IF(C62=0,"n.a.",D62/C62)</x:f>
        <x:v>0.4024872809496891</x:v>
      </x:c>
      <x:c r="F62" s="11" t="n">
        <x:v>0</x:v>
      </x:c>
      <x:c r="G62" s="11" t="n">
        <x:v>10</x:v>
      </x:c>
      <x:c r="H62" s="11" t="n">
        <x:v>552</x:v>
      </x:c>
      <x:c r="I62" s="11" t="n">
        <x:v>146</x:v>
      </x:c>
      <x:c r="J62" s="11" t="n">
        <x:v>4</x:v>
      </x:c>
      <x:c r="K62" s="11" t="n">
        <x:v>0</x:v>
      </x:c>
      <x:c r="L62" s="11" t="n">
        <x:v>0</x:v>
      </x:c>
      <x:c r="M62" s="11" t="n">
        <x:v>0</x:v>
      </x:c>
      <x:c r="N62" s="11" t="n">
        <x:v>0</x:v>
      </x:c>
      <x:c r="O62" s="11" t="n">
        <x:v>0</x:v>
      </x:c>
    </x:row>
    <x:row r="63" ht="23" customHeight="1">
      <x:c r="A63" s="10" t="str">
        <x:v>M9</x:v>
      </x:c>
      <x:c r="B63" s="10" t="str">
        <x:v>局部特征紧凑</x:v>
      </x:c>
      <x:c r="C63" s="11" t="n">
        <x:f>'全部组合'!F210</x:f>
        <x:v>1769</x:v>
      </x:c>
      <x:c r="D63" s="11" t="n">
        <x:f>SUM(F63:O63)</x:f>
        <x:v>131</x:v>
      </x:c>
      <x:c r="E63" s="12" t="n">
        <x:f>IF(C63=0,"n.a.",D63/C63)</x:f>
        <x:v>0.07405313736574336</x:v>
      </x:c>
      <x:c r="F63" s="11" t="n">
        <x:v>0</x:v>
      </x:c>
      <x:c r="G63" s="11" t="n">
        <x:v>0</x:v>
      </x:c>
      <x:c r="H63" s="11" t="n">
        <x:v>46</x:v>
      </x:c>
      <x:c r="I63" s="11" t="n">
        <x:v>83</x:v>
      </x:c>
      <x:c r="J63" s="11" t="n">
        <x:v>2</x:v>
      </x:c>
      <x:c r="K63" s="11" t="n">
        <x:v>0</x:v>
      </x:c>
      <x:c r="L63" s="11" t="n">
        <x:v>0</x:v>
      </x:c>
      <x:c r="M63" s="11" t="n">
        <x:v>0</x:v>
      </x:c>
      <x:c r="N63" s="11" t="n">
        <x:v>0</x:v>
      </x:c>
      <x:c r="O63" s="11" t="n">
        <x:v>0</x:v>
      </x:c>
    </x:row>
    <x:row r="64" ht="23" customHeight="1">
      <x:c r="A64" s="10" t="str">
        <x:v>M9</x:v>
      </x:c>
      <x:c r="B64" s="10" t="str">
        <x:v>简单紧凑</x:v>
      </x:c>
      <x:c r="C64" s="11" t="n">
        <x:f>'全部组合'!F210</x:f>
        <x:v>1769</x:v>
      </x:c>
      <x:c r="D64" s="11" t="n">
        <x:f>SUM(F64:O64)</x:f>
        <x:v>554</x:v>
      </x:c>
      <x:c r="E64" s="12" t="n">
        <x:f>IF(C64=0,"n.a.",D64/C64)</x:f>
        <x:v>0.3131712832108536</x:v>
      </x:c>
      <x:c r="F64" s="11" t="n">
        <x:v>0</x:v>
      </x:c>
      <x:c r="G64" s="11" t="n">
        <x:v>79</x:v>
      </x:c>
      <x:c r="H64" s="11" t="n">
        <x:v>360</x:v>
      </x:c>
      <x:c r="I64" s="11" t="n">
        <x:v>115</x:v>
      </x:c>
      <x:c r="J64" s="11" t="n">
        <x:v>0</x:v>
      </x:c>
      <x:c r="K64" s="11" t="n">
        <x:v>0</x:v>
      </x:c>
      <x:c r="L64" s="11" t="n">
        <x:v>0</x:v>
      </x:c>
      <x:c r="M64" s="11" t="n">
        <x:v>0</x:v>
      </x:c>
      <x:c r="N64" s="11" t="n">
        <x:v>0</x:v>
      </x:c>
      <x:c r="O64" s="11" t="n">
        <x:v>0</x:v>
      </x:c>
    </x:row>
    <x:row r="65" ht="23" customHeight="1">
      <x:c r="A65" s="10" t="str">
        <x:v>M9</x:v>
      </x:c>
      <x:c r="B65" s="10" t="str">
        <x:v>分布复合</x:v>
      </x:c>
      <x:c r="C65" s="11" t="n">
        <x:f>'全部组合'!F210</x:f>
        <x:v>1769</x:v>
      </x:c>
      <x:c r="D65" s="11" t="n">
        <x:f>SUM(F65:O65)</x:f>
        <x:v>56</x:v>
      </x:c>
      <x:c r="E65" s="12" t="n">
        <x:f>IF(C65=0,"n.a.",D65/C65)</x:f>
        <x:v>0.03165630299604296</x:v>
      </x:c>
      <x:c r="F65" s="11" t="n">
        <x:v>0</x:v>
      </x:c>
      <x:c r="G65" s="11" t="n">
        <x:v>0</x:v>
      </x:c>
      <x:c r="H65" s="11" t="n">
        <x:v>8</x:v>
      </x:c>
      <x:c r="I65" s="11" t="n">
        <x:v>13</x:v>
      </x:c>
      <x:c r="J65" s="11" t="n">
        <x:v>26</x:v>
      </x:c>
      <x:c r="K65" s="11" t="n">
        <x:v>9</x:v>
      </x:c>
      <x:c r="L65" s="11" t="n">
        <x:v>0</x:v>
      </x:c>
      <x:c r="M65" s="11" t="n">
        <x:v>0</x:v>
      </x:c>
      <x:c r="N65" s="11" t="n">
        <x:v>0</x:v>
      </x:c>
      <x:c r="O65" s="11" t="n">
        <x:v>0</x:v>
      </x:c>
    </x:row>
    <x:row r="66" ht="23" customHeight="1">
      <x:c r="A66" s="10" t="str">
        <x:v>M9</x:v>
      </x:c>
      <x:c r="B66" s="10" t="str">
        <x:v>细长片状</x:v>
      </x:c>
      <x:c r="C66" s="11" t="n">
        <x:f>'全部组合'!F210</x:f>
        <x:v>1769</x:v>
      </x:c>
      <x:c r="D66" s="11" t="n">
        <x:f>SUM(F66:O66)</x:f>
        <x:v>7</x:v>
      </x:c>
      <x:c r="E66" s="12" t="n">
        <x:f>IF(C66=0,"n.a.",D66/C66)</x:f>
        <x:v>0.00395703787450537</x:v>
      </x:c>
      <x:c r="F66" s="11" t="n">
        <x:v>0</x:v>
      </x:c>
      <x:c r="G66" s="11" t="n">
        <x:v>0</x:v>
      </x:c>
      <x:c r="H66" s="11" t="n">
        <x:v>0</x:v>
      </x:c>
      <x:c r="I66" s="11" t="n">
        <x:v>0</x:v>
      </x:c>
      <x:c r="J66" s="11" t="n">
        <x:v>7</x:v>
      </x:c>
      <x:c r="K66" s="11" t="n">
        <x:v>0</x:v>
      </x:c>
      <x:c r="L66" s="11" t="n">
        <x:v>0</x:v>
      </x:c>
      <x:c r="M66" s="11" t="n">
        <x:v>0</x:v>
      </x:c>
      <x:c r="N66" s="11" t="n">
        <x:v>0</x:v>
      </x:c>
      <x:c r="O66" s="11" t="n">
        <x:v>0</x:v>
      </x:c>
    </x:row>
    <x:row r="67" ht="23" customHeight="1">
      <x:c r="A67" s="10" t="str">
        <x:v>M9</x:v>
      </x:c>
      <x:c r="B67" s="10" t="str">
        <x:v>板状</x:v>
      </x:c>
      <x:c r="C67" s="11" t="n">
        <x:f>'全部组合'!F210</x:f>
        <x:v>1769</x:v>
      </x:c>
      <x:c r="D67" s="11" t="n">
        <x:f>SUM(F67:O67)</x:f>
        <x:v>199</x:v>
      </x:c>
      <x:c r="E67" s="12" t="n">
        <x:f>IF(C67=0,"n.a.",D67/C67)</x:f>
        <x:v>0.11249293386093838</x:v>
      </x:c>
      <x:c r="F67" s="11" t="n">
        <x:v>0</x:v>
      </x:c>
      <x:c r="G67" s="11" t="n">
        <x:v>3</x:v>
      </x:c>
      <x:c r="H67" s="11" t="n">
        <x:v>16</x:v>
      </x:c>
      <x:c r="I67" s="11" t="n">
        <x:v>127</x:v>
      </x:c>
      <x:c r="J67" s="11" t="n">
        <x:v>53</x:v>
      </x:c>
      <x:c r="K67" s="11" t="n">
        <x:v>0</x:v>
      </x:c>
      <x:c r="L67" s="11" t="n">
        <x:v>0</x:v>
      </x:c>
      <x:c r="M67" s="11" t="n">
        <x:v>0</x:v>
      </x:c>
      <x:c r="N67" s="11" t="n">
        <x:v>0</x:v>
      </x:c>
      <x:c r="O67" s="11" t="n">
        <x:v>0</x:v>
      </x:c>
    </x:row>
    <x:row r="68" ht="23" customHeight="1">
      <x:c r="A68" s="10" t="str">
        <x:v>M9</x:v>
      </x:c>
      <x:c r="B68" s="10" t="str">
        <x:v>杆状</x:v>
      </x:c>
      <x:c r="C68" s="11" t="n">
        <x:f>'全部组合'!F210</x:f>
        <x:v>1769</x:v>
      </x:c>
      <x:c r="D68" s="11" t="n">
        <x:f>SUM(F68:O68)</x:f>
        <x:v>110</x:v>
      </x:c>
      <x:c r="E68" s="12" t="n">
        <x:f>IF(C68=0,"n.a.",D68/C68)</x:f>
        <x:v>0.06218202374222725</x:v>
      </x:c>
      <x:c r="F68" s="11" t="n">
        <x:v>0</x:v>
      </x:c>
      <x:c r="G68" s="11" t="n">
        <x:v>0</x:v>
      </x:c>
      <x:c r="H68" s="11" t="n">
        <x:v>15</x:v>
      </x:c>
      <x:c r="I68" s="11" t="n">
        <x:v>48</x:v>
      </x:c>
      <x:c r="J68" s="11" t="n">
        <x:v>35</x:v>
      </x:c>
      <x:c r="K68" s="11" t="n">
        <x:v>8</x:v>
      </x:c>
      <x:c r="L68" s="11" t="n">
        <x:v>4</x:v>
      </x:c>
      <x:c r="M68" s="11" t="n">
        <x:v>0</x:v>
      </x:c>
      <x:c r="N68" s="11" t="n">
        <x:v>0</x:v>
      </x:c>
      <x:c r="O68" s="11" t="n">
        <x:v>0</x:v>
      </x:c>
    </x:row>
    <x:row r="69" ht="23" customHeight="1">
      <x:c r="A69" s="10" t="str">
        <x:v>M10</x:v>
      </x:c>
      <x:c r="B69" s="10" t="str">
        <x:v>曲面紧凑</x:v>
      </x:c>
      <x:c r="C69" s="11" t="n">
        <x:f>'全部组合'!F233</x:f>
        <x:v>3508</x:v>
      </x:c>
      <x:c r="D69" s="11" t="n">
        <x:f>SUM(F69:O69)</x:f>
        <x:v>1292</x:v>
      </x:c>
      <x:c r="E69" s="12" t="n">
        <x:f>IF(C69=0,"n.a.",D69/C69)</x:f>
        <x:v>0.36830102622576966</x:v>
      </x:c>
      <x:c r="F69" s="11" t="n">
        <x:v>0</x:v>
      </x:c>
      <x:c r="G69" s="11" t="n">
        <x:v>276</x:v>
      </x:c>
      <x:c r="H69" s="11" t="n">
        <x:v>942</x:v>
      </x:c>
      <x:c r="I69" s="11" t="n">
        <x:v>74</x:v>
      </x:c>
      <x:c r="J69" s="11" t="n">
        <x:v>0</x:v>
      </x:c>
      <x:c r="K69" s="11" t="n">
        <x:v>0</x:v>
      </x:c>
      <x:c r="L69" s="11" t="n">
        <x:v>0</x:v>
      </x:c>
      <x:c r="M69" s="11" t="n">
        <x:v>0</x:v>
      </x:c>
      <x:c r="N69" s="11" t="n">
        <x:v>0</x:v>
      </x:c>
      <x:c r="O69" s="11" t="n">
        <x:v>0</x:v>
      </x:c>
    </x:row>
    <x:row r="70" ht="23" customHeight="1">
      <x:c r="A70" s="10" t="str">
        <x:v>M10</x:v>
      </x:c>
      <x:c r="B70" s="10" t="str">
        <x:v>局部特征紧凑</x:v>
      </x:c>
      <x:c r="C70" s="11" t="n">
        <x:f>'全部组合'!F233</x:f>
        <x:v>3508</x:v>
      </x:c>
      <x:c r="D70" s="11" t="n">
        <x:f>SUM(F70:O70)</x:f>
        <x:v>237</x:v>
      </x:c>
      <x:c r="E70" s="12" t="n">
        <x:f>IF(C70=0,"n.a.",D70/C70)</x:f>
        <x:v>0.06755986316989737</x:v>
      </x:c>
      <x:c r="F70" s="11" t="n">
        <x:v>0</x:v>
      </x:c>
      <x:c r="G70" s="11" t="n">
        <x:v>0</x:v>
      </x:c>
      <x:c r="H70" s="11" t="n">
        <x:v>95</x:v>
      </x:c>
      <x:c r="I70" s="11" t="n">
        <x:v>141</x:v>
      </x:c>
      <x:c r="J70" s="11" t="n">
        <x:v>1</x:v>
      </x:c>
      <x:c r="K70" s="11" t="n">
        <x:v>0</x:v>
      </x:c>
      <x:c r="L70" s="11" t="n">
        <x:v>0</x:v>
      </x:c>
      <x:c r="M70" s="11" t="n">
        <x:v>0</x:v>
      </x:c>
      <x:c r="N70" s="11" t="n">
        <x:v>0</x:v>
      </x:c>
      <x:c r="O70" s="11" t="n">
        <x:v>0</x:v>
      </x:c>
    </x:row>
    <x:row r="71" ht="23" customHeight="1">
      <x:c r="A71" s="10" t="str">
        <x:v>M10</x:v>
      </x:c>
      <x:c r="B71" s="10" t="str">
        <x:v>简单紧凑</x:v>
      </x:c>
      <x:c r="C71" s="11" t="n">
        <x:f>'全部组合'!F233</x:f>
        <x:v>3508</x:v>
      </x:c>
      <x:c r="D71" s="11" t="n">
        <x:f>SUM(F71:O71)</x:f>
        <x:v>1240</x:v>
      </x:c>
      <x:c r="E71" s="12" t="n">
        <x:f>IF(C71=0,"n.a.",D71/C71)</x:f>
        <x:v>0.35347776510832385</x:v>
      </x:c>
      <x:c r="F71" s="11" t="n">
        <x:v>0</x:v>
      </x:c>
      <x:c r="G71" s="11" t="n">
        <x:v>93</x:v>
      </x:c>
      <x:c r="H71" s="11" t="n">
        <x:v>1091</x:v>
      </x:c>
      <x:c r="I71" s="11" t="n">
        <x:v>56</x:v>
      </x:c>
      <x:c r="J71" s="11" t="n">
        <x:v>0</x:v>
      </x:c>
      <x:c r="K71" s="11" t="n">
        <x:v>0</x:v>
      </x:c>
      <x:c r="L71" s="11" t="n">
        <x:v>0</x:v>
      </x:c>
      <x:c r="M71" s="11" t="n">
        <x:v>0</x:v>
      </x:c>
      <x:c r="N71" s="11" t="n">
        <x:v>0</x:v>
      </x:c>
      <x:c r="O71" s="11" t="n">
        <x:v>0</x:v>
      </x:c>
    </x:row>
    <x:row r="72" ht="23" customHeight="1">
      <x:c r="A72" s="10" t="str">
        <x:v>M10</x:v>
      </x:c>
      <x:c r="B72" s="10" t="str">
        <x:v>分布复合</x:v>
      </x:c>
      <x:c r="C72" s="11" t="n">
        <x:f>'全部组合'!F233</x:f>
        <x:v>3508</x:v>
      </x:c>
      <x:c r="D72" s="11" t="n">
        <x:f>SUM(F72:O72)</x:f>
        <x:v>304</x:v>
      </x:c>
      <x:c r="E72" s="12" t="n">
        <x:f>IF(C72=0,"n.a.",D72/C72)</x:f>
        <x:v>0.08665906499429875</x:v>
      </x:c>
      <x:c r="F72" s="11" t="n">
        <x:v>0</x:v>
      </x:c>
      <x:c r="G72" s="11" t="n">
        <x:v>0</x:v>
      </x:c>
      <x:c r="H72" s="11" t="n">
        <x:v>54</x:v>
      </x:c>
      <x:c r="I72" s="11" t="n">
        <x:v>160</x:v>
      </x:c>
      <x:c r="J72" s="11" t="n">
        <x:v>50</x:v>
      </x:c>
      <x:c r="K72" s="11" t="n">
        <x:v>39</x:v>
      </x:c>
      <x:c r="L72" s="11" t="n">
        <x:v>1</x:v>
      </x:c>
      <x:c r="M72" s="11" t="n">
        <x:v>0</x:v>
      </x:c>
      <x:c r="N72" s="11" t="n">
        <x:v>0</x:v>
      </x:c>
      <x:c r="O72" s="11" t="n">
        <x:v>0</x:v>
      </x:c>
    </x:row>
    <x:row r="73" ht="23" customHeight="1">
      <x:c r="A73" s="10" t="str">
        <x:v>M10</x:v>
      </x:c>
      <x:c r="B73" s="10" t="str">
        <x:v>细长片状</x:v>
      </x:c>
      <x:c r="C73" s="11" t="n">
        <x:f>'全部组合'!F233</x:f>
        <x:v>3508</x:v>
      </x:c>
      <x:c r="D73" s="11" t="n">
        <x:f>SUM(F73:O73)</x:f>
        <x:v>12</x:v>
      </x:c>
      <x:c r="E73" s="12" t="n">
        <x:f>IF(C73=0,"n.a.",D73/C73)</x:f>
        <x:v>0.0034207525655644243</x:v>
      </x:c>
      <x:c r="F73" s="11" t="n">
        <x:v>0</x:v>
      </x:c>
      <x:c r="G73" s="11" t="n">
        <x:v>0</x:v>
      </x:c>
      <x:c r="H73" s="11" t="n">
        <x:v>0</x:v>
      </x:c>
      <x:c r="I73" s="11" t="n">
        <x:v>5</x:v>
      </x:c>
      <x:c r="J73" s="11" t="n">
        <x:v>7</x:v>
      </x:c>
      <x:c r="K73" s="11" t="n">
        <x:v>0</x:v>
      </x:c>
      <x:c r="L73" s="11" t="n">
        <x:v>0</x:v>
      </x:c>
      <x:c r="M73" s="11" t="n">
        <x:v>0</x:v>
      </x:c>
      <x:c r="N73" s="11" t="n">
        <x:v>0</x:v>
      </x:c>
      <x:c r="O73" s="11" t="n">
        <x:v>0</x:v>
      </x:c>
    </x:row>
    <x:row r="74" ht="23" customHeight="1">
      <x:c r="A74" s="10" t="str">
        <x:v>M10</x:v>
      </x:c>
      <x:c r="B74" s="10" t="str">
        <x:v>板状</x:v>
      </x:c>
      <x:c r="C74" s="11" t="n">
        <x:f>'全部组合'!F233</x:f>
        <x:v>3508</x:v>
      </x:c>
      <x:c r="D74" s="11" t="n">
        <x:f>SUM(F74:O74)</x:f>
        <x:v>222</x:v>
      </x:c>
      <x:c r="E74" s="12" t="n">
        <x:f>IF(C74=0,"n.a.",D74/C74)</x:f>
        <x:v>0.06328392246294184</x:v>
      </x:c>
      <x:c r="F74" s="11" t="n">
        <x:v>0</x:v>
      </x:c>
      <x:c r="G74" s="11" t="n">
        <x:v>6</x:v>
      </x:c>
      <x:c r="H74" s="11" t="n">
        <x:v>48</x:v>
      </x:c>
      <x:c r="I74" s="11" t="n">
        <x:v>107</x:v>
      </x:c>
      <x:c r="J74" s="11" t="n">
        <x:v>61</x:v>
      </x:c>
      <x:c r="K74" s="11" t="n">
        <x:v>0</x:v>
      </x:c>
      <x:c r="L74" s="11" t="n">
        <x:v>0</x:v>
      </x:c>
      <x:c r="M74" s="11" t="n">
        <x:v>0</x:v>
      </x:c>
      <x:c r="N74" s="11" t="n">
        <x:v>0</x:v>
      </x:c>
      <x:c r="O74" s="11" t="n">
        <x:v>0</x:v>
      </x:c>
    </x:row>
    <x:row r="75" ht="23" customHeight="1">
      <x:c r="A75" s="10" t="str">
        <x:v>M10</x:v>
      </x:c>
      <x:c r="B75" s="10" t="str">
        <x:v>杆状</x:v>
      </x:c>
      <x:c r="C75" s="11" t="n">
        <x:f>'全部组合'!F233</x:f>
        <x:v>3508</x:v>
      </x:c>
      <x:c r="D75" s="11" t="n">
        <x:f>SUM(F75:O75)</x:f>
        <x:v>201</x:v>
      </x:c>
      <x:c r="E75" s="12" t="n">
        <x:f>IF(C75=0,"n.a.",D75/C75)</x:f>
        <x:v>0.0572976054732041</x:v>
      </x:c>
      <x:c r="F75" s="11" t="n">
        <x:v>0</x:v>
      </x:c>
      <x:c r="G75" s="11" t="n">
        <x:v>0</x:v>
      </x:c>
      <x:c r="H75" s="11" t="n">
        <x:v>11</x:v>
      </x:c>
      <x:c r="I75" s="11" t="n">
        <x:v>160</x:v>
      </x:c>
      <x:c r="J75" s="11" t="n">
        <x:v>30</x:v>
      </x:c>
      <x:c r="K75" s="11" t="n">
        <x:v>0</x:v>
      </x:c>
      <x:c r="L75" s="11" t="n">
        <x:v>0</x:v>
      </x:c>
      <x:c r="M75" s="11" t="n">
        <x:v>0</x:v>
      </x:c>
      <x:c r="N75" s="11" t="n">
        <x:v>0</x:v>
      </x:c>
      <x:c r="O75" s="11" t="n">
        <x:v>0</x:v>
      </x:c>
    </x:row>
    <x:row r="76" ht="23" customHeight="1">
      <x:c r="A76" s="10" t="str">
        <x:v>M11</x:v>
      </x:c>
      <x:c r="B76" s="10" t="str">
        <x:v>曲面紧凑</x:v>
      </x:c>
      <x:c r="C76" s="11" t="n">
        <x:f>'全部组合'!F256</x:f>
        <x:v>10414</x:v>
      </x:c>
      <x:c r="D76" s="11" t="n">
        <x:f>SUM(F76:O76)</x:f>
        <x:v>1387</x:v>
      </x:c>
      <x:c r="E76" s="12" t="n">
        <x:f>IF(C76=0,"n.a.",D76/C76)</x:f>
        <x:v>0.13318609564048398</x:v>
      </x:c>
      <x:c r="F76" s="11" t="n">
        <x:v>0</x:v>
      </x:c>
      <x:c r="G76" s="11" t="n">
        <x:v>672</x:v>
      </x:c>
      <x:c r="H76" s="11" t="n">
        <x:v>692</x:v>
      </x:c>
      <x:c r="I76" s="11" t="n">
        <x:v>23</x:v>
      </x:c>
      <x:c r="J76" s="11" t="n">
        <x:v>0</x:v>
      </x:c>
      <x:c r="K76" s="11" t="n">
        <x:v>0</x:v>
      </x:c>
      <x:c r="L76" s="11" t="n">
        <x:v>0</x:v>
      </x:c>
      <x:c r="M76" s="11" t="n">
        <x:v>0</x:v>
      </x:c>
      <x:c r="N76" s="11" t="n">
        <x:v>0</x:v>
      </x:c>
      <x:c r="O76" s="11" t="n">
        <x:v>0</x:v>
      </x:c>
    </x:row>
    <x:row r="77" ht="23" customHeight="1">
      <x:c r="A77" s="10" t="str">
        <x:v>M11</x:v>
      </x:c>
      <x:c r="B77" s="10" t="str">
        <x:v>局部特征紧凑</x:v>
      </x:c>
      <x:c r="C77" s="11" t="n">
        <x:f>'全部组合'!F256</x:f>
        <x:v>10414</x:v>
      </x:c>
      <x:c r="D77" s="11" t="n">
        <x:f>SUM(F77:O77)</x:f>
        <x:v>1631</x:v>
      </x:c>
      <x:c r="E77" s="12" t="n">
        <x:f>IF(C77=0,"n.a.",D77/C77)</x:f>
        <x:v>0.15661609371999233</x:v>
      </x:c>
      <x:c r="F77" s="11" t="n">
        <x:v>0</x:v>
      </x:c>
      <x:c r="G77" s="11" t="n">
        <x:v>272</x:v>
      </x:c>
      <x:c r="H77" s="11" t="n">
        <x:v>1052</x:v>
      </x:c>
      <x:c r="I77" s="11" t="n">
        <x:v>306</x:v>
      </x:c>
      <x:c r="J77" s="11" t="n">
        <x:v>1</x:v>
      </x:c>
      <x:c r="K77" s="11" t="n">
        <x:v>0</x:v>
      </x:c>
      <x:c r="L77" s="11" t="n">
        <x:v>0</x:v>
      </x:c>
      <x:c r="M77" s="11" t="n">
        <x:v>0</x:v>
      </x:c>
      <x:c r="N77" s="11" t="n">
        <x:v>0</x:v>
      </x:c>
      <x:c r="O77" s="11" t="n">
        <x:v>0</x:v>
      </x:c>
    </x:row>
    <x:row r="78" ht="23" customHeight="1">
      <x:c r="A78" s="10" t="str">
        <x:v>M11</x:v>
      </x:c>
      <x:c r="B78" s="10" t="str">
        <x:v>简单紧凑</x:v>
      </x:c>
      <x:c r="C78" s="11" t="n">
        <x:f>'全部组合'!F256</x:f>
        <x:v>10414</x:v>
      </x:c>
      <x:c r="D78" s="11" t="n">
        <x:f>SUM(F78:O78)</x:f>
        <x:v>3546</x:v>
      </x:c>
      <x:c r="E78" s="12" t="n">
        <x:f>IF(C78=0,"n.a.",D78/C78)</x:f>
        <x:v>0.3405031688112157</x:v>
      </x:c>
      <x:c r="F78" s="11" t="n">
        <x:v>0</x:v>
      </x:c>
      <x:c r="G78" s="11" t="n">
        <x:v>1980</x:v>
      </x:c>
      <x:c r="H78" s="11" t="n">
        <x:v>1527</x:v>
      </x:c>
      <x:c r="I78" s="11" t="n">
        <x:v>39</x:v>
      </x:c>
      <x:c r="J78" s="11" t="n">
        <x:v>0</x:v>
      </x:c>
      <x:c r="K78" s="11" t="n">
        <x:v>0</x:v>
      </x:c>
      <x:c r="L78" s="11" t="n">
        <x:v>0</x:v>
      </x:c>
      <x:c r="M78" s="11" t="n">
        <x:v>0</x:v>
      </x:c>
      <x:c r="N78" s="11" t="n">
        <x:v>0</x:v>
      </x:c>
      <x:c r="O78" s="11" t="n">
        <x:v>0</x:v>
      </x:c>
    </x:row>
    <x:row r="79" ht="23" customHeight="1">
      <x:c r="A79" s="10" t="str">
        <x:v>M11</x:v>
      </x:c>
      <x:c r="B79" s="10" t="str">
        <x:v>分布复合</x:v>
      </x:c>
      <x:c r="C79" s="11" t="n">
        <x:f>'全部组合'!F256</x:f>
        <x:v>10414</x:v>
      </x:c>
      <x:c r="D79" s="11" t="n">
        <x:f>SUM(F79:O79)</x:f>
        <x:v>943</x:v>
      </x:c>
      <x:c r="E79" s="12" t="n">
        <x:f>IF(C79=0,"n.a.",D79/C79)</x:f>
        <x:v>0.09055118110236221</x:v>
      </x:c>
      <x:c r="F79" s="11" t="n">
        <x:v>0</x:v>
      </x:c>
      <x:c r="G79" s="11" t="n">
        <x:v>0</x:v>
      </x:c>
      <x:c r="H79" s="11" t="n">
        <x:v>198</x:v>
      </x:c>
      <x:c r="I79" s="11" t="n">
        <x:v>695</x:v>
      </x:c>
      <x:c r="J79" s="11" t="n">
        <x:v>39</x:v>
      </x:c>
      <x:c r="K79" s="11" t="n">
        <x:v>11</x:v>
      </x:c>
      <x:c r="L79" s="11" t="n">
        <x:v>0</x:v>
      </x:c>
      <x:c r="M79" s="11" t="n">
        <x:v>0</x:v>
      </x:c>
      <x:c r="N79" s="11" t="n">
        <x:v>0</x:v>
      </x:c>
      <x:c r="O79" s="11" t="n">
        <x:v>0</x:v>
      </x:c>
    </x:row>
    <x:row r="80" ht="23" customHeight="1">
      <x:c r="A80" s="10" t="str">
        <x:v>M11</x:v>
      </x:c>
      <x:c r="B80" s="10" t="str">
        <x:v>细长片状</x:v>
      </x:c>
      <x:c r="C80" s="11" t="n">
        <x:f>'全部组合'!F256</x:f>
        <x:v>10414</x:v>
      </x:c>
      <x:c r="D80" s="11" t="n">
        <x:f>SUM(F80:O80)</x:f>
        <x:v>233</x:v>
      </x:c>
      <x:c r="E80" s="12" t="n">
        <x:f>IF(C80=0,"n.a.",D80/C80)</x:f>
        <x:v>0.022373727674284617</x:v>
      </x:c>
      <x:c r="F80" s="11" t="n">
        <x:v>0</x:v>
      </x:c>
      <x:c r="G80" s="11" t="n">
        <x:v>0</x:v>
      </x:c>
      <x:c r="H80" s="11" t="n">
        <x:v>8</x:v>
      </x:c>
      <x:c r="I80" s="11" t="n">
        <x:v>222</x:v>
      </x:c>
      <x:c r="J80" s="11" t="n">
        <x:v>3</x:v>
      </x:c>
      <x:c r="K80" s="11" t="n">
        <x:v>0</x:v>
      </x:c>
      <x:c r="L80" s="11" t="n">
        <x:v>0</x:v>
      </x:c>
      <x:c r="M80" s="11" t="n">
        <x:v>0</x:v>
      </x:c>
      <x:c r="N80" s="11" t="n">
        <x:v>0</x:v>
      </x:c>
      <x:c r="O80" s="11" t="n">
        <x:v>0</x:v>
      </x:c>
    </x:row>
    <x:row r="81" ht="23" customHeight="1">
      <x:c r="A81" s="10" t="str">
        <x:v>M11</x:v>
      </x:c>
      <x:c r="B81" s="10" t="str">
        <x:v>板状</x:v>
      </x:c>
      <x:c r="C81" s="11" t="n">
        <x:f>'全部组合'!F256</x:f>
        <x:v>10414</x:v>
      </x:c>
      <x:c r="D81" s="11" t="n">
        <x:f>SUM(F81:O81)</x:f>
        <x:v>2403</x:v>
      </x:c>
      <x:c r="E81" s="12" t="n">
        <x:f>IF(C81=0,"n.a.",D81/C81)</x:f>
        <x:v>0.23074707125024005</x:v>
      </x:c>
      <x:c r="F81" s="11" t="n">
        <x:v>0</x:v>
      </x:c>
      <x:c r="G81" s="11" t="n">
        <x:v>338</x:v>
      </x:c>
      <x:c r="H81" s="11" t="n">
        <x:v>1371</x:v>
      </x:c>
      <x:c r="I81" s="11" t="n">
        <x:v>649</x:v>
      </x:c>
      <x:c r="J81" s="11" t="n">
        <x:v>45</x:v>
      </x:c>
      <x:c r="K81" s="11" t="n">
        <x:v>0</x:v>
      </x:c>
      <x:c r="L81" s="11" t="n">
        <x:v>0</x:v>
      </x:c>
      <x:c r="M81" s="11" t="n">
        <x:v>0</x:v>
      </x:c>
      <x:c r="N81" s="11" t="n">
        <x:v>0</x:v>
      </x:c>
      <x:c r="O81" s="11" t="n">
        <x:v>0</x:v>
      </x:c>
    </x:row>
    <x:row r="82" ht="23" customHeight="1">
      <x:c r="A82" s="10" t="str">
        <x:v>M11</x:v>
      </x:c>
      <x:c r="B82" s="10" t="str">
        <x:v>杆状</x:v>
      </x:c>
      <x:c r="C82" s="11" t="n">
        <x:f>'全部组合'!F256</x:f>
        <x:v>10414</x:v>
      </x:c>
      <x:c r="D82" s="11" t="n">
        <x:f>SUM(F82:O82)</x:f>
        <x:v>271</x:v>
      </x:c>
      <x:c r="E82" s="12" t="n">
        <x:f>IF(C82=0,"n.a.",D82/C82)</x:f>
        <x:v>0.026022661801421165</x:v>
      </x:c>
      <x:c r="F82" s="11" t="n">
        <x:v>0</x:v>
      </x:c>
      <x:c r="G82" s="11" t="n">
        <x:v>0</x:v>
      </x:c>
      <x:c r="H82" s="11" t="n">
        <x:v>59</x:v>
      </x:c>
      <x:c r="I82" s="11" t="n">
        <x:v>184</x:v>
      </x:c>
      <x:c r="J82" s="11" t="n">
        <x:v>19</x:v>
      </x:c>
      <x:c r="K82" s="11" t="n">
        <x:v>9</x:v>
      </x:c>
      <x:c r="L82" s="11" t="n">
        <x:v>0</x:v>
      </x:c>
      <x:c r="M82" s="11" t="n">
        <x:v>0</x:v>
      </x:c>
      <x:c r="N82" s="11" t="n">
        <x:v>0</x:v>
      </x:c>
      <x:c r="O82" s="11" t="n">
        <x:v>0</x:v>
      </x:c>
    </x:row>
    <x:row r="83" ht="23" customHeight="1">
      <x:c r="A83" s="10" t="str">
        <x:v>M12</x:v>
      </x:c>
      <x:c r="B83" s="10" t="str">
        <x:v>曲面紧凑</x:v>
      </x:c>
      <x:c r="C83" s="11" t="n">
        <x:f>'全部组合'!F279</x:f>
        <x:v>4374</x:v>
      </x:c>
      <x:c r="D83" s="11" t="n">
        <x:f>SUM(F83:O83)</x:f>
        <x:v>2023</x:v>
      </x:c>
      <x:c r="E83" s="12" t="n">
        <x:f>IF(C83=0,"n.a.",D83/C83)</x:f>
        <x:v>0.4625057155921353</x:v>
      </x:c>
      <x:c r="F83" s="11" t="n">
        <x:v>0</x:v>
      </x:c>
      <x:c r="G83" s="11" t="n">
        <x:v>276</x:v>
      </x:c>
      <x:c r="H83" s="11" t="n">
        <x:v>1741</x:v>
      </x:c>
      <x:c r="I83" s="11" t="n">
        <x:v>6</x:v>
      </x:c>
      <x:c r="J83" s="11" t="n">
        <x:v>0</x:v>
      </x:c>
      <x:c r="K83" s="11" t="n">
        <x:v>0</x:v>
      </x:c>
      <x:c r="L83" s="11" t="n">
        <x:v>0</x:v>
      </x:c>
      <x:c r="M83" s="11" t="n">
        <x:v>0</x:v>
      </x:c>
      <x:c r="N83" s="11" t="n">
        <x:v>0</x:v>
      </x:c>
      <x:c r="O83" s="11" t="n">
        <x:v>0</x:v>
      </x:c>
    </x:row>
    <x:row r="84" ht="23" customHeight="1">
      <x:c r="A84" s="10" t="str">
        <x:v>M12</x:v>
      </x:c>
      <x:c r="B84" s="10" t="str">
        <x:v>局部特征紧凑</x:v>
      </x:c>
      <x:c r="C84" s="11" t="n">
        <x:f>'全部组合'!F279</x:f>
        <x:v>4374</x:v>
      </x:c>
      <x:c r="D84" s="11" t="n">
        <x:f>SUM(F84:O84)</x:f>
        <x:v>329</x:v>
      </x:c>
      <x:c r="E84" s="12" t="n">
        <x:f>IF(C84=0,"n.a.",D84/C84)</x:f>
        <x:v>0.07521719250114312</x:v>
      </x:c>
      <x:c r="F84" s="11" t="n">
        <x:v>0</x:v>
      </x:c>
      <x:c r="G84" s="11" t="n">
        <x:v>0</x:v>
      </x:c>
      <x:c r="H84" s="11" t="n">
        <x:v>311</x:v>
      </x:c>
      <x:c r="I84" s="11" t="n">
        <x:v>18</x:v>
      </x:c>
      <x:c r="J84" s="11" t="n">
        <x:v>0</x:v>
      </x:c>
      <x:c r="K84" s="11" t="n">
        <x:v>0</x:v>
      </x:c>
      <x:c r="L84" s="11" t="n">
        <x:v>0</x:v>
      </x:c>
      <x:c r="M84" s="11" t="n">
        <x:v>0</x:v>
      </x:c>
      <x:c r="N84" s="11" t="n">
        <x:v>0</x:v>
      </x:c>
      <x:c r="O84" s="11" t="n">
        <x:v>0</x:v>
      </x:c>
    </x:row>
    <x:row r="85" ht="23" customHeight="1">
      <x:c r="A85" s="10" t="str">
        <x:v>M12</x:v>
      </x:c>
      <x:c r="B85" s="10" t="str">
        <x:v>简单紧凑</x:v>
      </x:c>
      <x:c r="C85" s="11" t="n">
        <x:f>'全部组合'!F279</x:f>
        <x:v>4374</x:v>
      </x:c>
      <x:c r="D85" s="11" t="n">
        <x:f>SUM(F85:O85)</x:f>
        <x:v>1565</x:v>
      </x:c>
      <x:c r="E85" s="12" t="n">
        <x:f>IF(C85=0,"n.a.",D85/C85)</x:f>
        <x:v>0.3577960676726109</x:v>
      </x:c>
      <x:c r="F85" s="11" t="n">
        <x:v>0</x:v>
      </x:c>
      <x:c r="G85" s="11" t="n">
        <x:v>717</x:v>
      </x:c>
      <x:c r="H85" s="11" t="n">
        <x:v>822</x:v>
      </x:c>
      <x:c r="I85" s="11" t="n">
        <x:v>26</x:v>
      </x:c>
      <x:c r="J85" s="11" t="n">
        <x:v>0</x:v>
      </x:c>
      <x:c r="K85" s="11" t="n">
        <x:v>0</x:v>
      </x:c>
      <x:c r="L85" s="11" t="n">
        <x:v>0</x:v>
      </x:c>
      <x:c r="M85" s="11" t="n">
        <x:v>0</x:v>
      </x:c>
      <x:c r="N85" s="11" t="n">
        <x:v>0</x:v>
      </x:c>
      <x:c r="O85" s="11" t="n">
        <x:v>0</x:v>
      </x:c>
    </x:row>
    <x:row r="86" ht="23" customHeight="1">
      <x:c r="A86" s="10" t="str">
        <x:v>M12</x:v>
      </x:c>
      <x:c r="B86" s="10" t="str">
        <x:v>分布复合</x:v>
      </x:c>
      <x:c r="C86" s="11" t="n">
        <x:f>'全部组合'!F279</x:f>
        <x:v>4374</x:v>
      </x:c>
      <x:c r="D86" s="11" t="n">
        <x:f>SUM(F86:O86)</x:f>
        <x:v>91</x:v>
      </x:c>
      <x:c r="E86" s="12" t="n">
        <x:f>IF(C86=0,"n.a.",D86/C86)</x:f>
        <x:v>0.020804755372656608</x:v>
      </x:c>
      <x:c r="F86" s="11" t="n">
        <x:v>0</x:v>
      </x:c>
      <x:c r="G86" s="11" t="n">
        <x:v>0</x:v>
      </x:c>
      <x:c r="H86" s="11" t="n">
        <x:v>4</x:v>
      </x:c>
      <x:c r="I86" s="11" t="n">
        <x:v>39</x:v>
      </x:c>
      <x:c r="J86" s="11" t="n">
        <x:v>40</x:v>
      </x:c>
      <x:c r="K86" s="11" t="n">
        <x:v>8</x:v>
      </x:c>
      <x:c r="L86" s="11" t="n">
        <x:v>0</x:v>
      </x:c>
      <x:c r="M86" s="11" t="n">
        <x:v>0</x:v>
      </x:c>
      <x:c r="N86" s="11" t="n">
        <x:v>0</x:v>
      </x:c>
      <x:c r="O86" s="11" t="n">
        <x:v>0</x:v>
      </x:c>
    </x:row>
    <x:row r="87" ht="23" customHeight="1">
      <x:c r="A87" s="10" t="str">
        <x:v>M12</x:v>
      </x:c>
      <x:c r="B87" s="10" t="str">
        <x:v>细长片状</x:v>
      </x:c>
      <x:c r="C87" s="11" t="n">
        <x:f>'全部组合'!F279</x:f>
        <x:v>4374</x:v>
      </x:c>
      <x:c r="D87" s="11" t="n">
        <x:f>SUM(F87:O87)</x:f>
        <x:v>4</x:v>
      </x:c>
      <x:c r="E87" s="12" t="n">
        <x:f>IF(C87=0,"n.a.",D87/C87)</x:f>
        <x:v>0.0009144947416552355</x:v>
      </x:c>
      <x:c r="F87" s="11" t="n">
        <x:v>0</x:v>
      </x:c>
      <x:c r="G87" s="11" t="n">
        <x:v>0</x:v>
      </x:c>
      <x:c r="H87" s="11" t="n">
        <x:v>0</x:v>
      </x:c>
      <x:c r="I87" s="11" t="n">
        <x:v>3</x:v>
      </x:c>
      <x:c r="J87" s="11" t="n">
        <x:v>1</x:v>
      </x:c>
      <x:c r="K87" s="11" t="n">
        <x:v>0</x:v>
      </x:c>
      <x:c r="L87" s="11" t="n">
        <x:v>0</x:v>
      </x:c>
      <x:c r="M87" s="11" t="n">
        <x:v>0</x:v>
      </x:c>
      <x:c r="N87" s="11" t="n">
        <x:v>0</x:v>
      </x:c>
      <x:c r="O87" s="11" t="n">
        <x:v>0</x:v>
      </x:c>
    </x:row>
    <x:row r="88" ht="23" customHeight="1">
      <x:c r="A88" s="10" t="str">
        <x:v>M12</x:v>
      </x:c>
      <x:c r="B88" s="10" t="str">
        <x:v>板状</x:v>
      </x:c>
      <x:c r="C88" s="11" t="n">
        <x:f>'全部组合'!F279</x:f>
        <x:v>4374</x:v>
      </x:c>
      <x:c r="D88" s="11" t="n">
        <x:f>SUM(F88:O88)</x:f>
        <x:v>287</x:v>
      </x:c>
      <x:c r="E88" s="12" t="n">
        <x:f>IF(C88=0,"n.a.",D88/C88)</x:f>
        <x:v>0.06561499771376314</x:v>
      </x:c>
      <x:c r="F88" s="11" t="n">
        <x:v>0</x:v>
      </x:c>
      <x:c r="G88" s="11" t="n">
        <x:v>2</x:v>
      </x:c>
      <x:c r="H88" s="11" t="n">
        <x:v>134</x:v>
      </x:c>
      <x:c r="I88" s="11" t="n">
        <x:v>97</x:v>
      </x:c>
      <x:c r="J88" s="11" t="n">
        <x:v>54</x:v>
      </x:c>
      <x:c r="K88" s="11" t="n">
        <x:v>0</x:v>
      </x:c>
      <x:c r="L88" s="11" t="n">
        <x:v>0</x:v>
      </x:c>
      <x:c r="M88" s="11" t="n">
        <x:v>0</x:v>
      </x:c>
      <x:c r="N88" s="11" t="n">
        <x:v>0</x:v>
      </x:c>
      <x:c r="O88" s="11" t="n">
        <x:v>0</x:v>
      </x:c>
    </x:row>
    <x:row r="89" ht="23" customHeight="1">
      <x:c r="A89" s="10" t="str">
        <x:v>M12</x:v>
      </x:c>
      <x:c r="B89" s="10" t="str">
        <x:v>杆状</x:v>
      </x:c>
      <x:c r="C89" s="11" t="n">
        <x:f>'全部组合'!F279</x:f>
        <x:v>4374</x:v>
      </x:c>
      <x:c r="D89" s="11" t="n">
        <x:f>SUM(F89:O89)</x:f>
        <x:v>75</x:v>
      </x:c>
      <x:c r="E89" s="12" t="n">
        <x:f>IF(C89=0,"n.a.",D89/C89)</x:f>
        <x:v>0.017146776406035666</x:v>
      </x:c>
      <x:c r="F89" s="11" t="n">
        <x:v>0</x:v>
      </x:c>
      <x:c r="G89" s="11" t="n">
        <x:v>0</x:v>
      </x:c>
      <x:c r="H89" s="11" t="n">
        <x:v>22</x:v>
      </x:c>
      <x:c r="I89" s="11" t="n">
        <x:v>37</x:v>
      </x:c>
      <x:c r="J89" s="11" t="n">
        <x:v>16</x:v>
      </x:c>
      <x:c r="K89" s="11" t="n">
        <x:v>0</x:v>
      </x:c>
      <x:c r="L89" s="11" t="n">
        <x:v>0</x:v>
      </x:c>
      <x:c r="M89" s="11" t="n">
        <x:v>0</x:v>
      </x:c>
      <x:c r="N89" s="11" t="n">
        <x:v>0</x:v>
      </x:c>
      <x:c r="O89" s="11" t="n">
        <x:v>0</x:v>
      </x:c>
    </x:row>
    <x:row r="90" ht="23" customHeight="1">
      <x:c r="A90" s="10" t="str">
        <x:v>M13</x:v>
      </x:c>
      <x:c r="B90" s="10" t="str">
        <x:v>曲面紧凑</x:v>
      </x:c>
      <x:c r="C90" s="11" t="n">
        <x:f>'全部组合'!F302</x:f>
        <x:v>9880</x:v>
      </x:c>
      <x:c r="D90" s="11" t="n">
        <x:f>SUM(F90:O90)</x:f>
        <x:v>2978</x:v>
      </x:c>
      <x:c r="E90" s="12" t="n">
        <x:f>IF(C90=0,"n.a.",D90/C90)</x:f>
        <x:v>0.301417004048583</x:v>
      </x:c>
      <x:c r="F90" s="11" t="n">
        <x:v>0</x:v>
      </x:c>
      <x:c r="G90" s="11" t="n">
        <x:v>1025</x:v>
      </x:c>
      <x:c r="H90" s="11" t="n">
        <x:v>1873</x:v>
      </x:c>
      <x:c r="I90" s="11" t="n">
        <x:v>80</x:v>
      </x:c>
      <x:c r="J90" s="11" t="n">
        <x:v>0</x:v>
      </x:c>
      <x:c r="K90" s="11" t="n">
        <x:v>0</x:v>
      </x:c>
      <x:c r="L90" s="11" t="n">
        <x:v>0</x:v>
      </x:c>
      <x:c r="M90" s="11" t="n">
        <x:v>0</x:v>
      </x:c>
      <x:c r="N90" s="11" t="n">
        <x:v>0</x:v>
      </x:c>
      <x:c r="O90" s="11" t="n">
        <x:v>0</x:v>
      </x:c>
    </x:row>
    <x:row r="91" ht="23" customHeight="1">
      <x:c r="A91" s="10" t="str">
        <x:v>M13</x:v>
      </x:c>
      <x:c r="B91" s="10" t="str">
        <x:v>局部特征紧凑</x:v>
      </x:c>
      <x:c r="C91" s="11" t="n">
        <x:f>'全部组合'!F302</x:f>
        <x:v>9880</x:v>
      </x:c>
      <x:c r="D91" s="11" t="n">
        <x:f>SUM(F91:O91)</x:f>
        <x:v>539</x:v>
      </x:c>
      <x:c r="E91" s="12" t="n">
        <x:f>IF(C91=0,"n.a.",D91/C91)</x:f>
        <x:v>0.05455465587044534</x:v>
      </x:c>
      <x:c r="F91" s="11" t="n">
        <x:v>0</x:v>
      </x:c>
      <x:c r="G91" s="11" t="n">
        <x:v>96</x:v>
      </x:c>
      <x:c r="H91" s="11" t="n">
        <x:v>398</x:v>
      </x:c>
      <x:c r="I91" s="11" t="n">
        <x:v>38</x:v>
      </x:c>
      <x:c r="J91" s="11" t="n">
        <x:v>7</x:v>
      </x:c>
      <x:c r="K91" s="11" t="n">
        <x:v>0</x:v>
      </x:c>
      <x:c r="L91" s="11" t="n">
        <x:v>0</x:v>
      </x:c>
      <x:c r="M91" s="11" t="n">
        <x:v>0</x:v>
      </x:c>
      <x:c r="N91" s="11" t="n">
        <x:v>0</x:v>
      </x:c>
      <x:c r="O91" s="11" t="n">
        <x:v>0</x:v>
      </x:c>
    </x:row>
    <x:row r="92" ht="23" customHeight="1">
      <x:c r="A92" s="10" t="str">
        <x:v>M13</x:v>
      </x:c>
      <x:c r="B92" s="10" t="str">
        <x:v>简单紧凑</x:v>
      </x:c>
      <x:c r="C92" s="11" t="n">
        <x:f>'全部组合'!F302</x:f>
        <x:v>9880</x:v>
      </x:c>
      <x:c r="D92" s="11" t="n">
        <x:f>SUM(F92:O92)</x:f>
        <x:v>3819</x:v>
      </x:c>
      <x:c r="E92" s="12" t="n">
        <x:f>IF(C92=0,"n.a.",D92/C92)</x:f>
        <x:v>0.38653846153846155</x:v>
      </x:c>
      <x:c r="F92" s="11" t="n">
        <x:v>0</x:v>
      </x:c>
      <x:c r="G92" s="11" t="n">
        <x:v>2142</x:v>
      </x:c>
      <x:c r="H92" s="11" t="n">
        <x:v>1674</x:v>
      </x:c>
      <x:c r="I92" s="11" t="n">
        <x:v>3</x:v>
      </x:c>
      <x:c r="J92" s="11" t="n">
        <x:v>0</x:v>
      </x:c>
      <x:c r="K92" s="11" t="n">
        <x:v>0</x:v>
      </x:c>
      <x:c r="L92" s="11" t="n">
        <x:v>0</x:v>
      </x:c>
      <x:c r="M92" s="11" t="n">
        <x:v>0</x:v>
      </x:c>
      <x:c r="N92" s="11" t="n">
        <x:v>0</x:v>
      </x:c>
      <x:c r="O92" s="11" t="n">
        <x:v>0</x:v>
      </x:c>
    </x:row>
    <x:row r="93" ht="23" customHeight="1">
      <x:c r="A93" s="10" t="str">
        <x:v>M13</x:v>
      </x:c>
      <x:c r="B93" s="10" t="str">
        <x:v>分布复合</x:v>
      </x:c>
      <x:c r="C93" s="11" t="n">
        <x:f>'全部组合'!F302</x:f>
        <x:v>9880</x:v>
      </x:c>
      <x:c r="D93" s="11" t="n">
        <x:f>SUM(F93:O93)</x:f>
        <x:v>240</x:v>
      </x:c>
      <x:c r="E93" s="12" t="n">
        <x:f>IF(C93=0,"n.a.",D93/C93)</x:f>
        <x:v>0.024291497975708502</x:v>
      </x:c>
      <x:c r="F93" s="11" t="n">
        <x:v>0</x:v>
      </x:c>
      <x:c r="G93" s="11" t="n">
        <x:v>0</x:v>
      </x:c>
      <x:c r="H93" s="11" t="n">
        <x:v>89</x:v>
      </x:c>
      <x:c r="I93" s="11" t="n">
        <x:v>79</x:v>
      </x:c>
      <x:c r="J93" s="11" t="n">
        <x:v>69</x:v>
      </x:c>
      <x:c r="K93" s="11" t="n">
        <x:v>2</x:v>
      </x:c>
      <x:c r="L93" s="11" t="n">
        <x:v>1</x:v>
      </x:c>
      <x:c r="M93" s="11" t="n">
        <x:v>0</x:v>
      </x:c>
      <x:c r="N93" s="11" t="n">
        <x:v>0</x:v>
      </x:c>
      <x:c r="O93" s="11" t="n">
        <x:v>0</x:v>
      </x:c>
    </x:row>
    <x:row r="94" ht="23" customHeight="1">
      <x:c r="A94" s="10" t="str">
        <x:v>M13</x:v>
      </x:c>
      <x:c r="B94" s="10" t="str">
        <x:v>细长片状</x:v>
      </x:c>
      <x:c r="C94" s="11" t="n">
        <x:f>'全部组合'!F302</x:f>
        <x:v>9880</x:v>
      </x:c>
      <x:c r="D94" s="11" t="n">
        <x:f>SUM(F94:O94)</x:f>
        <x:v>68</x:v>
      </x:c>
      <x:c r="E94" s="12" t="n">
        <x:f>IF(C94=0,"n.a.",D94/C94)</x:f>
        <x:v>0.006882591093117409</x:v>
      </x:c>
      <x:c r="F94" s="11" t="n">
        <x:v>0</x:v>
      </x:c>
      <x:c r="G94" s="11" t="n">
        <x:v>0</x:v>
      </x:c>
      <x:c r="H94" s="11" t="n">
        <x:v>5</x:v>
      </x:c>
      <x:c r="I94" s="11" t="n">
        <x:v>61</x:v>
      </x:c>
      <x:c r="J94" s="11" t="n">
        <x:v>2</x:v>
      </x:c>
      <x:c r="K94" s="11" t="n">
        <x:v>0</x:v>
      </x:c>
      <x:c r="L94" s="11" t="n">
        <x:v>0</x:v>
      </x:c>
      <x:c r="M94" s="11" t="n">
        <x:v>0</x:v>
      </x:c>
      <x:c r="N94" s="11" t="n">
        <x:v>0</x:v>
      </x:c>
      <x:c r="O94" s="11" t="n">
        <x:v>0</x:v>
      </x:c>
    </x:row>
    <x:row r="95" ht="23" customHeight="1">
      <x:c r="A95" s="10" t="str">
        <x:v>M13</x:v>
      </x:c>
      <x:c r="B95" s="10" t="str">
        <x:v>板状</x:v>
      </x:c>
      <x:c r="C95" s="11" t="n">
        <x:f>'全部组合'!F302</x:f>
        <x:v>9880</x:v>
      </x:c>
      <x:c r="D95" s="11" t="n">
        <x:f>SUM(F95:O95)</x:f>
        <x:v>1638</x:v>
      </x:c>
      <x:c r="E95" s="12" t="n">
        <x:f>IF(C95=0,"n.a.",D95/C95)</x:f>
        <x:v>0.16578947368421051</x:v>
      </x:c>
      <x:c r="F95" s="11" t="n">
        <x:v>0</x:v>
      </x:c>
      <x:c r="G95" s="11" t="n">
        <x:v>160</x:v>
      </x:c>
      <x:c r="H95" s="11" t="n">
        <x:v>1142</x:v>
      </x:c>
      <x:c r="I95" s="11" t="n">
        <x:v>336</x:v>
      </x:c>
      <x:c r="J95" s="11" t="n">
        <x:v>0</x:v>
      </x:c>
      <x:c r="K95" s="11" t="n">
        <x:v>0</x:v>
      </x:c>
      <x:c r="L95" s="11" t="n">
        <x:v>0</x:v>
      </x:c>
      <x:c r="M95" s="11" t="n">
        <x:v>0</x:v>
      </x:c>
      <x:c r="N95" s="11" t="n">
        <x:v>0</x:v>
      </x:c>
      <x:c r="O95" s="11" t="n">
        <x:v>0</x:v>
      </x:c>
    </x:row>
    <x:row r="96" ht="23" customHeight="1">
      <x:c r="A96" s="10" t="str">
        <x:v>M13</x:v>
      </x:c>
      <x:c r="B96" s="10" t="str">
        <x:v>杆状</x:v>
      </x:c>
      <x:c r="C96" s="11" t="n">
        <x:f>'全部组合'!F302</x:f>
        <x:v>9880</x:v>
      </x:c>
      <x:c r="D96" s="11" t="n">
        <x:f>SUM(F96:O96)</x:f>
        <x:v>598</x:v>
      </x:c>
      <x:c r="E96" s="12" t="n">
        <x:f>IF(C96=0,"n.a.",D96/C96)</x:f>
        <x:v>0.060526315789473685</x:v>
      </x:c>
      <x:c r="F96" s="11" t="n">
        <x:v>0</x:v>
      </x:c>
      <x:c r="G96" s="11" t="n">
        <x:v>0</x:v>
      </x:c>
      <x:c r="H96" s="11" t="n">
        <x:v>345</x:v>
      </x:c>
      <x:c r="I96" s="11" t="n">
        <x:v>242</x:v>
      </x:c>
      <x:c r="J96" s="11" t="n">
        <x:v>9</x:v>
      </x:c>
      <x:c r="K96" s="11" t="n">
        <x:v>0</x:v>
      </x:c>
      <x:c r="L96" s="11" t="n">
        <x:v>2</x:v>
      </x:c>
      <x:c r="M96" s="11" t="n">
        <x:v>0</x:v>
      </x:c>
      <x:c r="N96" s="11" t="n">
        <x:v>0</x:v>
      </x:c>
      <x:c r="O96" s="11" t="n">
        <x:v>0</x:v>
      </x:c>
    </x:row>
    <x:row r="97" ht="23" customHeight="1">
      <x:c r="A97" s="10" t="str">
        <x:v>ALL</x:v>
      </x:c>
      <x:c r="B97" s="10" t="str">
        <x:v>曲面紧凑</x:v>
      </x:c>
      <x:c r="C97" s="11" t="n">
        <x:f>'全部组合'!F325</x:f>
        <x:v>44682</x:v>
      </x:c>
      <x:c r="D97" s="11" t="n">
        <x:f>SUM(F97:O97)</x:f>
        <x:v>12190</x:v>
      </x:c>
      <x:c r="E97" s="12" t="n">
        <x:f>IF(C97=0,"n.a.",D97/C97)</x:f>
        <x:v>0.2728167942348149</x:v>
      </x:c>
      <x:c r="F97" s="11" t="n">
        <x:f>SUMIF($B$6:$B$96,B97,$F$6:$F$96)</x:f>
        <x:v>0</x:v>
      </x:c>
      <x:c r="G97" s="11" t="n">
        <x:f>SUMIF($B$6:$B$96,B97,$G$6:$G$96)</x:f>
        <x:v>2593</x:v>
      </x:c>
      <x:c r="H97" s="11" t="n">
        <x:f>SUMIF($B$6:$B$96,B97,$H$6:$H$96)</x:f>
        <x:v>8729</x:v>
      </x:c>
      <x:c r="I97" s="11" t="n">
        <x:f>SUMIF($B$6:$B$96,B97,$I$6:$I$96)</x:f>
        <x:v>852</x:v>
      </x:c>
      <x:c r="J97" s="11" t="n">
        <x:f>SUMIF($B$6:$B$96,B97,$J$6:$J$96)</x:f>
        <x:v>16</x:v>
      </x:c>
      <x:c r="K97" s="11" t="n">
        <x:f>SUMIF($B$6:$B$96,B97,$K$6:$K$96)</x:f>
        <x:v>0</x:v>
      </x:c>
      <x:c r="L97" s="11" t="n">
        <x:f>SUMIF($B$6:$B$96,B97,$L$6:$L$96)</x:f>
        <x:v>0</x:v>
      </x:c>
      <x:c r="M97" s="11" t="n">
        <x:f>SUMIF($B$6:$B$96,B97,$M$6:$M$96)</x:f>
        <x:v>0</x:v>
      </x:c>
      <x:c r="N97" s="11" t="n">
        <x:f>SUMIF($B$6:$B$96,B97,$N$6:$N$96)</x:f>
        <x:v>0</x:v>
      </x:c>
      <x:c r="O97" s="11" t="n">
        <x:f>SUMIF($B$6:$B$96,B97,$O$6:$O$96)</x:f>
        <x:v>0</x:v>
      </x:c>
    </x:row>
    <x:row r="98" ht="23" customHeight="1">
      <x:c r="A98" s="10" t="str">
        <x:v>ALL</x:v>
      </x:c>
      <x:c r="B98" s="10" t="str">
        <x:v>局部特征紧凑</x:v>
      </x:c>
      <x:c r="C98" s="11" t="n">
        <x:f>'全部组合'!F325</x:f>
        <x:v>44682</x:v>
      </x:c>
      <x:c r="D98" s="11" t="n">
        <x:f>SUM(F98:O98)</x:f>
        <x:v>3614</x:v>
      </x:c>
      <x:c r="E98" s="12" t="n">
        <x:f>IF(C98=0,"n.a.",D98/C98)</x:f>
        <x:v>0.08088268206436597</x:v>
      </x:c>
      <x:c r="F98" s="11" t="n">
        <x:f>SUMIF($B$6:$B$96,B98,$F$6:$F$96)</x:f>
        <x:v>0</x:v>
      </x:c>
      <x:c r="G98" s="11" t="n">
        <x:f>SUMIF($B$6:$B$96,B98,$G$6:$G$96)</x:f>
        <x:v>368</x:v>
      </x:c>
      <x:c r="H98" s="11" t="n">
        <x:f>SUMIF($B$6:$B$96,B98,$H$6:$H$96)</x:f>
        <x:v>2373</x:v>
      </x:c>
      <x:c r="I98" s="11" t="n">
        <x:f>SUMIF($B$6:$B$96,B98,$I$6:$I$96)</x:f>
        <x:v>857</x:v>
      </x:c>
      <x:c r="J98" s="11" t="n">
        <x:f>SUMIF($B$6:$B$96,B98,$J$6:$J$96)</x:f>
        <x:v>16</x:v>
      </x:c>
      <x:c r="K98" s="11" t="n">
        <x:f>SUMIF($B$6:$B$96,B98,$K$6:$K$96)</x:f>
        <x:v>0</x:v>
      </x:c>
      <x:c r="L98" s="11" t="n">
        <x:f>SUMIF($B$6:$B$96,B98,$L$6:$L$96)</x:f>
        <x:v>0</x:v>
      </x:c>
      <x:c r="M98" s="11" t="n">
        <x:f>SUMIF($B$6:$B$96,B98,$M$6:$M$96)</x:f>
        <x:v>0</x:v>
      </x:c>
      <x:c r="N98" s="11" t="n">
        <x:f>SUMIF($B$6:$B$96,B98,$N$6:$N$96)</x:f>
        <x:v>0</x:v>
      </x:c>
      <x:c r="O98" s="11" t="n">
        <x:f>SUMIF($B$6:$B$96,B98,$O$6:$O$96)</x:f>
        <x:v>0</x:v>
      </x:c>
    </x:row>
    <x:row r="99" ht="23" customHeight="1">
      <x:c r="A99" s="10" t="str">
        <x:v>ALL</x:v>
      </x:c>
      <x:c r="B99" s="10" t="str">
        <x:v>简单紧凑</x:v>
      </x:c>
      <x:c r="C99" s="11" t="n">
        <x:f>'全部组合'!F325</x:f>
        <x:v>44682</x:v>
      </x:c>
      <x:c r="D99" s="11" t="n">
        <x:f>SUM(F99:O99)</x:f>
        <x:v>15376</x:v>
      </x:c>
      <x:c r="E99" s="12" t="n">
        <x:f>IF(C99=0,"n.a.",D99/C99)</x:f>
        <x:v>0.34412067499216686</x:v>
      </x:c>
      <x:c r="F99" s="11" t="n">
        <x:f>SUMIF($B$6:$B$96,B99,$F$6:$F$96)</x:f>
        <x:v>0</x:v>
      </x:c>
      <x:c r="G99" s="11" t="n">
        <x:f>SUMIF($B$6:$B$96,B99,$G$6:$G$96)</x:f>
        <x:v>5714</x:v>
      </x:c>
      <x:c r="H99" s="11" t="n">
        <x:f>SUMIF($B$6:$B$96,B99,$H$6:$H$96)</x:f>
        <x:v>8898</x:v>
      </x:c>
      <x:c r="I99" s="11" t="n">
        <x:f>SUMIF($B$6:$B$96,B99,$I$6:$I$96)</x:f>
        <x:v>762</x:v>
      </x:c>
      <x:c r="J99" s="11" t="n">
        <x:f>SUMIF($B$6:$B$96,B99,$J$6:$J$96)</x:f>
        <x:v>2</x:v>
      </x:c>
      <x:c r="K99" s="11" t="n">
        <x:f>SUMIF($B$6:$B$96,B99,$K$6:$K$96)</x:f>
        <x:v>0</x:v>
      </x:c>
      <x:c r="L99" s="11" t="n">
        <x:f>SUMIF($B$6:$B$96,B99,$L$6:$L$96)</x:f>
        <x:v>0</x:v>
      </x:c>
      <x:c r="M99" s="11" t="n">
        <x:f>SUMIF($B$6:$B$96,B99,$M$6:$M$96)</x:f>
        <x:v>0</x:v>
      </x:c>
      <x:c r="N99" s="11" t="n">
        <x:f>SUMIF($B$6:$B$96,B99,$N$6:$N$96)</x:f>
        <x:v>0</x:v>
      </x:c>
      <x:c r="O99" s="11" t="n">
        <x:f>SUMIF($B$6:$B$96,B99,$O$6:$O$96)</x:f>
        <x:v>0</x:v>
      </x:c>
    </x:row>
    <x:row r="100" ht="23" customHeight="1">
      <x:c r="A100" s="10" t="str">
        <x:v>ALL</x:v>
      </x:c>
      <x:c r="B100" s="10" t="str">
        <x:v>分布复合</x:v>
      </x:c>
      <x:c r="C100" s="11" t="n">
        <x:f>'全部组合'!F325</x:f>
        <x:v>44682</x:v>
      </x:c>
      <x:c r="D100" s="11" t="n">
        <x:f>SUM(F100:O100)</x:f>
        <x:v>1986</x:v>
      </x:c>
      <x:c r="E100" s="12" t="n">
        <x:f>IF(C100=0,"n.a.",D100/C100)</x:f>
        <x:v>0.04444742849469585</x:v>
      </x:c>
      <x:c r="F100" s="11" t="n">
        <x:f>SUMIF($B$6:$B$96,B100,$F$6:$F$96)</x:f>
        <x:v>0</x:v>
      </x:c>
      <x:c r="G100" s="11" t="n">
        <x:f>SUMIF($B$6:$B$96,B100,$G$6:$G$96)</x:f>
        <x:v>0</x:v>
      </x:c>
      <x:c r="H100" s="11" t="n">
        <x:f>SUMIF($B$6:$B$96,B100,$H$6:$H$96)</x:f>
        <x:v>372</x:v>
      </x:c>
      <x:c r="I100" s="11" t="n">
        <x:f>SUMIF($B$6:$B$96,B100,$I$6:$I$96)</x:f>
        <x:v>1120</x:v>
      </x:c>
      <x:c r="J100" s="11" t="n">
        <x:f>SUMIF($B$6:$B$96,B100,$J$6:$J$96)</x:f>
        <x:v>408</x:v>
      </x:c>
      <x:c r="K100" s="11" t="n">
        <x:f>SUMIF($B$6:$B$96,B100,$K$6:$K$96)</x:f>
        <x:v>83</x:v>
      </x:c>
      <x:c r="L100" s="11" t="n">
        <x:f>SUMIF($B$6:$B$96,B100,$L$6:$L$96)</x:f>
        <x:v>3</x:v>
      </x:c>
      <x:c r="M100" s="11" t="n">
        <x:f>SUMIF($B$6:$B$96,B100,$M$6:$M$96)</x:f>
        <x:v>0</x:v>
      </x:c>
      <x:c r="N100" s="11" t="n">
        <x:f>SUMIF($B$6:$B$96,B100,$N$6:$N$96)</x:f>
        <x:v>0</x:v>
      </x:c>
      <x:c r="O100" s="11" t="n">
        <x:f>SUMIF($B$6:$B$96,B100,$O$6:$O$96)</x:f>
        <x:v>0</x:v>
      </x:c>
    </x:row>
    <x:row r="101" ht="23" customHeight="1">
      <x:c r="A101" s="10" t="str">
        <x:v>ALL</x:v>
      </x:c>
      <x:c r="B101" s="10" t="str">
        <x:v>细长片状</x:v>
      </x:c>
      <x:c r="C101" s="11" t="n">
        <x:f>'全部组合'!F325</x:f>
        <x:v>44682</x:v>
      </x:c>
      <x:c r="D101" s="11" t="n">
        <x:f>SUM(F101:O101)</x:f>
        <x:v>344</x:v>
      </x:c>
      <x:c r="E101" s="12" t="n">
        <x:f>IF(C101=0,"n.a.",D101/C101)</x:f>
        <x:v>0.0076988496486280825</x:v>
      </x:c>
      <x:c r="F101" s="11" t="n">
        <x:f>SUMIF($B$6:$B$96,B101,$F$6:$F$96)</x:f>
        <x:v>0</x:v>
      </x:c>
      <x:c r="G101" s="11" t="n">
        <x:f>SUMIF($B$6:$B$96,B101,$G$6:$G$96)</x:f>
        <x:v>0</x:v>
      </x:c>
      <x:c r="H101" s="11" t="n">
        <x:f>SUMIF($B$6:$B$96,B101,$H$6:$H$96)</x:f>
        <x:v>13</x:v>
      </x:c>
      <x:c r="I101" s="11" t="n">
        <x:f>SUMIF($B$6:$B$96,B101,$I$6:$I$96)</x:f>
        <x:v>300</x:v>
      </x:c>
      <x:c r="J101" s="11" t="n">
        <x:f>SUMIF($B$6:$B$96,B101,$J$6:$J$96)</x:f>
        <x:v>31</x:v>
      </x:c>
      <x:c r="K101" s="11" t="n">
        <x:f>SUMIF($B$6:$B$96,B101,$K$6:$K$96)</x:f>
        <x:v>0</x:v>
      </x:c>
      <x:c r="L101" s="11" t="n">
        <x:f>SUMIF($B$6:$B$96,B101,$L$6:$L$96)</x:f>
        <x:v>0</x:v>
      </x:c>
      <x:c r="M101" s="11" t="n">
        <x:f>SUMIF($B$6:$B$96,B101,$M$6:$M$96)</x:f>
        <x:v>0</x:v>
      </x:c>
      <x:c r="N101" s="11" t="n">
        <x:f>SUMIF($B$6:$B$96,B101,$N$6:$N$96)</x:f>
        <x:v>0</x:v>
      </x:c>
      <x:c r="O101" s="11" t="n">
        <x:f>SUMIF($B$6:$B$96,B101,$O$6:$O$96)</x:f>
        <x:v>0</x:v>
      </x:c>
    </x:row>
    <x:row r="102" ht="23" customHeight="1">
      <x:c r="A102" s="10" t="str">
        <x:v>ALL</x:v>
      </x:c>
      <x:c r="B102" s="10" t="str">
        <x:v>板状</x:v>
      </x:c>
      <x:c r="C102" s="11" t="n">
        <x:f>'全部组合'!F325</x:f>
        <x:v>44682</x:v>
      </x:c>
      <x:c r="D102" s="11" t="n">
        <x:f>SUM(F102:O102)</x:f>
        <x:v>8923</x:v>
      </x:c>
      <x:c r="E102" s="12" t="n">
        <x:f>IF(C102=0,"n.a.",D102/C102)</x:f>
        <x:v>0.19970010294973367</x:v>
      </x:c>
      <x:c r="F102" s="11" t="n">
        <x:f>SUMIF($B$6:$B$96,B102,$F$6:$F$96)</x:f>
        <x:v>0</x:v>
      </x:c>
      <x:c r="G102" s="11" t="n">
        <x:f>SUMIF($B$6:$B$96,B102,$G$6:$G$96)</x:f>
        <x:v>588</x:v>
      </x:c>
      <x:c r="H102" s="11" t="n">
        <x:f>SUMIF($B$6:$B$96,B102,$H$6:$H$96)</x:f>
        <x:v>5808</x:v>
      </x:c>
      <x:c r="I102" s="11" t="n">
        <x:f>SUMIF($B$6:$B$96,B102,$I$6:$I$96)</x:f>
        <x:v>2084</x:v>
      </x:c>
      <x:c r="J102" s="11" t="n">
        <x:f>SUMIF($B$6:$B$96,B102,$J$6:$J$96)</x:f>
        <x:v>443</x:v>
      </x:c>
      <x:c r="K102" s="11" t="n">
        <x:f>SUMIF($B$6:$B$96,B102,$K$6:$K$96)</x:f>
        <x:v>0</x:v>
      </x:c>
      <x:c r="L102" s="11" t="n">
        <x:f>SUMIF($B$6:$B$96,B102,$L$6:$L$96)</x:f>
        <x:v>0</x:v>
      </x:c>
      <x:c r="M102" s="11" t="n">
        <x:f>SUMIF($B$6:$B$96,B102,$M$6:$M$96)</x:f>
        <x:v>0</x:v>
      </x:c>
      <x:c r="N102" s="11" t="n">
        <x:f>SUMIF($B$6:$B$96,B102,$N$6:$N$96)</x:f>
        <x:v>0</x:v>
      </x:c>
      <x:c r="O102" s="11" t="n">
        <x:f>SUMIF($B$6:$B$96,B102,$O$6:$O$96)</x:f>
        <x:v>0</x:v>
      </x:c>
    </x:row>
    <x:row r="103" ht="23" customHeight="1">
      <x:c r="A103" s="10" t="str">
        <x:v>ALL</x:v>
      </x:c>
      <x:c r="B103" s="10" t="str">
        <x:v>杆状</x:v>
      </x:c>
      <x:c r="C103" s="11" t="n">
        <x:f>'全部组合'!F325</x:f>
        <x:v>44682</x:v>
      </x:c>
      <x:c r="D103" s="11" t="n">
        <x:f>SUM(F103:O103)</x:f>
        <x:v>2249</x:v>
      </x:c>
      <x:c r="E103" s="12" t="n">
        <x:f>IF(C103=0,"n.a.",D103/C103)</x:f>
        <x:v>0.050333467615594644</x:v>
      </x:c>
      <x:c r="F103" s="11" t="n">
        <x:f>SUMIF($B$6:$B$96,B103,$F$6:$F$96)</x:f>
        <x:v>0</x:v>
      </x:c>
      <x:c r="G103" s="11" t="n">
        <x:f>SUMIF($B$6:$B$96,B103,$G$6:$G$96)</x:f>
        <x:v>0</x:v>
      </x:c>
      <x:c r="H103" s="11" t="n">
        <x:f>SUMIF($B$6:$B$96,B103,$H$6:$H$96)</x:f>
        <x:v>673</x:v>
      </x:c>
      <x:c r="I103" s="11" t="n">
        <x:f>SUMIF($B$6:$B$96,B103,$I$6:$I$96)</x:f>
        <x:v>1087</x:v>
      </x:c>
      <x:c r="J103" s="11" t="n">
        <x:f>SUMIF($B$6:$B$96,B103,$J$6:$J$96)</x:f>
        <x:v>398</x:v>
      </x:c>
      <x:c r="K103" s="11" t="n">
        <x:f>SUMIF($B$6:$B$96,B103,$K$6:$K$96)</x:f>
        <x:v>85</x:v>
      </x:c>
      <x:c r="L103" s="11" t="n">
        <x:f>SUMIF($B$6:$B$96,B103,$L$6:$L$96)</x:f>
        <x:v>6</x:v>
      </x:c>
      <x:c r="M103" s="11" t="n">
        <x:f>SUMIF($B$6:$B$96,B103,$M$6:$M$96)</x:f>
        <x:v>0</x:v>
      </x:c>
      <x:c r="N103" s="11" t="n">
        <x:f>SUMIF($B$6:$B$96,B103,$N$6:$N$96)</x:f>
        <x:v>0</x:v>
      </x:c>
      <x:c r="O103" s="11" t="n">
        <x:f>SUMIF($B$6:$B$96,B103,$O$6:$O$96)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4f925411ff4ea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9" hidden="0" customWidth="1"/>
    <x:col min="3" max="3" width="48" hidden="0" customWidth="1"/>
    <x:col min="4" max="4" width="17" hidden="0" customWidth="1"/>
    <x:col min="5" max="5" width="18" hidden="0" customWidth="1"/>
    <x:col min="6" max="6" width="24" hidden="0" customWidth="1"/>
    <x:col min="7" max="7" width="27" hidden="0" customWidth="1"/>
    <x:col min="8" max="8" width="2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未达到对象级接受条件的候选类型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 t="str">
        <x:v>来源：low_confidence_candidate_types.csv；N为概率门槛，C为输出状态；候选类型不是人工真值。</x:v>
      </x:c>
      <x:c r="B3" s="2"/>
      <x:c r="C3" s="2"/>
      <x:c r="D3" s="2"/>
      <x:c r="E3" s="2"/>
      <x:c r="F3" s="2"/>
      <x:c r="G3" s="2"/>
      <x:c r="H3" s="2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8" t="str">
        <x:v>模型</x:v>
      </x:c>
      <x:c r="B5" s="8" t="str">
        <x:v>分支</x:v>
      </x:c>
      <x:c r="C5" s="8" t="str">
        <x:v>候选类型</x:v>
      </x:c>
      <x:c r="D5" s="8" t="str">
        <x:v>候选数</x:v>
      </x:c>
      <x:c r="E5" s="8" t="str">
        <x:v>未接受数</x:v>
      </x:c>
      <x:c r="F5" s="8" t="str">
        <x:v>类型内未接受比例</x:v>
      </x:c>
      <x:c r="G5" s="8" t="str">
        <x:v>占该分支未接受记录</x:v>
      </x:c>
      <x:c r="H5" s="8" t="str">
        <x:v>未接受源三角形</x:v>
      </x:c>
    </x:row>
    <x:row r="6" ht="23" customHeight="1">
      <x:c r="A6" s="10" t="str">
        <x:v>M1</x:v>
      </x:c>
      <x:c r="B6" s="10" t="str">
        <x:v>N</x:v>
      </x:c>
      <x:c r="C6" s="10" t="str">
        <x:v>bearings_bushings_guides</x:v>
      </x:c>
      <x:c r="D6" s="11" t="n">
        <x:v>100</x:v>
      </x:c>
      <x:c r="E6" s="11" t="n">
        <x:v>93</x:v>
      </x:c>
      <x:c r="F6" s="12" t="n">
        <x:f>E6/D6</x:f>
        <x:v>0.93</x:v>
      </x:c>
      <x:c r="G6" s="12" t="n">
        <x:f>IF(SUMIFS($E$6:$E$557,$A$6:$A$557,A6,$B$6:$B$557,B6)=0,"n.a.",E6/SUMIFS($E$6:$E$557,$A$6:$A$557,A6,$B$6:$B$557,B6))</x:f>
        <x:v>0.12827586206896552</x:v>
      </x:c>
      <x:c r="H6" s="11" t="n">
        <x:v>132516</x:v>
      </x:c>
    </x:row>
    <x:row r="7" ht="23" customHeight="1">
      <x:c r="A7" s="10" t="str">
        <x:v>M1</x:v>
      </x:c>
      <x:c r="B7" s="10" t="str">
        <x:v>N</x:v>
      </x:c>
      <x:c r="C7" s="10" t="str">
        <x:v>gears_pulleys_chains</x:v>
      </x:c>
      <x:c r="D7" s="11" t="n">
        <x:v>21</x:v>
      </x:c>
      <x:c r="E7" s="11" t="n">
        <x:v>20</x:v>
      </x:c>
      <x:c r="F7" s="12" t="n">
        <x:f>E7/D7</x:f>
        <x:v>0.9523809523809523</x:v>
      </x:c>
      <x:c r="G7" s="12" t="n">
        <x:f>IF(SUMIFS($E$6:$E$557,$A$6:$A$557,A7,$B$6:$B$557,B7)=0,"n.a.",E7/SUMIFS($E$6:$E$557,$A$6:$A$557,A7,$B$6:$B$557,B7))</x:f>
        <x:v>0.027586206896551724</x:v>
      </x:c>
      <x:c r="H7" s="11" t="n">
        <x:v>22234</x:v>
      </x:c>
    </x:row>
    <x:row r="8" ht="23" customHeight="1">
      <x:c r="A8" s="10" t="str">
        <x:v>M1</x:v>
      </x:c>
      <x:c r="B8" s="10" t="str">
        <x:v>N</x:v>
      </x:c>
      <x:c r="C8" s="10" t="str">
        <x:v>handles_controls</x:v>
      </x:c>
      <x:c r="D8" s="11" t="n">
        <x:v>98</x:v>
      </x:c>
      <x:c r="E8" s="11" t="n">
        <x:v>82</x:v>
      </x:c>
      <x:c r="F8" s="12" t="n">
        <x:f>E8/D8</x:f>
        <x:v>0.8367346938775511</x:v>
      </x:c>
      <x:c r="G8" s="12" t="n">
        <x:f>IF(SUMIFS($E$6:$E$557,$A$6:$A$557,A8,$B$6:$B$557,B8)=0,"n.a.",E8/SUMIFS($E$6:$E$557,$A$6:$A$557,A8,$B$6:$B$557,B8))</x:f>
        <x:v>0.11310344827586206</x:v>
      </x:c>
      <x:c r="H8" s="11" t="n">
        <x:v>135946</x:v>
      </x:c>
    </x:row>
    <x:row r="9" ht="23" customHeight="1">
      <x:c r="A9" s="10" t="str">
        <x:v>M1</x:v>
      </x:c>
      <x:c r="B9" s="10" t="str">
        <x:v>N</x:v>
      </x:c>
      <x:c r="C9" s="10" t="str">
        <x:v>joints_clamps_structural_connectors</x:v>
      </x:c>
      <x:c r="D9" s="11" t="n">
        <x:v>118</x:v>
      </x:c>
      <x:c r="E9" s="11" t="n">
        <x:v>56</x:v>
      </x:c>
      <x:c r="F9" s="12" t="n">
        <x:f>E9/D9</x:f>
        <x:v>0.4745762711864407</x:v>
      </x:c>
      <x:c r="G9" s="12" t="n">
        <x:f>IF(SUMIFS($E$6:$E$557,$A$6:$A$557,A9,$B$6:$B$557,B9)=0,"n.a.",E9/SUMIFS($E$6:$E$557,$A$6:$A$557,A9,$B$6:$B$557,B9))</x:f>
        <x:v>0.07724137931034483</x:v>
      </x:c>
      <x:c r="H9" s="11" t="n">
        <x:v>72506</x:v>
      </x:c>
    </x:row>
    <x:row r="10" ht="23" customHeight="1">
      <x:c r="A10" s="10" t="str">
        <x:v>M1</x:v>
      </x:c>
      <x:c r="B10" s="10" t="str">
        <x:v>N</x:v>
      </x:c>
      <x:c r="C10" s="10" t="str">
        <x:v>motors_gearmotors</x:v>
      </x:c>
      <x:c r="D10" s="11" t="n">
        <x:v>23</x:v>
      </x:c>
      <x:c r="E10" s="11" t="n">
        <x:v>13</x:v>
      </x:c>
      <x:c r="F10" s="12" t="n">
        <x:f>E10/D10</x:f>
        <x:v>0.5652173913043478</x:v>
      </x:c>
      <x:c r="G10" s="12" t="n">
        <x:f>IF(SUMIFS($E$6:$E$557,$A$6:$A$557,A10,$B$6:$B$557,B10)=0,"n.a.",E10/SUMIFS($E$6:$E$557,$A$6:$A$557,A10,$B$6:$B$557,B10))</x:f>
        <x:v>0.01793103448275862</x:v>
      </x:c>
      <x:c r="H10" s="11" t="n">
        <x:v>59464</x:v>
      </x:c>
    </x:row>
    <x:row r="11" ht="23" customHeight="1">
      <x:c r="A11" s="10" t="str">
        <x:v>M1</x:v>
      </x:c>
      <x:c r="B11" s="10" t="str">
        <x:v>N</x:v>
      </x:c>
      <x:c r="C11" s="10" t="str">
        <x:v>nuts</x:v>
      </x:c>
      <x:c r="D11" s="11" t="n">
        <x:v>35</x:v>
      </x:c>
      <x:c r="E11" s="11" t="n">
        <x:v>21</x:v>
      </x:c>
      <x:c r="F11" s="12" t="n">
        <x:f>E11/D11</x:f>
        <x:v>0.6</x:v>
      </x:c>
      <x:c r="G11" s="12" t="n">
        <x:f>IF(SUMIFS($E$6:$E$557,$A$6:$A$557,A11,$B$6:$B$557,B11)=0,"n.a.",E11/SUMIFS($E$6:$E$557,$A$6:$A$557,A11,$B$6:$B$557,B11))</x:f>
        <x:v>0.028965517241379312</x:v>
      </x:c>
      <x:c r="H11" s="11" t="n">
        <x:v>45532</x:v>
      </x:c>
    </x:row>
    <x:row r="12" ht="23" customHeight="1">
      <x:c r="A12" s="10" t="str">
        <x:v>M1</x:v>
      </x:c>
      <x:c r="B12" s="10" t="str">
        <x:v>N</x:v>
      </x:c>
      <x:c r="C12" s="10" t="str">
        <x:v>pins_rivets_keys</x:v>
      </x:c>
      <x:c r="D12" s="11" t="n">
        <x:v>178</x:v>
      </x:c>
      <x:c r="E12" s="11" t="n">
        <x:v>150</x:v>
      </x:c>
      <x:c r="F12" s="12" t="n">
        <x:f>E12/D12</x:f>
        <x:v>0.8426966292134831</x:v>
      </x:c>
      <x:c r="G12" s="12" t="n">
        <x:f>IF(SUMIFS($E$6:$E$557,$A$6:$A$557,A12,$B$6:$B$557,B12)=0,"n.a.",E12/SUMIFS($E$6:$E$557,$A$6:$A$557,A12,$B$6:$B$557,B12))</x:f>
        <x:v>0.20689655172413793</x:v>
      </x:c>
      <x:c r="H12" s="11" t="n">
        <x:v>229212</x:v>
      </x:c>
    </x:row>
    <x:row r="13" ht="23" customHeight="1">
      <x:c r="A13" s="10" t="str">
        <x:v>M1</x:v>
      </x:c>
      <x:c r="B13" s="10" t="str">
        <x:v>N</x:v>
      </x:c>
      <x:c r="C13" s="10" t="str">
        <x:v>pipe_fittings_valves_nozzles</x:v>
      </x:c>
      <x:c r="D13" s="11" t="n">
        <x:v>24</x:v>
      </x:c>
      <x:c r="E13" s="11" t="n">
        <x:v>20</x:v>
      </x:c>
      <x:c r="F13" s="12" t="n">
        <x:f>E13/D13</x:f>
        <x:v>0.8333333333333334</x:v>
      </x:c>
      <x:c r="G13" s="12" t="n">
        <x:f>IF(SUMIFS($E$6:$E$557,$A$6:$A$557,A13,$B$6:$B$557,B13)=0,"n.a.",E13/SUMIFS($E$6:$E$557,$A$6:$A$557,A13,$B$6:$B$557,B13))</x:f>
        <x:v>0.027586206896551724</x:v>
      </x:c>
      <x:c r="H13" s="11" t="n">
        <x:v>29060</x:v>
      </x:c>
    </x:row>
    <x:row r="14" ht="23" customHeight="1">
      <x:c r="A14" s="10" t="str">
        <x:v>M1</x:v>
      </x:c>
      <x:c r="B14" s="10" t="str">
        <x:v>N</x:v>
      </x:c>
      <x:c r="C14" s="10" t="str">
        <x:v>plates_discs_shapes</x:v>
      </x:c>
      <x:c r="D14" s="11" t="n">
        <x:v>288</x:v>
      </x:c>
      <x:c r="E14" s="11" t="n">
        <x:v>104</x:v>
      </x:c>
      <x:c r="F14" s="12" t="n">
        <x:f>E14/D14</x:f>
        <x:v>0.3611111111111111</x:v>
      </x:c>
      <x:c r="G14" s="12" t="n">
        <x:f>IF(SUMIFS($E$6:$E$557,$A$6:$A$557,A14,$B$6:$B$557,B14)=0,"n.a.",E14/SUMIFS($E$6:$E$557,$A$6:$A$557,A14,$B$6:$B$557,B14))</x:f>
        <x:v>0.14344827586206896</x:v>
      </x:c>
      <x:c r="H14" s="11" t="n">
        <x:v>134786</x:v>
      </x:c>
    </x:row>
    <x:row r="15" ht="23" customHeight="1">
      <x:c r="A15" s="10" t="str">
        <x:v>M1</x:v>
      </x:c>
      <x:c r="B15" s="10" t="str">
        <x:v>N</x:v>
      </x:c>
      <x:c r="C15" s="10" t="str">
        <x:v>rotating_fluid_machinery</x:v>
      </x:c>
      <x:c r="D15" s="11" t="n">
        <x:v>22</x:v>
      </x:c>
      <x:c r="E15" s="11" t="n">
        <x:v>20</x:v>
      </x:c>
      <x:c r="F15" s="12" t="n">
        <x:f>E15/D15</x:f>
        <x:v>0.9090909090909091</x:v>
      </x:c>
      <x:c r="G15" s="12" t="n">
        <x:f>IF(SUMIFS($E$6:$E$557,$A$6:$A$557,A15,$B$6:$B$557,B15)=0,"n.a.",E15/SUMIFS($E$6:$E$557,$A$6:$A$557,A15,$B$6:$B$557,B15))</x:f>
        <x:v>0.027586206896551724</x:v>
      </x:c>
      <x:c r="H15" s="11" t="n">
        <x:v>39038</x:v>
      </x:c>
    </x:row>
    <x:row r="16" ht="23" customHeight="1">
      <x:c r="A16" s="10" t="str">
        <x:v>M1</x:v>
      </x:c>
      <x:c r="B16" s="10" t="str">
        <x:v>N</x:v>
      </x:c>
      <x:c r="C16" s="10" t="str">
        <x:v>screws_bolts_studs</x:v>
      </x:c>
      <x:c r="D16" s="11" t="n">
        <x:v>127</x:v>
      </x:c>
      <x:c r="E16" s="11" t="n">
        <x:v>27</x:v>
      </x:c>
      <x:c r="F16" s="12" t="n">
        <x:f>E16/D16</x:f>
        <x:v>0.2125984251968504</x:v>
      </x:c>
      <x:c r="G16" s="12" t="n">
        <x:f>IF(SUMIFS($E$6:$E$557,$A$6:$A$557,A16,$B$6:$B$557,B16)=0,"n.a.",E16/SUMIFS($E$6:$E$557,$A$6:$A$557,A16,$B$6:$B$557,B16))</x:f>
        <x:v>0.037241379310344824</x:v>
      </x:c>
      <x:c r="H16" s="11" t="n">
        <x:v>14578</x:v>
      </x:c>
    </x:row>
    <x:row r="17" ht="23" customHeight="1">
      <x:c r="A17" s="10" t="str">
        <x:v>M1</x:v>
      </x:c>
      <x:c r="B17" s="10" t="str">
        <x:v>N</x:v>
      </x:c>
      <x:c r="C17" s="10" t="str">
        <x:v>springs</x:v>
      </x:c>
      <x:c r="D17" s="11" t="n">
        <x:v>36</x:v>
      </x:c>
      <x:c r="E17" s="11" t="n">
        <x:v>36</x:v>
      </x:c>
      <x:c r="F17" s="12" t="n">
        <x:f>E17/D17</x:f>
        <x:v>1</x:v>
      </x:c>
      <x:c r="G17" s="12" t="n">
        <x:f>IF(SUMIFS($E$6:$E$557,$A$6:$A$557,A17,$B$6:$B$557,B17)=0,"n.a.",E17/SUMIFS($E$6:$E$557,$A$6:$A$557,A17,$B$6:$B$557,B17))</x:f>
        <x:v>0.0496551724137931</x:v>
      </x:c>
      <x:c r="H17" s="11" t="n">
        <x:v>47428</x:v>
      </x:c>
    </x:row>
    <x:row r="18" ht="23" customHeight="1">
      <x:c r="A18" s="10" t="str">
        <x:v>M1</x:v>
      </x:c>
      <x:c r="B18" s="10" t="str">
        <x:v>N</x:v>
      </x:c>
      <x:c r="C18" s="10" t="str">
        <x:v>washers_rings_spacers</x:v>
      </x:c>
      <x:c r="D18" s="11" t="n">
        <x:v>88</x:v>
      </x:c>
      <x:c r="E18" s="11" t="n">
        <x:v>74</x:v>
      </x:c>
      <x:c r="F18" s="12" t="n">
        <x:f>E18/D18</x:f>
        <x:v>0.8409090909090909</x:v>
      </x:c>
      <x:c r="G18" s="12" t="n">
        <x:f>IF(SUMIFS($E$6:$E$557,$A$6:$A$557,A18,$B$6:$B$557,B18)=0,"n.a.",E18/SUMIFS($E$6:$E$557,$A$6:$A$557,A18,$B$6:$B$557,B18))</x:f>
        <x:v>0.10206896551724139</x:v>
      </x:c>
      <x:c r="H18" s="11" t="n">
        <x:v>129258</x:v>
      </x:c>
    </x:row>
    <x:row r="19" ht="23" customHeight="1">
      <x:c r="A19" s="10" t="str">
        <x:v>M1</x:v>
      </x:c>
      <x:c r="B19" s="10" t="str">
        <x:v>N</x:v>
      </x:c>
      <x:c r="C19" s="10" t="str">
        <x:v>wheels_castors</x:v>
      </x:c>
      <x:c r="D19" s="11" t="n">
        <x:v>9</x:v>
      </x:c>
      <x:c r="E19" s="11" t="n">
        <x:v>9</x:v>
      </x:c>
      <x:c r="F19" s="12" t="n">
        <x:f>E19/D19</x:f>
        <x:v>1</x:v>
      </x:c>
      <x:c r="G19" s="12" t="n">
        <x:f>IF(SUMIFS($E$6:$E$557,$A$6:$A$557,A19,$B$6:$B$557,B19)=0,"n.a.",E19/SUMIFS($E$6:$E$557,$A$6:$A$557,A19,$B$6:$B$557,B19))</x:f>
        <x:v>0.012413793103448275</x:v>
      </x:c>
      <x:c r="H19" s="11" t="n">
        <x:v>12104</x:v>
      </x:c>
    </x:row>
    <x:row r="20" ht="23" customHeight="1">
      <x:c r="A20" s="10" t="str">
        <x:v>M1</x:v>
      </x:c>
      <x:c r="B20" s="10" t="str">
        <x:v>C</x:v>
      </x:c>
      <x:c r="C20" s="10" t="str">
        <x:v>aluminum_extrusion</x:v>
      </x:c>
      <x:c r="D20" s="11" t="n">
        <x:v>35</x:v>
      </x:c>
      <x:c r="E20" s="11" t="n">
        <x:v>35</x:v>
      </x:c>
      <x:c r="F20" s="12" t="n">
        <x:f>E20/D20</x:f>
        <x:v>1</x:v>
      </x:c>
      <x:c r="G20" s="12" t="n">
        <x:f>IF(SUMIFS($E$6:$E$557,$A$6:$A$557,A20,$B$6:$B$557,B20)=0,"n.a.",E20/SUMIFS($E$6:$E$557,$A$6:$A$557,A20,$B$6:$B$557,B20))</x:f>
        <x:v>0.04065040650406504</x:v>
      </x:c>
      <x:c r="H20" s="11" t="n">
        <x:v>78700</x:v>
      </x:c>
    </x:row>
    <x:row r="21" ht="23" customHeight="1">
      <x:c r="A21" s="10" t="str">
        <x:v>M1</x:v>
      </x:c>
      <x:c r="B21" s="10" t="str">
        <x:v>C</x:v>
      </x:c>
      <x:c r="C21" s="10" t="str">
        <x:v>camera_lens</x:v>
      </x:c>
      <x:c r="D21" s="11" t="n">
        <x:v>1</x:v>
      </x:c>
      <x:c r="E21" s="11" t="n">
        <x:v>1</x:v>
      </x:c>
      <x:c r="F21" s="12" t="n">
        <x:f>E21/D21</x:f>
        <x:v>1</x:v>
      </x:c>
      <x:c r="G21" s="12" t="n">
        <x:f>IF(SUMIFS($E$6:$E$557,$A$6:$A$557,A21,$B$6:$B$557,B21)=0,"n.a.",E21/SUMIFS($E$6:$E$557,$A$6:$A$557,A21,$B$6:$B$557,B21))</x:f>
        <x:v>0.0011614401858304297</x:v>
      </x:c>
      <x:c r="H21" s="11" t="n">
        <x:v>1106</x:v>
      </x:c>
    </x:row>
    <x:row r="22" ht="23" customHeight="1">
      <x:c r="A22" s="10" t="str">
        <x:v>M1</x:v>
      </x:c>
      <x:c r="B22" s="10" t="str">
        <x:v>C</x:v>
      </x:c>
      <x:c r="C22" s="10" t="str">
        <x:v>cap_nut</x:v>
      </x:c>
      <x:c r="D22" s="11" t="n">
        <x:v>39</x:v>
      </x:c>
      <x:c r="E22" s="11" t="n">
        <x:v>38</x:v>
      </x:c>
      <x:c r="F22" s="12" t="n">
        <x:f>E22/D22</x:f>
        <x:v>0.9743589743589743</x:v>
      </x:c>
      <x:c r="G22" s="12" t="n">
        <x:f>IF(SUMIFS($E$6:$E$557,$A$6:$A$557,A22,$B$6:$B$557,B22)=0,"n.a.",E22/SUMIFS($E$6:$E$557,$A$6:$A$557,A22,$B$6:$B$557,B22))</x:f>
        <x:v>0.04413472706155633</x:v>
      </x:c>
      <x:c r="H22" s="11" t="n">
        <x:v>57622</x:v>
      </x:c>
    </x:row>
    <x:row r="23" ht="23" customHeight="1">
      <x:c r="A23" s="10" t="str">
        <x:v>M1</x:v>
      </x:c>
      <x:c r="B23" s="10" t="str">
        <x:v>C</x:v>
      </x:c>
      <x:c r="C23" s="10" t="str">
        <x:v>die_block</x:v>
      </x:c>
      <x:c r="D23" s="11" t="n">
        <x:v>50</x:v>
      </x:c>
      <x:c r="E23" s="11" t="n">
        <x:v>50</x:v>
      </x:c>
      <x:c r="F23" s="12" t="n">
        <x:f>E23/D23</x:f>
        <x:v>1</x:v>
      </x:c>
      <x:c r="G23" s="12" t="n">
        <x:f>IF(SUMIFS($E$6:$E$557,$A$6:$A$557,A23,$B$6:$B$557,B23)=0,"n.a.",E23/SUMIFS($E$6:$E$557,$A$6:$A$557,A23,$B$6:$B$557,B23))</x:f>
        <x:v>0.05807200929152149</x:v>
      </x:c>
      <x:c r="H23" s="11" t="n">
        <x:v>33400</x:v>
      </x:c>
    </x:row>
    <x:row r="24" ht="23" customHeight="1">
      <x:c r="A24" s="10" t="str">
        <x:v>M1</x:v>
      </x:c>
      <x:c r="B24" s="10" t="str">
        <x:v>C</x:v>
      </x:c>
      <x:c r="C24" s="10" t="str">
        <x:v>dowel_pin</x:v>
      </x:c>
      <x:c r="D24" s="11" t="n">
        <x:v>273</x:v>
      </x:c>
      <x:c r="E24" s="11" t="n">
        <x:v>72</x:v>
      </x:c>
      <x:c r="F24" s="12" t="n">
        <x:f>E24/D24</x:f>
        <x:v>0.26373626373626374</x:v>
      </x:c>
      <x:c r="G24" s="12" t="n">
        <x:f>IF(SUMIFS($E$6:$E$557,$A$6:$A$557,A24,$B$6:$B$557,B24)=0,"n.a.",E24/SUMIFS($E$6:$E$557,$A$6:$A$557,A24,$B$6:$B$557,B24))</x:f>
        <x:v>0.08362369337979095</x:v>
      </x:c>
      <x:c r="H24" s="11" t="n">
        <x:v>50826</x:v>
      </x:c>
    </x:row>
    <x:row r="25" ht="23" customHeight="1">
      <x:c r="A25" s="10" t="str">
        <x:v>M1</x:v>
      </x:c>
      <x:c r="B25" s="10" t="str">
        <x:v>C</x:v>
      </x:c>
      <x:c r="C25" s="10" t="str">
        <x:v>feature_plate</x:v>
      </x:c>
      <x:c r="D25" s="11" t="n">
        <x:v>25</x:v>
      </x:c>
      <x:c r="E25" s="11" t="n">
        <x:v>25</x:v>
      </x:c>
      <x:c r="F25" s="12" t="n">
        <x:f>E25/D25</x:f>
        <x:v>1</x:v>
      </x:c>
      <x:c r="G25" s="12" t="n">
        <x:f>IF(SUMIFS($E$6:$E$557,$A$6:$A$557,A25,$B$6:$B$557,B25)=0,"n.a.",E25/SUMIFS($E$6:$E$557,$A$6:$A$557,A25,$B$6:$B$557,B25))</x:f>
        <x:v>0.029036004645760744</x:v>
      </x:c>
      <x:c r="H25" s="11" t="n">
        <x:v>94740</x:v>
      </x:c>
    </x:row>
    <x:row r="26" ht="23" customHeight="1">
      <x:c r="A26" s="10" t="str">
        <x:v>M1</x:v>
      </x:c>
      <x:c r="B26" s="10" t="str">
        <x:v>C</x:v>
      </x:c>
      <x:c r="C26" s="10" t="str">
        <x:v>flat_washer</x:v>
      </x:c>
      <x:c r="D26" s="11" t="n">
        <x:v>82</x:v>
      </x:c>
      <x:c r="E26" s="11" t="n">
        <x:v>80</x:v>
      </x:c>
      <x:c r="F26" s="12" t="n">
        <x:f>E26/D26</x:f>
        <x:v>0.975609756097561</x:v>
      </x:c>
      <x:c r="G26" s="12" t="n">
        <x:f>IF(SUMIFS($E$6:$E$557,$A$6:$A$557,A26,$B$6:$B$557,B26)=0,"n.a.",E26/SUMIFS($E$6:$E$557,$A$6:$A$557,A26,$B$6:$B$557,B26))</x:f>
        <x:v>0.09291521486643438</x:v>
      </x:c>
      <x:c r="H26" s="11" t="n">
        <x:v>155824</x:v>
      </x:c>
    </x:row>
    <x:row r="27" ht="23" customHeight="1">
      <x:c r="A27" s="10" t="str">
        <x:v>M1</x:v>
      </x:c>
      <x:c r="B27" s="10" t="str">
        <x:v>C</x:v>
      </x:c>
      <x:c r="C27" s="10" t="str">
        <x:v>hex_nut</x:v>
      </x:c>
      <x:c r="D27" s="11" t="n">
        <x:v>61</x:v>
      </x:c>
      <x:c r="E27" s="11" t="n">
        <x:v>41</x:v>
      </x:c>
      <x:c r="F27" s="12" t="n">
        <x:f>E27/D27</x:f>
        <x:v>0.6721311475409836</x:v>
      </x:c>
      <x:c r="G27" s="12" t="n">
        <x:f>IF(SUMIFS($E$6:$E$557,$A$6:$A$557,A27,$B$6:$B$557,B27)=0,"n.a.",E27/SUMIFS($E$6:$E$557,$A$6:$A$557,A27,$B$6:$B$557,B27))</x:f>
        <x:v>0.047619047619047616</x:v>
      </x:c>
      <x:c r="H27" s="11" t="n">
        <x:v>60434</x:v>
      </x:c>
    </x:row>
    <x:row r="28" ht="23" customHeight="1">
      <x:c r="A28" s="10" t="str">
        <x:v>M1</x:v>
      </x:c>
      <x:c r="B28" s="10" t="str">
        <x:v>C</x:v>
      </x:c>
      <x:c r="C28" s="10" t="str">
        <x:v>mounting_bracket</x:v>
      </x:c>
      <x:c r="D28" s="11" t="n">
        <x:v>4</x:v>
      </x:c>
      <x:c r="E28" s="11" t="n">
        <x:v>4</x:v>
      </x:c>
      <x:c r="F28" s="12" t="n">
        <x:f>E28/D28</x:f>
        <x:v>1</x:v>
      </x:c>
      <x:c r="G28" s="12" t="n">
        <x:f>IF(SUMIFS($E$6:$E$557,$A$6:$A$557,A28,$B$6:$B$557,B28)=0,"n.a.",E28/SUMIFS($E$6:$E$557,$A$6:$A$557,A28,$B$6:$B$557,B28))</x:f>
        <x:v>0.004645760743321719</x:v>
      </x:c>
      <x:c r="H28" s="11" t="n">
        <x:v>8226</x:v>
      </x:c>
    </x:row>
    <x:row r="29" ht="23" customHeight="1">
      <x:c r="A29" s="10" t="str">
        <x:v>M1</x:v>
      </x:c>
      <x:c r="B29" s="10" t="str">
        <x:v>C</x:v>
      </x:c>
      <x:c r="C29" s="10" t="str">
        <x:v>mounting_plate</x:v>
      </x:c>
      <x:c r="D29" s="11" t="n">
        <x:v>68</x:v>
      </x:c>
      <x:c r="E29" s="11" t="n">
        <x:v>63</x:v>
      </x:c>
      <x:c r="F29" s="12" t="n">
        <x:f>E29/D29</x:f>
        <x:v>0.9264705882352942</x:v>
      </x:c>
      <x:c r="G29" s="12" t="n">
        <x:f>IF(SUMIFS($E$6:$E$557,$A$6:$A$557,A29,$B$6:$B$557,B29)=0,"n.a.",E29/SUMIFS($E$6:$E$557,$A$6:$A$557,A29,$B$6:$B$557,B29))</x:f>
        <x:v>0.07317073170731707</x:v>
      </x:c>
      <x:c r="H29" s="11" t="n">
        <x:v>78252</x:v>
      </x:c>
    </x:row>
    <x:row r="30" ht="23" customHeight="1">
      <x:c r="A30" s="10" t="str">
        <x:v>M1</x:v>
      </x:c>
      <x:c r="B30" s="10" t="str">
        <x:v>C</x:v>
      </x:c>
      <x:c r="C30" s="10" t="str">
        <x:v>pipe_fitting</x:v>
      </x:c>
      <x:c r="D30" s="11" t="n">
        <x:v>2</x:v>
      </x:c>
      <x:c r="E30" s="11" t="n">
        <x:v>2</x:v>
      </x:c>
      <x:c r="F30" s="12" t="n">
        <x:f>E30/D30</x:f>
        <x:v>1</x:v>
      </x:c>
      <x:c r="G30" s="12" t="n">
        <x:f>IF(SUMIFS($E$6:$E$557,$A$6:$A$557,A30,$B$6:$B$557,B30)=0,"n.a.",E30/SUMIFS($E$6:$E$557,$A$6:$A$557,A30,$B$6:$B$557,B30))</x:f>
        <x:v>0.0023228803716608595</x:v>
      </x:c>
      <x:c r="H30" s="11" t="n">
        <x:v>7092</x:v>
      </x:c>
    </x:row>
    <x:row r="31" ht="23" customHeight="1">
      <x:c r="A31" s="10" t="str">
        <x:v>M1</x:v>
      </x:c>
      <x:c r="B31" s="10" t="str">
        <x:v>C</x:v>
      </x:c>
      <x:c r="C31" s="10" t="str">
        <x:v>plain_block</x:v>
      </x:c>
      <x:c r="D31" s="11" t="n">
        <x:v>243</x:v>
      </x:c>
      <x:c r="E31" s="11" t="n">
        <x:v>243</x:v>
      </x:c>
      <x:c r="F31" s="12" t="n">
        <x:f>E31/D31</x:f>
        <x:v>1</x:v>
      </x:c>
      <x:c r="G31" s="12" t="n">
        <x:f>IF(SUMIFS($E$6:$E$557,$A$6:$A$557,A31,$B$6:$B$557,B31)=0,"n.a.",E31/SUMIFS($E$6:$E$557,$A$6:$A$557,A31,$B$6:$B$557,B31))</x:f>
        <x:v>0.28222996515679444</x:v>
      </x:c>
      <x:c r="H31" s="11" t="n">
        <x:v>560066</x:v>
      </x:c>
    </x:row>
    <x:row r="32" ht="23" customHeight="1">
      <x:c r="A32" s="10" t="str">
        <x:v>M1</x:v>
      </x:c>
      <x:c r="B32" s="10" t="str">
        <x:v>C</x:v>
      </x:c>
      <x:c r="C32" s="10" t="str">
        <x:v>punch_tool</x:v>
      </x:c>
      <x:c r="D32" s="11" t="n">
        <x:v>2</x:v>
      </x:c>
      <x:c r="E32" s="11" t="n">
        <x:v>2</x:v>
      </x:c>
      <x:c r="F32" s="12" t="n">
        <x:f>E32/D32</x:f>
        <x:v>1</x:v>
      </x:c>
      <x:c r="G32" s="12" t="n">
        <x:f>IF(SUMIFS($E$6:$E$557,$A$6:$A$557,A32,$B$6:$B$557,B32)=0,"n.a.",E32/SUMIFS($E$6:$E$557,$A$6:$A$557,A32,$B$6:$B$557,B32))</x:f>
        <x:v>0.0023228803716608595</x:v>
      </x:c>
      <x:c r="H32" s="11" t="n">
        <x:v>26256</x:v>
      </x:c>
    </x:row>
    <x:row r="33" ht="23" customHeight="1">
      <x:c r="A33" s="10" t="str">
        <x:v>M1</x:v>
      </x:c>
      <x:c r="B33" s="10" t="str">
        <x:v>C</x:v>
      </x:c>
      <x:c r="C33" s="10" t="str">
        <x:v>retaining_ring</x:v>
      </x:c>
      <x:c r="D33" s="11" t="n">
        <x:v>20</x:v>
      </x:c>
      <x:c r="E33" s="11" t="n">
        <x:v>1</x:v>
      </x:c>
      <x:c r="F33" s="12" t="n">
        <x:f>E33/D33</x:f>
        <x:v>0.05</x:v>
      </x:c>
      <x:c r="G33" s="12" t="n">
        <x:f>IF(SUMIFS($E$6:$E$557,$A$6:$A$557,A33,$B$6:$B$557,B33)=0,"n.a.",E33/SUMIFS($E$6:$E$557,$A$6:$A$557,A33,$B$6:$B$557,B33))</x:f>
        <x:v>0.0011614401858304297</x:v>
      </x:c>
      <x:c r="H33" s="11" t="n">
        <x:v>4162</x:v>
      </x:c>
    </x:row>
    <x:row r="34" ht="23" customHeight="1">
      <x:c r="A34" s="10" t="str">
        <x:v>M1</x:v>
      </x:c>
      <x:c r="B34" s="10" t="str">
        <x:v>C</x:v>
      </x:c>
      <x:c r="C34" s="10" t="str">
        <x:v>shaft_key</x:v>
      </x:c>
      <x:c r="D34" s="11" t="n">
        <x:v>226</x:v>
      </x:c>
      <x:c r="E34" s="11" t="n">
        <x:v>175</x:v>
      </x:c>
      <x:c r="F34" s="12" t="n">
        <x:f>E34/D34</x:f>
        <x:v>0.7743362831858407</x:v>
      </x:c>
      <x:c r="G34" s="12" t="n">
        <x:f>IF(SUMIFS($E$6:$E$557,$A$6:$A$557,A34,$B$6:$B$557,B34)=0,"n.a.",E34/SUMIFS($E$6:$E$557,$A$6:$A$557,A34,$B$6:$B$557,B34))</x:f>
        <x:v>0.2032520325203252</x:v>
      </x:c>
      <x:c r="H34" s="11" t="n">
        <x:v>183822</x:v>
      </x:c>
    </x:row>
    <x:row r="35" ht="23" customHeight="1">
      <x:c r="A35" s="10" t="str">
        <x:v>M1</x:v>
      </x:c>
      <x:c r="B35" s="10" t="str">
        <x:v>C</x:v>
      </x:c>
      <x:c r="C35" s="10" t="str">
        <x:v>slotted_nut</x:v>
      </x:c>
      <x:c r="D35" s="11" t="n">
        <x:v>14</x:v>
      </x:c>
      <x:c r="E35" s="11" t="n">
        <x:v>14</x:v>
      </x:c>
      <x:c r="F35" s="12" t="n">
        <x:f>E35/D35</x:f>
        <x:v>1</x:v>
      </x:c>
      <x:c r="G35" s="12" t="n">
        <x:f>IF(SUMIFS($E$6:$E$557,$A$6:$A$557,A35,$B$6:$B$557,B35)=0,"n.a.",E35/SUMIFS($E$6:$E$557,$A$6:$A$557,A35,$B$6:$B$557,B35))</x:f>
        <x:v>0.016260162601626018</x:v>
      </x:c>
      <x:c r="H35" s="11" t="n">
        <x:v>15512</x:v>
      </x:c>
    </x:row>
    <x:row r="36" ht="23" customHeight="1">
      <x:c r="A36" s="10" t="str">
        <x:v>M1</x:v>
      </x:c>
      <x:c r="B36" s="10" t="str">
        <x:v>C</x:v>
      </x:c>
      <x:c r="C36" s="10" t="str">
        <x:v>sprocket</x:v>
      </x:c>
      <x:c r="D36" s="11" t="n">
        <x:v>3</x:v>
      </x:c>
      <x:c r="E36" s="11" t="n">
        <x:v>3</x:v>
      </x:c>
      <x:c r="F36" s="12" t="n">
        <x:f>E36/D36</x:f>
        <x:v>1</x:v>
      </x:c>
      <x:c r="G36" s="12" t="n">
        <x:f>IF(SUMIFS($E$6:$E$557,$A$6:$A$557,A36,$B$6:$B$557,B36)=0,"n.a.",E36/SUMIFS($E$6:$E$557,$A$6:$A$557,A36,$B$6:$B$557,B36))</x:f>
        <x:v>0.003484320557491289</x:v>
      </x:c>
      <x:c r="H36" s="11" t="n">
        <x:v>8692</x:v>
      </x:c>
    </x:row>
    <x:row r="37" ht="23" customHeight="1">
      <x:c r="A37" s="10" t="str">
        <x:v>M1</x:v>
      </x:c>
      <x:c r="B37" s="10" t="str">
        <x:v>C</x:v>
      </x:c>
      <x:c r="C37" s="10" t="str">
        <x:v>suction_cup</x:v>
      </x:c>
      <x:c r="D37" s="11" t="n">
        <x:v>2</x:v>
      </x:c>
      <x:c r="E37" s="11" t="n">
        <x:v>2</x:v>
      </x:c>
      <x:c r="F37" s="12" t="n">
        <x:f>E37/D37</x:f>
        <x:v>1</x:v>
      </x:c>
      <x:c r="G37" s="12" t="n">
        <x:f>IF(SUMIFS($E$6:$E$557,$A$6:$A$557,A37,$B$6:$B$557,B37)=0,"n.a.",E37/SUMIFS($E$6:$E$557,$A$6:$A$557,A37,$B$6:$B$557,B37))</x:f>
        <x:v>0.0023228803716608595</x:v>
      </x:c>
      <x:c r="H37" s="11" t="n">
        <x:v>5656</x:v>
      </x:c>
    </x:row>
    <x:row r="38" ht="23" customHeight="1">
      <x:c r="A38" s="10" t="str">
        <x:v>M1</x:v>
      </x:c>
      <x:c r="B38" s="10" t="str">
        <x:v>C</x:v>
      </x:c>
      <x:c r="C38" s="10" t="str">
        <x:v>threaded_stud</x:v>
      </x:c>
      <x:c r="D38" s="11" t="n">
        <x:v>17</x:v>
      </x:c>
      <x:c r="E38" s="11" t="n">
        <x:v>10</x:v>
      </x:c>
      <x:c r="F38" s="12" t="n">
        <x:f>E38/D38</x:f>
        <x:v>0.5882352941176471</x:v>
      </x:c>
      <x:c r="G38" s="12" t="n">
        <x:f>IF(SUMIFS($E$6:$E$557,$A$6:$A$557,A38,$B$6:$B$557,B38)=0,"n.a.",E38/SUMIFS($E$6:$E$557,$A$6:$A$557,A38,$B$6:$B$557,B38))</x:f>
        <x:v>0.011614401858304297</x:v>
      </x:c>
      <x:c r="H38" s="11" t="n">
        <x:v>16460</x:v>
      </x:c>
    </x:row>
    <x:row r="39" ht="23" customHeight="1">
      <x:c r="A39" s="10" t="str">
        <x:v>M10</x:v>
      </x:c>
      <x:c r="B39" s="10" t="str">
        <x:v>N</x:v>
      </x:c>
      <x:c r="C39" s="10" t="str">
        <x:v>bearings_bushings_guides</x:v>
      </x:c>
      <x:c r="D39" s="11" t="n">
        <x:v>338</x:v>
      </x:c>
      <x:c r="E39" s="11" t="n">
        <x:v>272</x:v>
      </x:c>
      <x:c r="F39" s="12" t="n">
        <x:f>E39/D39</x:f>
        <x:v>0.8047337278106509</x:v>
      </x:c>
      <x:c r="G39" s="12" t="n">
        <x:f>IF(SUMIFS($E$6:$E$557,$A$6:$A$557,A39,$B$6:$B$557,B39)=0,"n.a.",E39/SUMIFS($E$6:$E$557,$A$6:$A$557,A39,$B$6:$B$557,B39))</x:f>
        <x:v>0.08247422680412371</x:v>
      </x:c>
      <x:c r="H39" s="11" t="n">
        <x:v>1466997</x:v>
      </x:c>
    </x:row>
    <x:row r="40" ht="23" customHeight="1">
      <x:c r="A40" s="10" t="str">
        <x:v>M10</x:v>
      </x:c>
      <x:c r="B40" s="10" t="str">
        <x:v>N</x:v>
      </x:c>
      <x:c r="C40" s="10" t="str">
        <x:v>gears_pulleys_chains</x:v>
      </x:c>
      <x:c r="D40" s="11" t="n">
        <x:v>23</x:v>
      </x:c>
      <x:c r="E40" s="11" t="n">
        <x:v>10</x:v>
      </x:c>
      <x:c r="F40" s="12" t="n">
        <x:f>E40/D40</x:f>
        <x:v>0.43478260869565216</x:v>
      </x:c>
      <x:c r="G40" s="12" t="n">
        <x:f>IF(SUMIFS($E$6:$E$557,$A$6:$A$557,A40,$B$6:$B$557,B40)=0,"n.a.",E40/SUMIFS($E$6:$E$557,$A$6:$A$557,A40,$B$6:$B$557,B40))</x:f>
        <x:v>0.0030321406913280777</x:v>
      </x:c>
      <x:c r="H40" s="11" t="n">
        <x:v>37744</x:v>
      </x:c>
    </x:row>
    <x:row r="41" ht="23" customHeight="1">
      <x:c r="A41" s="10" t="str">
        <x:v>M10</x:v>
      </x:c>
      <x:c r="B41" s="10" t="str">
        <x:v>N</x:v>
      </x:c>
      <x:c r="C41" s="10" t="str">
        <x:v>handles_controls</x:v>
      </x:c>
      <x:c r="D41" s="11" t="n">
        <x:v>614</x:v>
      </x:c>
      <x:c r="E41" s="11" t="n">
        <x:v>468</x:v>
      </x:c>
      <x:c r="F41" s="12" t="n">
        <x:f>E41/D41</x:f>
        <x:v>0.762214983713355</x:v>
      </x:c>
      <x:c r="G41" s="12" t="n">
        <x:f>IF(SUMIFS($E$6:$E$557,$A$6:$A$557,A41,$B$6:$B$557,B41)=0,"n.a.",E41/SUMIFS($E$6:$E$557,$A$6:$A$557,A41,$B$6:$B$557,B41))</x:f>
        <x:v>0.14190418435415403</x:v>
      </x:c>
      <x:c r="H41" s="11" t="n">
        <x:v>2523532</x:v>
      </x:c>
    </x:row>
    <x:row r="42" ht="23" customHeight="1">
      <x:c r="A42" s="10" t="str">
        <x:v>M10</x:v>
      </x:c>
      <x:c r="B42" s="10" t="str">
        <x:v>N</x:v>
      </x:c>
      <x:c r="C42" s="10" t="str">
        <x:v>joints_clamps_structural_connectors</x:v>
      </x:c>
      <x:c r="D42" s="11" t="n">
        <x:v>1085</x:v>
      </x:c>
      <x:c r="E42" s="11" t="n">
        <x:v>878</x:v>
      </x:c>
      <x:c r="F42" s="12" t="n">
        <x:f>E42/D42</x:f>
        <x:v>0.8092165898617512</x:v>
      </x:c>
      <x:c r="G42" s="12" t="n">
        <x:f>IF(SUMIFS($E$6:$E$557,$A$6:$A$557,A42,$B$6:$B$557,B42)=0,"n.a.",E42/SUMIFS($E$6:$E$557,$A$6:$A$557,A42,$B$6:$B$557,B42))</x:f>
        <x:v>0.2662219526986052</x:v>
      </x:c>
      <x:c r="H42" s="11" t="n">
        <x:v>2670570</x:v>
      </x:c>
    </x:row>
    <x:row r="43" ht="23" customHeight="1">
      <x:c r="A43" s="10" t="str">
        <x:v>M10</x:v>
      </x:c>
      <x:c r="B43" s="10" t="str">
        <x:v>N</x:v>
      </x:c>
      <x:c r="C43" s="10" t="str">
        <x:v>motors_gearmotors</x:v>
      </x:c>
      <x:c r="D43" s="11" t="n">
        <x:v>251</x:v>
      </x:c>
      <x:c r="E43" s="11" t="n">
        <x:v>199</x:v>
      </x:c>
      <x:c r="F43" s="12" t="n">
        <x:f>E43/D43</x:f>
        <x:v>0.7928286852589641</x:v>
      </x:c>
      <x:c r="G43" s="12" t="n">
        <x:f>IF(SUMIFS($E$6:$E$557,$A$6:$A$557,A43,$B$6:$B$557,B43)=0,"n.a.",E43/SUMIFS($E$6:$E$557,$A$6:$A$557,A43,$B$6:$B$557,B43))</x:f>
        <x:v>0.060339599757428745</x:v>
      </x:c>
      <x:c r="H43" s="11" t="n">
        <x:v>2546527</x:v>
      </x:c>
    </x:row>
    <x:row r="44" ht="23" customHeight="1">
      <x:c r="A44" s="10" t="str">
        <x:v>M10</x:v>
      </x:c>
      <x:c r="B44" s="10" t="str">
        <x:v>N</x:v>
      </x:c>
      <x:c r="C44" s="10" t="str">
        <x:v>nuts</x:v>
      </x:c>
      <x:c r="D44" s="11" t="n">
        <x:v>67</x:v>
      </x:c>
      <x:c r="E44" s="11" t="n">
        <x:v>40</x:v>
      </x:c>
      <x:c r="F44" s="12" t="n">
        <x:f>E44/D44</x:f>
        <x:v>0.5970149253731343</x:v>
      </x:c>
      <x:c r="G44" s="12" t="n">
        <x:f>IF(SUMIFS($E$6:$E$557,$A$6:$A$557,A44,$B$6:$B$557,B44)=0,"n.a.",E44/SUMIFS($E$6:$E$557,$A$6:$A$557,A44,$B$6:$B$557,B44))</x:f>
        <x:v>0.01212856276531231</x:v>
      </x:c>
      <x:c r="H44" s="11" t="n">
        <x:v>79772</x:v>
      </x:c>
    </x:row>
    <x:row r="45" ht="23" customHeight="1">
      <x:c r="A45" s="10" t="str">
        <x:v>M10</x:v>
      </x:c>
      <x:c r="B45" s="10" t="str">
        <x:v>N</x:v>
      </x:c>
      <x:c r="C45" s="10" t="str">
        <x:v>pins_rivets_keys</x:v>
      </x:c>
      <x:c r="D45" s="11" t="n">
        <x:v>366</x:v>
      </x:c>
      <x:c r="E45" s="11" t="n">
        <x:v>251</x:v>
      </x:c>
      <x:c r="F45" s="12" t="n">
        <x:f>E45/D45</x:f>
        <x:v>0.6857923497267759</x:v>
      </x:c>
      <x:c r="G45" s="12" t="n">
        <x:f>IF(SUMIFS($E$6:$E$557,$A$6:$A$557,A45,$B$6:$B$557,B45)=0,"n.a.",E45/SUMIFS($E$6:$E$557,$A$6:$A$557,A45,$B$6:$B$557,B45))</x:f>
        <x:v>0.07610673135233474</x:v>
      </x:c>
      <x:c r="H45" s="11" t="n">
        <x:v>2887058</x:v>
      </x:c>
    </x:row>
    <x:row r="46" ht="23" customHeight="1">
      <x:c r="A46" s="10" t="str">
        <x:v>M10</x:v>
      </x:c>
      <x:c r="B46" s="10" t="str">
        <x:v>N</x:v>
      </x:c>
      <x:c r="C46" s="10" t="str">
        <x:v>pipe_fittings_valves_nozzles</x:v>
      </x:c>
      <x:c r="D46" s="11" t="n">
        <x:v>221</x:v>
      </x:c>
      <x:c r="E46" s="11" t="n">
        <x:v>115</x:v>
      </x:c>
      <x:c r="F46" s="12" t="n">
        <x:f>E46/D46</x:f>
        <x:v>0.5203619909502263</x:v>
      </x:c>
      <x:c r="G46" s="12" t="n">
        <x:f>IF(SUMIFS($E$6:$E$557,$A$6:$A$557,A46,$B$6:$B$557,B46)=0,"n.a.",E46/SUMIFS($E$6:$E$557,$A$6:$A$557,A46,$B$6:$B$557,B46))</x:f>
        <x:v>0.034869617950272894</x:v>
      </x:c>
      <x:c r="H46" s="11" t="n">
        <x:v>542381</x:v>
      </x:c>
    </x:row>
    <x:row r="47" ht="23" customHeight="1">
      <x:c r="A47" s="10" t="str">
        <x:v>M10</x:v>
      </x:c>
      <x:c r="B47" s="10" t="str">
        <x:v>N</x:v>
      </x:c>
      <x:c r="C47" s="10" t="str">
        <x:v>plates_discs_shapes</x:v>
      </x:c>
      <x:c r="D47" s="11" t="n">
        <x:v>740</x:v>
      </x:c>
      <x:c r="E47" s="11" t="n">
        <x:v>169</x:v>
      </x:c>
      <x:c r="F47" s="12" t="n">
        <x:f>E47/D47</x:f>
        <x:v>0.22837837837837838</x:v>
      </x:c>
      <x:c r="G47" s="12" t="n">
        <x:f>IF(SUMIFS($E$6:$E$557,$A$6:$A$557,A47,$B$6:$B$557,B47)=0,"n.a.",E47/SUMIFS($E$6:$E$557,$A$6:$A$557,A47,$B$6:$B$557,B47))</x:f>
        <x:v>0.05124317768344451</x:v>
      </x:c>
      <x:c r="H47" s="11" t="n">
        <x:v>463212</x:v>
      </x:c>
    </x:row>
    <x:row r="48" ht="23" customHeight="1">
      <x:c r="A48" s="10" t="str">
        <x:v>M10</x:v>
      </x:c>
      <x:c r="B48" s="10" t="str">
        <x:v>N</x:v>
      </x:c>
      <x:c r="C48" s="10" t="str">
        <x:v>rotating_fluid_machinery</x:v>
      </x:c>
      <x:c r="D48" s="11" t="n">
        <x:v>235</x:v>
      </x:c>
      <x:c r="E48" s="11" t="n">
        <x:v>181</x:v>
      </x:c>
      <x:c r="F48" s="12" t="n">
        <x:f>E48/D48</x:f>
        <x:v>0.7702127659574468</x:v>
      </x:c>
      <x:c r="G48" s="12" t="n">
        <x:f>IF(SUMIFS($E$6:$E$557,$A$6:$A$557,A48,$B$6:$B$557,B48)=0,"n.a.",E48/SUMIFS($E$6:$E$557,$A$6:$A$557,A48,$B$6:$B$557,B48))</x:f>
        <x:v>0.054881746513038204</x:v>
      </x:c>
      <x:c r="H48" s="11" t="n">
        <x:v>2614640</x:v>
      </x:c>
    </x:row>
    <x:row r="49" ht="23" customHeight="1">
      <x:c r="A49" s="10" t="str">
        <x:v>M10</x:v>
      </x:c>
      <x:c r="B49" s="10" t="str">
        <x:v>N</x:v>
      </x:c>
      <x:c r="C49" s="10" t="str">
        <x:v>screws_bolts_studs</x:v>
      </x:c>
      <x:c r="D49" s="11" t="n">
        <x:v>693</x:v>
      </x:c>
      <x:c r="E49" s="11" t="n">
        <x:v>353</x:v>
      </x:c>
      <x:c r="F49" s="12" t="n">
        <x:f>E49/D49</x:f>
        <x:v>0.5093795093795094</x:v>
      </x:c>
      <x:c r="G49" s="12" t="n">
        <x:f>IF(SUMIFS($E$6:$E$557,$A$6:$A$557,A49,$B$6:$B$557,B49)=0,"n.a.",E49/SUMIFS($E$6:$E$557,$A$6:$A$557,A49,$B$6:$B$557,B49))</x:f>
        <x:v>0.10703456640388113</x:v>
      </x:c>
      <x:c r="H49" s="11" t="n">
        <x:v>1223228</x:v>
      </x:c>
    </x:row>
    <x:row r="50" ht="23" customHeight="1">
      <x:c r="A50" s="10" t="str">
        <x:v>M10</x:v>
      </x:c>
      <x:c r="B50" s="10" t="str">
        <x:v>N</x:v>
      </x:c>
      <x:c r="C50" s="10" t="str">
        <x:v>springs</x:v>
      </x:c>
      <x:c r="D50" s="11" t="n">
        <x:v>260</x:v>
      </x:c>
      <x:c r="E50" s="11" t="n">
        <x:v>147</x:v>
      </x:c>
      <x:c r="F50" s="12" t="n">
        <x:f>E50/D50</x:f>
        <x:v>0.5653846153846154</x:v>
      </x:c>
      <x:c r="G50" s="12" t="n">
        <x:f>IF(SUMIFS($E$6:$E$557,$A$6:$A$557,A50,$B$6:$B$557,B50)=0,"n.a.",E50/SUMIFS($E$6:$E$557,$A$6:$A$557,A50,$B$6:$B$557,B50))</x:f>
        <x:v>0.04457246816252274</x:v>
      </x:c>
      <x:c r="H50" s="11" t="n">
        <x:v>10264988</x:v>
      </x:c>
    </x:row>
    <x:row r="51" ht="23" customHeight="1">
      <x:c r="A51" s="10" t="str">
        <x:v>M10</x:v>
      </x:c>
      <x:c r="B51" s="10" t="str">
        <x:v>N</x:v>
      </x:c>
      <x:c r="C51" s="10" t="str">
        <x:v>washers_rings_spacers</x:v>
      </x:c>
      <x:c r="D51" s="11" t="n">
        <x:v>257</x:v>
      </x:c>
      <x:c r="E51" s="11" t="n">
        <x:v>202</x:v>
      </x:c>
      <x:c r="F51" s="12" t="n">
        <x:f>E51/D51</x:f>
        <x:v>0.7859922178988327</x:v>
      </x:c>
      <x:c r="G51" s="12" t="n">
        <x:f>IF(SUMIFS($E$6:$E$557,$A$6:$A$557,A51,$B$6:$B$557,B51)=0,"n.a.",E51/SUMIFS($E$6:$E$557,$A$6:$A$557,A51,$B$6:$B$557,B51))</x:f>
        <x:v>0.061249241964827165</x:v>
      </x:c>
      <x:c r="H51" s="11" t="n">
        <x:v>463796</x:v>
      </x:c>
    </x:row>
    <x:row r="52" ht="23" customHeight="1">
      <x:c r="A52" s="10" t="str">
        <x:v>M10</x:v>
      </x:c>
      <x:c r="B52" s="10" t="str">
        <x:v>N</x:v>
      </x:c>
      <x:c r="C52" s="10" t="str">
        <x:v>wheels_castors</x:v>
      </x:c>
      <x:c r="D52" s="11" t="n">
        <x:v>48</x:v>
      </x:c>
      <x:c r="E52" s="11" t="n">
        <x:v>13</x:v>
      </x:c>
      <x:c r="F52" s="12" t="n">
        <x:f>E52/D52</x:f>
        <x:v>0.2708333333333333</x:v>
      </x:c>
      <x:c r="G52" s="12" t="n">
        <x:f>IF(SUMIFS($E$6:$E$557,$A$6:$A$557,A52,$B$6:$B$557,B52)=0,"n.a.",E52/SUMIFS($E$6:$E$557,$A$6:$A$557,A52,$B$6:$B$557,B52))</x:f>
        <x:v>0.003941782898726501</x:v>
      </x:c>
      <x:c r="H52" s="11" t="n">
        <x:v>91830</x:v>
      </x:c>
    </x:row>
    <x:row r="53" ht="23" customHeight="1">
      <x:c r="A53" s="10" t="str">
        <x:v>M10</x:v>
      </x:c>
      <x:c r="B53" s="10" t="str">
        <x:v>C</x:v>
      </x:c>
      <x:c r="C53" s="10" t="str">
        <x:v>aluminum_extrusion</x:v>
      </x:c>
      <x:c r="D53" s="11" t="n">
        <x:v>12</x:v>
      </x:c>
      <x:c r="E53" s="11" t="n">
        <x:v>12</x:v>
      </x:c>
      <x:c r="F53" s="12" t="n">
        <x:f>E53/D53</x:f>
        <x:v>1</x:v>
      </x:c>
      <x:c r="G53" s="12" t="n">
        <x:f>IF(SUMIFS($E$6:$E$557,$A$6:$A$557,A53,$B$6:$B$557,B53)=0,"n.a.",E53/SUMIFS($E$6:$E$557,$A$6:$A$557,A53,$B$6:$B$557,B53))</x:f>
        <x:v>0.002976928801786157</x:v>
      </x:c>
      <x:c r="H53" s="11" t="n">
        <x:v>27722</x:v>
      </x:c>
    </x:row>
    <x:row r="54" ht="23" customHeight="1">
      <x:c r="A54" s="10" t="str">
        <x:v>M10</x:v>
      </x:c>
      <x:c r="B54" s="10" t="str">
        <x:v>C</x:v>
      </x:c>
      <x:c r="C54" s="10" t="str">
        <x:v>camera_lens</x:v>
      </x:c>
      <x:c r="D54" s="11" t="n">
        <x:v>51</x:v>
      </x:c>
      <x:c r="E54" s="11" t="n">
        <x:v>51</x:v>
      </x:c>
      <x:c r="F54" s="12" t="n">
        <x:f>E54/D54</x:f>
        <x:v>1</x:v>
      </x:c>
      <x:c r="G54" s="12" t="n">
        <x:f>IF(SUMIFS($E$6:$E$557,$A$6:$A$557,A54,$B$6:$B$557,B54)=0,"n.a.",E54/SUMIFS($E$6:$E$557,$A$6:$A$557,A54,$B$6:$B$557,B54))</x:f>
        <x:v>0.012651947407591168</x:v>
      </x:c>
      <x:c r="H54" s="11" t="n">
        <x:v>427992</x:v>
      </x:c>
    </x:row>
    <x:row r="55" ht="23" customHeight="1">
      <x:c r="A55" s="10" t="str">
        <x:v>M10</x:v>
      </x:c>
      <x:c r="B55" s="10" t="str">
        <x:v>C</x:v>
      </x:c>
      <x:c r="C55" s="10" t="str">
        <x:v>cap_nut</x:v>
      </x:c>
      <x:c r="D55" s="11" t="n">
        <x:v>415</x:v>
      </x:c>
      <x:c r="E55" s="11" t="n">
        <x:v>367</x:v>
      </x:c>
      <x:c r="F55" s="12" t="n">
        <x:f>E55/D55</x:f>
        <x:v>0.8843373493975903</x:v>
      </x:c>
      <x:c r="G55" s="12" t="n">
        <x:f>IF(SUMIFS($E$6:$E$557,$A$6:$A$557,A55,$B$6:$B$557,B55)=0,"n.a.",E55/SUMIFS($E$6:$E$557,$A$6:$A$557,A55,$B$6:$B$557,B55))</x:f>
        <x:v>0.09104440585462664</x:v>
      </x:c>
      <x:c r="H55" s="11" t="n">
        <x:v>1717497</x:v>
      </x:c>
    </x:row>
    <x:row r="56" ht="23" customHeight="1">
      <x:c r="A56" s="10" t="str">
        <x:v>M10</x:v>
      </x:c>
      <x:c r="B56" s="10" t="str">
        <x:v>C</x:v>
      </x:c>
      <x:c r="C56" s="10" t="str">
        <x:v>coil_spring</x:v>
      </x:c>
      <x:c r="D56" s="11" t="n">
        <x:v>31</x:v>
      </x:c>
      <x:c r="E56" s="11" t="n">
        <x:v>31</x:v>
      </x:c>
      <x:c r="F56" s="12" t="n">
        <x:f>E56/D56</x:f>
        <x:v>1</x:v>
      </x:c>
      <x:c r="G56" s="12" t="n">
        <x:f>IF(SUMIFS($E$6:$E$557,$A$6:$A$557,A56,$B$6:$B$557,B56)=0,"n.a.",E56/SUMIFS($E$6:$E$557,$A$6:$A$557,A56,$B$6:$B$557,B56))</x:f>
        <x:v>0.007690399404614239</x:v>
      </x:c>
      <x:c r="H56" s="11" t="n">
        <x:v>2492710</x:v>
      </x:c>
    </x:row>
    <x:row r="57" ht="23" customHeight="1">
      <x:c r="A57" s="10" t="str">
        <x:v>M10</x:v>
      </x:c>
      <x:c r="B57" s="10" t="str">
        <x:v>C</x:v>
      </x:c>
      <x:c r="C57" s="10" t="str">
        <x:v>die_block</x:v>
      </x:c>
      <x:c r="D57" s="11" t="n">
        <x:v>174</x:v>
      </x:c>
      <x:c r="E57" s="11" t="n">
        <x:v>174</x:v>
      </x:c>
      <x:c r="F57" s="12" t="n">
        <x:f>E57/D57</x:f>
        <x:v>1</x:v>
      </x:c>
      <x:c r="G57" s="12" t="n">
        <x:f>IF(SUMIFS($E$6:$E$557,$A$6:$A$557,A57,$B$6:$B$557,B57)=0,"n.a.",E57/SUMIFS($E$6:$E$557,$A$6:$A$557,A57,$B$6:$B$557,B57))</x:f>
        <x:v>0.04316546762589928</x:v>
      </x:c>
      <x:c r="H57" s="11" t="n">
        <x:v>701644</x:v>
      </x:c>
    </x:row>
    <x:row r="58" ht="23" customHeight="1">
      <x:c r="A58" s="10" t="str">
        <x:v>M10</x:v>
      </x:c>
      <x:c r="B58" s="10" t="str">
        <x:v>C</x:v>
      </x:c>
      <x:c r="C58" s="10" t="str">
        <x:v>dowel_pin</x:v>
      </x:c>
      <x:c r="D58" s="11" t="n">
        <x:v>648</x:v>
      </x:c>
      <x:c r="E58" s="11" t="n">
        <x:v>132</x:v>
      </x:c>
      <x:c r="F58" s="12" t="n">
        <x:f>E58/D58</x:f>
        <x:v>0.2037037037037037</x:v>
      </x:c>
      <x:c r="G58" s="12" t="n">
        <x:f>IF(SUMIFS($E$6:$E$557,$A$6:$A$557,A58,$B$6:$B$557,B58)=0,"n.a.",E58/SUMIFS($E$6:$E$557,$A$6:$A$557,A58,$B$6:$B$557,B58))</x:f>
        <x:v>0.03274621681964773</x:v>
      </x:c>
      <x:c r="H58" s="11" t="n">
        <x:v>4495236</x:v>
      </x:c>
    </x:row>
    <x:row r="59" ht="23" customHeight="1">
      <x:c r="A59" s="10" t="str">
        <x:v>M10</x:v>
      </x:c>
      <x:c r="B59" s="10" t="str">
        <x:v>C</x:v>
      </x:c>
      <x:c r="C59" s="10" t="str">
        <x:v>feature_plate</x:v>
      </x:c>
      <x:c r="D59" s="11" t="n">
        <x:v>67</x:v>
      </x:c>
      <x:c r="E59" s="11" t="n">
        <x:v>67</x:v>
      </x:c>
      <x:c r="F59" s="12" t="n">
        <x:f>E59/D59</x:f>
        <x:v>1</x:v>
      </x:c>
      <x:c r="G59" s="12" t="n">
        <x:f>IF(SUMIFS($E$6:$E$557,$A$6:$A$557,A59,$B$6:$B$557,B59)=0,"n.a.",E59/SUMIFS($E$6:$E$557,$A$6:$A$557,A59,$B$6:$B$557,B59))</x:f>
        <x:v>0.01662118580997271</x:v>
      </x:c>
      <x:c r="H59" s="11" t="n">
        <x:v>244510</x:v>
      </x:c>
    </x:row>
    <x:row r="60" ht="23" customHeight="1">
      <x:c r="A60" s="10" t="str">
        <x:v>M10</x:v>
      </x:c>
      <x:c r="B60" s="10" t="str">
        <x:v>C</x:v>
      </x:c>
      <x:c r="C60" s="10" t="str">
        <x:v>flat_washer</x:v>
      </x:c>
      <x:c r="D60" s="11" t="n">
        <x:v>167</x:v>
      </x:c>
      <x:c r="E60" s="11" t="n">
        <x:v>79</x:v>
      </x:c>
      <x:c r="F60" s="12" t="n">
        <x:f>E60/D60</x:f>
        <x:v>0.47305389221556887</x:v>
      </x:c>
      <x:c r="G60" s="12" t="n">
        <x:f>IF(SUMIFS($E$6:$E$557,$A$6:$A$557,A60,$B$6:$B$557,B60)=0,"n.a.",E60/SUMIFS($E$6:$E$557,$A$6:$A$557,A60,$B$6:$B$557,B60))</x:f>
        <x:v>0.01959811461175887</x:v>
      </x:c>
      <x:c r="H60" s="11" t="n">
        <x:v>544481</x:v>
      </x:c>
    </x:row>
    <x:row r="61" ht="23" customHeight="1">
      <x:c r="A61" s="10" t="str">
        <x:v>M10</x:v>
      </x:c>
      <x:c r="B61" s="10" t="str">
        <x:v>C</x:v>
      </x:c>
      <x:c r="C61" s="10" t="str">
        <x:v>flexible_hose</x:v>
      </x:c>
      <x:c r="D61" s="11" t="n">
        <x:v>13</x:v>
      </x:c>
      <x:c r="E61" s="11" t="n">
        <x:v>13</x:v>
      </x:c>
      <x:c r="F61" s="12" t="n">
        <x:f>E61/D61</x:f>
        <x:v>1</x:v>
      </x:c>
      <x:c r="G61" s="12" t="n">
        <x:f>IF(SUMIFS($E$6:$E$557,$A$6:$A$557,A61,$B$6:$B$557,B61)=0,"n.a.",E61/SUMIFS($E$6:$E$557,$A$6:$A$557,A61,$B$6:$B$557,B61))</x:f>
        <x:v>0.0032250062019350038</x:v>
      </x:c>
      <x:c r="H61" s="11" t="n">
        <x:v>1045330</x:v>
      </x:c>
    </x:row>
    <x:row r="62" ht="23" customHeight="1">
      <x:c r="A62" s="10" t="str">
        <x:v>M10</x:v>
      </x:c>
      <x:c r="B62" s="10" t="str">
        <x:v>C</x:v>
      </x:c>
      <x:c r="C62" s="10" t="str">
        <x:v>frame_beam</x:v>
      </x:c>
      <x:c r="D62" s="11" t="n">
        <x:v>2</x:v>
      </x:c>
      <x:c r="E62" s="11" t="n">
        <x:v>2</x:v>
      </x:c>
      <x:c r="F62" s="12" t="n">
        <x:f>E62/D62</x:f>
        <x:v>1</x:v>
      </x:c>
      <x:c r="G62" s="12" t="n">
        <x:f>IF(SUMIFS($E$6:$E$557,$A$6:$A$557,A62,$B$6:$B$557,B62)=0,"n.a.",E62/SUMIFS($E$6:$E$557,$A$6:$A$557,A62,$B$6:$B$557,B62))</x:f>
        <x:v>0.0004961548002976929</x:v>
      </x:c>
      <x:c r="H62" s="11" t="n">
        <x:v>1584</x:v>
      </x:c>
    </x:row>
    <x:row r="63" ht="23" customHeight="1">
      <x:c r="A63" s="10" t="str">
        <x:v>M10</x:v>
      </x:c>
      <x:c r="B63" s="10" t="str">
        <x:v>C</x:v>
      </x:c>
      <x:c r="C63" s="10" t="str">
        <x:v>hex_bolt</x:v>
      </x:c>
      <x:c r="D63" s="11" t="n">
        <x:v>3</x:v>
      </x:c>
      <x:c r="E63" s="11" t="n">
        <x:v>3</x:v>
      </x:c>
      <x:c r="F63" s="12" t="n">
        <x:f>E63/D63</x:f>
        <x:v>1</x:v>
      </x:c>
      <x:c r="G63" s="12" t="n">
        <x:f>IF(SUMIFS($E$6:$E$557,$A$6:$A$557,A63,$B$6:$B$557,B63)=0,"n.a.",E63/SUMIFS($E$6:$E$557,$A$6:$A$557,A63,$B$6:$B$557,B63))</x:f>
        <x:v>0.0007442322004465393</x:v>
      </x:c>
      <x:c r="H63" s="11" t="n">
        <x:v>2208</x:v>
      </x:c>
    </x:row>
    <x:row r="64" ht="23" customHeight="1">
      <x:c r="A64" s="10" t="str">
        <x:v>M10</x:v>
      </x:c>
      <x:c r="B64" s="10" t="str">
        <x:v>C</x:v>
      </x:c>
      <x:c r="C64" s="10" t="str">
        <x:v>hex_nut</x:v>
      </x:c>
      <x:c r="D64" s="11" t="n">
        <x:v>99</x:v>
      </x:c>
      <x:c r="E64" s="11" t="n">
        <x:v>73</x:v>
      </x:c>
      <x:c r="F64" s="12" t="n">
        <x:f>E64/D64</x:f>
        <x:v>0.7373737373737373</x:v>
      </x:c>
      <x:c r="G64" s="12" t="n">
        <x:f>IF(SUMIFS($E$6:$E$557,$A$6:$A$557,A64,$B$6:$B$557,B64)=0,"n.a.",E64/SUMIFS($E$6:$E$557,$A$6:$A$557,A64,$B$6:$B$557,B64))</x:f>
        <x:v>0.01810965021086579</x:v>
      </x:c>
      <x:c r="H64" s="11" t="n">
        <x:v>249848</x:v>
      </x:c>
    </x:row>
    <x:row r="65" ht="23" customHeight="1">
      <x:c r="A65" s="10" t="str">
        <x:v>M10</x:v>
      </x:c>
      <x:c r="B65" s="10" t="str">
        <x:v>C</x:v>
      </x:c>
      <x:c r="C65" s="10" t="str">
        <x:v>lead_screw</x:v>
      </x:c>
      <x:c r="D65" s="11" t="n">
        <x:v>1</x:v>
      </x:c>
      <x:c r="E65" s="11" t="n">
        <x:v>1</x:v>
      </x:c>
      <x:c r="F65" s="12" t="n">
        <x:f>E65/D65</x:f>
        <x:v>1</x:v>
      </x:c>
      <x:c r="G65" s="12" t="n">
        <x:f>IF(SUMIFS($E$6:$E$557,$A$6:$A$557,A65,$B$6:$B$557,B65)=0,"n.a.",E65/SUMIFS($E$6:$E$557,$A$6:$A$557,A65,$B$6:$B$557,B65))</x:f>
        <x:v>0.00024807740014884643</x:v>
      </x:c>
      <x:c r="H65" s="11" t="n">
        <x:v>80410</x:v>
      </x:c>
    </x:row>
    <x:row r="66" ht="23" customHeight="1">
      <x:c r="A66" s="10" t="str">
        <x:v>M10</x:v>
      </x:c>
      <x:c r="B66" s="10" t="str">
        <x:v>C</x:v>
      </x:c>
      <x:c r="C66" s="10" t="str">
        <x:v>mounting_bracket</x:v>
      </x:c>
      <x:c r="D66" s="11" t="n">
        <x:v>443</x:v>
      </x:c>
      <x:c r="E66" s="11" t="n">
        <x:v>443</x:v>
      </x:c>
      <x:c r="F66" s="12" t="n">
        <x:f>E66/D66</x:f>
        <x:v>1</x:v>
      </x:c>
      <x:c r="G66" s="12" t="n">
        <x:f>IF(SUMIFS($E$6:$E$557,$A$6:$A$557,A66,$B$6:$B$557,B66)=0,"n.a.",E66/SUMIFS($E$6:$E$557,$A$6:$A$557,A66,$B$6:$B$557,B66))</x:f>
        <x:v>0.10989828826593898</x:v>
      </x:c>
      <x:c r="H66" s="11" t="n">
        <x:v>537384</x:v>
      </x:c>
    </x:row>
    <x:row r="67" ht="23" customHeight="1">
      <x:c r="A67" s="10" t="str">
        <x:v>M10</x:v>
      </x:c>
      <x:c r="B67" s="10" t="str">
        <x:v>C</x:v>
      </x:c>
      <x:c r="C67" s="10" t="str">
        <x:v>mounting_plate</x:v>
      </x:c>
      <x:c r="D67" s="11" t="n">
        <x:v>71</x:v>
      </x:c>
      <x:c r="E67" s="11" t="n">
        <x:v>70</x:v>
      </x:c>
      <x:c r="F67" s="12" t="n">
        <x:f>E67/D67</x:f>
        <x:v>0.9859154929577465</x:v>
      </x:c>
      <x:c r="G67" s="12" t="n">
        <x:f>IF(SUMIFS($E$6:$E$557,$A$6:$A$557,A67,$B$6:$B$557,B67)=0,"n.a.",E67/SUMIFS($E$6:$E$557,$A$6:$A$557,A67,$B$6:$B$557,B67))</x:f>
        <x:v>0.01736541801041925</x:v>
      </x:c>
      <x:c r="H67" s="11" t="n">
        <x:v>39614</x:v>
      </x:c>
    </x:row>
    <x:row r="68" ht="23" customHeight="1">
      <x:c r="A68" s="10" t="str">
        <x:v>M10</x:v>
      </x:c>
      <x:c r="B68" s="10" t="str">
        <x:v>C</x:v>
      </x:c>
      <x:c r="C68" s="10" t="str">
        <x:v>nozzle</x:v>
      </x:c>
      <x:c r="D68" s="11" t="n">
        <x:v>101</x:v>
      </x:c>
      <x:c r="E68" s="11" t="n">
        <x:v>97</x:v>
      </x:c>
      <x:c r="F68" s="12" t="n">
        <x:f>E68/D68</x:f>
        <x:v>0.9603960396039604</x:v>
      </x:c>
      <x:c r="G68" s="12" t="n">
        <x:f>IF(SUMIFS($E$6:$E$557,$A$6:$A$557,A68,$B$6:$B$557,B68)=0,"n.a.",E68/SUMIFS($E$6:$E$557,$A$6:$A$557,A68,$B$6:$B$557,B68))</x:f>
        <x:v>0.024063507814438105</x:v>
      </x:c>
      <x:c r="H68" s="11" t="n">
        <x:v>418292</x:v>
      </x:c>
    </x:row>
    <x:row r="69" ht="23" customHeight="1">
      <x:c r="A69" s="10" t="str">
        <x:v>M10</x:v>
      </x:c>
      <x:c r="B69" s="10" t="str">
        <x:v>C</x:v>
      </x:c>
      <x:c r="C69" s="10" t="str">
        <x:v>pipe_fitting</x:v>
      </x:c>
      <x:c r="D69" s="11" t="n">
        <x:v>10</x:v>
      </x:c>
      <x:c r="E69" s="11" t="n">
        <x:v>10</x:v>
      </x:c>
      <x:c r="F69" s="12" t="n">
        <x:f>E69/D69</x:f>
        <x:v>1</x:v>
      </x:c>
      <x:c r="G69" s="12" t="n">
        <x:f>IF(SUMIFS($E$6:$E$557,$A$6:$A$557,A69,$B$6:$B$557,B69)=0,"n.a.",E69/SUMIFS($E$6:$E$557,$A$6:$A$557,A69,$B$6:$B$557,B69))</x:f>
        <x:v>0.0024807740014884646</x:v>
      </x:c>
      <x:c r="H69" s="11" t="n">
        <x:v>30340</x:v>
      </x:c>
    </x:row>
    <x:row r="70" ht="23" customHeight="1">
      <x:c r="A70" s="10" t="str">
        <x:v>M10</x:v>
      </x:c>
      <x:c r="B70" s="10" t="str">
        <x:v>C</x:v>
      </x:c>
      <x:c r="C70" s="10" t="str">
        <x:v>plain_block</x:v>
      </x:c>
      <x:c r="D70" s="11" t="n">
        <x:v>1068</x:v>
      </x:c>
      <x:c r="E70" s="11" t="n">
        <x:v>1068</x:v>
      </x:c>
      <x:c r="F70" s="12" t="n">
        <x:f>E70/D70</x:f>
        <x:v>1</x:v>
      </x:c>
      <x:c r="G70" s="12" t="n">
        <x:f>IF(SUMIFS($E$6:$E$557,$A$6:$A$557,A70,$B$6:$B$557,B70)=0,"n.a.",E70/SUMIFS($E$6:$E$557,$A$6:$A$557,A70,$B$6:$B$557,B70))</x:f>
        <x:v>0.264946663358968</x:v>
      </x:c>
      <x:c r="H70" s="11" t="n">
        <x:v>8776520</x:v>
      </x:c>
    </x:row>
    <x:row r="71" ht="23" customHeight="1">
      <x:c r="A71" s="10" t="str">
        <x:v>M10</x:v>
      </x:c>
      <x:c r="B71" s="10" t="str">
        <x:v>C</x:v>
      </x:c>
      <x:c r="C71" s="10" t="str">
        <x:v>plain_shaft</x:v>
      </x:c>
      <x:c r="D71" s="11" t="n">
        <x:v>4</x:v>
      </x:c>
      <x:c r="E71" s="11" t="n">
        <x:v>4</x:v>
      </x:c>
      <x:c r="F71" s="12" t="n">
        <x:f>E71/D71</x:f>
        <x:v>1</x:v>
      </x:c>
      <x:c r="G71" s="12" t="n">
        <x:f>IF(SUMIFS($E$6:$E$557,$A$6:$A$557,A71,$B$6:$B$557,B71)=0,"n.a.",E71/SUMIFS($E$6:$E$557,$A$6:$A$557,A71,$B$6:$B$557,B71))</x:f>
        <x:v>0.0009923096005953857</x:v>
      </x:c>
      <x:c r="H71" s="11" t="n">
        <x:v>13558</x:v>
      </x:c>
    </x:row>
    <x:row r="72" ht="23" customHeight="1">
      <x:c r="A72" s="10" t="str">
        <x:v>M10</x:v>
      </x:c>
      <x:c r="B72" s="10" t="str">
        <x:v>C</x:v>
      </x:c>
      <x:c r="C72" s="10" t="str">
        <x:v>punch_tool</x:v>
      </x:c>
      <x:c r="D72" s="11" t="n">
        <x:v>198</x:v>
      </x:c>
      <x:c r="E72" s="11" t="n">
        <x:v>198</x:v>
      </x:c>
      <x:c r="F72" s="12" t="n">
        <x:f>E72/D72</x:f>
        <x:v>1</x:v>
      </x:c>
      <x:c r="G72" s="12" t="n">
        <x:f>IF(SUMIFS($E$6:$E$557,$A$6:$A$557,A72,$B$6:$B$557,B72)=0,"n.a.",E72/SUMIFS($E$6:$E$557,$A$6:$A$557,A72,$B$6:$B$557,B72))</x:f>
        <x:v>0.04911932522947159</x:v>
      </x:c>
      <x:c r="H72" s="11" t="n">
        <x:v>1169080</x:v>
      </x:c>
    </x:row>
    <x:row r="73" ht="23" customHeight="1">
      <x:c r="A73" s="10" t="str">
        <x:v>M10</x:v>
      </x:c>
      <x:c r="B73" s="10" t="str">
        <x:v>C</x:v>
      </x:c>
      <x:c r="C73" s="10" t="str">
        <x:v>retaining_ring</x:v>
      </x:c>
      <x:c r="D73" s="11" t="n">
        <x:v>250</x:v>
      </x:c>
      <x:c r="E73" s="11" t="n">
        <x:v>104</x:v>
      </x:c>
      <x:c r="F73" s="12" t="n">
        <x:f>E73/D73</x:f>
        <x:v>0.416</x:v>
      </x:c>
      <x:c r="G73" s="12" t="n">
        <x:f>IF(SUMIFS($E$6:$E$557,$A$6:$A$557,A73,$B$6:$B$557,B73)=0,"n.a.",E73/SUMIFS($E$6:$E$557,$A$6:$A$557,A73,$B$6:$B$557,B73))</x:f>
        <x:v>0.02580004961548003</x:v>
      </x:c>
      <x:c r="H73" s="11" t="n">
        <x:v>1072702</x:v>
      </x:c>
    </x:row>
    <x:row r="74" ht="23" customHeight="1">
      <x:c r="A74" s="10" t="str">
        <x:v>M10</x:v>
      </x:c>
      <x:c r="B74" s="10" t="str">
        <x:v>C</x:v>
      </x:c>
      <x:c r="C74" s="10" t="str">
        <x:v>seal_ring</x:v>
      </x:c>
      <x:c r="D74" s="11" t="n">
        <x:v>11</x:v>
      </x:c>
      <x:c r="E74" s="11" t="n">
        <x:v>11</x:v>
      </x:c>
      <x:c r="F74" s="12" t="n">
        <x:f>E74/D74</x:f>
        <x:v>1</x:v>
      </x:c>
      <x:c r="G74" s="12" t="n">
        <x:f>IF(SUMIFS($E$6:$E$557,$A$6:$A$557,A74,$B$6:$B$557,B74)=0,"n.a.",E74/SUMIFS($E$6:$E$557,$A$6:$A$557,A74,$B$6:$B$557,B74))</x:f>
        <x:v>0.0027288514016373107</x:v>
      </x:c>
      <x:c r="H74" s="11" t="n">
        <x:v>264308</x:v>
      </x:c>
    </x:row>
    <x:row r="75" ht="23" customHeight="1">
      <x:c r="A75" s="10" t="str">
        <x:v>M10</x:v>
      </x:c>
      <x:c r="B75" s="10" t="str">
        <x:v>C</x:v>
      </x:c>
      <x:c r="C75" s="10" t="str">
        <x:v>shaft_key</x:v>
      </x:c>
      <x:c r="D75" s="11" t="n">
        <x:v>963</x:v>
      </x:c>
      <x:c r="E75" s="11" t="n">
        <x:v>645</x:v>
      </x:c>
      <x:c r="F75" s="12" t="n">
        <x:f>E75/D75</x:f>
        <x:v>0.6697819314641744</x:v>
      </x:c>
      <x:c r="G75" s="12" t="n">
        <x:f>IF(SUMIFS($E$6:$E$557,$A$6:$A$557,A75,$B$6:$B$557,B75)=0,"n.a.",E75/SUMIFS($E$6:$E$557,$A$6:$A$557,A75,$B$6:$B$557,B75))</x:f>
        <x:v>0.16000992309600595</x:v>
      </x:c>
      <x:c r="H75" s="11" t="n">
        <x:v>4111575</x:v>
      </x:c>
    </x:row>
    <x:row r="76" ht="23" customHeight="1">
      <x:c r="A76" s="10" t="str">
        <x:v>M10</x:v>
      </x:c>
      <x:c r="B76" s="10" t="str">
        <x:v>C</x:v>
      </x:c>
      <x:c r="C76" s="10" t="str">
        <x:v>slotted_nut</x:v>
      </x:c>
      <x:c r="D76" s="11" t="n">
        <x:v>172</x:v>
      </x:c>
      <x:c r="E76" s="11" t="n">
        <x:v>161</x:v>
      </x:c>
      <x:c r="F76" s="12" t="n">
        <x:f>E76/D76</x:f>
        <x:v>0.936046511627907</x:v>
      </x:c>
      <x:c r="G76" s="12" t="n">
        <x:f>IF(SUMIFS($E$6:$E$557,$A$6:$A$557,A76,$B$6:$B$557,B76)=0,"n.a.",E76/SUMIFS($E$6:$E$557,$A$6:$A$557,A76,$B$6:$B$557,B76))</x:f>
        <x:v>0.03994046142396428</x:v>
      </x:c>
      <x:c r="H76" s="11" t="n">
        <x:v>514549</x:v>
      </x:c>
    </x:row>
    <x:row r="77" ht="23" customHeight="1">
      <x:c r="A77" s="10" t="str">
        <x:v>M10</x:v>
      </x:c>
      <x:c r="B77" s="10" t="str">
        <x:v>C</x:v>
      </x:c>
      <x:c r="C77" s="10" t="str">
        <x:v>sprocket</x:v>
      </x:c>
      <x:c r="D77" s="11" t="n">
        <x:v>35</x:v>
      </x:c>
      <x:c r="E77" s="11" t="n">
        <x:v>35</x:v>
      </x:c>
      <x:c r="F77" s="12" t="n">
        <x:f>E77/D77</x:f>
        <x:v>1</x:v>
      </x:c>
      <x:c r="G77" s="12" t="n">
        <x:f>IF(SUMIFS($E$6:$E$557,$A$6:$A$557,A77,$B$6:$B$557,B77)=0,"n.a.",E77/SUMIFS($E$6:$E$557,$A$6:$A$557,A77,$B$6:$B$557,B77))</x:f>
        <x:v>0.008682709005209625</x:v>
      </x:c>
      <x:c r="H77" s="11" t="n">
        <x:v>563970</x:v>
      </x:c>
    </x:row>
    <x:row r="78" ht="23" customHeight="1">
      <x:c r="A78" s="10" t="str">
        <x:v>M10</x:v>
      </x:c>
      <x:c r="B78" s="10" t="str">
        <x:v>C</x:v>
      </x:c>
      <x:c r="C78" s="10" t="str">
        <x:v>suction_cup</x:v>
      </x:c>
      <x:c r="D78" s="11" t="n">
        <x:v>3</x:v>
      </x:c>
      <x:c r="E78" s="11" t="n">
        <x:v>3</x:v>
      </x:c>
      <x:c r="F78" s="12" t="n">
        <x:f>E78/D78</x:f>
        <x:v>1</x:v>
      </x:c>
      <x:c r="G78" s="12" t="n">
        <x:f>IF(SUMIFS($E$6:$E$557,$A$6:$A$557,A78,$B$6:$B$557,B78)=0,"n.a.",E78/SUMIFS($E$6:$E$557,$A$6:$A$557,A78,$B$6:$B$557,B78))</x:f>
        <x:v>0.0007442322004465393</x:v>
      </x:c>
      <x:c r="H78" s="11" t="n">
        <x:v>72084</x:v>
      </x:c>
    </x:row>
    <x:row r="79" ht="23" customHeight="1">
      <x:c r="A79" s="10" t="str">
        <x:v>M10</x:v>
      </x:c>
      <x:c r="B79" s="10" t="str">
        <x:v>C</x:v>
      </x:c>
      <x:c r="C79" s="10" t="str">
        <x:v>threaded_stud</x:v>
      </x:c>
      <x:c r="D79" s="11" t="n">
        <x:v>186</x:v>
      </x:c>
      <x:c r="E79" s="11" t="n">
        <x:v>177</x:v>
      </x:c>
      <x:c r="F79" s="12" t="n">
        <x:f>E79/D79</x:f>
        <x:v>0.9516129032258065</x:v>
      </x:c>
      <x:c r="G79" s="12" t="n">
        <x:f>IF(SUMIFS($E$6:$E$557,$A$6:$A$557,A79,$B$6:$B$557,B79)=0,"n.a.",E79/SUMIFS($E$6:$E$557,$A$6:$A$557,A79,$B$6:$B$557,B79))</x:f>
        <x:v>0.04390969982634582</x:v>
      </x:c>
      <x:c r="H79" s="11" t="n">
        <x:v>10530529</x:v>
      </x:c>
    </x:row>
    <x:row r="80" ht="23" customHeight="1">
      <x:c r="A80" s="10" t="str">
        <x:v>M11</x:v>
      </x:c>
      <x:c r="B80" s="10" t="str">
        <x:v>N</x:v>
      </x:c>
      <x:c r="C80" s="10" t="str">
        <x:v>bearings_bushings_guides</x:v>
      </x:c>
      <x:c r="D80" s="11" t="n">
        <x:v>1477</x:v>
      </x:c>
      <x:c r="E80" s="11" t="n">
        <x:v>989</x:v>
      </x:c>
      <x:c r="F80" s="12" t="n">
        <x:f>E80/D80</x:f>
        <x:v>0.6696005416384563</x:v>
      </x:c>
      <x:c r="G80" s="12" t="n">
        <x:f>IF(SUMIFS($E$6:$E$557,$A$6:$A$557,A80,$B$6:$B$557,B80)=0,"n.a.",E80/SUMIFS($E$6:$E$557,$A$6:$A$557,A80,$B$6:$B$557,B80))</x:f>
        <x:v>0.10049791687836603</x:v>
      </x:c>
      <x:c r="H80" s="11" t="n">
        <x:v>2832930</x:v>
      </x:c>
    </x:row>
    <x:row r="81" ht="23" customHeight="1">
      <x:c r="A81" s="10" t="str">
        <x:v>M11</x:v>
      </x:c>
      <x:c r="B81" s="10" t="str">
        <x:v>N</x:v>
      </x:c>
      <x:c r="C81" s="10" t="str">
        <x:v>gears_pulleys_chains</x:v>
      </x:c>
      <x:c r="D81" s="11" t="n">
        <x:v>211</x:v>
      </x:c>
      <x:c r="E81" s="11" t="n">
        <x:v>105</x:v>
      </x:c>
      <x:c r="F81" s="12" t="n">
        <x:f>E81/D81</x:f>
        <x:v>0.4976303317535545</x:v>
      </x:c>
      <x:c r="G81" s="12" t="n">
        <x:f>IF(SUMIFS($E$6:$E$557,$A$6:$A$557,A81,$B$6:$B$557,B81)=0,"n.a.",E81/SUMIFS($E$6:$E$557,$A$6:$A$557,A81,$B$6:$B$557,B81))</x:f>
        <x:v>0.010669647393557566</x:v>
      </x:c>
      <x:c r="H81" s="11" t="n">
        <x:v>162508</x:v>
      </x:c>
    </x:row>
    <x:row r="82" ht="23" customHeight="1">
      <x:c r="A82" s="10" t="str">
        <x:v>M11</x:v>
      </x:c>
      <x:c r="B82" s="10" t="str">
        <x:v>N</x:v>
      </x:c>
      <x:c r="C82" s="10" t="str">
        <x:v>handles_controls</x:v>
      </x:c>
      <x:c r="D82" s="11" t="n">
        <x:v>1836</x:v>
      </x:c>
      <x:c r="E82" s="11" t="n">
        <x:v>1516</x:v>
      </x:c>
      <x:c r="F82" s="12" t="n">
        <x:f>E82/D82</x:f>
        <x:v>0.8257080610021786</x:v>
      </x:c>
      <x:c r="G82" s="12" t="n">
        <x:f>IF(SUMIFS($E$6:$E$557,$A$6:$A$557,A82,$B$6:$B$557,B82)=0,"n.a.",E82/SUMIFS($E$6:$E$557,$A$6:$A$557,A82,$B$6:$B$557,B82))</x:f>
        <x:v>0.15404938522507874</x:v>
      </x:c>
      <x:c r="H82" s="11" t="n">
        <x:v>3911456</x:v>
      </x:c>
    </x:row>
    <x:row r="83" ht="23" customHeight="1">
      <x:c r="A83" s="10" t="str">
        <x:v>M11</x:v>
      </x:c>
      <x:c r="B83" s="10" t="str">
        <x:v>N</x:v>
      </x:c>
      <x:c r="C83" s="10" t="str">
        <x:v>joints_clamps_structural_connectors</x:v>
      </x:c>
      <x:c r="D83" s="11" t="n">
        <x:v>1660</x:v>
      </x:c>
      <x:c r="E83" s="11" t="n">
        <x:v>1339</x:v>
      </x:c>
      <x:c r="F83" s="12" t="n">
        <x:f>E83/D83</x:f>
        <x:v>0.8066265060240964</x:v>
      </x:c>
      <x:c r="G83" s="12" t="n">
        <x:f>IF(SUMIFS($E$6:$E$557,$A$6:$A$557,A83,$B$6:$B$557,B83)=0,"n.a.",E83/SUMIFS($E$6:$E$557,$A$6:$A$557,A83,$B$6:$B$557,B83))</x:f>
        <x:v>0.13606340819022458</x:v>
      </x:c>
      <x:c r="H83" s="11" t="n">
        <x:v>1975794</x:v>
      </x:c>
    </x:row>
    <x:row r="84" ht="23" customHeight="1">
      <x:c r="A84" s="10" t="str">
        <x:v>M11</x:v>
      </x:c>
      <x:c r="B84" s="10" t="str">
        <x:v>N</x:v>
      </x:c>
      <x:c r="C84" s="10" t="str">
        <x:v>motors_gearmotors</x:v>
      </x:c>
      <x:c r="D84" s="11" t="n">
        <x:v>136</x:v>
      </x:c>
      <x:c r="E84" s="11" t="n">
        <x:v>68</x:v>
      </x:c>
      <x:c r="F84" s="12" t="n">
        <x:f>E84/D84</x:f>
        <x:v>0.5</x:v>
      </x:c>
      <x:c r="G84" s="12" t="n">
        <x:f>IF(SUMIFS($E$6:$E$557,$A$6:$A$557,A84,$B$6:$B$557,B84)=0,"n.a.",E84/SUMIFS($E$6:$E$557,$A$6:$A$557,A84,$B$6:$B$557,B84))</x:f>
        <x:v>0.006909866883446804</x:v>
      </x:c>
      <x:c r="H84" s="11" t="n">
        <x:v>356176</x:v>
      </x:c>
    </x:row>
    <x:row r="85" ht="23" customHeight="1">
      <x:c r="A85" s="10" t="str">
        <x:v>M11</x:v>
      </x:c>
      <x:c r="B85" s="10" t="str">
        <x:v>N</x:v>
      </x:c>
      <x:c r="C85" s="10" t="str">
        <x:v>nuts</x:v>
      </x:c>
      <x:c r="D85" s="11" t="n">
        <x:v>222</x:v>
      </x:c>
      <x:c r="E85" s="11" t="n">
        <x:v>60</x:v>
      </x:c>
      <x:c r="F85" s="12" t="n">
        <x:f>E85/D85</x:f>
        <x:v>0.2702702702702703</x:v>
      </x:c>
      <x:c r="G85" s="12" t="n">
        <x:f>IF(SUMIFS($E$6:$E$557,$A$6:$A$557,A85,$B$6:$B$557,B85)=0,"n.a.",E85/SUMIFS($E$6:$E$557,$A$6:$A$557,A85,$B$6:$B$557,B85))</x:f>
        <x:v>0.00609694136774718</x:v>
      </x:c>
      <x:c r="H85" s="11" t="n">
        <x:v>36596</x:v>
      </x:c>
    </x:row>
    <x:row r="86" ht="23" customHeight="1">
      <x:c r="A86" s="10" t="str">
        <x:v>M11</x:v>
      </x:c>
      <x:c r="B86" s="10" t="str">
        <x:v>N</x:v>
      </x:c>
      <x:c r="C86" s="10" t="str">
        <x:v>pins_rivets_keys</x:v>
      </x:c>
      <x:c r="D86" s="11" t="n">
        <x:v>1361</x:v>
      </x:c>
      <x:c r="E86" s="11" t="n">
        <x:v>1074</x:v>
      </x:c>
      <x:c r="F86" s="12" t="n">
        <x:f>E86/D86</x:f>
        <x:v>0.7891256429096253</x:v>
      </x:c>
      <x:c r="G86" s="12" t="n">
        <x:f>IF(SUMIFS($E$6:$E$557,$A$6:$A$557,A86,$B$6:$B$557,B86)=0,"n.a.",E86/SUMIFS($E$6:$E$557,$A$6:$A$557,A86,$B$6:$B$557,B86))</x:f>
        <x:v>0.10913525048267453</x:v>
      </x:c>
      <x:c r="H86" s="11" t="n">
        <x:v>2495274</x:v>
      </x:c>
    </x:row>
    <x:row r="87" ht="23" customHeight="1">
      <x:c r="A87" s="10" t="str">
        <x:v>M11</x:v>
      </x:c>
      <x:c r="B87" s="10" t="str">
        <x:v>N</x:v>
      </x:c>
      <x:c r="C87" s="10" t="str">
        <x:v>pipe_fittings_valves_nozzles</x:v>
      </x:c>
      <x:c r="D87" s="11" t="n">
        <x:v>787</x:v>
      </x:c>
      <x:c r="E87" s="11" t="n">
        <x:v>517</x:v>
      </x:c>
      <x:c r="F87" s="12" t="n">
        <x:f>E87/D87</x:f>
        <x:v>0.6569250317662008</x:v>
      </x:c>
      <x:c r="G87" s="12" t="n">
        <x:f>IF(SUMIFS($E$6:$E$557,$A$6:$A$557,A87,$B$6:$B$557,B87)=0,"n.a.",E87/SUMIFS($E$6:$E$557,$A$6:$A$557,A87,$B$6:$B$557,B87))</x:f>
        <x:v>0.0525353114520882</x:v>
      </x:c>
      <x:c r="H87" s="11" t="n">
        <x:v>1630866</x:v>
      </x:c>
    </x:row>
    <x:row r="88" ht="23" customHeight="1">
      <x:c r="A88" s="10" t="str">
        <x:v>M11</x:v>
      </x:c>
      <x:c r="B88" s="10" t="str">
        <x:v>N</x:v>
      </x:c>
      <x:c r="C88" s="10" t="str">
        <x:v>plates_discs_shapes</x:v>
      </x:c>
      <x:c r="D88" s="11" t="n">
        <x:v>2152</x:v>
      </x:c>
      <x:c r="E88" s="11" t="n">
        <x:v>842</x:v>
      </x:c>
      <x:c r="F88" s="12" t="n">
        <x:f>E88/D88</x:f>
        <x:v>0.3912639405204461</x:v>
      </x:c>
      <x:c r="G88" s="12" t="n">
        <x:f>IF(SUMIFS($E$6:$E$557,$A$6:$A$557,A88,$B$6:$B$557,B88)=0,"n.a.",E88/SUMIFS($E$6:$E$557,$A$6:$A$557,A88,$B$6:$B$557,B88))</x:f>
        <x:v>0.08556041052738543</x:v>
      </x:c>
      <x:c r="H88" s="11" t="n">
        <x:v>2445292</x:v>
      </x:c>
    </x:row>
    <x:row r="89" ht="23" customHeight="1">
      <x:c r="A89" s="10" t="str">
        <x:v>M11</x:v>
      </x:c>
      <x:c r="B89" s="10" t="str">
        <x:v>N</x:v>
      </x:c>
      <x:c r="C89" s="10" t="str">
        <x:v>rotating_fluid_machinery</x:v>
      </x:c>
      <x:c r="D89" s="11" t="n">
        <x:v>1936</x:v>
      </x:c>
      <x:c r="E89" s="11" t="n">
        <x:v>483</x:v>
      </x:c>
      <x:c r="F89" s="12" t="n">
        <x:f>E89/D89</x:f>
        <x:v>0.24948347107438015</x:v>
      </x:c>
      <x:c r="G89" s="12" t="n">
        <x:f>IF(SUMIFS($E$6:$E$557,$A$6:$A$557,A89,$B$6:$B$557,B89)=0,"n.a.",E89/SUMIFS($E$6:$E$557,$A$6:$A$557,A89,$B$6:$B$557,B89))</x:f>
        <x:v>0.0490803780103648</x:v>
      </x:c>
      <x:c r="H89" s="11" t="n">
        <x:v>5521668</x:v>
      </x:c>
    </x:row>
    <x:row r="90" ht="23" customHeight="1">
      <x:c r="A90" s="10" t="str">
        <x:v>M11</x:v>
      </x:c>
      <x:c r="B90" s="10" t="str">
        <x:v>N</x:v>
      </x:c>
      <x:c r="C90" s="10" t="str">
        <x:v>screws_bolts_studs</x:v>
      </x:c>
      <x:c r="D90" s="11" t="n">
        <x:v>2464</x:v>
      </x:c>
      <x:c r="E90" s="11" t="n">
        <x:v>1835</x:v>
      </x:c>
      <x:c r="F90" s="12" t="n">
        <x:f>E90/D90</x:f>
        <x:v>0.744724025974026</x:v>
      </x:c>
      <x:c r="G90" s="12" t="n">
        <x:f>IF(SUMIFS($E$6:$E$557,$A$6:$A$557,A90,$B$6:$B$557,B90)=0,"n.a.",E90/SUMIFS($E$6:$E$557,$A$6:$A$557,A90,$B$6:$B$557,B90))</x:f>
        <x:v>0.18646479016360126</x:v>
      </x:c>
      <x:c r="H90" s="11" t="n">
        <x:v>2837304</x:v>
      </x:c>
    </x:row>
    <x:row r="91" ht="23" customHeight="1">
      <x:c r="A91" s="10" t="str">
        <x:v>M11</x:v>
      </x:c>
      <x:c r="B91" s="10" t="str">
        <x:v>N</x:v>
      </x:c>
      <x:c r="C91" s="10" t="str">
        <x:v>springs</x:v>
      </x:c>
      <x:c r="D91" s="11" t="n">
        <x:v>256</x:v>
      </x:c>
      <x:c r="E91" s="11" t="n">
        <x:v>232</x:v>
      </x:c>
      <x:c r="F91" s="12" t="n">
        <x:f>E91/D91</x:f>
        <x:v>0.90625</x:v>
      </x:c>
      <x:c r="G91" s="12" t="n">
        <x:f>IF(SUMIFS($E$6:$E$557,$A$6:$A$557,A91,$B$6:$B$557,B91)=0,"n.a.",E91/SUMIFS($E$6:$E$557,$A$6:$A$557,A91,$B$6:$B$557,B91))</x:f>
        <x:v>0.023574839955289098</x:v>
      </x:c>
      <x:c r="H91" s="11" t="n">
        <x:v>1687464</x:v>
      </x:c>
    </x:row>
    <x:row r="92" ht="23" customHeight="1">
      <x:c r="A92" s="10" t="str">
        <x:v>M11</x:v>
      </x:c>
      <x:c r="B92" s="10" t="str">
        <x:v>N</x:v>
      </x:c>
      <x:c r="C92" s="10" t="str">
        <x:v>washers_rings_spacers</x:v>
      </x:c>
      <x:c r="D92" s="11" t="n">
        <x:v>1042</x:v>
      </x:c>
      <x:c r="E92" s="11" t="n">
        <x:v>659</x:v>
      </x:c>
      <x:c r="F92" s="12" t="n">
        <x:f>E92/D92</x:f>
        <x:v>0.6324376199616123</x:v>
      </x:c>
      <x:c r="G92" s="12" t="n">
        <x:f>IF(SUMIFS($E$6:$E$557,$A$6:$A$557,A92,$B$6:$B$557,B92)=0,"n.a.",E92/SUMIFS($E$6:$E$557,$A$6:$A$557,A92,$B$6:$B$557,B92))</x:f>
        <x:v>0.06696473935575653</x:v>
      </x:c>
      <x:c r="H92" s="11" t="n">
        <x:v>470808</x:v>
      </x:c>
    </x:row>
    <x:row r="93" ht="23" customHeight="1">
      <x:c r="A93" s="10" t="str">
        <x:v>M11</x:v>
      </x:c>
      <x:c r="B93" s="10" t="str">
        <x:v>N</x:v>
      </x:c>
      <x:c r="C93" s="10" t="str">
        <x:v>wheels_castors</x:v>
      </x:c>
      <x:c r="D93" s="11" t="n">
        <x:v>183</x:v>
      </x:c>
      <x:c r="E93" s="11" t="n">
        <x:v>122</x:v>
      </x:c>
      <x:c r="F93" s="12" t="n">
        <x:f>E93/D93</x:f>
        <x:v>0.6666666666666666</x:v>
      </x:c>
      <x:c r="G93" s="12" t="n">
        <x:f>IF(SUMIFS($E$6:$E$557,$A$6:$A$557,A93,$B$6:$B$557,B93)=0,"n.a.",E93/SUMIFS($E$6:$E$557,$A$6:$A$557,A93,$B$6:$B$557,B93))</x:f>
        <x:v>0.012397114114419266</x:v>
      </x:c>
      <x:c r="H93" s="11" t="n">
        <x:v>620389</x:v>
      </x:c>
    </x:row>
    <x:row r="94" ht="23" customHeight="1">
      <x:c r="A94" s="10" t="str">
        <x:v>M11</x:v>
      </x:c>
      <x:c r="B94" s="10" t="str">
        <x:v>C</x:v>
      </x:c>
      <x:c r="C94" s="10" t="str">
        <x:v>adjustable_foot</x:v>
      </x:c>
      <x:c r="D94" s="11" t="n">
        <x:v>1</x:v>
      </x:c>
      <x:c r="E94" s="11" t="n">
        <x:v>1</x:v>
      </x:c>
      <x:c r="F94" s="12" t="n">
        <x:f>E94/D94</x:f>
        <x:v>1</x:v>
      </x:c>
      <x:c r="G94" s="12" t="n">
        <x:f>IF(SUMIFS($E$6:$E$557,$A$6:$A$557,A94,$B$6:$B$557,B94)=0,"n.a.",E94/SUMIFS($E$6:$E$557,$A$6:$A$557,A94,$B$6:$B$557,B94))</x:f>
        <x:v>0.00008901548869503294</x:v>
      </x:c>
      <x:c r="H94" s="11" t="n">
        <x:v>912</x:v>
      </x:c>
    </x:row>
    <x:row r="95" ht="23" customHeight="1">
      <x:c r="A95" s="10" t="str">
        <x:v>M11</x:v>
      </x:c>
      <x:c r="B95" s="10" t="str">
        <x:v>C</x:v>
      </x:c>
      <x:c r="C95" s="10" t="str">
        <x:v>aluminum_extrusion</x:v>
      </x:c>
      <x:c r="D95" s="11" t="n">
        <x:v>43</x:v>
      </x:c>
      <x:c r="E95" s="11" t="n">
        <x:v>43</x:v>
      </x:c>
      <x:c r="F95" s="12" t="n">
        <x:f>E95/D95</x:f>
        <x:v>1</x:v>
      </x:c>
      <x:c r="G95" s="12" t="n">
        <x:f>IF(SUMIFS($E$6:$E$557,$A$6:$A$557,A95,$B$6:$B$557,B95)=0,"n.a.",E95/SUMIFS($E$6:$E$557,$A$6:$A$557,A95,$B$6:$B$557,B95))</x:f>
        <x:v>0.0038276660138864163</x:v>
      </x:c>
      <x:c r="H95" s="11" t="n">
        <x:v>82844</x:v>
      </x:c>
    </x:row>
    <x:row r="96" ht="23" customHeight="1">
      <x:c r="A96" s="10" t="str">
        <x:v>M11</x:v>
      </x:c>
      <x:c r="B96" s="10" t="str">
        <x:v>C</x:v>
      </x:c>
      <x:c r="C96" s="10" t="str">
        <x:v>camera_lens</x:v>
      </x:c>
      <x:c r="D96" s="11" t="n">
        <x:v>64</x:v>
      </x:c>
      <x:c r="E96" s="11" t="n">
        <x:v>64</x:v>
      </x:c>
      <x:c r="F96" s="12" t="n">
        <x:f>E96/D96</x:f>
        <x:v>1</x:v>
      </x:c>
      <x:c r="G96" s="12" t="n">
        <x:f>IF(SUMIFS($E$6:$E$557,$A$6:$A$557,A96,$B$6:$B$557,B96)=0,"n.a.",E96/SUMIFS($E$6:$E$557,$A$6:$A$557,A96,$B$6:$B$557,B96))</x:f>
        <x:v>0.005696991276482108</x:v>
      </x:c>
      <x:c r="H96" s="11" t="n">
        <x:v>73754</x:v>
      </x:c>
    </x:row>
    <x:row r="97" ht="23" customHeight="1">
      <x:c r="A97" s="10" t="str">
        <x:v>M11</x:v>
      </x:c>
      <x:c r="B97" s="10" t="str">
        <x:v>C</x:v>
      </x:c>
      <x:c r="C97" s="10" t="str">
        <x:v>cap_nut</x:v>
      </x:c>
      <x:c r="D97" s="11" t="n">
        <x:v>1109</x:v>
      </x:c>
      <x:c r="E97" s="11" t="n">
        <x:v>1041</x:v>
      </x:c>
      <x:c r="F97" s="12" t="n">
        <x:f>E97/D97</x:f>
        <x:v>0.9386834986474302</x:v>
      </x:c>
      <x:c r="G97" s="12" t="n">
        <x:f>IF(SUMIFS($E$6:$E$557,$A$6:$A$557,A97,$B$6:$B$557,B97)=0,"n.a.",E97/SUMIFS($E$6:$E$557,$A$6:$A$557,A97,$B$6:$B$557,B97))</x:f>
        <x:v>0.09266512373152928</x:v>
      </x:c>
      <x:c r="H97" s="11" t="n">
        <x:v>2911424</x:v>
      </x:c>
    </x:row>
    <x:row r="98" ht="23" customHeight="1">
      <x:c r="A98" s="10" t="str">
        <x:v>M11</x:v>
      </x:c>
      <x:c r="B98" s="10" t="str">
        <x:v>C</x:v>
      </x:c>
      <x:c r="C98" s="10" t="str">
        <x:v>coil_spring</x:v>
      </x:c>
      <x:c r="D98" s="11" t="n">
        <x:v>8</x:v>
      </x:c>
      <x:c r="E98" s="11" t="n">
        <x:v>8</x:v>
      </x:c>
      <x:c r="F98" s="12" t="n">
        <x:f>E98/D98</x:f>
        <x:v>1</x:v>
      </x:c>
      <x:c r="G98" s="12" t="n">
        <x:f>IF(SUMIFS($E$6:$E$557,$A$6:$A$557,A98,$B$6:$B$557,B98)=0,"n.a.",E98/SUMIFS($E$6:$E$557,$A$6:$A$557,A98,$B$6:$B$557,B98))</x:f>
        <x:v>0.0007121239095602635</x:v>
      </x:c>
      <x:c r="H98" s="11" t="n">
        <x:v>58426</x:v>
      </x:c>
    </x:row>
    <x:row r="99" ht="23" customHeight="1">
      <x:c r="A99" s="10" t="str">
        <x:v>M11</x:v>
      </x:c>
      <x:c r="B99" s="10" t="str">
        <x:v>C</x:v>
      </x:c>
      <x:c r="C99" s="10" t="str">
        <x:v>die_block</x:v>
      </x:c>
      <x:c r="D99" s="11" t="n">
        <x:v>191</x:v>
      </x:c>
      <x:c r="E99" s="11" t="n">
        <x:v>191</x:v>
      </x:c>
      <x:c r="F99" s="12" t="n">
        <x:f>E99/D99</x:f>
        <x:v>1</x:v>
      </x:c>
      <x:c r="G99" s="12" t="n">
        <x:f>IF(SUMIFS($E$6:$E$557,$A$6:$A$557,A99,$B$6:$B$557,B99)=0,"n.a.",E99/SUMIFS($E$6:$E$557,$A$6:$A$557,A99,$B$6:$B$557,B99))</x:f>
        <x:v>0.01700195834075129</x:v>
      </x:c>
      <x:c r="H99" s="11" t="n">
        <x:v>249354</x:v>
      </x:c>
    </x:row>
    <x:row r="100" ht="23" customHeight="1">
      <x:c r="A100" s="10" t="str">
        <x:v>M11</x:v>
      </x:c>
      <x:c r="B100" s="10" t="str">
        <x:v>C</x:v>
      </x:c>
      <x:c r="C100" s="10" t="str">
        <x:v>dowel_pin</x:v>
      </x:c>
      <x:c r="D100" s="11" t="n">
        <x:v>3836</x:v>
      </x:c>
      <x:c r="E100" s="11" t="n">
        <x:v>1114</x:v>
      </x:c>
      <x:c r="F100" s="12" t="n">
        <x:f>E100/D100</x:f>
        <x:v>0.29040667361835243</x:v>
      </x:c>
      <x:c r="G100" s="12" t="n">
        <x:f>IF(SUMIFS($E$6:$E$557,$A$6:$A$557,A100,$B$6:$B$557,B100)=0,"n.a.",E100/SUMIFS($E$6:$E$557,$A$6:$A$557,A100,$B$6:$B$557,B100))</x:f>
        <x:v>0.0991632544062667</x:v>
      </x:c>
      <x:c r="H100" s="11" t="n">
        <x:v>520442</x:v>
      </x:c>
    </x:row>
    <x:row r="101" ht="23" customHeight="1">
      <x:c r="A101" s="10" t="str">
        <x:v>M11</x:v>
      </x:c>
      <x:c r="B101" s="10" t="str">
        <x:v>C</x:v>
      </x:c>
      <x:c r="C101" s="10" t="str">
        <x:v>feature_plate</x:v>
      </x:c>
      <x:c r="D101" s="11" t="n">
        <x:v>306</x:v>
      </x:c>
      <x:c r="E101" s="11" t="n">
        <x:v>306</x:v>
      </x:c>
      <x:c r="F101" s="12" t="n">
        <x:f>E101/D101</x:f>
        <x:v>1</x:v>
      </x:c>
      <x:c r="G101" s="12" t="n">
        <x:f>IF(SUMIFS($E$6:$E$557,$A$6:$A$557,A101,$B$6:$B$557,B101)=0,"n.a.",E101/SUMIFS($E$6:$E$557,$A$6:$A$557,A101,$B$6:$B$557,B101))</x:f>
        <x:v>0.02723873954068008</x:v>
      </x:c>
      <x:c r="H101" s="11" t="n">
        <x:v>1740798</x:v>
      </x:c>
    </x:row>
    <x:row r="102" ht="23" customHeight="1">
      <x:c r="A102" s="10" t="str">
        <x:v>M11</x:v>
      </x:c>
      <x:c r="B102" s="10" t="str">
        <x:v>C</x:v>
      </x:c>
      <x:c r="C102" s="10" t="str">
        <x:v>flat_washer</x:v>
      </x:c>
      <x:c r="D102" s="11" t="n">
        <x:v>909</x:v>
      </x:c>
      <x:c r="E102" s="11" t="n">
        <x:v>762</x:v>
      </x:c>
      <x:c r="F102" s="12" t="n">
        <x:f>E102/D102</x:f>
        <x:v>0.8382838283828383</x:v>
      </x:c>
      <x:c r="G102" s="12" t="n">
        <x:f>IF(SUMIFS($E$6:$E$557,$A$6:$A$557,A102,$B$6:$B$557,B102)=0,"n.a.",E102/SUMIFS($E$6:$E$557,$A$6:$A$557,A102,$B$6:$B$557,B102))</x:f>
        <x:v>0.0678298023856151</x:v>
      </x:c>
      <x:c r="H102" s="11" t="n">
        <x:v>1216876</x:v>
      </x:c>
    </x:row>
    <x:row r="103" ht="23" customHeight="1">
      <x:c r="A103" s="10" t="str">
        <x:v>M11</x:v>
      </x:c>
      <x:c r="B103" s="10" t="str">
        <x:v>C</x:v>
      </x:c>
      <x:c r="C103" s="10" t="str">
        <x:v>flexible_hose</x:v>
      </x:c>
      <x:c r="D103" s="11" t="n">
        <x:v>4</x:v>
      </x:c>
      <x:c r="E103" s="11" t="n">
        <x:v>4</x:v>
      </x:c>
      <x:c r="F103" s="12" t="n">
        <x:f>E103/D103</x:f>
        <x:v>1</x:v>
      </x:c>
      <x:c r="G103" s="12" t="n">
        <x:f>IF(SUMIFS($E$6:$E$557,$A$6:$A$557,A103,$B$6:$B$557,B103)=0,"n.a.",E103/SUMIFS($E$6:$E$557,$A$6:$A$557,A103,$B$6:$B$557,B103))</x:f>
        <x:v>0.00035606195478013177</x:v>
      </x:c>
      <x:c r="H103" s="11" t="n">
        <x:v>5136</x:v>
      </x:c>
    </x:row>
    <x:row r="104" ht="23" customHeight="1">
      <x:c r="A104" s="10" t="str">
        <x:v>M11</x:v>
      </x:c>
      <x:c r="B104" s="10" t="str">
        <x:v>C</x:v>
      </x:c>
      <x:c r="C104" s="10" t="str">
        <x:v>frame_beam</x:v>
      </x:c>
      <x:c r="D104" s="11" t="n">
        <x:v>12</x:v>
      </x:c>
      <x:c r="E104" s="11" t="n">
        <x:v>12</x:v>
      </x:c>
      <x:c r="F104" s="12" t="n">
        <x:f>E104/D104</x:f>
        <x:v>1</x:v>
      </x:c>
      <x:c r="G104" s="12" t="n">
        <x:f>IF(SUMIFS($E$6:$E$557,$A$6:$A$557,A104,$B$6:$B$557,B104)=0,"n.a.",E104/SUMIFS($E$6:$E$557,$A$6:$A$557,A104,$B$6:$B$557,B104))</x:f>
        <x:v>0.0010681858643403952</x:v>
      </x:c>
      <x:c r="H104" s="11" t="n">
        <x:v>158538</x:v>
      </x:c>
    </x:row>
    <x:row r="105" ht="23" customHeight="1">
      <x:c r="A105" s="10" t="str">
        <x:v>M11</x:v>
      </x:c>
      <x:c r="B105" s="10" t="str">
        <x:v>C</x:v>
      </x:c>
      <x:c r="C105" s="10" t="str">
        <x:v>hex_bolt</x:v>
      </x:c>
      <x:c r="D105" s="11" t="n">
        <x:v>24</x:v>
      </x:c>
      <x:c r="E105" s="11" t="n">
        <x:v>24</x:v>
      </x:c>
      <x:c r="F105" s="12" t="n">
        <x:f>E105/D105</x:f>
        <x:v>1</x:v>
      </x:c>
      <x:c r="G105" s="12" t="n">
        <x:f>IF(SUMIFS($E$6:$E$557,$A$6:$A$557,A105,$B$6:$B$557,B105)=0,"n.a.",E105/SUMIFS($E$6:$E$557,$A$6:$A$557,A105,$B$6:$B$557,B105))</x:f>
        <x:v>0.0021363717286807904</x:v>
      </x:c>
      <x:c r="H105" s="11" t="n">
        <x:v>8184</x:v>
      </x:c>
    </x:row>
    <x:row r="106" ht="23" customHeight="1">
      <x:c r="A106" s="10" t="str">
        <x:v>M11</x:v>
      </x:c>
      <x:c r="B106" s="10" t="str">
        <x:v>C</x:v>
      </x:c>
      <x:c r="C106" s="10" t="str">
        <x:v>hex_nut</x:v>
      </x:c>
      <x:c r="D106" s="11" t="n">
        <x:v>704</x:v>
      </x:c>
      <x:c r="E106" s="11" t="n">
        <x:v>534</x:v>
      </x:c>
      <x:c r="F106" s="12" t="n">
        <x:f>E106/D106</x:f>
        <x:v>0.7585227272727273</x:v>
      </x:c>
      <x:c r="G106" s="12" t="n">
        <x:f>IF(SUMIFS($E$6:$E$557,$A$6:$A$557,A106,$B$6:$B$557,B106)=0,"n.a.",E106/SUMIFS($E$6:$E$557,$A$6:$A$557,A106,$B$6:$B$557,B106))</x:f>
        <x:v>0.047534270963147586</x:v>
      </x:c>
      <x:c r="H106" s="11" t="n">
        <x:v>1069420</x:v>
      </x:c>
    </x:row>
    <x:row r="107" ht="23" customHeight="1">
      <x:c r="A107" s="10" t="str">
        <x:v>M11</x:v>
      </x:c>
      <x:c r="B107" s="10" t="str">
        <x:v>C</x:v>
      </x:c>
      <x:c r="C107" s="10" t="str">
        <x:v>linear_rail</x:v>
      </x:c>
      <x:c r="D107" s="11" t="n">
        <x:v>22</x:v>
      </x:c>
      <x:c r="E107" s="11" t="n">
        <x:v>22</x:v>
      </x:c>
      <x:c r="F107" s="12" t="n">
        <x:f>E107/D107</x:f>
        <x:v>1</x:v>
      </x:c>
      <x:c r="G107" s="12" t="n">
        <x:f>IF(SUMIFS($E$6:$E$557,$A$6:$A$557,A107,$B$6:$B$557,B107)=0,"n.a.",E107/SUMIFS($E$6:$E$557,$A$6:$A$557,A107,$B$6:$B$557,B107))</x:f>
        <x:v>0.0019583407512907248</x:v>
      </x:c>
      <x:c r="H107" s="11" t="n">
        <x:v>52840</x:v>
      </x:c>
    </x:row>
    <x:row r="108" ht="23" customHeight="1">
      <x:c r="A108" s="10" t="str">
        <x:v>M11</x:v>
      </x:c>
      <x:c r="B108" s="10" t="str">
        <x:v>C</x:v>
      </x:c>
      <x:c r="C108" s="10" t="str">
        <x:v>mounting_bracket</x:v>
      </x:c>
      <x:c r="D108" s="11" t="n">
        <x:v>27</x:v>
      </x:c>
      <x:c r="E108" s="11" t="n">
        <x:v>27</x:v>
      </x:c>
      <x:c r="F108" s="12" t="n">
        <x:f>E108/D108</x:f>
        <x:v>1</x:v>
      </x:c>
      <x:c r="G108" s="12" t="n">
        <x:f>IF(SUMIFS($E$6:$E$557,$A$6:$A$557,A108,$B$6:$B$557,B108)=0,"n.a.",E108/SUMIFS($E$6:$E$557,$A$6:$A$557,A108,$B$6:$B$557,B108))</x:f>
        <x:v>0.0024034181947658892</x:v>
      </x:c>
      <x:c r="H108" s="11" t="n">
        <x:v>56824</x:v>
      </x:c>
    </x:row>
    <x:row r="109" ht="23" customHeight="1">
      <x:c r="A109" s="10" t="str">
        <x:v>M11</x:v>
      </x:c>
      <x:c r="B109" s="10" t="str">
        <x:v>C</x:v>
      </x:c>
      <x:c r="C109" s="10" t="str">
        <x:v>mounting_plate</x:v>
      </x:c>
      <x:c r="D109" s="11" t="n">
        <x:v>571</x:v>
      </x:c>
      <x:c r="E109" s="11" t="n">
        <x:v>571</x:v>
      </x:c>
      <x:c r="F109" s="12" t="n">
        <x:f>E109/D109</x:f>
        <x:v>1</x:v>
      </x:c>
      <x:c r="G109" s="12" t="n">
        <x:f>IF(SUMIFS($E$6:$E$557,$A$6:$A$557,A109,$B$6:$B$557,B109)=0,"n.a.",E109/SUMIFS($E$6:$E$557,$A$6:$A$557,A109,$B$6:$B$557,B109))</x:f>
        <x:v>0.050827844044863804</x:v>
      </x:c>
      <x:c r="H109" s="11" t="n">
        <x:v>623114</x:v>
      </x:c>
    </x:row>
    <x:row r="110" ht="23" customHeight="1">
      <x:c r="A110" s="10" t="str">
        <x:v>M11</x:v>
      </x:c>
      <x:c r="B110" s="10" t="str">
        <x:v>C</x:v>
      </x:c>
      <x:c r="C110" s="10" t="str">
        <x:v>nozzle</x:v>
      </x:c>
      <x:c r="D110" s="11" t="n">
        <x:v>93</x:v>
      </x:c>
      <x:c r="E110" s="11" t="n">
        <x:v>92</x:v>
      </x:c>
      <x:c r="F110" s="12" t="n">
        <x:f>E110/D110</x:f>
        <x:v>0.989247311827957</x:v>
      </x:c>
      <x:c r="G110" s="12" t="n">
        <x:f>IF(SUMIFS($E$6:$E$557,$A$6:$A$557,A110,$B$6:$B$557,B110)=0,"n.a.",E110/SUMIFS($E$6:$E$557,$A$6:$A$557,A110,$B$6:$B$557,B110))</x:f>
        <x:v>0.00818942495994303</x:v>
      </x:c>
      <x:c r="H110" s="11" t="n">
        <x:v>250804</x:v>
      </x:c>
    </x:row>
    <x:row r="111" ht="23" customHeight="1">
      <x:c r="A111" s="10" t="str">
        <x:v>M11</x:v>
      </x:c>
      <x:c r="B111" s="10" t="str">
        <x:v>C</x:v>
      </x:c>
      <x:c r="C111" s="10" t="str">
        <x:v>plain_block</x:v>
      </x:c>
      <x:c r="D111" s="11" t="n">
        <x:v>2969</x:v>
      </x:c>
      <x:c r="E111" s="11" t="n">
        <x:v>2969</x:v>
      </x:c>
      <x:c r="F111" s="12" t="n">
        <x:f>E111/D111</x:f>
        <x:v>1</x:v>
      </x:c>
      <x:c r="G111" s="12" t="n">
        <x:f>IF(SUMIFS($E$6:$E$557,$A$6:$A$557,A111,$B$6:$B$557,B111)=0,"n.a.",E111/SUMIFS($E$6:$E$557,$A$6:$A$557,A111,$B$6:$B$557,B111))</x:f>
        <x:v>0.2642869859355528</x:v>
      </x:c>
      <x:c r="H111" s="11" t="n">
        <x:v>13539850</x:v>
      </x:c>
    </x:row>
    <x:row r="112" ht="23" customHeight="1">
      <x:c r="A112" s="10" t="str">
        <x:v>M11</x:v>
      </x:c>
      <x:c r="B112" s="10" t="str">
        <x:v>C</x:v>
      </x:c>
      <x:c r="C112" s="10" t="str">
        <x:v>plain_shaft</x:v>
      </x:c>
      <x:c r="D112" s="11" t="n">
        <x:v>74</x:v>
      </x:c>
      <x:c r="E112" s="11" t="n">
        <x:v>74</x:v>
      </x:c>
      <x:c r="F112" s="12" t="n">
        <x:f>E112/D112</x:f>
        <x:v>1</x:v>
      </x:c>
      <x:c r="G112" s="12" t="n">
        <x:f>IF(SUMIFS($E$6:$E$557,$A$6:$A$557,A112,$B$6:$B$557,B112)=0,"n.a.",E112/SUMIFS($E$6:$E$557,$A$6:$A$557,A112,$B$6:$B$557,B112))</x:f>
        <x:v>0.006587146163432437</x:v>
      </x:c>
      <x:c r="H112" s="11" t="n">
        <x:v>55140</x:v>
      </x:c>
    </x:row>
    <x:row r="113" ht="23" customHeight="1">
      <x:c r="A113" s="10" t="str">
        <x:v>M11</x:v>
      </x:c>
      <x:c r="B113" s="10" t="str">
        <x:v>C</x:v>
      </x:c>
      <x:c r="C113" s="10" t="str">
        <x:v>proximity_sensor</x:v>
      </x:c>
      <x:c r="D113" s="11" t="n">
        <x:v>7</x:v>
      </x:c>
      <x:c r="E113" s="11" t="n">
        <x:v>7</x:v>
      </x:c>
      <x:c r="F113" s="12" t="n">
        <x:f>E113/D113</x:f>
        <x:v>1</x:v>
      </x:c>
      <x:c r="G113" s="12" t="n">
        <x:f>IF(SUMIFS($E$6:$E$557,$A$6:$A$557,A113,$B$6:$B$557,B113)=0,"n.a.",E113/SUMIFS($E$6:$E$557,$A$6:$A$557,A113,$B$6:$B$557,B113))</x:f>
        <x:v>0.0006231084208652305</x:v>
      </x:c>
      <x:c r="H113" s="11" t="n">
        <x:v>11500</x:v>
      </x:c>
    </x:row>
    <x:row r="114" ht="23" customHeight="1">
      <x:c r="A114" s="10" t="str">
        <x:v>M11</x:v>
      </x:c>
      <x:c r="B114" s="10" t="str">
        <x:v>C</x:v>
      </x:c>
      <x:c r="C114" s="10" t="str">
        <x:v>punch_tool</x:v>
      </x:c>
      <x:c r="D114" s="11" t="n">
        <x:v>86</x:v>
      </x:c>
      <x:c r="E114" s="11" t="n">
        <x:v>86</x:v>
      </x:c>
      <x:c r="F114" s="12" t="n">
        <x:f>E114/D114</x:f>
        <x:v>1</x:v>
      </x:c>
      <x:c r="G114" s="12" t="n">
        <x:f>IF(SUMIFS($E$6:$E$557,$A$6:$A$557,A114,$B$6:$B$557,B114)=0,"n.a.",E114/SUMIFS($E$6:$E$557,$A$6:$A$557,A114,$B$6:$B$557,B114))</x:f>
        <x:v>0.007655332027772833</x:v>
      </x:c>
      <x:c r="H114" s="11" t="n">
        <x:v>49062</x:v>
      </x:c>
    </x:row>
    <x:row r="115" ht="23" customHeight="1">
      <x:c r="A115" s="10" t="str">
        <x:v>M11</x:v>
      </x:c>
      <x:c r="B115" s="10" t="str">
        <x:v>C</x:v>
      </x:c>
      <x:c r="C115" s="10" t="str">
        <x:v>retaining_ring</x:v>
      </x:c>
      <x:c r="D115" s="11" t="n">
        <x:v>574</x:v>
      </x:c>
      <x:c r="E115" s="11" t="n">
        <x:v>450</x:v>
      </x:c>
      <x:c r="F115" s="12" t="n">
        <x:f>E115/D115</x:f>
        <x:v>0.7839721254355401</x:v>
      </x:c>
      <x:c r="G115" s="12" t="n">
        <x:f>IF(SUMIFS($E$6:$E$557,$A$6:$A$557,A115,$B$6:$B$557,B115)=0,"n.a.",E115/SUMIFS($E$6:$E$557,$A$6:$A$557,A115,$B$6:$B$557,B115))</x:f>
        <x:v>0.04005696991276482</x:v>
      </x:c>
      <x:c r="H115" s="11" t="n">
        <x:v>223800</x:v>
      </x:c>
    </x:row>
    <x:row r="116" ht="23" customHeight="1">
      <x:c r="A116" s="10" t="str">
        <x:v>M11</x:v>
      </x:c>
      <x:c r="B116" s="10" t="str">
        <x:v>C</x:v>
      </x:c>
      <x:c r="C116" s="10" t="str">
        <x:v>seal_ring</x:v>
      </x:c>
      <x:c r="D116" s="11" t="n">
        <x:v>41</x:v>
      </x:c>
      <x:c r="E116" s="11" t="n">
        <x:v>41</x:v>
      </x:c>
      <x:c r="F116" s="12" t="n">
        <x:f>E116/D116</x:f>
        <x:v>1</x:v>
      </x:c>
      <x:c r="G116" s="12" t="n">
        <x:f>IF(SUMIFS($E$6:$E$557,$A$6:$A$557,A116,$B$6:$B$557,B116)=0,"n.a.",E116/SUMIFS($E$6:$E$557,$A$6:$A$557,A116,$B$6:$B$557,B116))</x:f>
        <x:v>0.0036496350364963502</x:v>
      </x:c>
      <x:c r="H116" s="11" t="n">
        <x:v>20124</x:v>
      </x:c>
    </x:row>
    <x:row r="117" ht="23" customHeight="1">
      <x:c r="A117" s="10" t="str">
        <x:v>M11</x:v>
      </x:c>
      <x:c r="B117" s="10" t="str">
        <x:v>C</x:v>
      </x:c>
      <x:c r="C117" s="10" t="str">
        <x:v>shaft_key</x:v>
      </x:c>
      <x:c r="D117" s="11" t="n">
        <x:v>2725</x:v>
      </x:c>
      <x:c r="E117" s="11" t="n">
        <x:v>1645</x:v>
      </x:c>
      <x:c r="F117" s="12" t="n">
        <x:f>E117/D117</x:f>
        <x:v>0.6036697247706422</x:v>
      </x:c>
      <x:c r="G117" s="12" t="n">
        <x:f>IF(SUMIFS($E$6:$E$557,$A$6:$A$557,A117,$B$6:$B$557,B117)=0,"n.a.",E117/SUMIFS($E$6:$E$557,$A$6:$A$557,A117,$B$6:$B$557,B117))</x:f>
        <x:v>0.1464304789033292</x:v>
      </x:c>
      <x:c r="H117" s="11" t="n">
        <x:v>3928445</x:v>
      </x:c>
    </x:row>
    <x:row r="118" ht="23" customHeight="1">
      <x:c r="A118" s="10" t="str">
        <x:v>M11</x:v>
      </x:c>
      <x:c r="B118" s="10" t="str">
        <x:v>C</x:v>
      </x:c>
      <x:c r="C118" s="10" t="str">
        <x:v>slotted_nut</x:v>
      </x:c>
      <x:c r="D118" s="11" t="n">
        <x:v>423</x:v>
      </x:c>
      <x:c r="E118" s="11" t="n">
        <x:v>422</x:v>
      </x:c>
      <x:c r="F118" s="12" t="n">
        <x:f>E118/D118</x:f>
        <x:v>0.9976359338061466</x:v>
      </x:c>
      <x:c r="G118" s="12" t="n">
        <x:f>IF(SUMIFS($E$6:$E$557,$A$6:$A$557,A118,$B$6:$B$557,B118)=0,"n.a.",E118/SUMIFS($E$6:$E$557,$A$6:$A$557,A118,$B$6:$B$557,B118))</x:f>
        <x:v>0.0375645362293039</x:v>
      </x:c>
      <x:c r="H118" s="11" t="n">
        <x:v>597160</x:v>
      </x:c>
    </x:row>
    <x:row r="119" ht="23" customHeight="1">
      <x:c r="A119" s="10" t="str">
        <x:v>M11</x:v>
      </x:c>
      <x:c r="B119" s="10" t="str">
        <x:v>C</x:v>
      </x:c>
      <x:c r="C119" s="10" t="str">
        <x:v>sprocket</x:v>
      </x:c>
      <x:c r="D119" s="11" t="n">
        <x:v>493</x:v>
      </x:c>
      <x:c r="E119" s="11" t="n">
        <x:v>486</x:v>
      </x:c>
      <x:c r="F119" s="12" t="n">
        <x:f>E119/D119</x:f>
        <x:v>0.9858012170385395</x:v>
      </x:c>
      <x:c r="G119" s="12" t="n">
        <x:f>IF(SUMIFS($E$6:$E$557,$A$6:$A$557,A119,$B$6:$B$557,B119)=0,"n.a.",E119/SUMIFS($E$6:$E$557,$A$6:$A$557,A119,$B$6:$B$557,B119))</x:f>
        <x:v>0.043261527505786004</x:v>
      </x:c>
      <x:c r="H119" s="11" t="n">
        <x:v>2417027</x:v>
      </x:c>
    </x:row>
    <x:row r="120" ht="23" customHeight="1">
      <x:c r="A120" s="10" t="str">
        <x:v>M11</x:v>
      </x:c>
      <x:c r="B120" s="10" t="str">
        <x:v>C</x:v>
      </x:c>
      <x:c r="C120" s="10" t="str">
        <x:v>suction_cup</x:v>
      </x:c>
      <x:c r="D120" s="11" t="n">
        <x:v>5</x:v>
      </x:c>
      <x:c r="E120" s="11" t="n">
        <x:v>5</x:v>
      </x:c>
      <x:c r="F120" s="12" t="n">
        <x:f>E120/D120</x:f>
        <x:v>1</x:v>
      </x:c>
      <x:c r="G120" s="12" t="n">
        <x:f>IF(SUMIFS($E$6:$E$557,$A$6:$A$557,A120,$B$6:$B$557,B120)=0,"n.a.",E120/SUMIFS($E$6:$E$557,$A$6:$A$557,A120,$B$6:$B$557,B120))</x:f>
        <x:v>0.0004450774434751647</x:v>
      </x:c>
      <x:c r="H120" s="11" t="n">
        <x:v>9910</x:v>
      </x:c>
    </x:row>
    <x:row r="121" ht="23" customHeight="1">
      <x:c r="A121" s="10" t="str">
        <x:v>M11</x:v>
      </x:c>
      <x:c r="B121" s="10" t="str">
        <x:v>C</x:v>
      </x:c>
      <x:c r="C121" s="10" t="str">
        <x:v>threaded_stud</x:v>
      </x:c>
      <x:c r="D121" s="11" t="n">
        <x:v>401</x:v>
      </x:c>
      <x:c r="E121" s="11" t="n">
        <x:v>232</x:v>
      </x:c>
      <x:c r="F121" s="12" t="n">
        <x:f>E121/D121</x:f>
        <x:v>0.5785536159600998</x:v>
      </x:c>
      <x:c r="G121" s="12" t="n">
        <x:f>IF(SUMIFS($E$6:$E$557,$A$6:$A$557,A121,$B$6:$B$557,B121)=0,"n.a.",E121/SUMIFS($E$6:$E$557,$A$6:$A$557,A121,$B$6:$B$557,B121))</x:f>
        <x:v>0.020651593377247642</x:v>
      </x:c>
      <x:c r="H121" s="11" t="n">
        <x:v>395760</x:v>
      </x:c>
    </x:row>
    <x:row r="122" ht="23" customHeight="1">
      <x:c r="A122" s="10" t="str">
        <x:v>M11</x:v>
      </x:c>
      <x:c r="B122" s="10" t="str">
        <x:v>C</x:v>
      </x:c>
      <x:c r="C122" s="10" t="str">
        <x:v>timing_belt</x:v>
      </x:c>
      <x:c r="D122" s="11" t="n">
        <x:v>1</x:v>
      </x:c>
      <x:c r="E122" s="11" t="n">
        <x:v>1</x:v>
      </x:c>
      <x:c r="F122" s="12" t="n">
        <x:f>E122/D122</x:f>
        <x:v>1</x:v>
      </x:c>
      <x:c r="G122" s="12" t="n">
        <x:f>IF(SUMIFS($E$6:$E$557,$A$6:$A$557,A122,$B$6:$B$557,B122)=0,"n.a.",E122/SUMIFS($E$6:$E$557,$A$6:$A$557,A122,$B$6:$B$557,B122))</x:f>
        <x:v>0.00008901548869503294</x:v>
      </x:c>
      <x:c r="H122" s="11" t="n">
        <x:v>356</x:v>
      </x:c>
    </x:row>
    <x:row r="123" ht="23" customHeight="1">
      <x:c r="A123" s="10" t="str">
        <x:v>M12</x:v>
      </x:c>
      <x:c r="B123" s="10" t="str">
        <x:v>N</x:v>
      </x:c>
      <x:c r="C123" s="10" t="str">
        <x:v>bearings_bushings_guides</x:v>
      </x:c>
      <x:c r="D123" s="11" t="n">
        <x:v>577</x:v>
      </x:c>
      <x:c r="E123" s="11" t="n">
        <x:v>329</x:v>
      </x:c>
      <x:c r="F123" s="12" t="n">
        <x:f>E123/D123</x:f>
        <x:v>0.5701906412478336</x:v>
      </x:c>
      <x:c r="G123" s="12" t="n">
        <x:f>IF(SUMIFS($E$6:$E$557,$A$6:$A$557,A123,$B$6:$B$557,B123)=0,"n.a.",E123/SUMIFS($E$6:$E$557,$A$6:$A$557,A123,$B$6:$B$557,B123))</x:f>
        <x:v>0.0654726368159204</x:v>
      </x:c>
      <x:c r="H123" s="11" t="n">
        <x:v>481036</x:v>
      </x:c>
    </x:row>
    <x:row r="124" ht="23" customHeight="1">
      <x:c r="A124" s="10" t="str">
        <x:v>M12</x:v>
      </x:c>
      <x:c r="B124" s="10" t="str">
        <x:v>N</x:v>
      </x:c>
      <x:c r="C124" s="10" t="str">
        <x:v>gears_pulleys_chains</x:v>
      </x:c>
      <x:c r="D124" s="11" t="n">
        <x:v>27</x:v>
      </x:c>
      <x:c r="E124" s="11" t="n">
        <x:v>25</x:v>
      </x:c>
      <x:c r="F124" s="12" t="n">
        <x:f>E124/D124</x:f>
        <x:v>0.9259259259259259</x:v>
      </x:c>
      <x:c r="G124" s="12" t="n">
        <x:f>IF(SUMIFS($E$6:$E$557,$A$6:$A$557,A124,$B$6:$B$557,B124)=0,"n.a.",E124/SUMIFS($E$6:$E$557,$A$6:$A$557,A124,$B$6:$B$557,B124))</x:f>
        <x:v>0.004975124378109453</x:v>
      </x:c>
      <x:c r="H124" s="11" t="n">
        <x:v>30936</x:v>
      </x:c>
    </x:row>
    <x:row r="125" ht="23" customHeight="1">
      <x:c r="A125" s="10" t="str">
        <x:v>M12</x:v>
      </x:c>
      <x:c r="B125" s="10" t="str">
        <x:v>N</x:v>
      </x:c>
      <x:c r="C125" s="10" t="str">
        <x:v>handles_controls</x:v>
      </x:c>
      <x:c r="D125" s="11" t="n">
        <x:v>666</x:v>
      </x:c>
      <x:c r="E125" s="11" t="n">
        <x:v>634</x:v>
      </x:c>
      <x:c r="F125" s="12" t="n">
        <x:f>E125/D125</x:f>
        <x:v>0.9519519519519519</x:v>
      </x:c>
      <x:c r="G125" s="12" t="n">
        <x:f>IF(SUMIFS($E$6:$E$557,$A$6:$A$557,A125,$B$6:$B$557,B125)=0,"n.a.",E125/SUMIFS($E$6:$E$557,$A$6:$A$557,A125,$B$6:$B$557,B125))</x:f>
        <x:v>0.12616915422885572</x:v>
      </x:c>
      <x:c r="H125" s="11" t="n">
        <x:v>1317796</x:v>
      </x:c>
    </x:row>
    <x:row r="126" ht="23" customHeight="1">
      <x:c r="A126" s="10" t="str">
        <x:v>M12</x:v>
      </x:c>
      <x:c r="B126" s="10" t="str">
        <x:v>N</x:v>
      </x:c>
      <x:c r="C126" s="10" t="str">
        <x:v>joints_clamps_structural_connectors</x:v>
      </x:c>
      <x:c r="D126" s="11" t="n">
        <x:v>2108</x:v>
      </x:c>
      <x:c r="E126" s="11" t="n">
        <x:v>1023</x:v>
      </x:c>
      <x:c r="F126" s="12" t="n">
        <x:f>E126/D126</x:f>
        <x:v>0.4852941176470588</x:v>
      </x:c>
      <x:c r="G126" s="12" t="n">
        <x:f>IF(SUMIFS($E$6:$E$557,$A$6:$A$557,A126,$B$6:$B$557,B126)=0,"n.a.",E126/SUMIFS($E$6:$E$557,$A$6:$A$557,A126,$B$6:$B$557,B126))</x:f>
        <x:v>0.2035820895522388</x:v>
      </x:c>
      <x:c r="H126" s="11" t="n">
        <x:v>5831776</x:v>
      </x:c>
    </x:row>
    <x:row r="127" ht="23" customHeight="1">
      <x:c r="A127" s="10" t="str">
        <x:v>M12</x:v>
      </x:c>
      <x:c r="B127" s="10" t="str">
        <x:v>N</x:v>
      </x:c>
      <x:c r="C127" s="10" t="str">
        <x:v>motors_gearmotors</x:v>
      </x:c>
      <x:c r="D127" s="11" t="n">
        <x:v>63</x:v>
      </x:c>
      <x:c r="E127" s="11" t="n">
        <x:v>41</x:v>
      </x:c>
      <x:c r="F127" s="12" t="n">
        <x:f>E127/D127</x:f>
        <x:v>0.6507936507936508</x:v>
      </x:c>
      <x:c r="G127" s="12" t="n">
        <x:f>IF(SUMIFS($E$6:$E$557,$A$6:$A$557,A127,$B$6:$B$557,B127)=0,"n.a.",E127/SUMIFS($E$6:$E$557,$A$6:$A$557,A127,$B$6:$B$557,B127))</x:f>
        <x:v>0.008159203980099502</x:v>
      </x:c>
      <x:c r="H127" s="11" t="n">
        <x:v>1491440</x:v>
      </x:c>
    </x:row>
    <x:row r="128" ht="23" customHeight="1">
      <x:c r="A128" s="10" t="str">
        <x:v>M12</x:v>
      </x:c>
      <x:c r="B128" s="10" t="str">
        <x:v>N</x:v>
      </x:c>
      <x:c r="C128" s="10" t="str">
        <x:v>nuts</x:v>
      </x:c>
      <x:c r="D128" s="11" t="n">
        <x:v>115</x:v>
      </x:c>
      <x:c r="E128" s="11" t="n">
        <x:v>5</x:v>
      </x:c>
      <x:c r="F128" s="12" t="n">
        <x:f>E128/D128</x:f>
        <x:v>0.043478260869565216</x:v>
      </x:c>
      <x:c r="G128" s="12" t="n">
        <x:f>IF(SUMIFS($E$6:$E$557,$A$6:$A$557,A128,$B$6:$B$557,B128)=0,"n.a.",E128/SUMIFS($E$6:$E$557,$A$6:$A$557,A128,$B$6:$B$557,B128))</x:f>
        <x:v>0.0009950248756218905</x:v>
      </x:c>
      <x:c r="H128" s="11" t="n">
        <x:v>21354</x:v>
      </x:c>
    </x:row>
    <x:row r="129" ht="23" customHeight="1">
      <x:c r="A129" s="10" t="str">
        <x:v>M12</x:v>
      </x:c>
      <x:c r="B129" s="10" t="str">
        <x:v>N</x:v>
      </x:c>
      <x:c r="C129" s="10" t="str">
        <x:v>pins_rivets_keys</x:v>
      </x:c>
      <x:c r="D129" s="11" t="n">
        <x:v>914</x:v>
      </x:c>
      <x:c r="E129" s="11" t="n">
        <x:v>851</x:v>
      </x:c>
      <x:c r="F129" s="12" t="n">
        <x:f>E129/D129</x:f>
        <x:v>0.9310722100656456</x:v>
      </x:c>
      <x:c r="G129" s="12" t="n">
        <x:f>IF(SUMIFS($E$6:$E$557,$A$6:$A$557,A129,$B$6:$B$557,B129)=0,"n.a.",E129/SUMIFS($E$6:$E$557,$A$6:$A$557,A129,$B$6:$B$557,B129))</x:f>
        <x:v>0.16935323383084577</x:v>
      </x:c>
      <x:c r="H129" s="11" t="n">
        <x:v>722580</x:v>
      </x:c>
    </x:row>
    <x:row r="130" ht="23" customHeight="1">
      <x:c r="A130" s="10" t="str">
        <x:v>M12</x:v>
      </x:c>
      <x:c r="B130" s="10" t="str">
        <x:v>N</x:v>
      </x:c>
      <x:c r="C130" s="10" t="str">
        <x:v>pipe_fittings_valves_nozzles</x:v>
      </x:c>
      <x:c r="D130" s="11" t="n">
        <x:v>516</x:v>
      </x:c>
      <x:c r="E130" s="11" t="n">
        <x:v>474</x:v>
      </x:c>
      <x:c r="F130" s="12" t="n">
        <x:f>E130/D130</x:f>
        <x:v>0.9186046511627907</x:v>
      </x:c>
      <x:c r="G130" s="12" t="n">
        <x:f>IF(SUMIFS($E$6:$E$557,$A$6:$A$557,A130,$B$6:$B$557,B130)=0,"n.a.",E130/SUMIFS($E$6:$E$557,$A$6:$A$557,A130,$B$6:$B$557,B130))</x:f>
        <x:v>0.09432835820895523</x:v>
      </x:c>
      <x:c r="H130" s="11" t="n">
        <x:v>4483118</x:v>
      </x:c>
    </x:row>
    <x:row r="131" ht="23" customHeight="1">
      <x:c r="A131" s="10" t="str">
        <x:v>M12</x:v>
      </x:c>
      <x:c r="B131" s="10" t="str">
        <x:v>N</x:v>
      </x:c>
      <x:c r="C131" s="10" t="str">
        <x:v>plates_discs_shapes</x:v>
      </x:c>
      <x:c r="D131" s="11" t="n">
        <x:v>455</x:v>
      </x:c>
      <x:c r="E131" s="11" t="n">
        <x:v>184</x:v>
      </x:c>
      <x:c r="F131" s="12" t="n">
        <x:f>E131/D131</x:f>
        <x:v>0.4043956043956044</x:v>
      </x:c>
      <x:c r="G131" s="12" t="n">
        <x:f>IF(SUMIFS($E$6:$E$557,$A$6:$A$557,A131,$B$6:$B$557,B131)=0,"n.a.",E131/SUMIFS($E$6:$E$557,$A$6:$A$557,A131,$B$6:$B$557,B131))</x:f>
        <x:v>0.036616915422885574</x:v>
      </x:c>
      <x:c r="H131" s="11" t="n">
        <x:v>187844</x:v>
      </x:c>
    </x:row>
    <x:row r="132" ht="23" customHeight="1">
      <x:c r="A132" s="10" t="str">
        <x:v>M12</x:v>
      </x:c>
      <x:c r="B132" s="10" t="str">
        <x:v>N</x:v>
      </x:c>
      <x:c r="C132" s="10" t="str">
        <x:v>rotating_fluid_machinery</x:v>
      </x:c>
      <x:c r="D132" s="11" t="n">
        <x:v>931</x:v>
      </x:c>
      <x:c r="E132" s="11" t="n">
        <x:v>882</x:v>
      </x:c>
      <x:c r="F132" s="12" t="n">
        <x:f>E132/D132</x:f>
        <x:v>0.9473684210526315</x:v>
      </x:c>
      <x:c r="G132" s="12" t="n">
        <x:f>IF(SUMIFS($E$6:$E$557,$A$6:$A$557,A132,$B$6:$B$557,B132)=0,"n.a.",E132/SUMIFS($E$6:$E$557,$A$6:$A$557,A132,$B$6:$B$557,B132))</x:f>
        <x:v>0.1755223880597015</x:v>
      </x:c>
      <x:c r="H132" s="11" t="n">
        <x:v>12679720</x:v>
      </x:c>
    </x:row>
    <x:row r="133" ht="23" customHeight="1">
      <x:c r="A133" s="10" t="str">
        <x:v>M12</x:v>
      </x:c>
      <x:c r="B133" s="10" t="str">
        <x:v>N</x:v>
      </x:c>
      <x:c r="C133" s="10" t="str">
        <x:v>screws_bolts_studs</x:v>
      </x:c>
      <x:c r="D133" s="11" t="n">
        <x:v>550</x:v>
      </x:c>
      <x:c r="E133" s="11" t="n">
        <x:v>487</x:v>
      </x:c>
      <x:c r="F133" s="12" t="n">
        <x:f>E133/D133</x:f>
        <x:v>0.8854545454545455</x:v>
      </x:c>
      <x:c r="G133" s="12" t="n">
        <x:f>IF(SUMIFS($E$6:$E$557,$A$6:$A$557,A133,$B$6:$B$557,B133)=0,"n.a.",E133/SUMIFS($E$6:$E$557,$A$6:$A$557,A133,$B$6:$B$557,B133))</x:f>
        <x:v>0.09691542288557214</x:v>
      </x:c>
      <x:c r="H133" s="11" t="n">
        <x:v>1790332</x:v>
      </x:c>
    </x:row>
    <x:row r="134" ht="23" customHeight="1">
      <x:c r="A134" s="10" t="str">
        <x:v>M12</x:v>
      </x:c>
      <x:c r="B134" s="10" t="str">
        <x:v>N</x:v>
      </x:c>
      <x:c r="C134" s="10" t="str">
        <x:v>springs</x:v>
      </x:c>
      <x:c r="D134" s="11" t="n">
        <x:v>30</x:v>
      </x:c>
      <x:c r="E134" s="11" t="n">
        <x:v>30</x:v>
      </x:c>
      <x:c r="F134" s="12" t="n">
        <x:f>E134/D134</x:f>
        <x:v>1</x:v>
      </x:c>
      <x:c r="G134" s="12" t="n">
        <x:f>IF(SUMIFS($E$6:$E$557,$A$6:$A$557,A134,$B$6:$B$557,B134)=0,"n.a.",E134/SUMIFS($E$6:$E$557,$A$6:$A$557,A134,$B$6:$B$557,B134))</x:f>
        <x:v>0.005970149253731343</x:v>
      </x:c>
      <x:c r="H134" s="11" t="n">
        <x:v>56008</x:v>
      </x:c>
    </x:row>
    <x:row r="135" ht="23" customHeight="1">
      <x:c r="A135" s="10" t="str">
        <x:v>M12</x:v>
      </x:c>
      <x:c r="B135" s="10" t="str">
        <x:v>N</x:v>
      </x:c>
      <x:c r="C135" s="10" t="str">
        <x:v>washers_rings_spacers</x:v>
      </x:c>
      <x:c r="D135" s="11" t="n">
        <x:v>160</x:v>
      </x:c>
      <x:c r="E135" s="11" t="n">
        <x:v>49</x:v>
      </x:c>
      <x:c r="F135" s="12" t="n">
        <x:f>E135/D135</x:f>
        <x:v>0.30625</x:v>
      </x:c>
      <x:c r="G135" s="12" t="n">
        <x:f>IF(SUMIFS($E$6:$E$557,$A$6:$A$557,A135,$B$6:$B$557,B135)=0,"n.a.",E135/SUMIFS($E$6:$E$557,$A$6:$A$557,A135,$B$6:$B$557,B135))</x:f>
        <x:v>0.009751243781094527</x:v>
      </x:c>
      <x:c r="H135" s="11" t="n">
        <x:v>271698</x:v>
      </x:c>
    </x:row>
    <x:row r="136" ht="23" customHeight="1">
      <x:c r="A136" s="10" t="str">
        <x:v>M12</x:v>
      </x:c>
      <x:c r="B136" s="10" t="str">
        <x:v>N</x:v>
      </x:c>
      <x:c r="C136" s="10" t="str">
        <x:v>wheels_castors</x:v>
      </x:c>
      <x:c r="D136" s="11" t="n">
        <x:v>51</x:v>
      </x:c>
      <x:c r="E136" s="11" t="n">
        <x:v>11</x:v>
      </x:c>
      <x:c r="F136" s="12" t="n">
        <x:f>E136/D136</x:f>
        <x:v>0.21568627450980393</x:v>
      </x:c>
      <x:c r="G136" s="12" t="n">
        <x:f>IF(SUMIFS($E$6:$E$557,$A$6:$A$557,A136,$B$6:$B$557,B136)=0,"n.a.",E136/SUMIFS($E$6:$E$557,$A$6:$A$557,A136,$B$6:$B$557,B136))</x:f>
        <x:v>0.0021890547263681594</x:v>
      </x:c>
      <x:c r="H136" s="11" t="n">
        <x:v>2033692</x:v>
      </x:c>
    </x:row>
    <x:row r="137" ht="23" customHeight="1">
      <x:c r="A137" s="10" t="str">
        <x:v>M12</x:v>
      </x:c>
      <x:c r="B137" s="10" t="str">
        <x:v>C</x:v>
      </x:c>
      <x:c r="C137" s="10" t="str">
        <x:v>aluminum_extrusion</x:v>
      </x:c>
      <x:c r="D137" s="11" t="n">
        <x:v>4</x:v>
      </x:c>
      <x:c r="E137" s="11" t="n">
        <x:v>4</x:v>
      </x:c>
      <x:c r="F137" s="12" t="n">
        <x:f>E137/D137</x:f>
        <x:v>1</x:v>
      </x:c>
      <x:c r="G137" s="12" t="n">
        <x:f>IF(SUMIFS($E$6:$E$557,$A$6:$A$557,A137,$B$6:$B$557,B137)=0,"n.a.",E137/SUMIFS($E$6:$E$557,$A$6:$A$557,A137,$B$6:$B$557,B137))</x:f>
        <x:v>0.000721110510185686</x:v>
      </x:c>
      <x:c r="H137" s="11" t="n">
        <x:v>5396</x:v>
      </x:c>
    </x:row>
    <x:row r="138" ht="23" customHeight="1">
      <x:c r="A138" s="10" t="str">
        <x:v>M12</x:v>
      </x:c>
      <x:c r="B138" s="10" t="str">
        <x:v>C</x:v>
      </x:c>
      <x:c r="C138" s="10" t="str">
        <x:v>camera_lens</x:v>
      </x:c>
      <x:c r="D138" s="11" t="n">
        <x:v>31</x:v>
      </x:c>
      <x:c r="E138" s="11" t="n">
        <x:v>31</x:v>
      </x:c>
      <x:c r="F138" s="12" t="n">
        <x:f>E138/D138</x:f>
        <x:v>1</x:v>
      </x:c>
      <x:c r="G138" s="12" t="n">
        <x:f>IF(SUMIFS($E$6:$E$557,$A$6:$A$557,A138,$B$6:$B$557,B138)=0,"n.a.",E138/SUMIFS($E$6:$E$557,$A$6:$A$557,A138,$B$6:$B$557,B138))</x:f>
        <x:v>0.005588606453939066</x:v>
      </x:c>
      <x:c r="H138" s="11" t="n">
        <x:v>33236</x:v>
      </x:c>
    </x:row>
    <x:row r="139" ht="23" customHeight="1">
      <x:c r="A139" s="10" t="str">
        <x:v>M12</x:v>
      </x:c>
      <x:c r="B139" s="10" t="str">
        <x:v>C</x:v>
      </x:c>
      <x:c r="C139" s="10" t="str">
        <x:v>cap_nut</x:v>
      </x:c>
      <x:c r="D139" s="11" t="n">
        <x:v>126</x:v>
      </x:c>
      <x:c r="E139" s="11" t="n">
        <x:v>98</x:v>
      </x:c>
      <x:c r="F139" s="12" t="n">
        <x:f>E139/D139</x:f>
        <x:v>0.7777777777777778</x:v>
      </x:c>
      <x:c r="G139" s="12" t="n">
        <x:f>IF(SUMIFS($E$6:$E$557,$A$6:$A$557,A139,$B$6:$B$557,B139)=0,"n.a.",E139/SUMIFS($E$6:$E$557,$A$6:$A$557,A139,$B$6:$B$557,B139))</x:f>
        <x:v>0.017667207499549305</x:v>
      </x:c>
      <x:c r="H139" s="11" t="n">
        <x:v>291096</x:v>
      </x:c>
    </x:row>
    <x:row r="140" ht="23" customHeight="1">
      <x:c r="A140" s="10" t="str">
        <x:v>M12</x:v>
      </x:c>
      <x:c r="B140" s="10" t="str">
        <x:v>C</x:v>
      </x:c>
      <x:c r="C140" s="10" t="str">
        <x:v>coil_spring</x:v>
      </x:c>
      <x:c r="D140" s="11" t="n">
        <x:v>4</x:v>
      </x:c>
      <x:c r="E140" s="11" t="n">
        <x:v>4</x:v>
      </x:c>
      <x:c r="F140" s="12" t="n">
        <x:f>E140/D140</x:f>
        <x:v>1</x:v>
      </x:c>
      <x:c r="G140" s="12" t="n">
        <x:f>IF(SUMIFS($E$6:$E$557,$A$6:$A$557,A140,$B$6:$B$557,B140)=0,"n.a.",E140/SUMIFS($E$6:$E$557,$A$6:$A$557,A140,$B$6:$B$557,B140))</x:f>
        <x:v>0.000721110510185686</x:v>
      </x:c>
      <x:c r="H140" s="11" t="n">
        <x:v>15936</x:v>
      </x:c>
    </x:row>
    <x:row r="141" ht="23" customHeight="1">
      <x:c r="A141" s="10" t="str">
        <x:v>M12</x:v>
      </x:c>
      <x:c r="B141" s="10" t="str">
        <x:v>C</x:v>
      </x:c>
      <x:c r="C141" s="10" t="str">
        <x:v>cooling_fan</x:v>
      </x:c>
      <x:c r="D141" s="11" t="n">
        <x:v>4</x:v>
      </x:c>
      <x:c r="E141" s="11" t="n">
        <x:v>4</x:v>
      </x:c>
      <x:c r="F141" s="12" t="n">
        <x:f>E141/D141</x:f>
        <x:v>1</x:v>
      </x:c>
      <x:c r="G141" s="12" t="n">
        <x:f>IF(SUMIFS($E$6:$E$557,$A$6:$A$557,A141,$B$6:$B$557,B141)=0,"n.a.",E141/SUMIFS($E$6:$E$557,$A$6:$A$557,A141,$B$6:$B$557,B141))</x:f>
        <x:v>0.000721110510185686</x:v>
      </x:c>
      <x:c r="H141" s="11" t="n">
        <x:v>15936</x:v>
      </x:c>
    </x:row>
    <x:row r="142" ht="23" customHeight="1">
      <x:c r="A142" s="10" t="str">
        <x:v>M12</x:v>
      </x:c>
      <x:c r="B142" s="10" t="str">
        <x:v>C</x:v>
      </x:c>
      <x:c r="C142" s="10" t="str">
        <x:v>die_block</x:v>
      </x:c>
      <x:c r="D142" s="11" t="n">
        <x:v>306</x:v>
      </x:c>
      <x:c r="E142" s="11" t="n">
        <x:v>306</x:v>
      </x:c>
      <x:c r="F142" s="12" t="n">
        <x:f>E142/D142</x:f>
        <x:v>1</x:v>
      </x:c>
      <x:c r="G142" s="12" t="n">
        <x:f>IF(SUMIFS($E$6:$E$557,$A$6:$A$557,A142,$B$6:$B$557,B142)=0,"n.a.",E142/SUMIFS($E$6:$E$557,$A$6:$A$557,A142,$B$6:$B$557,B142))</x:f>
        <x:v>0.055164954029204974</x:v>
      </x:c>
      <x:c r="H142" s="11" t="n">
        <x:v>341694</x:v>
      </x:c>
    </x:row>
    <x:row r="143" ht="23" customHeight="1">
      <x:c r="A143" s="10" t="str">
        <x:v>M12</x:v>
      </x:c>
      <x:c r="B143" s="10" t="str">
        <x:v>C</x:v>
      </x:c>
      <x:c r="C143" s="10" t="str">
        <x:v>dowel_pin</x:v>
      </x:c>
      <x:c r="D143" s="11" t="n">
        <x:v>1006</x:v>
      </x:c>
      <x:c r="E143" s="11" t="n">
        <x:v>51</x:v>
      </x:c>
      <x:c r="F143" s="12" t="n">
        <x:f>E143/D143</x:f>
        <x:v>0.05069582504970179</x:v>
      </x:c>
      <x:c r="G143" s="12" t="n">
        <x:f>IF(SUMIFS($E$6:$E$557,$A$6:$A$557,A143,$B$6:$B$557,B143)=0,"n.a.",E143/SUMIFS($E$6:$E$557,$A$6:$A$557,A143,$B$6:$B$557,B143))</x:f>
        <x:v>0.009194159004867496</x:v>
      </x:c>
      <x:c r="H143" s="11" t="n">
        <x:v>50844</x:v>
      </x:c>
    </x:row>
    <x:row r="144" ht="23" customHeight="1">
      <x:c r="A144" s="10" t="str">
        <x:v>M12</x:v>
      </x:c>
      <x:c r="B144" s="10" t="str">
        <x:v>C</x:v>
      </x:c>
      <x:c r="C144" s="10" t="str">
        <x:v>feature_plate</x:v>
      </x:c>
      <x:c r="D144" s="11" t="n">
        <x:v>202</x:v>
      </x:c>
      <x:c r="E144" s="11" t="n">
        <x:v>202</x:v>
      </x:c>
      <x:c r="F144" s="12" t="n">
        <x:f>E144/D144</x:f>
        <x:v>1</x:v>
      </x:c>
      <x:c r="G144" s="12" t="n">
        <x:f>IF(SUMIFS($E$6:$E$557,$A$6:$A$557,A144,$B$6:$B$557,B144)=0,"n.a.",E144/SUMIFS($E$6:$E$557,$A$6:$A$557,A144,$B$6:$B$557,B144))</x:f>
        <x:v>0.03641608076437714</x:v>
      </x:c>
      <x:c r="H144" s="11" t="n">
        <x:v>628912</x:v>
      </x:c>
    </x:row>
    <x:row r="145" ht="23" customHeight="1">
      <x:c r="A145" s="10" t="str">
        <x:v>M12</x:v>
      </x:c>
      <x:c r="B145" s="10" t="str">
        <x:v>C</x:v>
      </x:c>
      <x:c r="C145" s="10" t="str">
        <x:v>flat_washer</x:v>
      </x:c>
      <x:c r="D145" s="11" t="n">
        <x:v>766</x:v>
      </x:c>
      <x:c r="E145" s="11" t="n">
        <x:v>753</x:v>
      </x:c>
      <x:c r="F145" s="12" t="n">
        <x:f>E145/D145</x:f>
        <x:v>0.9830287206266318</x:v>
      </x:c>
      <x:c r="G145" s="12" t="n">
        <x:f>IF(SUMIFS($E$6:$E$557,$A$6:$A$557,A145,$B$6:$B$557,B145)=0,"n.a.",E145/SUMIFS($E$6:$E$557,$A$6:$A$557,A145,$B$6:$B$557,B145))</x:f>
        <x:v>0.1357490535424554</x:v>
      </x:c>
      <x:c r="H145" s="11" t="n">
        <x:v>1724468</x:v>
      </x:c>
    </x:row>
    <x:row r="146" ht="23" customHeight="1">
      <x:c r="A146" s="10" t="str">
        <x:v>M12</x:v>
      </x:c>
      <x:c r="B146" s="10" t="str">
        <x:v>C</x:v>
      </x:c>
      <x:c r="C146" s="10" t="str">
        <x:v>frame_beam</x:v>
      </x:c>
      <x:c r="D146" s="11" t="n">
        <x:v>2</x:v>
      </x:c>
      <x:c r="E146" s="11" t="n">
        <x:v>2</x:v>
      </x:c>
      <x:c r="F146" s="12" t="n">
        <x:f>E146/D146</x:f>
        <x:v>1</x:v>
      </x:c>
      <x:c r="G146" s="12" t="n">
        <x:f>IF(SUMIFS($E$6:$E$557,$A$6:$A$557,A146,$B$6:$B$557,B146)=0,"n.a.",E146/SUMIFS($E$6:$E$557,$A$6:$A$557,A146,$B$6:$B$557,B146))</x:f>
        <x:v>0.000360555255092843</x:v>
      </x:c>
      <x:c r="H146" s="11" t="n">
        <x:v>6800</x:v>
      </x:c>
    </x:row>
    <x:row r="147" ht="23" customHeight="1">
      <x:c r="A147" s="10" t="str">
        <x:v>M12</x:v>
      </x:c>
      <x:c r="B147" s="10" t="str">
        <x:v>C</x:v>
      </x:c>
      <x:c r="C147" s="10" t="str">
        <x:v>hex_bolt</x:v>
      </x:c>
      <x:c r="D147" s="11" t="n">
        <x:v>1</x:v>
      </x:c>
      <x:c r="E147" s="11" t="n">
        <x:v>0</x:v>
      </x:c>
      <x:c r="F147" s="12" t="n">
        <x:f>E147/D147</x:f>
        <x:v>0</x:v>
      </x:c>
      <x:c r="G147" s="12" t="n">
        <x:f>IF(SUMIFS($E$6:$E$557,$A$6:$A$557,A147,$B$6:$B$557,B147)=0,"n.a.",E147/SUMIFS($E$6:$E$557,$A$6:$A$557,A147,$B$6:$B$557,B147))</x:f>
        <x:v>0</x:v>
      </x:c>
      <x:c r="H147" s="11" t="n">
        <x:v>0</x:v>
      </x:c>
    </x:row>
    <x:row r="148" ht="23" customHeight="1">
      <x:c r="A148" s="10" t="str">
        <x:v>M12</x:v>
      </x:c>
      <x:c r="B148" s="10" t="str">
        <x:v>C</x:v>
      </x:c>
      <x:c r="C148" s="10" t="str">
        <x:v>hex_nut</x:v>
      </x:c>
      <x:c r="D148" s="11" t="n">
        <x:v>203</x:v>
      </x:c>
      <x:c r="E148" s="11" t="n">
        <x:v>87</x:v>
      </x:c>
      <x:c r="F148" s="12" t="n">
        <x:f>E148/D148</x:f>
        <x:v>0.42857142857142855</x:v>
      </x:c>
      <x:c r="G148" s="12" t="n">
        <x:f>IF(SUMIFS($E$6:$E$557,$A$6:$A$557,A148,$B$6:$B$557,B148)=0,"n.a.",E148/SUMIFS($E$6:$E$557,$A$6:$A$557,A148,$B$6:$B$557,B148))</x:f>
        <x:v>0.01568415359653867</x:v>
      </x:c>
      <x:c r="H148" s="11" t="n">
        <x:v>278372</x:v>
      </x:c>
    </x:row>
    <x:row r="149" ht="23" customHeight="1">
      <x:c r="A149" s="10" t="str">
        <x:v>M12</x:v>
      </x:c>
      <x:c r="B149" s="10" t="str">
        <x:v>C</x:v>
      </x:c>
      <x:c r="C149" s="10" t="str">
        <x:v>lead_screw</x:v>
      </x:c>
      <x:c r="D149" s="11" t="n">
        <x:v>1</x:v>
      </x:c>
      <x:c r="E149" s="11" t="n">
        <x:v>1</x:v>
      </x:c>
      <x:c r="F149" s="12" t="n">
        <x:f>E149/D149</x:f>
        <x:v>1</x:v>
      </x:c>
      <x:c r="G149" s="12" t="n">
        <x:f>IF(SUMIFS($E$6:$E$557,$A$6:$A$557,A149,$B$6:$B$557,B149)=0,"n.a.",E149/SUMIFS($E$6:$E$557,$A$6:$A$557,A149,$B$6:$B$557,B149))</x:f>
        <x:v>0.0001802776275464215</x:v>
      </x:c>
      <x:c r="H149" s="11" t="n">
        <x:v>6162</x:v>
      </x:c>
    </x:row>
    <x:row r="150" ht="23" customHeight="1">
      <x:c r="A150" s="10" t="str">
        <x:v>M12</x:v>
      </x:c>
      <x:c r="B150" s="10" t="str">
        <x:v>C</x:v>
      </x:c>
      <x:c r="C150" s="10" t="str">
        <x:v>machine_base</x:v>
      </x:c>
      <x:c r="D150" s="11" t="n">
        <x:v>2</x:v>
      </x:c>
      <x:c r="E150" s="11" t="n">
        <x:v>2</x:v>
      </x:c>
      <x:c r="F150" s="12" t="n">
        <x:f>E150/D150</x:f>
        <x:v>1</x:v>
      </x:c>
      <x:c r="G150" s="12" t="n">
        <x:f>IF(SUMIFS($E$6:$E$557,$A$6:$A$557,A150,$B$6:$B$557,B150)=0,"n.a.",E150/SUMIFS($E$6:$E$557,$A$6:$A$557,A150,$B$6:$B$557,B150))</x:f>
        <x:v>0.000360555255092843</x:v>
      </x:c>
      <x:c r="H150" s="11" t="n">
        <x:v>2020276</x:v>
      </x:c>
    </x:row>
    <x:row r="151" ht="23" customHeight="1">
      <x:c r="A151" s="10" t="str">
        <x:v>M12</x:v>
      </x:c>
      <x:c r="B151" s="10" t="str">
        <x:v>C</x:v>
      </x:c>
      <x:c r="C151" s="10" t="str">
        <x:v>mounting_bracket</x:v>
      </x:c>
      <x:c r="D151" s="11" t="n">
        <x:v>93</x:v>
      </x:c>
      <x:c r="E151" s="11" t="n">
        <x:v>93</x:v>
      </x:c>
      <x:c r="F151" s="12" t="n">
        <x:f>E151/D151</x:f>
        <x:v>1</x:v>
      </x:c>
      <x:c r="G151" s="12" t="n">
        <x:f>IF(SUMIFS($E$6:$E$557,$A$6:$A$557,A151,$B$6:$B$557,B151)=0,"n.a.",E151/SUMIFS($E$6:$E$557,$A$6:$A$557,A151,$B$6:$B$557,B151))</x:f>
        <x:v>0.0167658193618172</x:v>
      </x:c>
      <x:c r="H151" s="11" t="n">
        <x:v>4703444</x:v>
      </x:c>
    </x:row>
    <x:row r="152" ht="23" customHeight="1">
      <x:c r="A152" s="10" t="str">
        <x:v>M12</x:v>
      </x:c>
      <x:c r="B152" s="10" t="str">
        <x:v>C</x:v>
      </x:c>
      <x:c r="C152" s="10" t="str">
        <x:v>mounting_plate</x:v>
      </x:c>
      <x:c r="D152" s="11" t="n">
        <x:v>111</x:v>
      </x:c>
      <x:c r="E152" s="11" t="n">
        <x:v>111</x:v>
      </x:c>
      <x:c r="F152" s="12" t="n">
        <x:f>E152/D152</x:f>
        <x:v>1</x:v>
      </x:c>
      <x:c r="G152" s="12" t="n">
        <x:f>IF(SUMIFS($E$6:$E$557,$A$6:$A$557,A152,$B$6:$B$557,B152)=0,"n.a.",E152/SUMIFS($E$6:$E$557,$A$6:$A$557,A152,$B$6:$B$557,B152))</x:f>
        <x:v>0.020010816657652784</x:v>
      </x:c>
      <x:c r="H152" s="11" t="n">
        <x:v>145618</x:v>
      </x:c>
    </x:row>
    <x:row r="153" ht="23" customHeight="1">
      <x:c r="A153" s="10" t="str">
        <x:v>M12</x:v>
      </x:c>
      <x:c r="B153" s="10" t="str">
        <x:v>C</x:v>
      </x:c>
      <x:c r="C153" s="10" t="str">
        <x:v>nozzle</x:v>
      </x:c>
      <x:c r="D153" s="11" t="n">
        <x:v>31</x:v>
      </x:c>
      <x:c r="E153" s="11" t="n">
        <x:v>31</x:v>
      </x:c>
      <x:c r="F153" s="12" t="n">
        <x:f>E153/D153</x:f>
        <x:v>1</x:v>
      </x:c>
      <x:c r="G153" s="12" t="n">
        <x:f>IF(SUMIFS($E$6:$E$557,$A$6:$A$557,A153,$B$6:$B$557,B153)=0,"n.a.",E153/SUMIFS($E$6:$E$557,$A$6:$A$557,A153,$B$6:$B$557,B153))</x:f>
        <x:v>0.005588606453939066</x:v>
      </x:c>
      <x:c r="H153" s="11" t="n">
        <x:v>2500440</x:v>
      </x:c>
    </x:row>
    <x:row r="154" ht="23" customHeight="1">
      <x:c r="A154" s="10" t="str">
        <x:v>M12</x:v>
      </x:c>
      <x:c r="B154" s="10" t="str">
        <x:v>C</x:v>
      </x:c>
      <x:c r="C154" s="10" t="str">
        <x:v>plain_block</x:v>
      </x:c>
      <x:c r="D154" s="11" t="n">
        <x:v>1456</x:v>
      </x:c>
      <x:c r="E154" s="11" t="n">
        <x:v>1456</x:v>
      </x:c>
      <x:c r="F154" s="12" t="n">
        <x:f>E154/D154</x:f>
        <x:v>1</x:v>
      </x:c>
      <x:c r="G154" s="12" t="n">
        <x:f>IF(SUMIFS($E$6:$E$557,$A$6:$A$557,A154,$B$6:$B$557,B154)=0,"n.a.",E154/SUMIFS($E$6:$E$557,$A$6:$A$557,A154,$B$6:$B$557,B154))</x:f>
        <x:v>0.26248422570758967</x:v>
      </x:c>
      <x:c r="H154" s="11" t="n">
        <x:v>23790774</x:v>
      </x:c>
    </x:row>
    <x:row r="155" ht="23" customHeight="1">
      <x:c r="A155" s="10" t="str">
        <x:v>M12</x:v>
      </x:c>
      <x:c r="B155" s="10" t="str">
        <x:v>C</x:v>
      </x:c>
      <x:c r="C155" s="10" t="str">
        <x:v>plain_shaft</x:v>
      </x:c>
      <x:c r="D155" s="11" t="n">
        <x:v>5</x:v>
      </x:c>
      <x:c r="E155" s="11" t="n">
        <x:v>5</x:v>
      </x:c>
      <x:c r="F155" s="12" t="n">
        <x:f>E155/D155</x:f>
        <x:v>1</x:v>
      </x:c>
      <x:c r="G155" s="12" t="n">
        <x:f>IF(SUMIFS($E$6:$E$557,$A$6:$A$557,A155,$B$6:$B$557,B155)=0,"n.a.",E155/SUMIFS($E$6:$E$557,$A$6:$A$557,A155,$B$6:$B$557,B155))</x:f>
        <x:v>0.0009013881377321074</x:v>
      </x:c>
      <x:c r="H155" s="11" t="n">
        <x:v>3068</x:v>
      </x:c>
    </x:row>
    <x:row r="156" ht="23" customHeight="1">
      <x:c r="A156" s="10" t="str">
        <x:v>M12</x:v>
      </x:c>
      <x:c r="B156" s="10" t="str">
        <x:v>C</x:v>
      </x:c>
      <x:c r="C156" s="10" t="str">
        <x:v>proximity_sensor</x:v>
      </x:c>
      <x:c r="D156" s="11" t="n">
        <x:v>2</x:v>
      </x:c>
      <x:c r="E156" s="11" t="n">
        <x:v>2</x:v>
      </x:c>
      <x:c r="F156" s="12" t="n">
        <x:f>E156/D156</x:f>
        <x:v>1</x:v>
      </x:c>
      <x:c r="G156" s="12" t="n">
        <x:f>IF(SUMIFS($E$6:$E$557,$A$6:$A$557,A156,$B$6:$B$557,B156)=0,"n.a.",E156/SUMIFS($E$6:$E$557,$A$6:$A$557,A156,$B$6:$B$557,B156))</x:f>
        <x:v>0.000360555255092843</x:v>
      </x:c>
      <x:c r="H156" s="11" t="n">
        <x:v>1164</x:v>
      </x:c>
    </x:row>
    <x:row r="157" ht="23" customHeight="1">
      <x:c r="A157" s="10" t="str">
        <x:v>M12</x:v>
      </x:c>
      <x:c r="B157" s="10" t="str">
        <x:v>C</x:v>
      </x:c>
      <x:c r="C157" s="10" t="str">
        <x:v>punch_tool</x:v>
      </x:c>
      <x:c r="D157" s="11" t="n">
        <x:v>659</x:v>
      </x:c>
      <x:c r="E157" s="11" t="n">
        <x:v>659</x:v>
      </x:c>
      <x:c r="F157" s="12" t="n">
        <x:f>E157/D157</x:f>
        <x:v>1</x:v>
      </x:c>
      <x:c r="G157" s="12" t="n">
        <x:f>IF(SUMIFS($E$6:$E$557,$A$6:$A$557,A157,$B$6:$B$557,B157)=0,"n.a.",E157/SUMIFS($E$6:$E$557,$A$6:$A$557,A157,$B$6:$B$557,B157))</x:f>
        <x:v>0.11880295655309177</x:v>
      </x:c>
      <x:c r="H157" s="11" t="n">
        <x:v>752550</x:v>
      </x:c>
    </x:row>
    <x:row r="158" ht="23" customHeight="1">
      <x:c r="A158" s="10" t="str">
        <x:v>M12</x:v>
      </x:c>
      <x:c r="B158" s="10" t="str">
        <x:v>C</x:v>
      </x:c>
      <x:c r="C158" s="10" t="str">
        <x:v>retaining_ring</x:v>
      </x:c>
      <x:c r="D158" s="11" t="n">
        <x:v>258</x:v>
      </x:c>
      <x:c r="E158" s="11" t="n">
        <x:v>229</x:v>
      </x:c>
      <x:c r="F158" s="12" t="n">
        <x:f>E158/D158</x:f>
        <x:v>0.8875968992248062</x:v>
      </x:c>
      <x:c r="G158" s="12" t="n">
        <x:f>IF(SUMIFS($E$6:$E$557,$A$6:$A$557,A158,$B$6:$B$557,B158)=0,"n.a.",E158/SUMIFS($E$6:$E$557,$A$6:$A$557,A158,$B$6:$B$557,B158))</x:f>
        <x:v>0.04128357670813052</x:v>
      </x:c>
      <x:c r="H158" s="11" t="n">
        <x:v>1294256</x:v>
      </x:c>
    </x:row>
    <x:row r="159" ht="23" customHeight="1">
      <x:c r="A159" s="10" t="str">
        <x:v>M12</x:v>
      </x:c>
      <x:c r="B159" s="10" t="str">
        <x:v>C</x:v>
      </x:c>
      <x:c r="C159" s="10" t="str">
        <x:v>shaft_key</x:v>
      </x:c>
      <x:c r="D159" s="11" t="n">
        <x:v>1228</x:v>
      </x:c>
      <x:c r="E159" s="11" t="n">
        <x:v>767</x:v>
      </x:c>
      <x:c r="F159" s="12" t="n">
        <x:f>E159/D159</x:f>
        <x:v>0.6245928338762216</x:v>
      </x:c>
      <x:c r="G159" s="12" t="n">
        <x:f>IF(SUMIFS($E$6:$E$557,$A$6:$A$557,A159,$B$6:$B$557,B159)=0,"n.a.",E159/SUMIFS($E$6:$E$557,$A$6:$A$557,A159,$B$6:$B$557,B159))</x:f>
        <x:v>0.13827294032810528</x:v>
      </x:c>
      <x:c r="H159" s="11" t="n">
        <x:v>8966146</x:v>
      </x:c>
    </x:row>
    <x:row r="160" ht="23" customHeight="1">
      <x:c r="A160" s="10" t="str">
        <x:v>M12</x:v>
      </x:c>
      <x:c r="B160" s="10" t="str">
        <x:v>C</x:v>
      </x:c>
      <x:c r="C160" s="10" t="str">
        <x:v>slotted_nut</x:v>
      </x:c>
      <x:c r="D160" s="11" t="n">
        <x:v>211</x:v>
      </x:c>
      <x:c r="E160" s="11" t="n">
        <x:v>209</x:v>
      </x:c>
      <x:c r="F160" s="12" t="n">
        <x:f>E160/D160</x:f>
        <x:v>0.990521327014218</x:v>
      </x:c>
      <x:c r="G160" s="12" t="n">
        <x:f>IF(SUMIFS($E$6:$E$557,$A$6:$A$557,A160,$B$6:$B$557,B160)=0,"n.a.",E160/SUMIFS($E$6:$E$557,$A$6:$A$557,A160,$B$6:$B$557,B160))</x:f>
        <x:v>0.03767802415720209</x:v>
      </x:c>
      <x:c r="H160" s="11" t="n">
        <x:v>876186</x:v>
      </x:c>
    </x:row>
    <x:row r="161" ht="23" customHeight="1">
      <x:c r="A161" s="10" t="str">
        <x:v>M12</x:v>
      </x:c>
      <x:c r="B161" s="10" t="str">
        <x:v>C</x:v>
      </x:c>
      <x:c r="C161" s="10" t="str">
        <x:v>sprocket</x:v>
      </x:c>
      <x:c r="D161" s="11" t="n">
        <x:v>6</x:v>
      </x:c>
      <x:c r="E161" s="11" t="n">
        <x:v>6</x:v>
      </x:c>
      <x:c r="F161" s="12" t="n">
        <x:f>E161/D161</x:f>
        <x:v>1</x:v>
      </x:c>
      <x:c r="G161" s="12" t="n">
        <x:f>IF(SUMIFS($E$6:$E$557,$A$6:$A$557,A161,$B$6:$B$557,B161)=0,"n.a.",E161/SUMIFS($E$6:$E$557,$A$6:$A$557,A161,$B$6:$B$557,B161))</x:f>
        <x:v>0.001081665765278529</x:v>
      </x:c>
      <x:c r="H161" s="11" t="n">
        <x:v>40420</x:v>
      </x:c>
    </x:row>
    <x:row r="162" ht="23" customHeight="1">
      <x:c r="A162" s="10" t="str">
        <x:v>M12</x:v>
      </x:c>
      <x:c r="B162" s="10" t="str">
        <x:v>C</x:v>
      </x:c>
      <x:c r="C162" s="10" t="str">
        <x:v>suction_cup</x:v>
      </x:c>
      <x:c r="D162" s="11" t="n">
        <x:v>28</x:v>
      </x:c>
      <x:c r="E162" s="11" t="n">
        <x:v>28</x:v>
      </x:c>
      <x:c r="F162" s="12" t="n">
        <x:f>E162/D162</x:f>
        <x:v>1</x:v>
      </x:c>
      <x:c r="G162" s="12" t="n">
        <x:f>IF(SUMIFS($E$6:$E$557,$A$6:$A$557,A162,$B$6:$B$557,B162)=0,"n.a.",E162/SUMIFS($E$6:$E$557,$A$6:$A$557,A162,$B$6:$B$557,B162))</x:f>
        <x:v>0.005047773571299802</x:v>
      </x:c>
      <x:c r="H162" s="11" t="n">
        <x:v>68344</x:v>
      </x:c>
    </x:row>
    <x:row r="163" ht="23" customHeight="1">
      <x:c r="A163" s="10" t="str">
        <x:v>M12</x:v>
      </x:c>
      <x:c r="B163" s="10" t="str">
        <x:v>C</x:v>
      </x:c>
      <x:c r="C163" s="10" t="str">
        <x:v>threaded_stud</x:v>
      </x:c>
      <x:c r="D163" s="11" t="n">
        <x:v>417</x:v>
      </x:c>
      <x:c r="E163" s="11" t="n">
        <x:v>406</x:v>
      </x:c>
      <x:c r="F163" s="12" t="n">
        <x:f>E163/D163</x:f>
        <x:v>0.973621103117506</x:v>
      </x:c>
      <x:c r="G163" s="12" t="n">
        <x:f>IF(SUMIFS($E$6:$E$557,$A$6:$A$557,A163,$B$6:$B$557,B163)=0,"n.a.",E163/SUMIFS($E$6:$E$557,$A$6:$A$557,A163,$B$6:$B$557,B163))</x:f>
        <x:v>0.07319271678384713</x:v>
      </x:c>
      <x:c r="H163" s="11" t="n">
        <x:v>1716052</x:v>
      </x:c>
    </x:row>
    <x:row r="164" ht="23" customHeight="1">
      <x:c r="A164" s="10" t="str">
        <x:v>M13</x:v>
      </x:c>
      <x:c r="B164" s="10" t="str">
        <x:v>N</x:v>
      </x:c>
      <x:c r="C164" s="10" t="str">
        <x:v>bearings_bushings_guides</x:v>
      </x:c>
      <x:c r="D164" s="11" t="n">
        <x:v>1403</x:v>
      </x:c>
      <x:c r="E164" s="11" t="n">
        <x:v>748</x:v>
      </x:c>
      <x:c r="F164" s="12" t="n">
        <x:f>E164/D164</x:f>
        <x:v>0.5331432644333571</x:v>
      </x:c>
      <x:c r="G164" s="12" t="n">
        <x:f>IF(SUMIFS($E$6:$E$557,$A$6:$A$557,A164,$B$6:$B$557,B164)=0,"n.a.",E164/SUMIFS($E$6:$E$557,$A$6:$A$557,A164,$B$6:$B$557,B164))</x:f>
        <x:v>0.07784368820897075</x:v>
      </x:c>
      <x:c r="H164" s="11" t="n">
        <x:v>2050636</x:v>
      </x:c>
    </x:row>
    <x:row r="165" ht="23" customHeight="1">
      <x:c r="A165" s="10" t="str">
        <x:v>M13</x:v>
      </x:c>
      <x:c r="B165" s="10" t="str">
        <x:v>N</x:v>
      </x:c>
      <x:c r="C165" s="10" t="str">
        <x:v>gears_pulleys_chains</x:v>
      </x:c>
      <x:c r="D165" s="11" t="n">
        <x:v>70</x:v>
      </x:c>
      <x:c r="E165" s="11" t="n">
        <x:v>6</x:v>
      </x:c>
      <x:c r="F165" s="12" t="n">
        <x:f>E165/D165</x:f>
        <x:v>0.08571428571428572</x:v>
      </x:c>
      <x:c r="G165" s="12" t="n">
        <x:f>IF(SUMIFS($E$6:$E$557,$A$6:$A$557,A165,$B$6:$B$557,B165)=0,"n.a.",E165/SUMIFS($E$6:$E$557,$A$6:$A$557,A165,$B$6:$B$557,B165))</x:f>
        <x:v>0.0006244146113019045</x:v>
      </x:c>
      <x:c r="H165" s="11" t="n">
        <x:v>20458</x:v>
      </x:c>
    </x:row>
    <x:row r="166" ht="23" customHeight="1">
      <x:c r="A166" s="10" t="str">
        <x:v>M13</x:v>
      </x:c>
      <x:c r="B166" s="10" t="str">
        <x:v>N</x:v>
      </x:c>
      <x:c r="C166" s="10" t="str">
        <x:v>handles_controls</x:v>
      </x:c>
      <x:c r="D166" s="11" t="n">
        <x:v>1704</x:v>
      </x:c>
      <x:c r="E166" s="11" t="n">
        <x:v>1505</x:v>
      </x:c>
      <x:c r="F166" s="12" t="n">
        <x:f>E166/D166</x:f>
        <x:v>0.8832159624413145</x:v>
      </x:c>
      <x:c r="G166" s="12" t="n">
        <x:f>IF(SUMIFS($E$6:$E$557,$A$6:$A$557,A166,$B$6:$B$557,B166)=0,"n.a.",E166/SUMIFS($E$6:$E$557,$A$6:$A$557,A166,$B$6:$B$557,B166))</x:f>
        <x:v>0.15662399833489438</x:v>
      </x:c>
      <x:c r="H166" s="11" t="n">
        <x:v>4070734</x:v>
      </x:c>
    </x:row>
    <x:row r="167" ht="23" customHeight="1">
      <x:c r="A167" s="10" t="str">
        <x:v>M13</x:v>
      </x:c>
      <x:c r="B167" s="10" t="str">
        <x:v>N</x:v>
      </x:c>
      <x:c r="C167" s="10" t="str">
        <x:v>joints_clamps_structural_connectors</x:v>
      </x:c>
      <x:c r="D167" s="11" t="n">
        <x:v>1195</x:v>
      </x:c>
      <x:c r="E167" s="11" t="n">
        <x:v>812</x:v>
      </x:c>
      <x:c r="F167" s="12" t="n">
        <x:f>E167/D167</x:f>
        <x:v>0.6794979079497908</x:v>
      </x:c>
      <x:c r="G167" s="12" t="n">
        <x:f>IF(SUMIFS($E$6:$E$557,$A$6:$A$557,A167,$B$6:$B$557,B167)=0,"n.a.",E167/SUMIFS($E$6:$E$557,$A$6:$A$557,A167,$B$6:$B$557,B167))</x:f>
        <x:v>0.0845041107295244</x:v>
      </x:c>
      <x:c r="H167" s="11" t="n">
        <x:v>2685196</x:v>
      </x:c>
    </x:row>
    <x:row r="168" ht="23" customHeight="1">
      <x:c r="A168" s="10" t="str">
        <x:v>M13</x:v>
      </x:c>
      <x:c r="B168" s="10" t="str">
        <x:v>N</x:v>
      </x:c>
      <x:c r="C168" s="10" t="str">
        <x:v>motors_gearmotors</x:v>
      </x:c>
      <x:c r="D168" s="11" t="n">
        <x:v>404</x:v>
      </x:c>
      <x:c r="E168" s="11" t="n">
        <x:v>222</x:v>
      </x:c>
      <x:c r="F168" s="12" t="n">
        <x:f>E168/D168</x:f>
        <x:v>0.5495049504950495</x:v>
      </x:c>
      <x:c r="G168" s="12" t="n">
        <x:f>IF(SUMIFS($E$6:$E$557,$A$6:$A$557,A168,$B$6:$B$557,B168)=0,"n.a.",E168/SUMIFS($E$6:$E$557,$A$6:$A$557,A168,$B$6:$B$557,B168))</x:f>
        <x:v>0.023103340618170466</x:v>
      </x:c>
      <x:c r="H168" s="11" t="n">
        <x:v>2095378</x:v>
      </x:c>
    </x:row>
    <x:row r="169" ht="23" customHeight="1">
      <x:c r="A169" s="10" t="str">
        <x:v>M13</x:v>
      </x:c>
      <x:c r="B169" s="10" t="str">
        <x:v>N</x:v>
      </x:c>
      <x:c r="C169" s="10" t="str">
        <x:v>nuts</x:v>
      </x:c>
      <x:c r="D169" s="11" t="n">
        <x:v>1282</x:v>
      </x:c>
      <x:c r="E169" s="11" t="n">
        <x:v>821</x:v>
      </x:c>
      <x:c r="F169" s="12" t="n">
        <x:f>E169/D169</x:f>
        <x:v>0.640405616224649</x:v>
      </x:c>
      <x:c r="G169" s="12" t="n">
        <x:f>IF(SUMIFS($E$6:$E$557,$A$6:$A$557,A169,$B$6:$B$557,B169)=0,"n.a.",E169/SUMIFS($E$6:$E$557,$A$6:$A$557,A169,$B$6:$B$557,B169))</x:f>
        <x:v>0.08544073264647727</x:v>
      </x:c>
      <x:c r="H169" s="11" t="n">
        <x:v>1025254</x:v>
      </x:c>
    </x:row>
    <x:row r="170" ht="23" customHeight="1">
      <x:c r="A170" s="10" t="str">
        <x:v>M13</x:v>
      </x:c>
      <x:c r="B170" s="10" t="str">
        <x:v>N</x:v>
      </x:c>
      <x:c r="C170" s="10" t="str">
        <x:v>pins_rivets_keys</x:v>
      </x:c>
      <x:c r="D170" s="11" t="n">
        <x:v>2392</x:v>
      </x:c>
      <x:c r="E170" s="11" t="n">
        <x:v>1928</x:v>
      </x:c>
      <x:c r="F170" s="12" t="n">
        <x:f>E170/D170</x:f>
        <x:v>0.8060200668896321</x:v>
      </x:c>
      <x:c r="G170" s="12" t="n">
        <x:f>IF(SUMIFS($E$6:$E$557,$A$6:$A$557,A170,$B$6:$B$557,B170)=0,"n.a.",E170/SUMIFS($E$6:$E$557,$A$6:$A$557,A170,$B$6:$B$557,B170))</x:f>
        <x:v>0.20064522843167865</x:v>
      </x:c>
      <x:c r="H170" s="11" t="n">
        <x:v>5407070</x:v>
      </x:c>
    </x:row>
    <x:row r="171" ht="23" customHeight="1">
      <x:c r="A171" s="10" t="str">
        <x:v>M13</x:v>
      </x:c>
      <x:c r="B171" s="10" t="str">
        <x:v>N</x:v>
      </x:c>
      <x:c r="C171" s="10" t="str">
        <x:v>pipe_fittings_valves_nozzles</x:v>
      </x:c>
      <x:c r="D171" s="11" t="n">
        <x:v>663</x:v>
      </x:c>
      <x:c r="E171" s="11" t="n">
        <x:v>626</x:v>
      </x:c>
      <x:c r="F171" s="12" t="n">
        <x:f>E171/D171</x:f>
        <x:v>0.9441930618401206</x:v>
      </x:c>
      <x:c r="G171" s="12" t="n">
        <x:f>IF(SUMIFS($E$6:$E$557,$A$6:$A$557,A171,$B$6:$B$557,B171)=0,"n.a.",E171/SUMIFS($E$6:$E$557,$A$6:$A$557,A171,$B$6:$B$557,B171))</x:f>
        <x:v>0.06514725777916537</x:v>
      </x:c>
      <x:c r="H171" s="11" t="n">
        <x:v>1880478</x:v>
      </x:c>
    </x:row>
    <x:row r="172" ht="23" customHeight="1">
      <x:c r="A172" s="10" t="str">
        <x:v>M13</x:v>
      </x:c>
      <x:c r="B172" s="10" t="str">
        <x:v>N</x:v>
      </x:c>
      <x:c r="C172" s="10" t="str">
        <x:v>plates_discs_shapes</x:v>
      </x:c>
      <x:c r="D172" s="11" t="n">
        <x:v>3452</x:v>
      </x:c>
      <x:c r="E172" s="11" t="n">
        <x:v>1088</x:v>
      </x:c>
      <x:c r="F172" s="12" t="n">
        <x:f>E172/D172</x:f>
        <x:v>0.31517960602549244</x:v>
      </x:c>
      <x:c r="G172" s="12" t="n">
        <x:f>IF(SUMIFS($E$6:$E$557,$A$6:$A$557,A172,$B$6:$B$557,B172)=0,"n.a.",E172/SUMIFS($E$6:$E$557,$A$6:$A$557,A172,$B$6:$B$557,B172))</x:f>
        <x:v>0.11322718284941201</x:v>
      </x:c>
      <x:c r="H172" s="11" t="n">
        <x:v>2061613</x:v>
      </x:c>
    </x:row>
    <x:row r="173" ht="23" customHeight="1">
      <x:c r="A173" s="10" t="str">
        <x:v>M13</x:v>
      </x:c>
      <x:c r="B173" s="10" t="str">
        <x:v>N</x:v>
      </x:c>
      <x:c r="C173" s="10" t="str">
        <x:v>rotating_fluid_machinery</x:v>
      </x:c>
      <x:c r="D173" s="11" t="n">
        <x:v>554</x:v>
      </x:c>
      <x:c r="E173" s="11" t="n">
        <x:v>519</x:v>
      </x:c>
      <x:c r="F173" s="12" t="n">
        <x:f>E173/D173</x:f>
        <x:v>0.9368231046931408</x:v>
      </x:c>
      <x:c r="G173" s="12" t="n">
        <x:f>IF(SUMIFS($E$6:$E$557,$A$6:$A$557,A173,$B$6:$B$557,B173)=0,"n.a.",E173/SUMIFS($E$6:$E$557,$A$6:$A$557,A173,$B$6:$B$557,B173))</x:f>
        <x:v>0.05401186387761474</x:v>
      </x:c>
      <x:c r="H173" s="11" t="n">
        <x:v>1631518</x:v>
      </x:c>
    </x:row>
    <x:row r="174" ht="23" customHeight="1">
      <x:c r="A174" s="10" t="str">
        <x:v>M13</x:v>
      </x:c>
      <x:c r="B174" s="10" t="str">
        <x:v>N</x:v>
      </x:c>
      <x:c r="C174" s="10" t="str">
        <x:v>screws_bolts_studs</x:v>
      </x:c>
      <x:c r="D174" s="11" t="n">
        <x:v>1295</x:v>
      </x:c>
      <x:c r="E174" s="11" t="n">
        <x:v>620</x:v>
      </x:c>
      <x:c r="F174" s="12" t="n">
        <x:f>E174/D174</x:f>
        <x:v>0.47876447876447875</x:v>
      </x:c>
      <x:c r="G174" s="12" t="n">
        <x:f>IF(SUMIFS($E$6:$E$557,$A$6:$A$557,A174,$B$6:$B$557,B174)=0,"n.a.",E174/SUMIFS($E$6:$E$557,$A$6:$A$557,A174,$B$6:$B$557,B174))</x:f>
        <x:v>0.06452284316786346</x:v>
      </x:c>
      <x:c r="H174" s="11" t="n">
        <x:v>1997306</x:v>
      </x:c>
    </x:row>
    <x:row r="175" ht="23" customHeight="1">
      <x:c r="A175" s="10" t="str">
        <x:v>M13</x:v>
      </x:c>
      <x:c r="B175" s="10" t="str">
        <x:v>N</x:v>
      </x:c>
      <x:c r="C175" s="10" t="str">
        <x:v>springs</x:v>
      </x:c>
      <x:c r="D175" s="11" t="n">
        <x:v>126</x:v>
      </x:c>
      <x:c r="E175" s="11" t="n">
        <x:v>80</x:v>
      </x:c>
      <x:c r="F175" s="12" t="n">
        <x:f>E175/D175</x:f>
        <x:v>0.6349206349206349</x:v>
      </x:c>
      <x:c r="G175" s="12" t="n">
        <x:f>IF(SUMIFS($E$6:$E$557,$A$6:$A$557,A175,$B$6:$B$557,B175)=0,"n.a.",E175/SUMIFS($E$6:$E$557,$A$6:$A$557,A175,$B$6:$B$557,B175))</x:f>
        <x:v>0.00832552815069206</x:v>
      </x:c>
      <x:c r="H175" s="11" t="n">
        <x:v>245140</x:v>
      </x:c>
    </x:row>
    <x:row r="176" ht="23" customHeight="1">
      <x:c r="A176" s="10" t="str">
        <x:v>M13</x:v>
      </x:c>
      <x:c r="B176" s="10" t="str">
        <x:v>N</x:v>
      </x:c>
      <x:c r="C176" s="10" t="str">
        <x:v>washers_rings_spacers</x:v>
      </x:c>
      <x:c r="D176" s="11" t="n">
        <x:v>834</x:v>
      </x:c>
      <x:c r="E176" s="11" t="n">
        <x:v>388</x:v>
      </x:c>
      <x:c r="F176" s="12" t="n">
        <x:f>E176/D176</x:f>
        <x:v>0.46522781774580335</x:v>
      </x:c>
      <x:c r="G176" s="12" t="n">
        <x:f>IF(SUMIFS($E$6:$E$557,$A$6:$A$557,A176,$B$6:$B$557,B176)=0,"n.a.",E176/SUMIFS($E$6:$E$557,$A$6:$A$557,A176,$B$6:$B$557,B176))</x:f>
        <x:v>0.04037881153085649</x:v>
      </x:c>
      <x:c r="H176" s="11" t="n">
        <x:v>1448640</x:v>
      </x:c>
    </x:row>
    <x:row r="177" ht="23" customHeight="1">
      <x:c r="A177" s="10" t="str">
        <x:v>M13</x:v>
      </x:c>
      <x:c r="B177" s="10" t="str">
        <x:v>N</x:v>
      </x:c>
      <x:c r="C177" s="10" t="str">
        <x:v>wheels_castors</x:v>
      </x:c>
      <x:c r="D177" s="11" t="n">
        <x:v>594</x:v>
      </x:c>
      <x:c r="E177" s="11" t="n">
        <x:v>246</x:v>
      </x:c>
      <x:c r="F177" s="12" t="n">
        <x:f>E177/D177</x:f>
        <x:v>0.41414141414141414</x:v>
      </x:c>
      <x:c r="G177" s="12" t="n">
        <x:f>IF(SUMIFS($E$6:$E$557,$A$6:$A$557,A177,$B$6:$B$557,B177)=0,"n.a.",E177/SUMIFS($E$6:$E$557,$A$6:$A$557,A177,$B$6:$B$557,B177))</x:f>
        <x:v>0.025600999063378083</x:v>
      </x:c>
      <x:c r="H177" s="11" t="n">
        <x:v>1597010</x:v>
      </x:c>
    </x:row>
    <x:row r="178" ht="23" customHeight="1">
      <x:c r="A178" s="10" t="str">
        <x:v>M13</x:v>
      </x:c>
      <x:c r="B178" s="10" t="str">
        <x:v>C</x:v>
      </x:c>
      <x:c r="C178" s="10" t="str">
        <x:v>aluminum_extrusion</x:v>
      </x:c>
      <x:c r="D178" s="11" t="n">
        <x:v>181</x:v>
      </x:c>
      <x:c r="E178" s="11" t="n">
        <x:v>181</x:v>
      </x:c>
      <x:c r="F178" s="12" t="n">
        <x:f>E178/D178</x:f>
        <x:v>1</x:v>
      </x:c>
      <x:c r="G178" s="12" t="n">
        <x:f>IF(SUMIFS($E$6:$E$557,$A$6:$A$557,A178,$B$6:$B$557,B178)=0,"n.a.",E178/SUMIFS($E$6:$E$557,$A$6:$A$557,A178,$B$6:$B$557,B178))</x:f>
        <x:v>0.015910689170182842</x:v>
      </x:c>
      <x:c r="H178" s="11" t="n">
        <x:v>259056</x:v>
      </x:c>
    </x:row>
    <x:row r="179" ht="23" customHeight="1">
      <x:c r="A179" s="10" t="str">
        <x:v>M13</x:v>
      </x:c>
      <x:c r="B179" s="10" t="str">
        <x:v>C</x:v>
      </x:c>
      <x:c r="C179" s="10" t="str">
        <x:v>camera_lens</x:v>
      </x:c>
      <x:c r="D179" s="11" t="n">
        <x:v>12</x:v>
      </x:c>
      <x:c r="E179" s="11" t="n">
        <x:v>12</x:v>
      </x:c>
      <x:c r="F179" s="12" t="n">
        <x:f>E179/D179</x:f>
        <x:v>1</x:v>
      </x:c>
      <x:c r="G179" s="12" t="n">
        <x:f>IF(SUMIFS($E$6:$E$557,$A$6:$A$557,A179,$B$6:$B$557,B179)=0,"n.a.",E179/SUMIFS($E$6:$E$557,$A$6:$A$557,A179,$B$6:$B$557,B179))</x:f>
        <x:v>0.0010548523206751054</x:v>
      </x:c>
      <x:c r="H179" s="11" t="n">
        <x:v>68212</x:v>
      </x:c>
    </x:row>
    <x:row r="180" ht="23" customHeight="1">
      <x:c r="A180" s="10" t="str">
        <x:v>M13</x:v>
      </x:c>
      <x:c r="B180" s="10" t="str">
        <x:v>C</x:v>
      </x:c>
      <x:c r="C180" s="10" t="str">
        <x:v>cap_nut</x:v>
      </x:c>
      <x:c r="D180" s="11" t="n">
        <x:v>891</x:v>
      </x:c>
      <x:c r="E180" s="11" t="n">
        <x:v>727</x:v>
      </x:c>
      <x:c r="F180" s="12" t="n">
        <x:f>E180/D180</x:f>
        <x:v>0.8159371492704826</x:v>
      </x:c>
      <x:c r="G180" s="12" t="n">
        <x:f>IF(SUMIFS($E$6:$E$557,$A$6:$A$557,A180,$B$6:$B$557,B180)=0,"n.a.",E180/SUMIFS($E$6:$E$557,$A$6:$A$557,A180,$B$6:$B$557,B180))</x:f>
        <x:v>0.06390646976090014</x:v>
      </x:c>
      <x:c r="H180" s="11" t="n">
        <x:v>2787998</x:v>
      </x:c>
    </x:row>
    <x:row r="181" ht="23" customHeight="1">
      <x:c r="A181" s="10" t="str">
        <x:v>M13</x:v>
      </x:c>
      <x:c r="B181" s="10" t="str">
        <x:v>C</x:v>
      </x:c>
      <x:c r="C181" s="10" t="str">
        <x:v>coil_spring</x:v>
      </x:c>
      <x:c r="D181" s="11" t="n">
        <x:v>8</x:v>
      </x:c>
      <x:c r="E181" s="11" t="n">
        <x:v>8</x:v>
      </x:c>
      <x:c r="F181" s="12" t="n">
        <x:f>E181/D181</x:f>
        <x:v>1</x:v>
      </x:c>
      <x:c r="G181" s="12" t="n">
        <x:f>IF(SUMIFS($E$6:$E$557,$A$6:$A$557,A181,$B$6:$B$557,B181)=0,"n.a.",E181/SUMIFS($E$6:$E$557,$A$6:$A$557,A181,$B$6:$B$557,B181))</x:f>
        <x:v>0.0007032348804500703</x:v>
      </x:c>
      <x:c r="H181" s="11" t="n">
        <x:v>163680</x:v>
      </x:c>
    </x:row>
    <x:row r="182" ht="23" customHeight="1">
      <x:c r="A182" s="10" t="str">
        <x:v>M13</x:v>
      </x:c>
      <x:c r="B182" s="10" t="str">
        <x:v>C</x:v>
      </x:c>
      <x:c r="C182" s="10" t="str">
        <x:v>die_block</x:v>
      </x:c>
      <x:c r="D182" s="11" t="n">
        <x:v>335</x:v>
      </x:c>
      <x:c r="E182" s="11" t="n">
        <x:v>335</x:v>
      </x:c>
      <x:c r="F182" s="12" t="n">
        <x:f>E182/D182</x:f>
        <x:v>1</x:v>
      </x:c>
      <x:c r="G182" s="12" t="n">
        <x:f>IF(SUMIFS($E$6:$E$557,$A$6:$A$557,A182,$B$6:$B$557,B182)=0,"n.a.",E182/SUMIFS($E$6:$E$557,$A$6:$A$557,A182,$B$6:$B$557,B182))</x:f>
        <x:v>0.029447960618846695</x:v>
      </x:c>
      <x:c r="H182" s="11" t="n">
        <x:v>527054</x:v>
      </x:c>
    </x:row>
    <x:row r="183" ht="23" customHeight="1">
      <x:c r="A183" s="10" t="str">
        <x:v>M13</x:v>
      </x:c>
      <x:c r="B183" s="10" t="str">
        <x:v>C</x:v>
      </x:c>
      <x:c r="C183" s="10" t="str">
        <x:v>dowel_pin</x:v>
      </x:c>
      <x:c r="D183" s="11" t="n">
        <x:v>3547</x:v>
      </x:c>
      <x:c r="E183" s="11" t="n">
        <x:v>539</x:v>
      </x:c>
      <x:c r="F183" s="12" t="n">
        <x:f>E183/D183</x:f>
        <x:v>0.1519594023118128</x:v>
      </x:c>
      <x:c r="G183" s="12" t="n">
        <x:f>IF(SUMIFS($E$6:$E$557,$A$6:$A$557,A183,$B$6:$B$557,B183)=0,"n.a.",E183/SUMIFS($E$6:$E$557,$A$6:$A$557,A183,$B$6:$B$557,B183))</x:f>
        <x:v>0.04738045007032349</x:v>
      </x:c>
      <x:c r="H183" s="11" t="n">
        <x:v>1491632</x:v>
      </x:c>
    </x:row>
    <x:row r="184" ht="23" customHeight="1">
      <x:c r="A184" s="10" t="str">
        <x:v>M13</x:v>
      </x:c>
      <x:c r="B184" s="10" t="str">
        <x:v>C</x:v>
      </x:c>
      <x:c r="C184" s="10" t="str">
        <x:v>feature_plate</x:v>
      </x:c>
      <x:c r="D184" s="11" t="n">
        <x:v>172</x:v>
      </x:c>
      <x:c r="E184" s="11" t="n">
        <x:v>172</x:v>
      </x:c>
      <x:c r="F184" s="12" t="n">
        <x:f>E184/D184</x:f>
        <x:v>1</x:v>
      </x:c>
      <x:c r="G184" s="12" t="n">
        <x:f>IF(SUMIFS($E$6:$E$557,$A$6:$A$557,A184,$B$6:$B$557,B184)=0,"n.a.",E184/SUMIFS($E$6:$E$557,$A$6:$A$557,A184,$B$6:$B$557,B184))</x:f>
        <x:v>0.015119549929676512</x:v>
      </x:c>
      <x:c r="H184" s="11" t="n">
        <x:v>1102412</x:v>
      </x:c>
    </x:row>
    <x:row r="185" ht="23" customHeight="1">
      <x:c r="A185" s="10" t="str">
        <x:v>M13</x:v>
      </x:c>
      <x:c r="B185" s="10" t="str">
        <x:v>C</x:v>
      </x:c>
      <x:c r="C185" s="10" t="str">
        <x:v>flat_washer</x:v>
      </x:c>
      <x:c r="D185" s="11" t="n">
        <x:v>914</x:v>
      </x:c>
      <x:c r="E185" s="11" t="n">
        <x:v>888</x:v>
      </x:c>
      <x:c r="F185" s="12" t="n">
        <x:f>E185/D185</x:f>
        <x:v>0.9715536105032823</x:v>
      </x:c>
      <x:c r="G185" s="12" t="n">
        <x:f>IF(SUMIFS($E$6:$E$557,$A$6:$A$557,A185,$B$6:$B$557,B185)=0,"n.a.",E185/SUMIFS($E$6:$E$557,$A$6:$A$557,A185,$B$6:$B$557,B185))</x:f>
        <x:v>0.07805907172995781</x:v>
      </x:c>
      <x:c r="H185" s="11" t="n">
        <x:v>3515504</x:v>
      </x:c>
    </x:row>
    <x:row r="186" ht="23" customHeight="1">
      <x:c r="A186" s="10" t="str">
        <x:v>M13</x:v>
      </x:c>
      <x:c r="B186" s="10" t="str">
        <x:v>C</x:v>
      </x:c>
      <x:c r="C186" s="10" t="str">
        <x:v>flexible_hose</x:v>
      </x:c>
      <x:c r="D186" s="11" t="n">
        <x:v>18</x:v>
      </x:c>
      <x:c r="E186" s="11" t="n">
        <x:v>18</x:v>
      </x:c>
      <x:c r="F186" s="12" t="n">
        <x:f>E186/D186</x:f>
        <x:v>1</x:v>
      </x:c>
      <x:c r="G186" s="12" t="n">
        <x:f>IF(SUMIFS($E$6:$E$557,$A$6:$A$557,A186,$B$6:$B$557,B186)=0,"n.a.",E186/SUMIFS($E$6:$E$557,$A$6:$A$557,A186,$B$6:$B$557,B186))</x:f>
        <x:v>0.0015822784810126582</x:v>
      </x:c>
      <x:c r="H186" s="11" t="n">
        <x:v>86346</x:v>
      </x:c>
    </x:row>
    <x:row r="187" ht="23" customHeight="1">
      <x:c r="A187" s="10" t="str">
        <x:v>M13</x:v>
      </x:c>
      <x:c r="B187" s="10" t="str">
        <x:v>C</x:v>
      </x:c>
      <x:c r="C187" s="10" t="str">
        <x:v>frame_beam</x:v>
      </x:c>
      <x:c r="D187" s="11" t="n">
        <x:v>20</x:v>
      </x:c>
      <x:c r="E187" s="11" t="n">
        <x:v>20</x:v>
      </x:c>
      <x:c r="F187" s="12" t="n">
        <x:f>E187/D187</x:f>
        <x:v>1</x:v>
      </x:c>
      <x:c r="G187" s="12" t="n">
        <x:f>IF(SUMIFS($E$6:$E$557,$A$6:$A$557,A187,$B$6:$B$557,B187)=0,"n.a.",E187/SUMIFS($E$6:$E$557,$A$6:$A$557,A187,$B$6:$B$557,B187))</x:f>
        <x:v>0.0017580872011251757</x:v>
      </x:c>
      <x:c r="H187" s="11" t="n">
        <x:v>186618</x:v>
      </x:c>
    </x:row>
    <x:row r="188" ht="23" customHeight="1">
      <x:c r="A188" s="10" t="str">
        <x:v>M13</x:v>
      </x:c>
      <x:c r="B188" s="10" t="str">
        <x:v>C</x:v>
      </x:c>
      <x:c r="C188" s="10" t="str">
        <x:v>hex_bolt</x:v>
      </x:c>
      <x:c r="D188" s="11" t="n">
        <x:v>7</x:v>
      </x:c>
      <x:c r="E188" s="11" t="n">
        <x:v>6</x:v>
      </x:c>
      <x:c r="F188" s="12" t="n">
        <x:f>E188/D188</x:f>
        <x:v>0.8571428571428571</x:v>
      </x:c>
      <x:c r="G188" s="12" t="n">
        <x:f>IF(SUMIFS($E$6:$E$557,$A$6:$A$557,A188,$B$6:$B$557,B188)=0,"n.a.",E188/SUMIFS($E$6:$E$557,$A$6:$A$557,A188,$B$6:$B$557,B188))</x:f>
        <x:v>0.0005274261603375527</x:v>
      </x:c>
      <x:c r="H188" s="11" t="n">
        <x:v>6050</x:v>
      </x:c>
    </x:row>
    <x:row r="189" ht="23" customHeight="1">
      <x:c r="A189" s="10" t="str">
        <x:v>M13</x:v>
      </x:c>
      <x:c r="B189" s="10" t="str">
        <x:v>C</x:v>
      </x:c>
      <x:c r="C189" s="10" t="str">
        <x:v>hex_nut</x:v>
      </x:c>
      <x:c r="D189" s="11" t="n">
        <x:v>697</x:v>
      </x:c>
      <x:c r="E189" s="11" t="n">
        <x:v>412</x:v>
      </x:c>
      <x:c r="F189" s="12" t="n">
        <x:f>E189/D189</x:f>
        <x:v>0.5911047345767575</x:v>
      </x:c>
      <x:c r="G189" s="12" t="n">
        <x:f>IF(SUMIFS($E$6:$E$557,$A$6:$A$557,A189,$B$6:$B$557,B189)=0,"n.a.",E189/SUMIFS($E$6:$E$557,$A$6:$A$557,A189,$B$6:$B$557,B189))</x:f>
        <x:v>0.03621659634317862</x:v>
      </x:c>
      <x:c r="H189" s="11" t="n">
        <x:v>1618048</x:v>
      </x:c>
    </x:row>
    <x:row r="190" ht="23" customHeight="1">
      <x:c r="A190" s="10" t="str">
        <x:v>M13</x:v>
      </x:c>
      <x:c r="B190" s="10" t="str">
        <x:v>C</x:v>
      </x:c>
      <x:c r="C190" s="10" t="str">
        <x:v>lead_screw</x:v>
      </x:c>
      <x:c r="D190" s="11" t="n">
        <x:v>25</x:v>
      </x:c>
      <x:c r="E190" s="11" t="n">
        <x:v>25</x:v>
      </x:c>
      <x:c r="F190" s="12" t="n">
        <x:f>E190/D190</x:f>
        <x:v>1</x:v>
      </x:c>
      <x:c r="G190" s="12" t="n">
        <x:f>IF(SUMIFS($E$6:$E$557,$A$6:$A$557,A190,$B$6:$B$557,B190)=0,"n.a.",E190/SUMIFS($E$6:$E$557,$A$6:$A$557,A190,$B$6:$B$557,B190))</x:f>
        <x:v>0.0021976090014064697</x:v>
      </x:c>
      <x:c r="H190" s="11" t="n">
        <x:v>623520</x:v>
      </x:c>
    </x:row>
    <x:row r="191" ht="23" customHeight="1">
      <x:c r="A191" s="10" t="str">
        <x:v>M13</x:v>
      </x:c>
      <x:c r="B191" s="10" t="str">
        <x:v>C</x:v>
      </x:c>
      <x:c r="C191" s="10" t="str">
        <x:v>machine_base</x:v>
      </x:c>
      <x:c r="D191" s="11" t="n">
        <x:v>1</x:v>
      </x:c>
      <x:c r="E191" s="11" t="n">
        <x:v>1</x:v>
      </x:c>
      <x:c r="F191" s="12" t="n">
        <x:f>E191/D191</x:f>
        <x:v>1</x:v>
      </x:c>
      <x:c r="G191" s="12" t="n">
        <x:f>IF(SUMIFS($E$6:$E$557,$A$6:$A$557,A191,$B$6:$B$557,B191)=0,"n.a.",E191/SUMIFS($E$6:$E$557,$A$6:$A$557,A191,$B$6:$B$557,B191))</x:f>
        <x:v>0.00008790436005625879</x:v>
      </x:c>
      <x:c r="H191" s="11" t="n">
        <x:v>128</x:v>
      </x:c>
    </x:row>
    <x:row r="192" ht="23" customHeight="1">
      <x:c r="A192" s="10" t="str">
        <x:v>M13</x:v>
      </x:c>
      <x:c r="B192" s="10" t="str">
        <x:v>C</x:v>
      </x:c>
      <x:c r="C192" s="10" t="str">
        <x:v>mounting_bracket</x:v>
      </x:c>
      <x:c r="D192" s="11" t="n">
        <x:v>70</x:v>
      </x:c>
      <x:c r="E192" s="11" t="n">
        <x:v>70</x:v>
      </x:c>
      <x:c r="F192" s="12" t="n">
        <x:f>E192/D192</x:f>
        <x:v>1</x:v>
      </x:c>
      <x:c r="G192" s="12" t="n">
        <x:f>IF(SUMIFS($E$6:$E$557,$A$6:$A$557,A192,$B$6:$B$557,B192)=0,"n.a.",E192/SUMIFS($E$6:$E$557,$A$6:$A$557,A192,$B$6:$B$557,B192))</x:f>
        <x:v>0.006153305203938115</x:v>
      </x:c>
      <x:c r="H192" s="11" t="n">
        <x:v>81680</x:v>
      </x:c>
    </x:row>
    <x:row r="193" ht="23" customHeight="1">
      <x:c r="A193" s="10" t="str">
        <x:v>M13</x:v>
      </x:c>
      <x:c r="B193" s="10" t="str">
        <x:v>C</x:v>
      </x:c>
      <x:c r="C193" s="10" t="str">
        <x:v>mounting_plate</x:v>
      </x:c>
      <x:c r="D193" s="11" t="n">
        <x:v>530</x:v>
      </x:c>
      <x:c r="E193" s="11" t="n">
        <x:v>530</x:v>
      </x:c>
      <x:c r="F193" s="12" t="n">
        <x:f>E193/D193</x:f>
        <x:v>1</x:v>
      </x:c>
      <x:c r="G193" s="12" t="n">
        <x:f>IF(SUMIFS($E$6:$E$557,$A$6:$A$557,A193,$B$6:$B$557,B193)=0,"n.a.",E193/SUMIFS($E$6:$E$557,$A$6:$A$557,A193,$B$6:$B$557,B193))</x:f>
        <x:v>0.04658931082981716</x:v>
      </x:c>
      <x:c r="H193" s="11" t="n">
        <x:v>2135730</x:v>
      </x:c>
    </x:row>
    <x:row r="194" ht="23" customHeight="1">
      <x:c r="A194" s="10" t="str">
        <x:v>M13</x:v>
      </x:c>
      <x:c r="B194" s="10" t="str">
        <x:v>C</x:v>
      </x:c>
      <x:c r="C194" s="10" t="str">
        <x:v>nozzle</x:v>
      </x:c>
      <x:c r="D194" s="11" t="n">
        <x:v>183</x:v>
      </x:c>
      <x:c r="E194" s="11" t="n">
        <x:v>180</x:v>
      </x:c>
      <x:c r="F194" s="12" t="n">
        <x:f>E194/D194</x:f>
        <x:v>0.9836065573770492</x:v>
      </x:c>
      <x:c r="G194" s="12" t="n">
        <x:f>IF(SUMIFS($E$6:$E$557,$A$6:$A$557,A194,$B$6:$B$557,B194)=0,"n.a.",E194/SUMIFS($E$6:$E$557,$A$6:$A$557,A194,$B$6:$B$557,B194))</x:f>
        <x:v>0.015822784810126583</x:v>
      </x:c>
      <x:c r="H194" s="11" t="n">
        <x:v>737582</x:v>
      </x:c>
    </x:row>
    <x:row r="195" ht="23" customHeight="1">
      <x:c r="A195" s="10" t="str">
        <x:v>M13</x:v>
      </x:c>
      <x:c r="B195" s="10" t="str">
        <x:v>C</x:v>
      </x:c>
      <x:c r="C195" s="10" t="str">
        <x:v>pipe_fitting</x:v>
      </x:c>
      <x:c r="D195" s="11" t="n">
        <x:v>1</x:v>
      </x:c>
      <x:c r="E195" s="11" t="n">
        <x:v>1</x:v>
      </x:c>
      <x:c r="F195" s="12" t="n">
        <x:f>E195/D195</x:f>
        <x:v>1</x:v>
      </x:c>
      <x:c r="G195" s="12" t="n">
        <x:f>IF(SUMIFS($E$6:$E$557,$A$6:$A$557,A195,$B$6:$B$557,B195)=0,"n.a.",E195/SUMIFS($E$6:$E$557,$A$6:$A$557,A195,$B$6:$B$557,B195))</x:f>
        <x:v>0.00008790436005625879</x:v>
      </x:c>
      <x:c r="H195" s="11" t="n">
        <x:v>4504</x:v>
      </x:c>
    </x:row>
    <x:row r="196" ht="23" customHeight="1">
      <x:c r="A196" s="10" t="str">
        <x:v>M13</x:v>
      </x:c>
      <x:c r="B196" s="10" t="str">
        <x:v>C</x:v>
      </x:c>
      <x:c r="C196" s="10" t="str">
        <x:v>plain_block</x:v>
      </x:c>
      <x:c r="D196" s="11" t="n">
        <x:v>3199</x:v>
      </x:c>
      <x:c r="E196" s="11" t="n">
        <x:v>3199</x:v>
      </x:c>
      <x:c r="F196" s="12" t="n">
        <x:f>E196/D196</x:f>
        <x:v>1</x:v>
      </x:c>
      <x:c r="G196" s="12" t="n">
        <x:f>IF(SUMIFS($E$6:$E$557,$A$6:$A$557,A196,$B$6:$B$557,B196)=0,"n.a.",E196/SUMIFS($E$6:$E$557,$A$6:$A$557,A196,$B$6:$B$557,B196))</x:f>
        <x:v>0.2812060478199719</x:v>
      </x:c>
      <x:c r="H196" s="11" t="n">
        <x:v>14233329</x:v>
      </x:c>
    </x:row>
    <x:row r="197" ht="23" customHeight="1">
      <x:c r="A197" s="10" t="str">
        <x:v>M13</x:v>
      </x:c>
      <x:c r="B197" s="10" t="str">
        <x:v>C</x:v>
      </x:c>
      <x:c r="C197" s="10" t="str">
        <x:v>plain_shaft</x:v>
      </x:c>
      <x:c r="D197" s="11" t="n">
        <x:v>84</x:v>
      </x:c>
      <x:c r="E197" s="11" t="n">
        <x:v>84</x:v>
      </x:c>
      <x:c r="F197" s="12" t="n">
        <x:f>E197/D197</x:f>
        <x:v>1</x:v>
      </x:c>
      <x:c r="G197" s="12" t="n">
        <x:f>IF(SUMIFS($E$6:$E$557,$A$6:$A$557,A197,$B$6:$B$557,B197)=0,"n.a.",E197/SUMIFS($E$6:$E$557,$A$6:$A$557,A197,$B$6:$B$557,B197))</x:f>
        <x:v>0.007383966244725738</x:v>
      </x:c>
      <x:c r="H197" s="11" t="n">
        <x:v>95570</x:v>
      </x:c>
    </x:row>
    <x:row r="198" ht="23" customHeight="1">
      <x:c r="A198" s="10" t="str">
        <x:v>M13</x:v>
      </x:c>
      <x:c r="B198" s="10" t="str">
        <x:v>C</x:v>
      </x:c>
      <x:c r="C198" s="10" t="str">
        <x:v>proximity_sensor</x:v>
      </x:c>
      <x:c r="D198" s="11" t="n">
        <x:v>10</x:v>
      </x:c>
      <x:c r="E198" s="11" t="n">
        <x:v>10</x:v>
      </x:c>
      <x:c r="F198" s="12" t="n">
        <x:f>E198/D198</x:f>
        <x:v>1</x:v>
      </x:c>
      <x:c r="G198" s="12" t="n">
        <x:f>IF(SUMIFS($E$6:$E$557,$A$6:$A$557,A198,$B$6:$B$557,B198)=0,"n.a.",E198/SUMIFS($E$6:$E$557,$A$6:$A$557,A198,$B$6:$B$557,B198))</x:f>
        <x:v>0.0008790436005625879</x:v>
      </x:c>
      <x:c r="H198" s="11" t="n">
        <x:v>1236</x:v>
      </x:c>
    </x:row>
    <x:row r="199" ht="23" customHeight="1">
      <x:c r="A199" s="10" t="str">
        <x:v>M13</x:v>
      </x:c>
      <x:c r="B199" s="10" t="str">
        <x:v>C</x:v>
      </x:c>
      <x:c r="C199" s="10" t="str">
        <x:v>punch_tool</x:v>
      </x:c>
      <x:c r="D199" s="11" t="n">
        <x:v>183</x:v>
      </x:c>
      <x:c r="E199" s="11" t="n">
        <x:v>183</x:v>
      </x:c>
      <x:c r="F199" s="12" t="n">
        <x:f>E199/D199</x:f>
        <x:v>1</x:v>
      </x:c>
      <x:c r="G199" s="12" t="n">
        <x:f>IF(SUMIFS($E$6:$E$557,$A$6:$A$557,A199,$B$6:$B$557,B199)=0,"n.a.",E199/SUMIFS($E$6:$E$557,$A$6:$A$557,A199,$B$6:$B$557,B199))</x:f>
        <x:v>0.01608649789029536</x:v>
      </x:c>
      <x:c r="H199" s="11" t="n">
        <x:v>327765</x:v>
      </x:c>
    </x:row>
    <x:row r="200" ht="23" customHeight="1">
      <x:c r="A200" s="10" t="str">
        <x:v>M13</x:v>
      </x:c>
      <x:c r="B200" s="10" t="str">
        <x:v>C</x:v>
      </x:c>
      <x:c r="C200" s="10" t="str">
        <x:v>retaining_ring</x:v>
      </x:c>
      <x:c r="D200" s="11" t="n">
        <x:v>497</x:v>
      </x:c>
      <x:c r="E200" s="11" t="n">
        <x:v>465</x:v>
      </x:c>
      <x:c r="F200" s="12" t="n">
        <x:f>E200/D200</x:f>
        <x:v>0.9356136820925554</x:v>
      </x:c>
      <x:c r="G200" s="12" t="n">
        <x:f>IF(SUMIFS($E$6:$E$557,$A$6:$A$557,A200,$B$6:$B$557,B200)=0,"n.a.",E200/SUMIFS($E$6:$E$557,$A$6:$A$557,A200,$B$6:$B$557,B200))</x:f>
        <x:v>0.04087552742616034</x:v>
      </x:c>
      <x:c r="H200" s="11" t="n">
        <x:v>581806</x:v>
      </x:c>
    </x:row>
    <x:row r="201" ht="23" customHeight="1">
      <x:c r="A201" s="10" t="str">
        <x:v>M13</x:v>
      </x:c>
      <x:c r="B201" s="10" t="str">
        <x:v>C</x:v>
      </x:c>
      <x:c r="C201" s="10" t="str">
        <x:v>seal_ring</x:v>
      </x:c>
      <x:c r="D201" s="11" t="n">
        <x:v>30</x:v>
      </x:c>
      <x:c r="E201" s="11" t="n">
        <x:v>29</x:v>
      </x:c>
      <x:c r="F201" s="12" t="n">
        <x:f>E201/D201</x:f>
        <x:v>0.9666666666666667</x:v>
      </x:c>
      <x:c r="G201" s="12" t="n">
        <x:f>IF(SUMIFS($E$6:$E$557,$A$6:$A$557,A201,$B$6:$B$557,B201)=0,"n.a.",E201/SUMIFS($E$6:$E$557,$A$6:$A$557,A201,$B$6:$B$557,B201))</x:f>
        <x:v>0.0025492264416315047</x:v>
      </x:c>
      <x:c r="H201" s="11" t="n">
        <x:v>47064</x:v>
      </x:c>
    </x:row>
    <x:row r="202" ht="23" customHeight="1">
      <x:c r="A202" s="10" t="str">
        <x:v>M13</x:v>
      </x:c>
      <x:c r="B202" s="10" t="str">
        <x:v>C</x:v>
      </x:c>
      <x:c r="C202" s="10" t="str">
        <x:v>shaft_key</x:v>
      </x:c>
      <x:c r="D202" s="11" t="n">
        <x:v>2979</x:v>
      </x:c>
      <x:c r="E202" s="11" t="n">
        <x:v>1962</x:v>
      </x:c>
      <x:c r="F202" s="12" t="n">
        <x:f>E202/D202</x:f>
        <x:v>0.6586102719033232</x:v>
      </x:c>
      <x:c r="G202" s="12" t="n">
        <x:f>IF(SUMIFS($E$6:$E$557,$A$6:$A$557,A202,$B$6:$B$557,B202)=0,"n.a.",E202/SUMIFS($E$6:$E$557,$A$6:$A$557,A202,$B$6:$B$557,B202))</x:f>
        <x:v>0.17246835443037975</x:v>
      </x:c>
      <x:c r="H202" s="11" t="n">
        <x:v>6635991</x:v>
      </x:c>
    </x:row>
    <x:row r="203" ht="23" customHeight="1">
      <x:c r="A203" s="10" t="str">
        <x:v>M13</x:v>
      </x:c>
      <x:c r="B203" s="10" t="str">
        <x:v>C</x:v>
      </x:c>
      <x:c r="C203" s="10" t="str">
        <x:v>slotted_nut</x:v>
      </x:c>
      <x:c r="D203" s="11" t="n">
        <x:v>266</x:v>
      </x:c>
      <x:c r="E203" s="11" t="n">
        <x:v>263</x:v>
      </x:c>
      <x:c r="F203" s="12" t="n">
        <x:f>E203/D203</x:f>
        <x:v>0.9887218045112782</x:v>
      </x:c>
      <x:c r="G203" s="12" t="n">
        <x:f>IF(SUMIFS($E$6:$E$557,$A$6:$A$557,A203,$B$6:$B$557,B203)=0,"n.a.",E203/SUMIFS($E$6:$E$557,$A$6:$A$557,A203,$B$6:$B$557,B203))</x:f>
        <x:v>0.023118846694796063</x:v>
      </x:c>
      <x:c r="H203" s="11" t="n">
        <x:v>586040</x:v>
      </x:c>
    </x:row>
    <x:row r="204" ht="23" customHeight="1">
      <x:c r="A204" s="10" t="str">
        <x:v>M13</x:v>
      </x:c>
      <x:c r="B204" s="10" t="str">
        <x:v>C</x:v>
      </x:c>
      <x:c r="C204" s="10" t="str">
        <x:v>socket_screw</x:v>
      </x:c>
      <x:c r="D204" s="11" t="n">
        <x:v>5</x:v>
      </x:c>
      <x:c r="E204" s="11" t="n">
        <x:v>5</x:v>
      </x:c>
      <x:c r="F204" s="12" t="n">
        <x:f>E204/D204</x:f>
        <x:v>1</x:v>
      </x:c>
      <x:c r="G204" s="12" t="n">
        <x:f>IF(SUMIFS($E$6:$E$557,$A$6:$A$557,A204,$B$6:$B$557,B204)=0,"n.a.",E204/SUMIFS($E$6:$E$557,$A$6:$A$557,A204,$B$6:$B$557,B204))</x:f>
        <x:v>0.00043952180028129393</x:v>
      </x:c>
      <x:c r="H204" s="11" t="n">
        <x:v>40954</x:v>
      </x:c>
    </x:row>
    <x:row r="205" ht="23" customHeight="1">
      <x:c r="A205" s="10" t="str">
        <x:v>M13</x:v>
      </x:c>
      <x:c r="B205" s="10" t="str">
        <x:v>C</x:v>
      </x:c>
      <x:c r="C205" s="10" t="str">
        <x:v>sprocket</x:v>
      </x:c>
      <x:c r="D205" s="11" t="n">
        <x:v>425</x:v>
      </x:c>
      <x:c r="E205" s="11" t="n">
        <x:v>425</x:v>
      </x:c>
      <x:c r="F205" s="12" t="n">
        <x:f>E205/D205</x:f>
        <x:v>1</x:v>
      </x:c>
      <x:c r="G205" s="12" t="n">
        <x:f>IF(SUMIFS($E$6:$E$557,$A$6:$A$557,A205,$B$6:$B$557,B205)=0,"n.a.",E205/SUMIFS($E$6:$E$557,$A$6:$A$557,A205,$B$6:$B$557,B205))</x:f>
        <x:v>0.03735935302390998</x:v>
      </x:c>
      <x:c r="H205" s="11" t="n">
        <x:v>2874352</x:v>
      </x:c>
    </x:row>
    <x:row r="206" ht="23" customHeight="1">
      <x:c r="A206" s="10" t="str">
        <x:v>M13</x:v>
      </x:c>
      <x:c r="B206" s="10" t="str">
        <x:v>C</x:v>
      </x:c>
      <x:c r="C206" s="10" t="str">
        <x:v>suction_cup</x:v>
      </x:c>
      <x:c r="D206" s="11" t="n">
        <x:v>21</x:v>
      </x:c>
      <x:c r="E206" s="11" t="n">
        <x:v>19</x:v>
      </x:c>
      <x:c r="F206" s="12" t="n">
        <x:f>E206/D206</x:f>
        <x:v>0.9047619047619048</x:v>
      </x:c>
      <x:c r="G206" s="12" t="n">
        <x:f>IF(SUMIFS($E$6:$E$557,$A$6:$A$557,A206,$B$6:$B$557,B206)=0,"n.a.",E206/SUMIFS($E$6:$E$557,$A$6:$A$557,A206,$B$6:$B$557,B206))</x:f>
        <x:v>0.001670182841068917</x:v>
      </x:c>
      <x:c r="H206" s="11" t="n">
        <x:v>111730</x:v>
      </x:c>
    </x:row>
    <x:row r="207" ht="23" customHeight="1">
      <x:c r="A207" s="10" t="str">
        <x:v>M13</x:v>
      </x:c>
      <x:c r="B207" s="10" t="str">
        <x:v>C</x:v>
      </x:c>
      <x:c r="C207" s="10" t="str">
        <x:v>threaded_stud</x:v>
      </x:c>
      <x:c r="D207" s="11" t="n">
        <x:v>657</x:v>
      </x:c>
      <x:c r="E207" s="11" t="n">
        <x:v>607</x:v>
      </x:c>
      <x:c r="F207" s="12" t="n">
        <x:f>E207/D207</x:f>
        <x:v>0.923896499238965</x:v>
      </x:c>
      <x:c r="G207" s="12" t="n">
        <x:f>IF(SUMIFS($E$6:$E$557,$A$6:$A$557,A207,$B$6:$B$557,B207)=0,"n.a.",E207/SUMIFS($E$6:$E$557,$A$6:$A$557,A207,$B$6:$B$557,B207))</x:f>
        <x:v>0.053357946554149084</x:v>
      </x:c>
      <x:c r="H207" s="11" t="n">
        <x:v>2616132</x:v>
      </x:c>
    </x:row>
    <x:row r="208" ht="23" customHeight="1">
      <x:c r="A208" s="10" t="str">
        <x:v>M2</x:v>
      </x:c>
      <x:c r="B208" s="10" t="str">
        <x:v>N</x:v>
      </x:c>
      <x:c r="C208" s="10" t="str">
        <x:v>bearings_bushings_guides</x:v>
      </x:c>
      <x:c r="D208" s="11" t="n">
        <x:v>272</x:v>
      </x:c>
      <x:c r="E208" s="11" t="n">
        <x:v>226</x:v>
      </x:c>
      <x:c r="F208" s="12" t="n">
        <x:f>E208/D208</x:f>
        <x:v>0.8308823529411765</x:v>
      </x:c>
      <x:c r="G208" s="12" t="n">
        <x:f>IF(SUMIFS($E$6:$E$557,$A$6:$A$557,A208,$B$6:$B$557,B208)=0,"n.a.",E208/SUMIFS($E$6:$E$557,$A$6:$A$557,A208,$B$6:$B$557,B208))</x:f>
        <x:v>0.2435344827586207</x:v>
      </x:c>
      <x:c r="H208" s="11" t="n">
        <x:v>134078</x:v>
      </x:c>
    </x:row>
    <x:row r="209" ht="23" customHeight="1">
      <x:c r="A209" s="10" t="str">
        <x:v>M2</x:v>
      </x:c>
      <x:c r="B209" s="10" t="str">
        <x:v>N</x:v>
      </x:c>
      <x:c r="C209" s="10" t="str">
        <x:v>gears_pulleys_chains</x:v>
      </x:c>
      <x:c r="D209" s="11" t="n">
        <x:v>30</x:v>
      </x:c>
      <x:c r="E209" s="11" t="n">
        <x:v>8</x:v>
      </x:c>
      <x:c r="F209" s="12" t="n">
        <x:f>E209/D209</x:f>
        <x:v>0.26666666666666666</x:v>
      </x:c>
      <x:c r="G209" s="12" t="n">
        <x:f>IF(SUMIFS($E$6:$E$557,$A$6:$A$557,A209,$B$6:$B$557,B209)=0,"n.a.",E209/SUMIFS($E$6:$E$557,$A$6:$A$557,A209,$B$6:$B$557,B209))</x:f>
        <x:v>0.008620689655172414</x:v>
      </x:c>
      <x:c r="H209" s="11" t="n">
        <x:v>29918</x:v>
      </x:c>
    </x:row>
    <x:row r="210" ht="23" customHeight="1">
      <x:c r="A210" s="10" t="str">
        <x:v>M2</x:v>
      </x:c>
      <x:c r="B210" s="10" t="str">
        <x:v>N</x:v>
      </x:c>
      <x:c r="C210" s="10" t="str">
        <x:v>handles_controls</x:v>
      </x:c>
      <x:c r="D210" s="11" t="n">
        <x:v>230</x:v>
      </x:c>
      <x:c r="E210" s="11" t="n">
        <x:v>207</x:v>
      </x:c>
      <x:c r="F210" s="12" t="n">
        <x:f>E210/D210</x:f>
        <x:v>0.9</x:v>
      </x:c>
      <x:c r="G210" s="12" t="n">
        <x:f>IF(SUMIFS($E$6:$E$557,$A$6:$A$557,A210,$B$6:$B$557,B210)=0,"n.a.",E210/SUMIFS($E$6:$E$557,$A$6:$A$557,A210,$B$6:$B$557,B210))</x:f>
        <x:v>0.22306034482758622</x:v>
      </x:c>
      <x:c r="H210" s="11" t="n">
        <x:v>87240</x:v>
      </x:c>
    </x:row>
    <x:row r="211" ht="23" customHeight="1">
      <x:c r="A211" s="10" t="str">
        <x:v>M2</x:v>
      </x:c>
      <x:c r="B211" s="10" t="str">
        <x:v>N</x:v>
      </x:c>
      <x:c r="C211" s="10" t="str">
        <x:v>joints_clamps_structural_connectors</x:v>
      </x:c>
      <x:c r="D211" s="11" t="n">
        <x:v>135</x:v>
      </x:c>
      <x:c r="E211" s="11" t="n">
        <x:v>71</x:v>
      </x:c>
      <x:c r="F211" s="12" t="n">
        <x:f>E211/D211</x:f>
        <x:v>0.5259259259259259</x:v>
      </x:c>
      <x:c r="G211" s="12" t="n">
        <x:f>IF(SUMIFS($E$6:$E$557,$A$6:$A$557,A211,$B$6:$B$557,B211)=0,"n.a.",E211/SUMIFS($E$6:$E$557,$A$6:$A$557,A211,$B$6:$B$557,B211))</x:f>
        <x:v>0.07650862068965517</x:v>
      </x:c>
      <x:c r="H211" s="11" t="n">
        <x:v>51526</x:v>
      </x:c>
    </x:row>
    <x:row r="212" ht="23" customHeight="1">
      <x:c r="A212" s="10" t="str">
        <x:v>M2</x:v>
      </x:c>
      <x:c r="B212" s="10" t="str">
        <x:v>N</x:v>
      </x:c>
      <x:c r="C212" s="10" t="str">
        <x:v>motors_gearmotors</x:v>
      </x:c>
      <x:c r="D212" s="11" t="n">
        <x:v>14</x:v>
      </x:c>
      <x:c r="E212" s="11" t="n">
        <x:v>2</x:v>
      </x:c>
      <x:c r="F212" s="12" t="n">
        <x:f>E212/D212</x:f>
        <x:v>0.14285714285714285</x:v>
      </x:c>
      <x:c r="G212" s="12" t="n">
        <x:f>IF(SUMIFS($E$6:$E$557,$A$6:$A$557,A212,$B$6:$B$557,B212)=0,"n.a.",E212/SUMIFS($E$6:$E$557,$A$6:$A$557,A212,$B$6:$B$557,B212))</x:f>
        <x:v>0.0021551724137931034</x:v>
      </x:c>
      <x:c r="H212" s="11" t="n">
        <x:v>1094</x:v>
      </x:c>
    </x:row>
    <x:row r="213" ht="23" customHeight="1">
      <x:c r="A213" s="10" t="str">
        <x:v>M2</x:v>
      </x:c>
      <x:c r="B213" s="10" t="str">
        <x:v>N</x:v>
      </x:c>
      <x:c r="C213" s="10" t="str">
        <x:v>nuts</x:v>
      </x:c>
      <x:c r="D213" s="11" t="n">
        <x:v>29</x:v>
      </x:c>
      <x:c r="E213" s="11" t="n">
        <x:v>6</x:v>
      </x:c>
      <x:c r="F213" s="12" t="n">
        <x:f>E213/D213</x:f>
        <x:v>0.20689655172413793</x:v>
      </x:c>
      <x:c r="G213" s="12" t="n">
        <x:f>IF(SUMIFS($E$6:$E$557,$A$6:$A$557,A213,$B$6:$B$557,B213)=0,"n.a.",E213/SUMIFS($E$6:$E$557,$A$6:$A$557,A213,$B$6:$B$557,B213))</x:f>
        <x:v>0.00646551724137931</x:v>
      </x:c>
      <x:c r="H213" s="11" t="n">
        <x:v>3584</x:v>
      </x:c>
    </x:row>
    <x:row r="214" ht="23" customHeight="1">
      <x:c r="A214" s="10" t="str">
        <x:v>M2</x:v>
      </x:c>
      <x:c r="B214" s="10" t="str">
        <x:v>N</x:v>
      </x:c>
      <x:c r="C214" s="10" t="str">
        <x:v>pins_rivets_keys</x:v>
      </x:c>
      <x:c r="D214" s="11" t="n">
        <x:v>185</x:v>
      </x:c>
      <x:c r="E214" s="11" t="n">
        <x:v>146</x:v>
      </x:c>
      <x:c r="F214" s="12" t="n">
        <x:f>E214/D214</x:f>
        <x:v>0.7891891891891892</x:v>
      </x:c>
      <x:c r="G214" s="12" t="n">
        <x:f>IF(SUMIFS($E$6:$E$557,$A$6:$A$557,A214,$B$6:$B$557,B214)=0,"n.a.",E214/SUMIFS($E$6:$E$557,$A$6:$A$557,A214,$B$6:$B$557,B214))</x:f>
        <x:v>0.15732758620689655</x:v>
      </x:c>
      <x:c r="H214" s="11" t="n">
        <x:v>87070</x:v>
      </x:c>
    </x:row>
    <x:row r="215" ht="23" customHeight="1">
      <x:c r="A215" s="10" t="str">
        <x:v>M2</x:v>
      </x:c>
      <x:c r="B215" s="10" t="str">
        <x:v>N</x:v>
      </x:c>
      <x:c r="C215" s="10" t="str">
        <x:v>pipe_fittings_valves_nozzles</x:v>
      </x:c>
      <x:c r="D215" s="11" t="n">
        <x:v>46</x:v>
      </x:c>
      <x:c r="E215" s="11" t="n">
        <x:v>40</x:v>
      </x:c>
      <x:c r="F215" s="12" t="n">
        <x:f>E215/D215</x:f>
        <x:v>0.8695652173913043</x:v>
      </x:c>
      <x:c r="G215" s="12" t="n">
        <x:f>IF(SUMIFS($E$6:$E$557,$A$6:$A$557,A215,$B$6:$B$557,B215)=0,"n.a.",E215/SUMIFS($E$6:$E$557,$A$6:$A$557,A215,$B$6:$B$557,B215))</x:f>
        <x:v>0.04310344827586207</x:v>
      </x:c>
      <x:c r="H215" s="11" t="n">
        <x:v>24972</x:v>
      </x:c>
    </x:row>
    <x:row r="216" ht="23" customHeight="1">
      <x:c r="A216" s="10" t="str">
        <x:v>M2</x:v>
      </x:c>
      <x:c r="B216" s="10" t="str">
        <x:v>N</x:v>
      </x:c>
      <x:c r="C216" s="10" t="str">
        <x:v>plates_discs_shapes</x:v>
      </x:c>
      <x:c r="D216" s="11" t="n">
        <x:v>163</x:v>
      </x:c>
      <x:c r="E216" s="11" t="n">
        <x:v>77</x:v>
      </x:c>
      <x:c r="F216" s="12" t="n">
        <x:f>E216/D216</x:f>
        <x:v>0.4723926380368098</x:v>
      </x:c>
      <x:c r="G216" s="12" t="n">
        <x:f>IF(SUMIFS($E$6:$E$557,$A$6:$A$557,A216,$B$6:$B$557,B216)=0,"n.a.",E216/SUMIFS($E$6:$E$557,$A$6:$A$557,A216,$B$6:$B$557,B216))</x:f>
        <x:v>0.08297413793103449</x:v>
      </x:c>
      <x:c r="H216" s="11" t="n">
        <x:v>59808</x:v>
      </x:c>
    </x:row>
    <x:row r="217" ht="23" customHeight="1">
      <x:c r="A217" s="10" t="str">
        <x:v>M2</x:v>
      </x:c>
      <x:c r="B217" s="10" t="str">
        <x:v>N</x:v>
      </x:c>
      <x:c r="C217" s="10" t="str">
        <x:v>rotating_fluid_machinery</x:v>
      </x:c>
      <x:c r="D217" s="11" t="n">
        <x:v>14</x:v>
      </x:c>
      <x:c r="E217" s="11" t="n">
        <x:v>14</x:v>
      </x:c>
      <x:c r="F217" s="12" t="n">
        <x:f>E217/D217</x:f>
        <x:v>1</x:v>
      </x:c>
      <x:c r="G217" s="12" t="n">
        <x:f>IF(SUMIFS($E$6:$E$557,$A$6:$A$557,A217,$B$6:$B$557,B217)=0,"n.a.",E217/SUMIFS($E$6:$E$557,$A$6:$A$557,A217,$B$6:$B$557,B217))</x:f>
        <x:v>0.015086206896551725</x:v>
      </x:c>
      <x:c r="H217" s="11" t="n">
        <x:v>8152</x:v>
      </x:c>
    </x:row>
    <x:row r="218" ht="23" customHeight="1">
      <x:c r="A218" s="10" t="str">
        <x:v>M2</x:v>
      </x:c>
      <x:c r="B218" s="10" t="str">
        <x:v>N</x:v>
      </x:c>
      <x:c r="C218" s="10" t="str">
        <x:v>screws_bolts_studs</x:v>
      </x:c>
      <x:c r="D218" s="11" t="n">
        <x:v>149</x:v>
      </x:c>
      <x:c r="E218" s="11" t="n">
        <x:v>86</x:v>
      </x:c>
      <x:c r="F218" s="12" t="n">
        <x:f>E218/D218</x:f>
        <x:v>0.5771812080536913</x:v>
      </x:c>
      <x:c r="G218" s="12" t="n">
        <x:f>IF(SUMIFS($E$6:$E$557,$A$6:$A$557,A218,$B$6:$B$557,B218)=0,"n.a.",E218/SUMIFS($E$6:$E$557,$A$6:$A$557,A218,$B$6:$B$557,B218))</x:f>
        <x:v>0.09267241379310345</x:v>
      </x:c>
      <x:c r="H218" s="11" t="n">
        <x:v>35736</x:v>
      </x:c>
    </x:row>
    <x:row r="219" ht="23" customHeight="1">
      <x:c r="A219" s="10" t="str">
        <x:v>M2</x:v>
      </x:c>
      <x:c r="B219" s="10" t="str">
        <x:v>N</x:v>
      </x:c>
      <x:c r="C219" s="10" t="str">
        <x:v>springs</x:v>
      </x:c>
      <x:c r="D219" s="11" t="n">
        <x:v>40</x:v>
      </x:c>
      <x:c r="E219" s="11" t="n">
        <x:v>7</x:v>
      </x:c>
      <x:c r="F219" s="12" t="n">
        <x:f>E219/D219</x:f>
        <x:v>0.175</x:v>
      </x:c>
      <x:c r="G219" s="12" t="n">
        <x:f>IF(SUMIFS($E$6:$E$557,$A$6:$A$557,A219,$B$6:$B$557,B219)=0,"n.a.",E219/SUMIFS($E$6:$E$557,$A$6:$A$557,A219,$B$6:$B$557,B219))</x:f>
        <x:v>0.007543103448275862</x:v>
      </x:c>
      <x:c r="H219" s="11" t="n">
        <x:v>2446</x:v>
      </x:c>
    </x:row>
    <x:row r="220" ht="23" customHeight="1">
      <x:c r="A220" s="10" t="str">
        <x:v>M2</x:v>
      </x:c>
      <x:c r="B220" s="10" t="str">
        <x:v>N</x:v>
      </x:c>
      <x:c r="C220" s="10" t="str">
        <x:v>washers_rings_spacers</x:v>
      </x:c>
      <x:c r="D220" s="11" t="n">
        <x:v>169</x:v>
      </x:c>
      <x:c r="E220" s="11" t="n">
        <x:v>34</x:v>
      </x:c>
      <x:c r="F220" s="12" t="n">
        <x:f>E220/D220</x:f>
        <x:v>0.20118343195266272</x:v>
      </x:c>
      <x:c r="G220" s="12" t="n">
        <x:f>IF(SUMIFS($E$6:$E$557,$A$6:$A$557,A220,$B$6:$B$557,B220)=0,"n.a.",E220/SUMIFS($E$6:$E$557,$A$6:$A$557,A220,$B$6:$B$557,B220))</x:f>
        <x:v>0.036637931034482756</x:v>
      </x:c>
      <x:c r="H220" s="11" t="n">
        <x:v>24572</x:v>
      </x:c>
    </x:row>
    <x:row r="221" ht="23" customHeight="1">
      <x:c r="A221" s="10" t="str">
        <x:v>M2</x:v>
      </x:c>
      <x:c r="B221" s="10" t="str">
        <x:v>N</x:v>
      </x:c>
      <x:c r="C221" s="10" t="str">
        <x:v>wheels_castors</x:v>
      </x:c>
      <x:c r="D221" s="11" t="n">
        <x:v>4</x:v>
      </x:c>
      <x:c r="E221" s="11" t="n">
        <x:v>4</x:v>
      </x:c>
      <x:c r="F221" s="12" t="n">
        <x:f>E221/D221</x:f>
        <x:v>1</x:v>
      </x:c>
      <x:c r="G221" s="12" t="n">
        <x:f>IF(SUMIFS($E$6:$E$557,$A$6:$A$557,A221,$B$6:$B$557,B221)=0,"n.a.",E221/SUMIFS($E$6:$E$557,$A$6:$A$557,A221,$B$6:$B$557,B221))</x:f>
        <x:v>0.004310344827586207</x:v>
      </x:c>
      <x:c r="H221" s="11" t="n">
        <x:v>2414</x:v>
      </x:c>
    </x:row>
    <x:row r="222" ht="23" customHeight="1">
      <x:c r="A222" s="10" t="str">
        <x:v>M2</x:v>
      </x:c>
      <x:c r="B222" s="10" t="str">
        <x:v>C</x:v>
      </x:c>
      <x:c r="C222" s="10" t="str">
        <x:v>aluminum_extrusion</x:v>
      </x:c>
      <x:c r="D222" s="11" t="n">
        <x:v>1</x:v>
      </x:c>
      <x:c r="E222" s="11" t="n">
        <x:v>1</x:v>
      </x:c>
      <x:c r="F222" s="12" t="n">
        <x:f>E222/D222</x:f>
        <x:v>1</x:v>
      </x:c>
      <x:c r="G222" s="12" t="n">
        <x:f>IF(SUMIFS($E$6:$E$557,$A$6:$A$557,A222,$B$6:$B$557,B222)=0,"n.a.",E222/SUMIFS($E$6:$E$557,$A$6:$A$557,A222,$B$6:$B$557,B222))</x:f>
        <x:v>0.0010834236186348862</x:v>
      </x:c>
      <x:c r="H222" s="11" t="n">
        <x:v>312</x:v>
      </x:c>
    </x:row>
    <x:row r="223" ht="23" customHeight="1">
      <x:c r="A223" s="10" t="str">
        <x:v>M2</x:v>
      </x:c>
      <x:c r="B223" s="10" t="str">
        <x:v>C</x:v>
      </x:c>
      <x:c r="C223" s="10" t="str">
        <x:v>camera_lens</x:v>
      </x:c>
      <x:c r="D223" s="11" t="n">
        <x:v>1</x:v>
      </x:c>
      <x:c r="E223" s="11" t="n">
        <x:v>1</x:v>
      </x:c>
      <x:c r="F223" s="12" t="n">
        <x:f>E223/D223</x:f>
        <x:v>1</x:v>
      </x:c>
      <x:c r="G223" s="12" t="n">
        <x:f>IF(SUMIFS($E$6:$E$557,$A$6:$A$557,A223,$B$6:$B$557,B223)=0,"n.a.",E223/SUMIFS($E$6:$E$557,$A$6:$A$557,A223,$B$6:$B$557,B223))</x:f>
        <x:v>0.0010834236186348862</x:v>
      </x:c>
      <x:c r="H223" s="11" t="n">
        <x:v>360</x:v>
      </x:c>
    </x:row>
    <x:row r="224" ht="23" customHeight="1">
      <x:c r="A224" s="10" t="str">
        <x:v>M2</x:v>
      </x:c>
      <x:c r="B224" s="10" t="str">
        <x:v>C</x:v>
      </x:c>
      <x:c r="C224" s="10" t="str">
        <x:v>cap_nut</x:v>
      </x:c>
      <x:c r="D224" s="11" t="n">
        <x:v>70</x:v>
      </x:c>
      <x:c r="E224" s="11" t="n">
        <x:v>51</x:v>
      </x:c>
      <x:c r="F224" s="12" t="n">
        <x:f>E224/D224</x:f>
        <x:v>0.7285714285714285</x:v>
      </x:c>
      <x:c r="G224" s="12" t="n">
        <x:f>IF(SUMIFS($E$6:$E$557,$A$6:$A$557,A224,$B$6:$B$557,B224)=0,"n.a.",E224/SUMIFS($E$6:$E$557,$A$6:$A$557,A224,$B$6:$B$557,B224))</x:f>
        <x:v>0.0552546045503792</x:v>
      </x:c>
      <x:c r="H224" s="11" t="n">
        <x:v>36364</x:v>
      </x:c>
    </x:row>
    <x:row r="225" ht="23" customHeight="1">
      <x:c r="A225" s="10" t="str">
        <x:v>M2</x:v>
      </x:c>
      <x:c r="B225" s="10" t="str">
        <x:v>C</x:v>
      </x:c>
      <x:c r="C225" s="10" t="str">
        <x:v>die_block</x:v>
      </x:c>
      <x:c r="D225" s="11" t="n">
        <x:v>42</x:v>
      </x:c>
      <x:c r="E225" s="11" t="n">
        <x:v>42</x:v>
      </x:c>
      <x:c r="F225" s="12" t="n">
        <x:f>E225/D225</x:f>
        <x:v>1</x:v>
      </x:c>
      <x:c r="G225" s="12" t="n">
        <x:f>IF(SUMIFS($E$6:$E$557,$A$6:$A$557,A225,$B$6:$B$557,B225)=0,"n.a.",E225/SUMIFS($E$6:$E$557,$A$6:$A$557,A225,$B$6:$B$557,B225))</x:f>
        <x:v>0.04550379198266522</x:v>
      </x:c>
      <x:c r="H225" s="11" t="n">
        <x:v>13946</x:v>
      </x:c>
    </x:row>
    <x:row r="226" ht="23" customHeight="1">
      <x:c r="A226" s="10" t="str">
        <x:v>M2</x:v>
      </x:c>
      <x:c r="B226" s="10" t="str">
        <x:v>C</x:v>
      </x:c>
      <x:c r="C226" s="10" t="str">
        <x:v>dowel_pin</x:v>
      </x:c>
      <x:c r="D226" s="11" t="n">
        <x:v>316</x:v>
      </x:c>
      <x:c r="E226" s="11" t="n">
        <x:v>12</x:v>
      </x:c>
      <x:c r="F226" s="12" t="n">
        <x:f>E226/D226</x:f>
        <x:v>0.0379746835443038</x:v>
      </x:c>
      <x:c r="G226" s="12" t="n">
        <x:f>IF(SUMIFS($E$6:$E$557,$A$6:$A$557,A226,$B$6:$B$557,B226)=0,"n.a.",E226/SUMIFS($E$6:$E$557,$A$6:$A$557,A226,$B$6:$B$557,B226))</x:f>
        <x:v>0.013001083423618635</x:v>
      </x:c>
      <x:c r="H226" s="11" t="n">
        <x:v>71646</x:v>
      </x:c>
    </x:row>
    <x:row r="227" ht="23" customHeight="1">
      <x:c r="A227" s="10" t="str">
        <x:v>M2</x:v>
      </x:c>
      <x:c r="B227" s="10" t="str">
        <x:v>C</x:v>
      </x:c>
      <x:c r="C227" s="10" t="str">
        <x:v>feature_plate</x:v>
      </x:c>
      <x:c r="D227" s="11" t="n">
        <x:v>4</x:v>
      </x:c>
      <x:c r="E227" s="11" t="n">
        <x:v>4</x:v>
      </x:c>
      <x:c r="F227" s="12" t="n">
        <x:f>E227/D227</x:f>
        <x:v>1</x:v>
      </x:c>
      <x:c r="G227" s="12" t="n">
        <x:f>IF(SUMIFS($E$6:$E$557,$A$6:$A$557,A227,$B$6:$B$557,B227)=0,"n.a.",E227/SUMIFS($E$6:$E$557,$A$6:$A$557,A227,$B$6:$B$557,B227))</x:f>
        <x:v>0.004333694474539545</x:v>
      </x:c>
      <x:c r="H227" s="11" t="n">
        <x:v>5396</x:v>
      </x:c>
    </x:row>
    <x:row r="228" ht="23" customHeight="1">
      <x:c r="A228" s="10" t="str">
        <x:v>M2</x:v>
      </x:c>
      <x:c r="B228" s="10" t="str">
        <x:v>C</x:v>
      </x:c>
      <x:c r="C228" s="10" t="str">
        <x:v>flat_washer</x:v>
      </x:c>
      <x:c r="D228" s="11" t="n">
        <x:v>203</x:v>
      </x:c>
      <x:c r="E228" s="11" t="n">
        <x:v>154</x:v>
      </x:c>
      <x:c r="F228" s="12" t="n">
        <x:f>E228/D228</x:f>
        <x:v>0.7586206896551724</x:v>
      </x:c>
      <x:c r="G228" s="12" t="n">
        <x:f>IF(SUMIFS($E$6:$E$557,$A$6:$A$557,A228,$B$6:$B$557,B228)=0,"n.a.",E228/SUMIFS($E$6:$E$557,$A$6:$A$557,A228,$B$6:$B$557,B228))</x:f>
        <x:v>0.1668472372697725</x:v>
      </x:c>
      <x:c r="H228" s="11" t="n">
        <x:v>77906</x:v>
      </x:c>
    </x:row>
    <x:row r="229" ht="23" customHeight="1">
      <x:c r="A229" s="10" t="str">
        <x:v>M2</x:v>
      </x:c>
      <x:c r="B229" s="10" t="str">
        <x:v>C</x:v>
      </x:c>
      <x:c r="C229" s="10" t="str">
        <x:v>flexible_hose</x:v>
      </x:c>
      <x:c r="D229" s="11" t="n">
        <x:v>2</x:v>
      </x:c>
      <x:c r="E229" s="11" t="n">
        <x:v>2</x:v>
      </x:c>
      <x:c r="F229" s="12" t="n">
        <x:f>E229/D229</x:f>
        <x:v>1</x:v>
      </x:c>
      <x:c r="G229" s="12" t="n">
        <x:f>IF(SUMIFS($E$6:$E$557,$A$6:$A$557,A229,$B$6:$B$557,B229)=0,"n.a.",E229/SUMIFS($E$6:$E$557,$A$6:$A$557,A229,$B$6:$B$557,B229))</x:f>
        <x:v>0.0021668472372697724</x:v>
      </x:c>
      <x:c r="H229" s="11" t="n">
        <x:v>1540</x:v>
      </x:c>
    </x:row>
    <x:row r="230" ht="23" customHeight="1">
      <x:c r="A230" s="10" t="str">
        <x:v>M2</x:v>
      </x:c>
      <x:c r="B230" s="10" t="str">
        <x:v>C</x:v>
      </x:c>
      <x:c r="C230" s="10" t="str">
        <x:v>hex_bolt</x:v>
      </x:c>
      <x:c r="D230" s="11" t="n">
        <x:v>2</x:v>
      </x:c>
      <x:c r="E230" s="11" t="n">
        <x:v>2</x:v>
      </x:c>
      <x:c r="F230" s="12" t="n">
        <x:f>E230/D230</x:f>
        <x:v>1</x:v>
      </x:c>
      <x:c r="G230" s="12" t="n">
        <x:f>IF(SUMIFS($E$6:$E$557,$A$6:$A$557,A230,$B$6:$B$557,B230)=0,"n.a.",E230/SUMIFS($E$6:$E$557,$A$6:$A$557,A230,$B$6:$B$557,B230))</x:f>
        <x:v>0.0021668472372697724</x:v>
      </x:c>
      <x:c r="H230" s="11" t="n">
        <x:v>1380</x:v>
      </x:c>
    </x:row>
    <x:row r="231" ht="23" customHeight="1">
      <x:c r="A231" s="10" t="str">
        <x:v>M2</x:v>
      </x:c>
      <x:c r="B231" s="10" t="str">
        <x:v>C</x:v>
      </x:c>
      <x:c r="C231" s="10" t="str">
        <x:v>hex_nut</x:v>
      </x:c>
      <x:c r="D231" s="11" t="n">
        <x:v>49</x:v>
      </x:c>
      <x:c r="E231" s="11" t="n">
        <x:v>25</x:v>
      </x:c>
      <x:c r="F231" s="12" t="n">
        <x:f>E231/D231</x:f>
        <x:v>0.5102040816326531</x:v>
      </x:c>
      <x:c r="G231" s="12" t="n">
        <x:f>IF(SUMIFS($E$6:$E$557,$A$6:$A$557,A231,$B$6:$B$557,B231)=0,"n.a.",E231/SUMIFS($E$6:$E$557,$A$6:$A$557,A231,$B$6:$B$557,B231))</x:f>
        <x:v>0.027085590465872156</x:v>
      </x:c>
      <x:c r="H231" s="11" t="n">
        <x:v>17740</x:v>
      </x:c>
    </x:row>
    <x:row r="232" ht="23" customHeight="1">
      <x:c r="A232" s="10" t="str">
        <x:v>M2</x:v>
      </x:c>
      <x:c r="B232" s="10" t="str">
        <x:v>C</x:v>
      </x:c>
      <x:c r="C232" s="10" t="str">
        <x:v>mounting_bracket</x:v>
      </x:c>
      <x:c r="D232" s="11" t="n">
        <x:v>1</x:v>
      </x:c>
      <x:c r="E232" s="11" t="n">
        <x:v>1</x:v>
      </x:c>
      <x:c r="F232" s="12" t="n">
        <x:f>E232/D232</x:f>
        <x:v>1</x:v>
      </x:c>
      <x:c r="G232" s="12" t="n">
        <x:f>IF(SUMIFS($E$6:$E$557,$A$6:$A$557,A232,$B$6:$B$557,B232)=0,"n.a.",E232/SUMIFS($E$6:$E$557,$A$6:$A$557,A232,$B$6:$B$557,B232))</x:f>
        <x:v>0.0010834236186348862</x:v>
      </x:c>
      <x:c r="H232" s="11" t="n">
        <x:v>692</x:v>
      </x:c>
    </x:row>
    <x:row r="233" ht="23" customHeight="1">
      <x:c r="A233" s="10" t="str">
        <x:v>M2</x:v>
      </x:c>
      <x:c r="B233" s="10" t="str">
        <x:v>C</x:v>
      </x:c>
      <x:c r="C233" s="10" t="str">
        <x:v>mounting_plate</x:v>
      </x:c>
      <x:c r="D233" s="11" t="n">
        <x:v>16</x:v>
      </x:c>
      <x:c r="E233" s="11" t="n">
        <x:v>16</x:v>
      </x:c>
      <x:c r="F233" s="12" t="n">
        <x:f>E233/D233</x:f>
        <x:v>1</x:v>
      </x:c>
      <x:c r="G233" s="12" t="n">
        <x:f>IF(SUMIFS($E$6:$E$557,$A$6:$A$557,A233,$B$6:$B$557,B233)=0,"n.a.",E233/SUMIFS($E$6:$E$557,$A$6:$A$557,A233,$B$6:$B$557,B233))</x:f>
        <x:v>0.01733477789815818</x:v>
      </x:c>
      <x:c r="H233" s="11" t="n">
        <x:v>6828</x:v>
      </x:c>
    </x:row>
    <x:row r="234" ht="23" customHeight="1">
      <x:c r="A234" s="10" t="str">
        <x:v>M2</x:v>
      </x:c>
      <x:c r="B234" s="10" t="str">
        <x:v>C</x:v>
      </x:c>
      <x:c r="C234" s="10" t="str">
        <x:v>nozzle</x:v>
      </x:c>
      <x:c r="D234" s="11" t="n">
        <x:v>7</x:v>
      </x:c>
      <x:c r="E234" s="11" t="n">
        <x:v>7</x:v>
      </x:c>
      <x:c r="F234" s="12" t="n">
        <x:f>E234/D234</x:f>
        <x:v>1</x:v>
      </x:c>
      <x:c r="G234" s="12" t="n">
        <x:f>IF(SUMIFS($E$6:$E$557,$A$6:$A$557,A234,$B$6:$B$557,B234)=0,"n.a.",E234/SUMIFS($E$6:$E$557,$A$6:$A$557,A234,$B$6:$B$557,B234))</x:f>
        <x:v>0.007583965330444204</x:v>
      </x:c>
      <x:c r="H234" s="11" t="n">
        <x:v>7404</x:v>
      </x:c>
    </x:row>
    <x:row r="235" ht="23" customHeight="1">
      <x:c r="A235" s="10" t="str">
        <x:v>M2</x:v>
      </x:c>
      <x:c r="B235" s="10" t="str">
        <x:v>C</x:v>
      </x:c>
      <x:c r="C235" s="10" t="str">
        <x:v>plain_block</x:v>
      </x:c>
      <x:c r="D235" s="11" t="n">
        <x:v>285</x:v>
      </x:c>
      <x:c r="E235" s="11" t="n">
        <x:v>285</x:v>
      </x:c>
      <x:c r="F235" s="12" t="n">
        <x:f>E235/D235</x:f>
        <x:v>1</x:v>
      </x:c>
      <x:c r="G235" s="12" t="n">
        <x:f>IF(SUMIFS($E$6:$E$557,$A$6:$A$557,A235,$B$6:$B$557,B235)=0,"n.a.",E235/SUMIFS($E$6:$E$557,$A$6:$A$557,A235,$B$6:$B$557,B235))</x:f>
        <x:v>0.3087757313109426</x:v>
      </x:c>
      <x:c r="H235" s="11" t="n">
        <x:v>250195</x:v>
      </x:c>
    </x:row>
    <x:row r="236" ht="23" customHeight="1">
      <x:c r="A236" s="10" t="str">
        <x:v>M2</x:v>
      </x:c>
      <x:c r="B236" s="10" t="str">
        <x:v>C</x:v>
      </x:c>
      <x:c r="C236" s="10" t="str">
        <x:v>plain_shaft</x:v>
      </x:c>
      <x:c r="D236" s="11" t="n">
        <x:v>20</x:v>
      </x:c>
      <x:c r="E236" s="11" t="n">
        <x:v>20</x:v>
      </x:c>
      <x:c r="F236" s="12" t="n">
        <x:f>E236/D236</x:f>
        <x:v>1</x:v>
      </x:c>
      <x:c r="G236" s="12" t="n">
        <x:f>IF(SUMIFS($E$6:$E$557,$A$6:$A$557,A236,$B$6:$B$557,B236)=0,"n.a.",E236/SUMIFS($E$6:$E$557,$A$6:$A$557,A236,$B$6:$B$557,B236))</x:f>
        <x:v>0.021668472372697724</x:v>
      </x:c>
      <x:c r="H236" s="11" t="n">
        <x:v>2956</x:v>
      </x:c>
    </x:row>
    <x:row r="237" ht="23" customHeight="1">
      <x:c r="A237" s="10" t="str">
        <x:v>M2</x:v>
      </x:c>
      <x:c r="B237" s="10" t="str">
        <x:v>C</x:v>
      </x:c>
      <x:c r="C237" s="10" t="str">
        <x:v>punch_tool</x:v>
      </x:c>
      <x:c r="D237" s="11" t="n">
        <x:v>52</x:v>
      </x:c>
      <x:c r="E237" s="11" t="n">
        <x:v>52</x:v>
      </x:c>
      <x:c r="F237" s="12" t="n">
        <x:f>E237/D237</x:f>
        <x:v>1</x:v>
      </x:c>
      <x:c r="G237" s="12" t="n">
        <x:f>IF(SUMIFS($E$6:$E$557,$A$6:$A$557,A237,$B$6:$B$557,B237)=0,"n.a.",E237/SUMIFS($E$6:$E$557,$A$6:$A$557,A237,$B$6:$B$557,B237))</x:f>
        <x:v>0.056338028169014086</x:v>
      </x:c>
      <x:c r="H237" s="11" t="n">
        <x:v>21292</x:v>
      </x:c>
    </x:row>
    <x:row r="238" ht="23" customHeight="1">
      <x:c r="A238" s="10" t="str">
        <x:v>M2</x:v>
      </x:c>
      <x:c r="B238" s="10" t="str">
        <x:v>C</x:v>
      </x:c>
      <x:c r="C238" s="10" t="str">
        <x:v>retaining_ring</x:v>
      </x:c>
      <x:c r="D238" s="11" t="n">
        <x:v>30</x:v>
      </x:c>
      <x:c r="E238" s="11" t="n">
        <x:v>14</x:v>
      </x:c>
      <x:c r="F238" s="12" t="n">
        <x:f>E238/D238</x:f>
        <x:v>0.4666666666666667</x:v>
      </x:c>
      <x:c r="G238" s="12" t="n">
        <x:f>IF(SUMIFS($E$6:$E$557,$A$6:$A$557,A238,$B$6:$B$557,B238)=0,"n.a.",E238/SUMIFS($E$6:$E$557,$A$6:$A$557,A238,$B$6:$B$557,B238))</x:f>
        <x:v>0.015167930660888408</x:v>
      </x:c>
      <x:c r="H238" s="11" t="n">
        <x:v>6328</x:v>
      </x:c>
    </x:row>
    <x:row r="239" ht="23" customHeight="1">
      <x:c r="A239" s="10" t="str">
        <x:v>M2</x:v>
      </x:c>
      <x:c r="B239" s="10" t="str">
        <x:v>C</x:v>
      </x:c>
      <x:c r="C239" s="10" t="str">
        <x:v>shaft_key</x:v>
      </x:c>
      <x:c r="D239" s="11" t="n">
        <x:v>307</x:v>
      </x:c>
      <x:c r="E239" s="11" t="n">
        <x:v>168</x:v>
      </x:c>
      <x:c r="F239" s="12" t="n">
        <x:f>E239/D239</x:f>
        <x:v>0.5472312703583062</x:v>
      </x:c>
      <x:c r="G239" s="12" t="n">
        <x:f>IF(SUMIFS($E$6:$E$557,$A$6:$A$557,A239,$B$6:$B$557,B239)=0,"n.a.",E239/SUMIFS($E$6:$E$557,$A$6:$A$557,A239,$B$6:$B$557,B239))</x:f>
        <x:v>0.1820151679306609</x:v>
      </x:c>
      <x:c r="H239" s="11" t="n">
        <x:v>87180</x:v>
      </x:c>
    </x:row>
    <x:row r="240" ht="23" customHeight="1">
      <x:c r="A240" s="10" t="str">
        <x:v>M2</x:v>
      </x:c>
      <x:c r="B240" s="10" t="str">
        <x:v>C</x:v>
      </x:c>
      <x:c r="C240" s="10" t="str">
        <x:v>slotted_nut</x:v>
      </x:c>
      <x:c r="D240" s="11" t="n">
        <x:v>26</x:v>
      </x:c>
      <x:c r="E240" s="11" t="n">
        <x:v>26</x:v>
      </x:c>
      <x:c r="F240" s="12" t="n">
        <x:f>E240/D240</x:f>
        <x:v>1</x:v>
      </x:c>
      <x:c r="G240" s="12" t="n">
        <x:f>IF(SUMIFS($E$6:$E$557,$A$6:$A$557,A240,$B$6:$B$557,B240)=0,"n.a.",E240/SUMIFS($E$6:$E$557,$A$6:$A$557,A240,$B$6:$B$557,B240))</x:f>
        <x:v>0.028169014084507043</x:v>
      </x:c>
      <x:c r="H240" s="11" t="n">
        <x:v>12740</x:v>
      </x:c>
    </x:row>
    <x:row r="241" ht="23" customHeight="1">
      <x:c r="A241" s="10" t="str">
        <x:v>M2</x:v>
      </x:c>
      <x:c r="B241" s="10" t="str">
        <x:v>C</x:v>
      </x:c>
      <x:c r="C241" s="10" t="str">
        <x:v>sprocket</x:v>
      </x:c>
      <x:c r="D241" s="11" t="n">
        <x:v>19</x:v>
      </x:c>
      <x:c r="E241" s="11" t="n">
        <x:v>18</x:v>
      </x:c>
      <x:c r="F241" s="12" t="n">
        <x:f>E241/D241</x:f>
        <x:v>0.9473684210526315</x:v>
      </x:c>
      <x:c r="G241" s="12" t="n">
        <x:f>IF(SUMIFS($E$6:$E$557,$A$6:$A$557,A241,$B$6:$B$557,B241)=0,"n.a.",E241/SUMIFS($E$6:$E$557,$A$6:$A$557,A241,$B$6:$B$557,B241))</x:f>
        <x:v>0.01950162513542795</x:v>
      </x:c>
      <x:c r="H241" s="11" t="n">
        <x:v>23014</x:v>
      </x:c>
    </x:row>
    <x:row r="242" ht="23" customHeight="1">
      <x:c r="A242" s="10" t="str">
        <x:v>M2</x:v>
      </x:c>
      <x:c r="B242" s="10" t="str">
        <x:v>C</x:v>
      </x:c>
      <x:c r="C242" s="10" t="str">
        <x:v>threaded_stud</x:v>
      </x:c>
      <x:c r="D242" s="11" t="n">
        <x:v>27</x:v>
      </x:c>
      <x:c r="E242" s="11" t="n">
        <x:v>22</x:v>
      </x:c>
      <x:c r="F242" s="12" t="n">
        <x:f>E242/D242</x:f>
        <x:v>0.8148148148148148</x:v>
      </x:c>
      <x:c r="G242" s="12" t="n">
        <x:f>IF(SUMIFS($E$6:$E$557,$A$6:$A$557,A242,$B$6:$B$557,B242)=0,"n.a.",E242/SUMIFS($E$6:$E$557,$A$6:$A$557,A242,$B$6:$B$557,B242))</x:f>
        <x:v>0.023835319609967497</x:v>
      </x:c>
      <x:c r="H242" s="11" t="n">
        <x:v>14970</x:v>
      </x:c>
    </x:row>
    <x:row r="243" ht="23" customHeight="1">
      <x:c r="A243" s="10" t="str">
        <x:v>M3</x:v>
      </x:c>
      <x:c r="B243" s="10" t="str">
        <x:v>N</x:v>
      </x:c>
      <x:c r="C243" s="10" t="str">
        <x:v>bearings_bushings_guides</x:v>
      </x:c>
      <x:c r="D243" s="11" t="n">
        <x:v>244</x:v>
      </x:c>
      <x:c r="E243" s="11" t="n">
        <x:v>153</x:v>
      </x:c>
      <x:c r="F243" s="12" t="n">
        <x:f>E243/D243</x:f>
        <x:v>0.6270491803278688</x:v>
      </x:c>
      <x:c r="G243" s="12" t="n">
        <x:f>IF(SUMIFS($E$6:$E$557,$A$6:$A$557,A243,$B$6:$B$557,B243)=0,"n.a.",E243/SUMIFS($E$6:$E$557,$A$6:$A$557,A243,$B$6:$B$557,B243))</x:f>
        <x:v>0.15208747514910537</x:v>
      </x:c>
      <x:c r="H243" s="11" t="n">
        <x:v>165400</x:v>
      </x:c>
    </x:row>
    <x:row r="244" ht="23" customHeight="1">
      <x:c r="A244" s="10" t="str">
        <x:v>M3</x:v>
      </x:c>
      <x:c r="B244" s="10" t="str">
        <x:v>N</x:v>
      </x:c>
      <x:c r="C244" s="10" t="str">
        <x:v>gears_pulleys_chains</x:v>
      </x:c>
      <x:c r="D244" s="11" t="n">
        <x:v>6</x:v>
      </x:c>
      <x:c r="E244" s="11" t="n">
        <x:v>3</x:v>
      </x:c>
      <x:c r="F244" s="12" t="n">
        <x:f>E244/D244</x:f>
        <x:v>0.5</x:v>
      </x:c>
      <x:c r="G244" s="12" t="n">
        <x:f>IF(SUMIFS($E$6:$E$557,$A$6:$A$557,A244,$B$6:$B$557,B244)=0,"n.a.",E244/SUMIFS($E$6:$E$557,$A$6:$A$557,A244,$B$6:$B$557,B244))</x:f>
        <x:v>0.002982107355864811</x:v>
      </x:c>
      <x:c r="H244" s="11" t="n">
        <x:v>7802</x:v>
      </x:c>
    </x:row>
    <x:row r="245" ht="23" customHeight="1">
      <x:c r="A245" s="10" t="str">
        <x:v>M3</x:v>
      </x:c>
      <x:c r="B245" s="10" t="str">
        <x:v>N</x:v>
      </x:c>
      <x:c r="C245" s="10" t="str">
        <x:v>handles_controls</x:v>
      </x:c>
      <x:c r="D245" s="11" t="n">
        <x:v>204</x:v>
      </x:c>
      <x:c r="E245" s="11" t="n">
        <x:v>182</x:v>
      </x:c>
      <x:c r="F245" s="12" t="n">
        <x:f>E245/D245</x:f>
        <x:v>0.8921568627450981</x:v>
      </x:c>
      <x:c r="G245" s="12" t="n">
        <x:f>IF(SUMIFS($E$6:$E$557,$A$6:$A$557,A245,$B$6:$B$557,B245)=0,"n.a.",E245/SUMIFS($E$6:$E$557,$A$6:$A$557,A245,$B$6:$B$557,B245))</x:f>
        <x:v>0.18091451292246521</x:v>
      </x:c>
      <x:c r="H245" s="11" t="n">
        <x:v>325550</x:v>
      </x:c>
    </x:row>
    <x:row r="246" ht="23" customHeight="1">
      <x:c r="A246" s="10" t="str">
        <x:v>M3</x:v>
      </x:c>
      <x:c r="B246" s="10" t="str">
        <x:v>N</x:v>
      </x:c>
      <x:c r="C246" s="10" t="str">
        <x:v>joints_clamps_structural_connectors</x:v>
      </x:c>
      <x:c r="D246" s="11" t="n">
        <x:v>168</x:v>
      </x:c>
      <x:c r="E246" s="11" t="n">
        <x:v>143</x:v>
      </x:c>
      <x:c r="F246" s="12" t="n">
        <x:f>E246/D246</x:f>
        <x:v>0.8511904761904762</x:v>
      </x:c>
      <x:c r="G246" s="12" t="n">
        <x:f>IF(SUMIFS($E$6:$E$557,$A$6:$A$557,A246,$B$6:$B$557,B246)=0,"n.a.",E246/SUMIFS($E$6:$E$557,$A$6:$A$557,A246,$B$6:$B$557,B246))</x:f>
        <x:v>0.14214711729622267</x:v>
      </x:c>
      <x:c r="H246" s="11" t="n">
        <x:v>197414</x:v>
      </x:c>
    </x:row>
    <x:row r="247" ht="23" customHeight="1">
      <x:c r="A247" s="10" t="str">
        <x:v>M3</x:v>
      </x:c>
      <x:c r="B247" s="10" t="str">
        <x:v>N</x:v>
      </x:c>
      <x:c r="C247" s="10" t="str">
        <x:v>motors_gearmotors</x:v>
      </x:c>
      <x:c r="D247" s="11" t="n">
        <x:v>66</x:v>
      </x:c>
      <x:c r="E247" s="11" t="n">
        <x:v>27</x:v>
      </x:c>
      <x:c r="F247" s="12" t="n">
        <x:f>E247/D247</x:f>
        <x:v>0.4090909090909091</x:v>
      </x:c>
      <x:c r="G247" s="12" t="n">
        <x:f>IF(SUMIFS($E$6:$E$557,$A$6:$A$557,A247,$B$6:$B$557,B247)=0,"n.a.",E247/SUMIFS($E$6:$E$557,$A$6:$A$557,A247,$B$6:$B$557,B247))</x:f>
        <x:v>0.0268389662027833</x:v>
      </x:c>
      <x:c r="H247" s="11" t="n">
        <x:v>143156</x:v>
      </x:c>
    </x:row>
    <x:row r="248" ht="23" customHeight="1">
      <x:c r="A248" s="10" t="str">
        <x:v>M3</x:v>
      </x:c>
      <x:c r="B248" s="10" t="str">
        <x:v>N</x:v>
      </x:c>
      <x:c r="C248" s="10" t="str">
        <x:v>nuts</x:v>
      </x:c>
      <x:c r="D248" s="11" t="n">
        <x:v>107</x:v>
      </x:c>
      <x:c r="E248" s="11" t="n">
        <x:v>65</x:v>
      </x:c>
      <x:c r="F248" s="12" t="n">
        <x:f>E248/D248</x:f>
        <x:v>0.6074766355140186</x:v>
      </x:c>
      <x:c r="G248" s="12" t="n">
        <x:f>IF(SUMIFS($E$6:$E$557,$A$6:$A$557,A248,$B$6:$B$557,B248)=0,"n.a.",E248/SUMIFS($E$6:$E$557,$A$6:$A$557,A248,$B$6:$B$557,B248))</x:f>
        <x:v>0.06461232604373758</x:v>
      </x:c>
      <x:c r="H248" s="11" t="n">
        <x:v>153802</x:v>
      </x:c>
    </x:row>
    <x:row r="249" ht="23" customHeight="1">
      <x:c r="A249" s="10" t="str">
        <x:v>M3</x:v>
      </x:c>
      <x:c r="B249" s="10" t="str">
        <x:v>N</x:v>
      </x:c>
      <x:c r="C249" s="10" t="str">
        <x:v>pins_rivets_keys</x:v>
      </x:c>
      <x:c r="D249" s="11" t="n">
        <x:v>214</x:v>
      </x:c>
      <x:c r="E249" s="11" t="n">
        <x:v>164</x:v>
      </x:c>
      <x:c r="F249" s="12" t="n">
        <x:f>E249/D249</x:f>
        <x:v>0.7663551401869159</x:v>
      </x:c>
      <x:c r="G249" s="12" t="n">
        <x:f>IF(SUMIFS($E$6:$E$557,$A$6:$A$557,A249,$B$6:$B$557,B249)=0,"n.a.",E249/SUMIFS($E$6:$E$557,$A$6:$A$557,A249,$B$6:$B$557,B249))</x:f>
        <x:v>0.16302186878727634</x:v>
      </x:c>
      <x:c r="H249" s="11" t="n">
        <x:v>231722</x:v>
      </x:c>
    </x:row>
    <x:row r="250" ht="23" customHeight="1">
      <x:c r="A250" s="10" t="str">
        <x:v>M3</x:v>
      </x:c>
      <x:c r="B250" s="10" t="str">
        <x:v>N</x:v>
      </x:c>
      <x:c r="C250" s="10" t="str">
        <x:v>pipe_fittings_valves_nozzles</x:v>
      </x:c>
      <x:c r="D250" s="11" t="n">
        <x:v>65</x:v>
      </x:c>
      <x:c r="E250" s="11" t="n">
        <x:v>59</x:v>
      </x:c>
      <x:c r="F250" s="12" t="n">
        <x:f>E250/D250</x:f>
        <x:v>0.9076923076923077</x:v>
      </x:c>
      <x:c r="G250" s="12" t="n">
        <x:f>IF(SUMIFS($E$6:$E$557,$A$6:$A$557,A250,$B$6:$B$557,B250)=0,"n.a.",E250/SUMIFS($E$6:$E$557,$A$6:$A$557,A250,$B$6:$B$557,B250))</x:f>
        <x:v>0.05864811133200795</x:v>
      </x:c>
      <x:c r="H250" s="11" t="n">
        <x:v>184302</x:v>
      </x:c>
    </x:row>
    <x:row r="251" ht="23" customHeight="1">
      <x:c r="A251" s="10" t="str">
        <x:v>M3</x:v>
      </x:c>
      <x:c r="B251" s="10" t="str">
        <x:v>N</x:v>
      </x:c>
      <x:c r="C251" s="10" t="str">
        <x:v>plates_discs_shapes</x:v>
      </x:c>
      <x:c r="D251" s="11" t="n">
        <x:v>250</x:v>
      </x:c>
      <x:c r="E251" s="11" t="n">
        <x:v>104</x:v>
      </x:c>
      <x:c r="F251" s="12" t="n">
        <x:f>E251/D251</x:f>
        <x:v>0.416</x:v>
      </x:c>
      <x:c r="G251" s="12" t="n">
        <x:f>IF(SUMIFS($E$6:$E$557,$A$6:$A$557,A251,$B$6:$B$557,B251)=0,"n.a.",E251/SUMIFS($E$6:$E$557,$A$6:$A$557,A251,$B$6:$B$557,B251))</x:f>
        <x:v>0.10337972166998012</x:v>
      </x:c>
      <x:c r="H251" s="11" t="n">
        <x:v>132170</x:v>
      </x:c>
    </x:row>
    <x:row r="252" ht="23" customHeight="1">
      <x:c r="A252" s="10" t="str">
        <x:v>M3</x:v>
      </x:c>
      <x:c r="B252" s="10" t="str">
        <x:v>N</x:v>
      </x:c>
      <x:c r="C252" s="10" t="str">
        <x:v>rotating_fluid_machinery</x:v>
      </x:c>
      <x:c r="D252" s="11" t="n">
        <x:v>17</x:v>
      </x:c>
      <x:c r="E252" s="11" t="n">
        <x:v>15</x:v>
      </x:c>
      <x:c r="F252" s="12" t="n">
        <x:f>E252/D252</x:f>
        <x:v>0.8823529411764706</x:v>
      </x:c>
      <x:c r="G252" s="12" t="n">
        <x:f>IF(SUMIFS($E$6:$E$557,$A$6:$A$557,A252,$B$6:$B$557,B252)=0,"n.a.",E252/SUMIFS($E$6:$E$557,$A$6:$A$557,A252,$B$6:$B$557,B252))</x:f>
        <x:v>0.014910536779324055</x:v>
      </x:c>
      <x:c r="H252" s="11" t="n">
        <x:v>69306</x:v>
      </x:c>
    </x:row>
    <x:row r="253" ht="23" customHeight="1">
      <x:c r="A253" s="10" t="str">
        <x:v>M3</x:v>
      </x:c>
      <x:c r="B253" s="10" t="str">
        <x:v>N</x:v>
      </x:c>
      <x:c r="C253" s="10" t="str">
        <x:v>screws_bolts_studs</x:v>
      </x:c>
      <x:c r="D253" s="11" t="n">
        <x:v>22</x:v>
      </x:c>
      <x:c r="E253" s="11" t="n">
        <x:v>19</x:v>
      </x:c>
      <x:c r="F253" s="12" t="n">
        <x:f>E253/D253</x:f>
        <x:v>0.8636363636363636</x:v>
      </x:c>
      <x:c r="G253" s="12" t="n">
        <x:f>IF(SUMIFS($E$6:$E$557,$A$6:$A$557,A253,$B$6:$B$557,B253)=0,"n.a.",E253/SUMIFS($E$6:$E$557,$A$6:$A$557,A253,$B$6:$B$557,B253))</x:f>
        <x:v>0.018886679920477135</x:v>
      </x:c>
      <x:c r="H253" s="11" t="n">
        <x:v>12292</x:v>
      </x:c>
    </x:row>
    <x:row r="254" ht="23" customHeight="1">
      <x:c r="A254" s="10" t="str">
        <x:v>M3</x:v>
      </x:c>
      <x:c r="B254" s="10" t="str">
        <x:v>N</x:v>
      </x:c>
      <x:c r="C254" s="10" t="str">
        <x:v>springs</x:v>
      </x:c>
      <x:c r="D254" s="11" t="n">
        <x:v>53</x:v>
      </x:c>
      <x:c r="E254" s="11" t="n">
        <x:v>41</x:v>
      </x:c>
      <x:c r="F254" s="12" t="n">
        <x:f>E254/D254</x:f>
        <x:v>0.7735849056603774</x:v>
      </x:c>
      <x:c r="G254" s="12" t="n">
        <x:f>IF(SUMIFS($E$6:$E$557,$A$6:$A$557,A254,$B$6:$B$557,B254)=0,"n.a.",E254/SUMIFS($E$6:$E$557,$A$6:$A$557,A254,$B$6:$B$557,B254))</x:f>
        <x:v>0.040755467196819085</x:v>
      </x:c>
      <x:c r="H254" s="11" t="n">
        <x:v>216120</x:v>
      </x:c>
    </x:row>
    <x:row r="255" ht="23" customHeight="1">
      <x:c r="A255" s="10" t="str">
        <x:v>M3</x:v>
      </x:c>
      <x:c r="B255" s="10" t="str">
        <x:v>N</x:v>
      </x:c>
      <x:c r="C255" s="10" t="str">
        <x:v>washers_rings_spacers</x:v>
      </x:c>
      <x:c r="D255" s="11" t="n">
        <x:v>59</x:v>
      </x:c>
      <x:c r="E255" s="11" t="n">
        <x:v>31</x:v>
      </x:c>
      <x:c r="F255" s="12" t="n">
        <x:f>E255/D255</x:f>
        <x:v>0.5254237288135594</x:v>
      </x:c>
      <x:c r="G255" s="12" t="n">
        <x:f>IF(SUMIFS($E$6:$E$557,$A$6:$A$557,A255,$B$6:$B$557,B255)=0,"n.a.",E255/SUMIFS($E$6:$E$557,$A$6:$A$557,A255,$B$6:$B$557,B255))</x:f>
        <x:v>0.030815109343936383</x:v>
      </x:c>
      <x:c r="H255" s="11" t="n">
        <x:v>12760</x:v>
      </x:c>
    </x:row>
    <x:row r="256" ht="23" customHeight="1">
      <x:c r="A256" s="10" t="str">
        <x:v>M3</x:v>
      </x:c>
      <x:c r="B256" s="10" t="str">
        <x:v>N</x:v>
      </x:c>
      <x:c r="C256" s="10" t="str">
        <x:v>wheels_castors</x:v>
      </x:c>
      <x:c r="D256" s="11" t="n">
        <x:v>6</x:v>
      </x:c>
      <x:c r="E256" s="11" t="n">
        <x:v>0</x:v>
      </x:c>
      <x:c r="F256" s="12" t="n">
        <x:f>E256/D256</x:f>
        <x:v>0</x:v>
      </x:c>
      <x:c r="G256" s="12" t="n">
        <x:f>IF(SUMIFS($E$6:$E$557,$A$6:$A$557,A256,$B$6:$B$557,B256)=0,"n.a.",E256/SUMIFS($E$6:$E$557,$A$6:$A$557,A256,$B$6:$B$557,B256))</x:f>
        <x:v>0</x:v>
      </x:c>
      <x:c r="H256" s="11" t="n">
        <x:v>0</x:v>
      </x:c>
    </x:row>
    <x:row r="257" ht="23" customHeight="1">
      <x:c r="A257" s="10" t="str">
        <x:v>M3</x:v>
      </x:c>
      <x:c r="B257" s="10" t="str">
        <x:v>C</x:v>
      </x:c>
      <x:c r="C257" s="10" t="str">
        <x:v>aluminum_extrusion</x:v>
      </x:c>
      <x:c r="D257" s="11" t="n">
        <x:v>4</x:v>
      </x:c>
      <x:c r="E257" s="11" t="n">
        <x:v>4</x:v>
      </x:c>
      <x:c r="F257" s="12" t="n">
        <x:f>E257/D257</x:f>
        <x:v>1</x:v>
      </x:c>
      <x:c r="G257" s="12" t="n">
        <x:f>IF(SUMIFS($E$6:$E$557,$A$6:$A$557,A257,$B$6:$B$557,B257)=0,"n.a.",E257/SUMIFS($E$6:$E$557,$A$6:$A$557,A257,$B$6:$B$557,B257))</x:f>
        <x:v>0.0035460992907801418</x:v>
      </x:c>
      <x:c r="H257" s="11" t="n">
        <x:v>9190</x:v>
      </x:c>
    </x:row>
    <x:row r="258" ht="23" customHeight="1">
      <x:c r="A258" s="10" t="str">
        <x:v>M3</x:v>
      </x:c>
      <x:c r="B258" s="10" t="str">
        <x:v>C</x:v>
      </x:c>
      <x:c r="C258" s="10" t="str">
        <x:v>cap_nut</x:v>
      </x:c>
      <x:c r="D258" s="11" t="n">
        <x:v>132</x:v>
      </x:c>
      <x:c r="E258" s="11" t="n">
        <x:v>63</x:v>
      </x:c>
      <x:c r="F258" s="12" t="n">
        <x:f>E258/D258</x:f>
        <x:v>0.4772727272727273</x:v>
      </x:c>
      <x:c r="G258" s="12" t="n">
        <x:f>IF(SUMIFS($E$6:$E$557,$A$6:$A$557,A258,$B$6:$B$557,B258)=0,"n.a.",E258/SUMIFS($E$6:$E$557,$A$6:$A$557,A258,$B$6:$B$557,B258))</x:f>
        <x:v>0.05585106382978723</x:v>
      </x:c>
      <x:c r="H258" s="11" t="n">
        <x:v>465846</x:v>
      </x:c>
    </x:row>
    <x:row r="259" ht="23" customHeight="1">
      <x:c r="A259" s="10" t="str">
        <x:v>M3</x:v>
      </x:c>
      <x:c r="B259" s="10" t="str">
        <x:v>C</x:v>
      </x:c>
      <x:c r="C259" s="10" t="str">
        <x:v>die_block</x:v>
      </x:c>
      <x:c r="D259" s="11" t="n">
        <x:v>91</x:v>
      </x:c>
      <x:c r="E259" s="11" t="n">
        <x:v>91</x:v>
      </x:c>
      <x:c r="F259" s="12" t="n">
        <x:f>E259/D259</x:f>
        <x:v>1</x:v>
      </x:c>
      <x:c r="G259" s="12" t="n">
        <x:f>IF(SUMIFS($E$6:$E$557,$A$6:$A$557,A259,$B$6:$B$557,B259)=0,"n.a.",E259/SUMIFS($E$6:$E$557,$A$6:$A$557,A259,$B$6:$B$557,B259))</x:f>
        <x:v>0.08067375886524823</x:v>
      </x:c>
      <x:c r="H259" s="11" t="n">
        <x:v>104934</x:v>
      </x:c>
    </x:row>
    <x:row r="260" ht="23" customHeight="1">
      <x:c r="A260" s="10" t="str">
        <x:v>M3</x:v>
      </x:c>
      <x:c r="B260" s="10" t="str">
        <x:v>C</x:v>
      </x:c>
      <x:c r="C260" s="10" t="str">
        <x:v>dowel_pin</x:v>
      </x:c>
      <x:c r="D260" s="11" t="n">
        <x:v>251</x:v>
      </x:c>
      <x:c r="E260" s="11" t="n">
        <x:v>97</x:v>
      </x:c>
      <x:c r="F260" s="12" t="n">
        <x:f>E260/D260</x:f>
        <x:v>0.38645418326693226</x:v>
      </x:c>
      <x:c r="G260" s="12" t="n">
        <x:f>IF(SUMIFS($E$6:$E$557,$A$6:$A$557,A260,$B$6:$B$557,B260)=0,"n.a.",E260/SUMIFS($E$6:$E$557,$A$6:$A$557,A260,$B$6:$B$557,B260))</x:f>
        <x:v>0.08599290780141844</x:v>
      </x:c>
      <x:c r="H260" s="11" t="n">
        <x:v>60204</x:v>
      </x:c>
    </x:row>
    <x:row r="261" ht="23" customHeight="1">
      <x:c r="A261" s="10" t="str">
        <x:v>M3</x:v>
      </x:c>
      <x:c r="B261" s="10" t="str">
        <x:v>C</x:v>
      </x:c>
      <x:c r="C261" s="10" t="str">
        <x:v>feature_plate</x:v>
      </x:c>
      <x:c r="D261" s="11" t="n">
        <x:v>14</x:v>
      </x:c>
      <x:c r="E261" s="11" t="n">
        <x:v>14</x:v>
      </x:c>
      <x:c r="F261" s="12" t="n">
        <x:f>E261/D261</x:f>
        <x:v>1</x:v>
      </x:c>
      <x:c r="G261" s="12" t="n">
        <x:f>IF(SUMIFS($E$6:$E$557,$A$6:$A$557,A261,$B$6:$B$557,B261)=0,"n.a.",E261/SUMIFS($E$6:$E$557,$A$6:$A$557,A261,$B$6:$B$557,B261))</x:f>
        <x:v>0.012411347517730497</x:v>
      </x:c>
      <x:c r="H261" s="11" t="n">
        <x:v>41558</x:v>
      </x:c>
    </x:row>
    <x:row r="262" ht="23" customHeight="1">
      <x:c r="A262" s="10" t="str">
        <x:v>M3</x:v>
      </x:c>
      <x:c r="B262" s="10" t="str">
        <x:v>C</x:v>
      </x:c>
      <x:c r="C262" s="10" t="str">
        <x:v>flat_washer</x:v>
      </x:c>
      <x:c r="D262" s="11" t="n">
        <x:v>43</x:v>
      </x:c>
      <x:c r="E262" s="11" t="n">
        <x:v>43</x:v>
      </x:c>
      <x:c r="F262" s="12" t="n">
        <x:f>E262/D262</x:f>
        <x:v>1</x:v>
      </x:c>
      <x:c r="G262" s="12" t="n">
        <x:f>IF(SUMIFS($E$6:$E$557,$A$6:$A$557,A262,$B$6:$B$557,B262)=0,"n.a.",E262/SUMIFS($E$6:$E$557,$A$6:$A$557,A262,$B$6:$B$557,B262))</x:f>
        <x:v>0.038120567375886524</x:v>
      </x:c>
      <x:c r="H262" s="11" t="n">
        <x:v>19366</x:v>
      </x:c>
    </x:row>
    <x:row r="263" ht="23" customHeight="1">
      <x:c r="A263" s="10" t="str">
        <x:v>M3</x:v>
      </x:c>
      <x:c r="B263" s="10" t="str">
        <x:v>C</x:v>
      </x:c>
      <x:c r="C263" s="10" t="str">
        <x:v>hex_nut</x:v>
      </x:c>
      <x:c r="D263" s="11" t="n">
        <x:v>61</x:v>
      </x:c>
      <x:c r="E263" s="11" t="n">
        <x:v>11</x:v>
      </x:c>
      <x:c r="F263" s="12" t="n">
        <x:f>E263/D263</x:f>
        <x:v>0.18032786885245902</x:v>
      </x:c>
      <x:c r="G263" s="12" t="n">
        <x:f>IF(SUMIFS($E$6:$E$557,$A$6:$A$557,A263,$B$6:$B$557,B263)=0,"n.a.",E263/SUMIFS($E$6:$E$557,$A$6:$A$557,A263,$B$6:$B$557,B263))</x:f>
        <x:v>0.00975177304964539</x:v>
      </x:c>
      <x:c r="H263" s="11" t="n">
        <x:v>14248</x:v>
      </x:c>
    </x:row>
    <x:row r="264" ht="23" customHeight="1">
      <x:c r="A264" s="10" t="str">
        <x:v>M3</x:v>
      </x:c>
      <x:c r="B264" s="10" t="str">
        <x:v>C</x:v>
      </x:c>
      <x:c r="C264" s="10" t="str">
        <x:v>machine_base</x:v>
      </x:c>
      <x:c r="D264" s="11" t="n">
        <x:v>3</x:v>
      </x:c>
      <x:c r="E264" s="11" t="n">
        <x:v>3</x:v>
      </x:c>
      <x:c r="F264" s="12" t="n">
        <x:f>E264/D264</x:f>
        <x:v>1</x:v>
      </x:c>
      <x:c r="G264" s="12" t="n">
        <x:f>IF(SUMIFS($E$6:$E$557,$A$6:$A$557,A264,$B$6:$B$557,B264)=0,"n.a.",E264/SUMIFS($E$6:$E$557,$A$6:$A$557,A264,$B$6:$B$557,B264))</x:f>
        <x:v>0.0026595744680851063</x:v>
      </x:c>
      <x:c r="H264" s="11" t="n">
        <x:v>8580</x:v>
      </x:c>
    </x:row>
    <x:row r="265" ht="23" customHeight="1">
      <x:c r="A265" s="10" t="str">
        <x:v>M3</x:v>
      </x:c>
      <x:c r="B265" s="10" t="str">
        <x:v>C</x:v>
      </x:c>
      <x:c r="C265" s="10" t="str">
        <x:v>mounting_plate</x:v>
      </x:c>
      <x:c r="D265" s="11" t="n">
        <x:v>13</x:v>
      </x:c>
      <x:c r="E265" s="11" t="n">
        <x:v>13</x:v>
      </x:c>
      <x:c r="F265" s="12" t="n">
        <x:f>E265/D265</x:f>
        <x:v>1</x:v>
      </x:c>
      <x:c r="G265" s="12" t="n">
        <x:f>IF(SUMIFS($E$6:$E$557,$A$6:$A$557,A265,$B$6:$B$557,B265)=0,"n.a.",E265/SUMIFS($E$6:$E$557,$A$6:$A$557,A265,$B$6:$B$557,B265))</x:f>
        <x:v>0.01152482269503546</x:v>
      </x:c>
      <x:c r="H265" s="11" t="n">
        <x:v>16128</x:v>
      </x:c>
    </x:row>
    <x:row r="266" ht="23" customHeight="1">
      <x:c r="A266" s="10" t="str">
        <x:v>M3</x:v>
      </x:c>
      <x:c r="B266" s="10" t="str">
        <x:v>C</x:v>
      </x:c>
      <x:c r="C266" s="10" t="str">
        <x:v>nozzle</x:v>
      </x:c>
      <x:c r="D266" s="11" t="n">
        <x:v>5</x:v>
      </x:c>
      <x:c r="E266" s="11" t="n">
        <x:v>5</x:v>
      </x:c>
      <x:c r="F266" s="12" t="n">
        <x:f>E266/D266</x:f>
        <x:v>1</x:v>
      </x:c>
      <x:c r="G266" s="12" t="n">
        <x:f>IF(SUMIFS($E$6:$E$557,$A$6:$A$557,A266,$B$6:$B$557,B266)=0,"n.a.",E266/SUMIFS($E$6:$E$557,$A$6:$A$557,A266,$B$6:$B$557,B266))</x:f>
        <x:v>0.004432624113475178</x:v>
      </x:c>
      <x:c r="H266" s="11" t="n">
        <x:v>8240</x:v>
      </x:c>
    </x:row>
    <x:row r="267" ht="23" customHeight="1">
      <x:c r="A267" s="10" t="str">
        <x:v>M3</x:v>
      </x:c>
      <x:c r="B267" s="10" t="str">
        <x:v>C</x:v>
      </x:c>
      <x:c r="C267" s="10" t="str">
        <x:v>plain_block</x:v>
      </x:c>
      <x:c r="D267" s="11" t="n">
        <x:v>535</x:v>
      </x:c>
      <x:c r="E267" s="11" t="n">
        <x:v>535</x:v>
      </x:c>
      <x:c r="F267" s="12" t="n">
        <x:f>E267/D267</x:f>
        <x:v>1</x:v>
      </x:c>
      <x:c r="G267" s="12" t="n">
        <x:f>IF(SUMIFS($E$6:$E$557,$A$6:$A$557,A267,$B$6:$B$557,B267)=0,"n.a.",E267/SUMIFS($E$6:$E$557,$A$6:$A$557,A267,$B$6:$B$557,B267))</x:f>
        <x:v>0.47429078014184395</x:v>
      </x:c>
      <x:c r="H267" s="11" t="n">
        <x:v>1308536</x:v>
      </x:c>
    </x:row>
    <x:row r="268" ht="23" customHeight="1">
      <x:c r="A268" s="10" t="str">
        <x:v>M3</x:v>
      </x:c>
      <x:c r="B268" s="10" t="str">
        <x:v>C</x:v>
      </x:c>
      <x:c r="C268" s="10" t="str">
        <x:v>plain_shaft</x:v>
      </x:c>
      <x:c r="D268" s="11" t="n">
        <x:v>4</x:v>
      </x:c>
      <x:c r="E268" s="11" t="n">
        <x:v>4</x:v>
      </x:c>
      <x:c r="F268" s="12" t="n">
        <x:f>E268/D268</x:f>
        <x:v>1</x:v>
      </x:c>
      <x:c r="G268" s="12" t="n">
        <x:f>IF(SUMIFS($E$6:$E$557,$A$6:$A$557,A268,$B$6:$B$557,B268)=0,"n.a.",E268/SUMIFS($E$6:$E$557,$A$6:$A$557,A268,$B$6:$B$557,B268))</x:f>
        <x:v>0.0035460992907801418</x:v>
      </x:c>
      <x:c r="H268" s="11" t="n">
        <x:v>26408</x:v>
      </x:c>
    </x:row>
    <x:row r="269" ht="23" customHeight="1">
      <x:c r="A269" s="10" t="str">
        <x:v>M3</x:v>
      </x:c>
      <x:c r="B269" s="10" t="str">
        <x:v>C</x:v>
      </x:c>
      <x:c r="C269" s="10" t="str">
        <x:v>punch_tool</x:v>
      </x:c>
      <x:c r="D269" s="11" t="n">
        <x:v>4</x:v>
      </x:c>
      <x:c r="E269" s="11" t="n">
        <x:v>4</x:v>
      </x:c>
      <x:c r="F269" s="12" t="n">
        <x:f>E269/D269</x:f>
        <x:v>1</x:v>
      </x:c>
      <x:c r="G269" s="12" t="n">
        <x:f>IF(SUMIFS($E$6:$E$557,$A$6:$A$557,A269,$B$6:$B$557,B269)=0,"n.a.",E269/SUMIFS($E$6:$E$557,$A$6:$A$557,A269,$B$6:$B$557,B269))</x:f>
        <x:v>0.0035460992907801418</x:v>
      </x:c>
      <x:c r="H269" s="11" t="n">
        <x:v>6830</x:v>
      </x:c>
    </x:row>
    <x:row r="270" ht="23" customHeight="1">
      <x:c r="A270" s="10" t="str">
        <x:v>M3</x:v>
      </x:c>
      <x:c r="B270" s="10" t="str">
        <x:v>C</x:v>
      </x:c>
      <x:c r="C270" s="10" t="str">
        <x:v>retaining_ring</x:v>
      </x:c>
      <x:c r="D270" s="11" t="n">
        <x:v>3</x:v>
      </x:c>
      <x:c r="E270" s="11" t="n">
        <x:v>3</x:v>
      </x:c>
      <x:c r="F270" s="12" t="n">
        <x:f>E270/D270</x:f>
        <x:v>1</x:v>
      </x:c>
      <x:c r="G270" s="12" t="n">
        <x:f>IF(SUMIFS($E$6:$E$557,$A$6:$A$557,A270,$B$6:$B$557,B270)=0,"n.a.",E270/SUMIFS($E$6:$E$557,$A$6:$A$557,A270,$B$6:$B$557,B270))</x:f>
        <x:v>0.0026595744680851063</x:v>
      </x:c>
      <x:c r="H270" s="11" t="n">
        <x:v>4136</x:v>
      </x:c>
    </x:row>
    <x:row r="271" ht="23" customHeight="1">
      <x:c r="A271" s="10" t="str">
        <x:v>M3</x:v>
      </x:c>
      <x:c r="B271" s="10" t="str">
        <x:v>C</x:v>
      </x:c>
      <x:c r="C271" s="10" t="str">
        <x:v>shaft_key</x:v>
      </x:c>
      <x:c r="D271" s="11" t="n">
        <x:v>212</x:v>
      </x:c>
      <x:c r="E271" s="11" t="n">
        <x:v>139</x:v>
      </x:c>
      <x:c r="F271" s="12" t="n">
        <x:f>E271/D271</x:f>
        <x:v>0.6556603773584906</x:v>
      </x:c>
      <x:c r="G271" s="12" t="n">
        <x:f>IF(SUMIFS($E$6:$E$557,$A$6:$A$557,A271,$B$6:$B$557,B271)=0,"n.a.",E271/SUMIFS($E$6:$E$557,$A$6:$A$557,A271,$B$6:$B$557,B271))</x:f>
        <x:v>0.12322695035460993</x:v>
      </x:c>
      <x:c r="H271" s="11" t="n">
        <x:v>282720</x:v>
      </x:c>
    </x:row>
    <x:row r="272" ht="23" customHeight="1">
      <x:c r="A272" s="10" t="str">
        <x:v>M3</x:v>
      </x:c>
      <x:c r="B272" s="10" t="str">
        <x:v>C</x:v>
      </x:c>
      <x:c r="C272" s="10" t="str">
        <x:v>slotted_nut</x:v>
      </x:c>
      <x:c r="D272" s="11" t="n">
        <x:v>4</x:v>
      </x:c>
      <x:c r="E272" s="11" t="n">
        <x:v>4</x:v>
      </x:c>
      <x:c r="F272" s="12" t="n">
        <x:f>E272/D272</x:f>
        <x:v>1</x:v>
      </x:c>
      <x:c r="G272" s="12" t="n">
        <x:f>IF(SUMIFS($E$6:$E$557,$A$6:$A$557,A272,$B$6:$B$557,B272)=0,"n.a.",E272/SUMIFS($E$6:$E$557,$A$6:$A$557,A272,$B$6:$B$557,B272))</x:f>
        <x:v>0.0035460992907801418</x:v>
      </x:c>
      <x:c r="H272" s="11" t="n">
        <x:v>20364</x:v>
      </x:c>
    </x:row>
    <x:row r="273" ht="23" customHeight="1">
      <x:c r="A273" s="10" t="str">
        <x:v>M3</x:v>
      </x:c>
      <x:c r="B273" s="10" t="str">
        <x:v>C</x:v>
      </x:c>
      <x:c r="C273" s="10" t="str">
        <x:v>sprocket</x:v>
      </x:c>
      <x:c r="D273" s="11" t="n">
        <x:v>18</x:v>
      </x:c>
      <x:c r="E273" s="11" t="n">
        <x:v>18</x:v>
      </x:c>
      <x:c r="F273" s="12" t="n">
        <x:f>E273/D273</x:f>
        <x:v>1</x:v>
      </x:c>
      <x:c r="G273" s="12" t="n">
        <x:f>IF(SUMIFS($E$6:$E$557,$A$6:$A$557,A273,$B$6:$B$557,B273)=0,"n.a.",E273/SUMIFS($E$6:$E$557,$A$6:$A$557,A273,$B$6:$B$557,B273))</x:f>
        <x:v>0.015957446808510637</x:v>
      </x:c>
      <x:c r="H273" s="11" t="n">
        <x:v>81172</x:v>
      </x:c>
    </x:row>
    <x:row r="274" ht="23" customHeight="1">
      <x:c r="A274" s="10" t="str">
        <x:v>M3</x:v>
      </x:c>
      <x:c r="B274" s="10" t="str">
        <x:v>C</x:v>
      </x:c>
      <x:c r="C274" s="10" t="str">
        <x:v>suction_cup</x:v>
      </x:c>
      <x:c r="D274" s="11" t="n">
        <x:v>1</x:v>
      </x:c>
      <x:c r="E274" s="11" t="n">
        <x:v>1</x:v>
      </x:c>
      <x:c r="F274" s="12" t="n">
        <x:f>E274/D274</x:f>
        <x:v>1</x:v>
      </x:c>
      <x:c r="G274" s="12" t="n">
        <x:f>IF(SUMIFS($E$6:$E$557,$A$6:$A$557,A274,$B$6:$B$557,B274)=0,"n.a.",E274/SUMIFS($E$6:$E$557,$A$6:$A$557,A274,$B$6:$B$557,B274))</x:f>
        <x:v>0.0008865248226950354</x:v>
      </x:c>
      <x:c r="H274" s="11" t="n">
        <x:v>2698</x:v>
      </x:c>
    </x:row>
    <x:row r="275" ht="23" customHeight="1">
      <x:c r="A275" s="10" t="str">
        <x:v>M3</x:v>
      </x:c>
      <x:c r="B275" s="10" t="str">
        <x:v>C</x:v>
      </x:c>
      <x:c r="C275" s="10" t="str">
        <x:v>threaded_stud</x:v>
      </x:c>
      <x:c r="D275" s="11" t="n">
        <x:v>82</x:v>
      </x:c>
      <x:c r="E275" s="11" t="n">
        <x:v>75</x:v>
      </x:c>
      <x:c r="F275" s="12" t="n">
        <x:f>E275/D275</x:f>
        <x:v>0.9146341463414634</x:v>
      </x:c>
      <x:c r="G275" s="12" t="n">
        <x:f>IF(SUMIFS($E$6:$E$557,$A$6:$A$557,A275,$B$6:$B$557,B275)=0,"n.a.",E275/SUMIFS($E$6:$E$557,$A$6:$A$557,A275,$B$6:$B$557,B275))</x:f>
        <x:v>0.06648936170212766</x:v>
      </x:c>
      <x:c r="H275" s="11" t="n">
        <x:v>208404</x:v>
      </x:c>
    </x:row>
    <x:row r="276" ht="23" customHeight="1">
      <x:c r="A276" s="10" t="str">
        <x:v>M3</x:v>
      </x:c>
      <x:c r="B276" s="10" t="str">
        <x:v>C</x:v>
      </x:c>
      <x:c r="C276" s="10" t="str">
        <x:v>timing_belt</x:v>
      </x:c>
      <x:c r="D276" s="11" t="n">
        <x:v>1</x:v>
      </x:c>
      <x:c r="E276" s="11" t="n">
        <x:v>1</x:v>
      </x:c>
      <x:c r="F276" s="12" t="n">
        <x:f>E276/D276</x:f>
        <x:v>1</x:v>
      </x:c>
      <x:c r="G276" s="12" t="n">
        <x:f>IF(SUMIFS($E$6:$E$557,$A$6:$A$557,A276,$B$6:$B$557,B276)=0,"n.a.",E276/SUMIFS($E$6:$E$557,$A$6:$A$557,A276,$B$6:$B$557,B276))</x:f>
        <x:v>0.0008865248226950354</x:v>
      </x:c>
      <x:c r="H276" s="11" t="n">
        <x:v>2108</x:v>
      </x:c>
    </x:row>
    <x:row r="277" ht="23" customHeight="1">
      <x:c r="A277" s="10" t="str">
        <x:v>M4</x:v>
      </x:c>
      <x:c r="B277" s="10" t="str">
        <x:v>N</x:v>
      </x:c>
      <x:c r="C277" s="10" t="str">
        <x:v>bearings_bushings_guides</x:v>
      </x:c>
      <x:c r="D277" s="11" t="n">
        <x:v>488</x:v>
      </x:c>
      <x:c r="E277" s="11" t="n">
        <x:v>287</x:v>
      </x:c>
      <x:c r="F277" s="12" t="n">
        <x:f>E277/D277</x:f>
        <x:v>0.5881147540983607</x:v>
      </x:c>
      <x:c r="G277" s="12" t="n">
        <x:f>IF(SUMIFS($E$6:$E$557,$A$6:$A$557,A277,$B$6:$B$557,B277)=0,"n.a.",E277/SUMIFS($E$6:$E$557,$A$6:$A$557,A277,$B$6:$B$557,B277))</x:f>
        <x:v>0.1349952963311383</x:v>
      </x:c>
      <x:c r="H277" s="11" t="n">
        <x:v>1326442</x:v>
      </x:c>
    </x:row>
    <x:row r="278" ht="23" customHeight="1">
      <x:c r="A278" s="10" t="str">
        <x:v>M4</x:v>
      </x:c>
      <x:c r="B278" s="10" t="str">
        <x:v>N</x:v>
      </x:c>
      <x:c r="C278" s="10" t="str">
        <x:v>gears_pulleys_chains</x:v>
      </x:c>
      <x:c r="D278" s="11" t="n">
        <x:v>37</x:v>
      </x:c>
      <x:c r="E278" s="11" t="n">
        <x:v>35</x:v>
      </x:c>
      <x:c r="F278" s="12" t="n">
        <x:f>E278/D278</x:f>
        <x:v>0.9459459459459459</x:v>
      </x:c>
      <x:c r="G278" s="12" t="n">
        <x:f>IF(SUMIFS($E$6:$E$557,$A$6:$A$557,A278,$B$6:$B$557,B278)=0,"n.a.",E278/SUMIFS($E$6:$E$557,$A$6:$A$557,A278,$B$6:$B$557,B278))</x:f>
        <x:v>0.016462841015992474</x:v>
      </x:c>
      <x:c r="H278" s="11" t="n">
        <x:v>189164</x:v>
      </x:c>
    </x:row>
    <x:row r="279" ht="23" customHeight="1">
      <x:c r="A279" s="10" t="str">
        <x:v>M4</x:v>
      </x:c>
      <x:c r="B279" s="10" t="str">
        <x:v>N</x:v>
      </x:c>
      <x:c r="C279" s="10" t="str">
        <x:v>handles_controls</x:v>
      </x:c>
      <x:c r="D279" s="11" t="n">
        <x:v>358</x:v>
      </x:c>
      <x:c r="E279" s="11" t="n">
        <x:v>287</x:v>
      </x:c>
      <x:c r="F279" s="12" t="n">
        <x:f>E279/D279</x:f>
        <x:v>0.8016759776536313</x:v>
      </x:c>
      <x:c r="G279" s="12" t="n">
        <x:f>IF(SUMIFS($E$6:$E$557,$A$6:$A$557,A279,$B$6:$B$557,B279)=0,"n.a.",E279/SUMIFS($E$6:$E$557,$A$6:$A$557,A279,$B$6:$B$557,B279))</x:f>
        <x:v>0.1349952963311383</x:v>
      </x:c>
      <x:c r="H279" s="11" t="n">
        <x:v>679663</x:v>
      </x:c>
    </x:row>
    <x:row r="280" ht="23" customHeight="1">
      <x:c r="A280" s="10" t="str">
        <x:v>M4</x:v>
      </x:c>
      <x:c r="B280" s="10" t="str">
        <x:v>N</x:v>
      </x:c>
      <x:c r="C280" s="10" t="str">
        <x:v>joints_clamps_structural_connectors</x:v>
      </x:c>
      <x:c r="D280" s="11" t="n">
        <x:v>419</x:v>
      </x:c>
      <x:c r="E280" s="11" t="n">
        <x:v>350</x:v>
      </x:c>
      <x:c r="F280" s="12" t="n">
        <x:f>E280/D280</x:f>
        <x:v>0.8353221957040573</x:v>
      </x:c>
      <x:c r="G280" s="12" t="n">
        <x:f>IF(SUMIFS($E$6:$E$557,$A$6:$A$557,A280,$B$6:$B$557,B280)=0,"n.a.",E280/SUMIFS($E$6:$E$557,$A$6:$A$557,A280,$B$6:$B$557,B280))</x:f>
        <x:v>0.16462841015992474</x:v>
      </x:c>
      <x:c r="H280" s="11" t="n">
        <x:v>953830</x:v>
      </x:c>
    </x:row>
    <x:row r="281" ht="23" customHeight="1">
      <x:c r="A281" s="10" t="str">
        <x:v>M4</x:v>
      </x:c>
      <x:c r="B281" s="10" t="str">
        <x:v>N</x:v>
      </x:c>
      <x:c r="C281" s="10" t="str">
        <x:v>motors_gearmotors</x:v>
      </x:c>
      <x:c r="D281" s="11" t="n">
        <x:v>34</x:v>
      </x:c>
      <x:c r="E281" s="11" t="n">
        <x:v>20</x:v>
      </x:c>
      <x:c r="F281" s="12" t="n">
        <x:f>E281/D281</x:f>
        <x:v>0.5882352941176471</x:v>
      </x:c>
      <x:c r="G281" s="12" t="n">
        <x:f>IF(SUMIFS($E$6:$E$557,$A$6:$A$557,A281,$B$6:$B$557,B281)=0,"n.a.",E281/SUMIFS($E$6:$E$557,$A$6:$A$557,A281,$B$6:$B$557,B281))</x:f>
        <x:v>0.00940733772342427</x:v>
      </x:c>
      <x:c r="H281" s="11" t="n">
        <x:v>84548</x:v>
      </x:c>
    </x:row>
    <x:row r="282" ht="23" customHeight="1">
      <x:c r="A282" s="10" t="str">
        <x:v>M4</x:v>
      </x:c>
      <x:c r="B282" s="10" t="str">
        <x:v>N</x:v>
      </x:c>
      <x:c r="C282" s="10" t="str">
        <x:v>nuts</x:v>
      </x:c>
      <x:c r="D282" s="11" t="n">
        <x:v>164</x:v>
      </x:c>
      <x:c r="E282" s="11" t="n">
        <x:v>66</x:v>
      </x:c>
      <x:c r="F282" s="12" t="n">
        <x:f>E282/D282</x:f>
        <x:v>0.4024390243902439</x:v>
      </x:c>
      <x:c r="G282" s="12" t="n">
        <x:f>IF(SUMIFS($E$6:$E$557,$A$6:$A$557,A282,$B$6:$B$557,B282)=0,"n.a.",E282/SUMIFS($E$6:$E$557,$A$6:$A$557,A282,$B$6:$B$557,B282))</x:f>
        <x:v>0.031044214487300093</x:v>
      </x:c>
      <x:c r="H282" s="11" t="n">
        <x:v>95361</x:v>
      </x:c>
    </x:row>
    <x:row r="283" ht="23" customHeight="1">
      <x:c r="A283" s="10" t="str">
        <x:v>M4</x:v>
      </x:c>
      <x:c r="B283" s="10" t="str">
        <x:v>N</x:v>
      </x:c>
      <x:c r="C283" s="10" t="str">
        <x:v>pins_rivets_keys</x:v>
      </x:c>
      <x:c r="D283" s="11" t="n">
        <x:v>468</x:v>
      </x:c>
      <x:c r="E283" s="11" t="n">
        <x:v>327</x:v>
      </x:c>
      <x:c r="F283" s="12" t="n">
        <x:f>E283/D283</x:f>
        <x:v>0.6987179487179487</x:v>
      </x:c>
      <x:c r="G283" s="12" t="n">
        <x:f>IF(SUMIFS($E$6:$E$557,$A$6:$A$557,A283,$B$6:$B$557,B283)=0,"n.a.",E283/SUMIFS($E$6:$E$557,$A$6:$A$557,A283,$B$6:$B$557,B283))</x:f>
        <x:v>0.15380997177798683</x:v>
      </x:c>
      <x:c r="H283" s="11" t="n">
        <x:v>358186</x:v>
      </x:c>
    </x:row>
    <x:row r="284" ht="23" customHeight="1">
      <x:c r="A284" s="10" t="str">
        <x:v>M4</x:v>
      </x:c>
      <x:c r="B284" s="10" t="str">
        <x:v>N</x:v>
      </x:c>
      <x:c r="C284" s="10" t="str">
        <x:v>pipe_fittings_valves_nozzles</x:v>
      </x:c>
      <x:c r="D284" s="11" t="n">
        <x:v>151</x:v>
      </x:c>
      <x:c r="E284" s="11" t="n">
        <x:v>120</x:v>
      </x:c>
      <x:c r="F284" s="12" t="n">
        <x:f>E284/D284</x:f>
        <x:v>0.7947019867549668</x:v>
      </x:c>
      <x:c r="G284" s="12" t="n">
        <x:f>IF(SUMIFS($E$6:$E$557,$A$6:$A$557,A284,$B$6:$B$557,B284)=0,"n.a.",E284/SUMIFS($E$6:$E$557,$A$6:$A$557,A284,$B$6:$B$557,B284))</x:f>
        <x:v>0.05644402634054563</x:v>
      </x:c>
      <x:c r="H284" s="11" t="n">
        <x:v>268829</x:v>
      </x:c>
    </x:row>
    <x:row r="285" ht="23" customHeight="1">
      <x:c r="A285" s="10" t="str">
        <x:v>M4</x:v>
      </x:c>
      <x:c r="B285" s="10" t="str">
        <x:v>N</x:v>
      </x:c>
      <x:c r="C285" s="10" t="str">
        <x:v>plates_discs_shapes</x:v>
      </x:c>
      <x:c r="D285" s="11" t="n">
        <x:v>2511</x:v>
      </x:c>
      <x:c r="E285" s="11" t="n">
        <x:v>259</x:v>
      </x:c>
      <x:c r="F285" s="12" t="n">
        <x:f>E285/D285</x:f>
        <x:v>0.10314615690959777</x:v>
      </x:c>
      <x:c r="G285" s="12" t="n">
        <x:f>IF(SUMIFS($E$6:$E$557,$A$6:$A$557,A285,$B$6:$B$557,B285)=0,"n.a.",E285/SUMIFS($E$6:$E$557,$A$6:$A$557,A285,$B$6:$B$557,B285))</x:f>
        <x:v>0.1218250235183443</x:v>
      </x:c>
      <x:c r="H285" s="11" t="n">
        <x:v>454620</x:v>
      </x:c>
    </x:row>
    <x:row r="286" ht="23" customHeight="1">
      <x:c r="A286" s="10" t="str">
        <x:v>M4</x:v>
      </x:c>
      <x:c r="B286" s="10" t="str">
        <x:v>N</x:v>
      </x:c>
      <x:c r="C286" s="10" t="str">
        <x:v>rotating_fluid_machinery</x:v>
      </x:c>
      <x:c r="D286" s="11" t="n">
        <x:v>95</x:v>
      </x:c>
      <x:c r="E286" s="11" t="n">
        <x:v>50</x:v>
      </x:c>
      <x:c r="F286" s="12" t="n">
        <x:f>E286/D286</x:f>
        <x:v>0.5263157894736842</x:v>
      </x:c>
      <x:c r="G286" s="12" t="n">
        <x:f>IF(SUMIFS($E$6:$E$557,$A$6:$A$557,A286,$B$6:$B$557,B286)=0,"n.a.",E286/SUMIFS($E$6:$E$557,$A$6:$A$557,A286,$B$6:$B$557,B286))</x:f>
        <x:v>0.023518344308560677</x:v>
      </x:c>
      <x:c r="H286" s="11" t="n">
        <x:v>210587</x:v>
      </x:c>
    </x:row>
    <x:row r="287" ht="23" customHeight="1">
      <x:c r="A287" s="10" t="str">
        <x:v>M4</x:v>
      </x:c>
      <x:c r="B287" s="10" t="str">
        <x:v>N</x:v>
      </x:c>
      <x:c r="C287" s="10" t="str">
        <x:v>screws_bolts_studs</x:v>
      </x:c>
      <x:c r="D287" s="11" t="n">
        <x:v>506</x:v>
      </x:c>
      <x:c r="E287" s="11" t="n">
        <x:v>238</x:v>
      </x:c>
      <x:c r="F287" s="12" t="n">
        <x:f>E287/D287</x:f>
        <x:v>0.47035573122529645</x:v>
      </x:c>
      <x:c r="G287" s="12" t="n">
        <x:f>IF(SUMIFS($E$6:$E$557,$A$6:$A$557,A287,$B$6:$B$557,B287)=0,"n.a.",E287/SUMIFS($E$6:$E$557,$A$6:$A$557,A287,$B$6:$B$557,B287))</x:f>
        <x:v>0.11194731890874883</x:v>
      </x:c>
      <x:c r="H287" s="11" t="n">
        <x:v>498530</x:v>
      </x:c>
    </x:row>
    <x:row r="288" ht="23" customHeight="1">
      <x:c r="A288" s="10" t="str">
        <x:v>M4</x:v>
      </x:c>
      <x:c r="B288" s="10" t="str">
        <x:v>N</x:v>
      </x:c>
      <x:c r="C288" s="10" t="str">
        <x:v>springs</x:v>
      </x:c>
      <x:c r="D288" s="11" t="n">
        <x:v>12</x:v>
      </x:c>
      <x:c r="E288" s="11" t="n">
        <x:v>4</x:v>
      </x:c>
      <x:c r="F288" s="12" t="n">
        <x:f>E288/D288</x:f>
        <x:v>0.3333333333333333</x:v>
      </x:c>
      <x:c r="G288" s="12" t="n">
        <x:f>IF(SUMIFS($E$6:$E$557,$A$6:$A$557,A288,$B$6:$B$557,B288)=0,"n.a.",E288/SUMIFS($E$6:$E$557,$A$6:$A$557,A288,$B$6:$B$557,B288))</x:f>
        <x:v>0.0018814675446848542</x:v>
      </x:c>
      <x:c r="H288" s="11" t="n">
        <x:v>5168</x:v>
      </x:c>
    </x:row>
    <x:row r="289" ht="23" customHeight="1">
      <x:c r="A289" s="10" t="str">
        <x:v>M4</x:v>
      </x:c>
      <x:c r="B289" s="10" t="str">
        <x:v>N</x:v>
      </x:c>
      <x:c r="C289" s="10" t="str">
        <x:v>washers_rings_spacers</x:v>
      </x:c>
      <x:c r="D289" s="11" t="n">
        <x:v>207</x:v>
      </x:c>
      <x:c r="E289" s="11" t="n">
        <x:v>82</x:v>
      </x:c>
      <x:c r="F289" s="12" t="n">
        <x:f>E289/D289</x:f>
        <x:v>0.3961352657004831</x:v>
      </x:c>
      <x:c r="G289" s="12" t="n">
        <x:f>IF(SUMIFS($E$6:$E$557,$A$6:$A$557,A289,$B$6:$B$557,B289)=0,"n.a.",E289/SUMIFS($E$6:$E$557,$A$6:$A$557,A289,$B$6:$B$557,B289))</x:f>
        <x:v>0.03857008466603951</x:v>
      </x:c>
      <x:c r="H289" s="11" t="n">
        <x:v>475510</x:v>
      </x:c>
    </x:row>
    <x:row r="290" ht="23" customHeight="1">
      <x:c r="A290" s="10" t="str">
        <x:v>M4</x:v>
      </x:c>
      <x:c r="B290" s="10" t="str">
        <x:v>N</x:v>
      </x:c>
      <x:c r="C290" s="10" t="str">
        <x:v>wheels_castors</x:v>
      </x:c>
      <x:c r="D290" s="11" t="n">
        <x:v>1</x:v>
      </x:c>
      <x:c r="E290" s="11" t="n">
        <x:v>1</x:v>
      </x:c>
      <x:c r="F290" s="12" t="n">
        <x:f>E290/D290</x:f>
        <x:v>1</x:v>
      </x:c>
      <x:c r="G290" s="12" t="n">
        <x:f>IF(SUMIFS($E$6:$E$557,$A$6:$A$557,A290,$B$6:$B$557,B290)=0,"n.a.",E290/SUMIFS($E$6:$E$557,$A$6:$A$557,A290,$B$6:$B$557,B290))</x:f>
        <x:v>0.00047036688617121356</x:v>
      </x:c>
      <x:c r="H290" s="11" t="n">
        <x:v>4432</x:v>
      </x:c>
    </x:row>
    <x:row r="291" ht="23" customHeight="1">
      <x:c r="A291" s="10" t="str">
        <x:v>M4</x:v>
      </x:c>
      <x:c r="B291" s="10" t="str">
        <x:v>C</x:v>
      </x:c>
      <x:c r="C291" s="10" t="str">
        <x:v>aluminum_extrusion</x:v>
      </x:c>
      <x:c r="D291" s="11" t="n">
        <x:v>19</x:v>
      </x:c>
      <x:c r="E291" s="11" t="n">
        <x:v>19</x:v>
      </x:c>
      <x:c r="F291" s="12" t="n">
        <x:f>E291/D291</x:f>
        <x:v>1</x:v>
      </x:c>
      <x:c r="G291" s="12" t="n">
        <x:f>IF(SUMIFS($E$6:$E$557,$A$6:$A$557,A291,$B$6:$B$557,B291)=0,"n.a.",E291/SUMIFS($E$6:$E$557,$A$6:$A$557,A291,$B$6:$B$557,B291))</x:f>
        <x:v>0.004214729370008873</x:v>
      </x:c>
      <x:c r="H291" s="11" t="n">
        <x:v>23760</x:v>
      </x:c>
    </x:row>
    <x:row r="292" ht="23" customHeight="1">
      <x:c r="A292" s="10" t="str">
        <x:v>M4</x:v>
      </x:c>
      <x:c r="B292" s="10" t="str">
        <x:v>C</x:v>
      </x:c>
      <x:c r="C292" s="10" t="str">
        <x:v>camera_lens</x:v>
      </x:c>
      <x:c r="D292" s="11" t="n">
        <x:v>6</x:v>
      </x:c>
      <x:c r="E292" s="11" t="n">
        <x:v>6</x:v>
      </x:c>
      <x:c r="F292" s="12" t="n">
        <x:f>E292/D292</x:f>
        <x:v>1</x:v>
      </x:c>
      <x:c r="G292" s="12" t="n">
        <x:f>IF(SUMIFS($E$6:$E$557,$A$6:$A$557,A292,$B$6:$B$557,B292)=0,"n.a.",E292/SUMIFS($E$6:$E$557,$A$6:$A$557,A292,$B$6:$B$557,B292))</x:f>
        <x:v>0.0013309671694764862</x:v>
      </x:c>
      <x:c r="H292" s="11" t="n">
        <x:v>11636</x:v>
      </x:c>
    </x:row>
    <x:row r="293" ht="23" customHeight="1">
      <x:c r="A293" s="10" t="str">
        <x:v>M4</x:v>
      </x:c>
      <x:c r="B293" s="10" t="str">
        <x:v>C</x:v>
      </x:c>
      <x:c r="C293" s="10" t="str">
        <x:v>cap_nut</x:v>
      </x:c>
      <x:c r="D293" s="11" t="n">
        <x:v>215</x:v>
      </x:c>
      <x:c r="E293" s="11" t="n">
        <x:v>199</x:v>
      </x:c>
      <x:c r="F293" s="12" t="n">
        <x:f>E293/D293</x:f>
        <x:v>0.9255813953488372</x:v>
      </x:c>
      <x:c r="G293" s="12" t="n">
        <x:f>IF(SUMIFS($E$6:$E$557,$A$6:$A$557,A293,$B$6:$B$557,B293)=0,"n.a.",E293/SUMIFS($E$6:$E$557,$A$6:$A$557,A293,$B$6:$B$557,B293))</x:f>
        <x:v>0.04414374445430346</x:v>
      </x:c>
      <x:c r="H293" s="11" t="n">
        <x:v>1084626</x:v>
      </x:c>
    </x:row>
    <x:row r="294" ht="23" customHeight="1">
      <x:c r="A294" s="10" t="str">
        <x:v>M4</x:v>
      </x:c>
      <x:c r="B294" s="10" t="str">
        <x:v>C</x:v>
      </x:c>
      <x:c r="C294" s="10" t="str">
        <x:v>die_block</x:v>
      </x:c>
      <x:c r="D294" s="11" t="n">
        <x:v>81</x:v>
      </x:c>
      <x:c r="E294" s="11" t="n">
        <x:v>81</x:v>
      </x:c>
      <x:c r="F294" s="12" t="n">
        <x:f>E294/D294</x:f>
        <x:v>1</x:v>
      </x:c>
      <x:c r="G294" s="12" t="n">
        <x:f>IF(SUMIFS($E$6:$E$557,$A$6:$A$557,A294,$B$6:$B$557,B294)=0,"n.a.",E294/SUMIFS($E$6:$E$557,$A$6:$A$557,A294,$B$6:$B$557,B294))</x:f>
        <x:v>0.017968056787932566</x:v>
      </x:c>
      <x:c r="H294" s="11" t="n">
        <x:v>118892</x:v>
      </x:c>
    </x:row>
    <x:row r="295" ht="23" customHeight="1">
      <x:c r="A295" s="10" t="str">
        <x:v>M4</x:v>
      </x:c>
      <x:c r="B295" s="10" t="str">
        <x:v>C</x:v>
      </x:c>
      <x:c r="C295" s="10" t="str">
        <x:v>dowel_pin</x:v>
      </x:c>
      <x:c r="D295" s="11" t="n">
        <x:v>1502</x:v>
      </x:c>
      <x:c r="E295" s="11" t="n">
        <x:v>962</x:v>
      </x:c>
      <x:c r="F295" s="12" t="n">
        <x:f>E295/D295</x:f>
        <x:v>0.640479360852197</x:v>
      </x:c>
      <x:c r="G295" s="12" t="n">
        <x:f>IF(SUMIFS($E$6:$E$557,$A$6:$A$557,A295,$B$6:$B$557,B295)=0,"n.a.",E295/SUMIFS($E$6:$E$557,$A$6:$A$557,A295,$B$6:$B$557,B295))</x:f>
        <x:v>0.21339840283939662</x:v>
      </x:c>
      <x:c r="H295" s="11" t="n">
        <x:v>423411</x:v>
      </x:c>
    </x:row>
    <x:row r="296" ht="23" customHeight="1">
      <x:c r="A296" s="10" t="str">
        <x:v>M4</x:v>
      </x:c>
      <x:c r="B296" s="10" t="str">
        <x:v>C</x:v>
      </x:c>
      <x:c r="C296" s="10" t="str">
        <x:v>feature_plate</x:v>
      </x:c>
      <x:c r="D296" s="11" t="n">
        <x:v>36</x:v>
      </x:c>
      <x:c r="E296" s="11" t="n">
        <x:v>36</x:v>
      </x:c>
      <x:c r="F296" s="12" t="n">
        <x:f>E296/D296</x:f>
        <x:v>1</x:v>
      </x:c>
      <x:c r="G296" s="12" t="n">
        <x:f>IF(SUMIFS($E$6:$E$557,$A$6:$A$557,A296,$B$6:$B$557,B296)=0,"n.a.",E296/SUMIFS($E$6:$E$557,$A$6:$A$557,A296,$B$6:$B$557,B296))</x:f>
        <x:v>0.007985803016858917</x:v>
      </x:c>
      <x:c r="H296" s="11" t="n">
        <x:v>135699</x:v>
      </x:c>
    </x:row>
    <x:row r="297" ht="23" customHeight="1">
      <x:c r="A297" s="10" t="str">
        <x:v>M4</x:v>
      </x:c>
      <x:c r="B297" s="10" t="str">
        <x:v>C</x:v>
      </x:c>
      <x:c r="C297" s="10" t="str">
        <x:v>flat_washer</x:v>
      </x:c>
      <x:c r="D297" s="11" t="n">
        <x:v>200</x:v>
      </x:c>
      <x:c r="E297" s="11" t="n">
        <x:v>188</x:v>
      </x:c>
      <x:c r="F297" s="12" t="n">
        <x:f>E297/D297</x:f>
        <x:v>0.94</x:v>
      </x:c>
      <x:c r="G297" s="12" t="n">
        <x:f>IF(SUMIFS($E$6:$E$557,$A$6:$A$557,A297,$B$6:$B$557,B297)=0,"n.a.",E297/SUMIFS($E$6:$E$557,$A$6:$A$557,A297,$B$6:$B$557,B297))</x:f>
        <x:v>0.0417036379769299</x:v>
      </x:c>
      <x:c r="H297" s="11" t="n">
        <x:v>1264835</x:v>
      </x:c>
    </x:row>
    <x:row r="298" ht="23" customHeight="1">
      <x:c r="A298" s="10" t="str">
        <x:v>M4</x:v>
      </x:c>
      <x:c r="B298" s="10" t="str">
        <x:v>C</x:v>
      </x:c>
      <x:c r="C298" s="10" t="str">
        <x:v>hex_bolt</x:v>
      </x:c>
      <x:c r="D298" s="11" t="n">
        <x:v>14</x:v>
      </x:c>
      <x:c r="E298" s="11" t="n">
        <x:v>5</x:v>
      </x:c>
      <x:c r="F298" s="12" t="n">
        <x:f>E298/D298</x:f>
        <x:v>0.35714285714285715</x:v>
      </x:c>
      <x:c r="G298" s="12" t="n">
        <x:f>IF(SUMIFS($E$6:$E$557,$A$6:$A$557,A298,$B$6:$B$557,B298)=0,"n.a.",E298/SUMIFS($E$6:$E$557,$A$6:$A$557,A298,$B$6:$B$557,B298))</x:f>
        <x:v>0.0011091393078970719</x:v>
      </x:c>
      <x:c r="H298" s="11" t="n">
        <x:v>33494</x:v>
      </x:c>
    </x:row>
    <x:row r="299" ht="23" customHeight="1">
      <x:c r="A299" s="10" t="str">
        <x:v>M4</x:v>
      </x:c>
      <x:c r="B299" s="10" t="str">
        <x:v>C</x:v>
      </x:c>
      <x:c r="C299" s="10" t="str">
        <x:v>hex_nut</x:v>
      </x:c>
      <x:c r="D299" s="11" t="n">
        <x:v>188</x:v>
      </x:c>
      <x:c r="E299" s="11" t="n">
        <x:v>128</x:v>
      </x:c>
      <x:c r="F299" s="12" t="n">
        <x:f>E299/D299</x:f>
        <x:v>0.6808510638297872</x:v>
      </x:c>
      <x:c r="G299" s="12" t="n">
        <x:f>IF(SUMIFS($E$6:$E$557,$A$6:$A$557,A299,$B$6:$B$557,B299)=0,"n.a.",E299/SUMIFS($E$6:$E$557,$A$6:$A$557,A299,$B$6:$B$557,B299))</x:f>
        <x:v>0.02839396628216504</x:v>
      </x:c>
      <x:c r="H299" s="11" t="n">
        <x:v>396274</x:v>
      </x:c>
    </x:row>
    <x:row r="300" ht="23" customHeight="1">
      <x:c r="A300" s="10" t="str">
        <x:v>M4</x:v>
      </x:c>
      <x:c r="B300" s="10" t="str">
        <x:v>C</x:v>
      </x:c>
      <x:c r="C300" s="10" t="str">
        <x:v>mounting_bracket</x:v>
      </x:c>
      <x:c r="D300" s="11" t="n">
        <x:v>8</x:v>
      </x:c>
      <x:c r="E300" s="11" t="n">
        <x:v>8</x:v>
      </x:c>
      <x:c r="F300" s="12" t="n">
        <x:f>E300/D300</x:f>
        <x:v>1</x:v>
      </x:c>
      <x:c r="G300" s="12" t="n">
        <x:f>IF(SUMIFS($E$6:$E$557,$A$6:$A$557,A300,$B$6:$B$557,B300)=0,"n.a.",E300/SUMIFS($E$6:$E$557,$A$6:$A$557,A300,$B$6:$B$557,B300))</x:f>
        <x:v>0.001774622892635315</x:v>
      </x:c>
      <x:c r="H300" s="11" t="n">
        <x:v>7888</x:v>
      </x:c>
    </x:row>
    <x:row r="301" ht="23" customHeight="1">
      <x:c r="A301" s="10" t="str">
        <x:v>M4</x:v>
      </x:c>
      <x:c r="B301" s="10" t="str">
        <x:v>C</x:v>
      </x:c>
      <x:c r="C301" s="10" t="str">
        <x:v>mounting_plate</x:v>
      </x:c>
      <x:c r="D301" s="11" t="n">
        <x:v>128</x:v>
      </x:c>
      <x:c r="E301" s="11" t="n">
        <x:v>128</x:v>
      </x:c>
      <x:c r="F301" s="12" t="n">
        <x:f>E301/D301</x:f>
        <x:v>1</x:v>
      </x:c>
      <x:c r="G301" s="12" t="n">
        <x:f>IF(SUMIFS($E$6:$E$557,$A$6:$A$557,A301,$B$6:$B$557,B301)=0,"n.a.",E301/SUMIFS($E$6:$E$557,$A$6:$A$557,A301,$B$6:$B$557,B301))</x:f>
        <x:v>0.02839396628216504</x:v>
      </x:c>
      <x:c r="H301" s="11" t="n">
        <x:v>107538</x:v>
      </x:c>
    </x:row>
    <x:row r="302" ht="23" customHeight="1">
      <x:c r="A302" s="10" t="str">
        <x:v>M4</x:v>
      </x:c>
      <x:c r="B302" s="10" t="str">
        <x:v>C</x:v>
      </x:c>
      <x:c r="C302" s="10" t="str">
        <x:v>nozzle</x:v>
      </x:c>
      <x:c r="D302" s="11" t="n">
        <x:v>16</x:v>
      </x:c>
      <x:c r="E302" s="11" t="n">
        <x:v>16</x:v>
      </x:c>
      <x:c r="F302" s="12" t="n">
        <x:f>E302/D302</x:f>
        <x:v>1</x:v>
      </x:c>
      <x:c r="G302" s="12" t="n">
        <x:f>IF(SUMIFS($E$6:$E$557,$A$6:$A$557,A302,$B$6:$B$557,B302)=0,"n.a.",E302/SUMIFS($E$6:$E$557,$A$6:$A$557,A302,$B$6:$B$557,B302))</x:f>
        <x:v>0.00354924578527063</x:v>
      </x:c>
      <x:c r="H302" s="11" t="n">
        <x:v>46515</x:v>
      </x:c>
    </x:row>
    <x:row r="303" ht="23" customHeight="1">
      <x:c r="A303" s="10" t="str">
        <x:v>M4</x:v>
      </x:c>
      <x:c r="B303" s="10" t="str">
        <x:v>C</x:v>
      </x:c>
      <x:c r="C303" s="10" t="str">
        <x:v>plain_block</x:v>
      </x:c>
      <x:c r="D303" s="11" t="n">
        <x:v>746</x:v>
      </x:c>
      <x:c r="E303" s="11" t="n">
        <x:v>746</x:v>
      </x:c>
      <x:c r="F303" s="12" t="n">
        <x:f>E303/D303</x:f>
        <x:v>1</x:v>
      </x:c>
      <x:c r="G303" s="12" t="n">
        <x:f>IF(SUMIFS($E$6:$E$557,$A$6:$A$557,A303,$B$6:$B$557,B303)=0,"n.a.",E303/SUMIFS($E$6:$E$557,$A$6:$A$557,A303,$B$6:$B$557,B303))</x:f>
        <x:v>0.16548358473824312</x:v>
      </x:c>
      <x:c r="H303" s="11" t="n">
        <x:v>2583730</x:v>
      </x:c>
    </x:row>
    <x:row r="304" ht="23" customHeight="1">
      <x:c r="A304" s="10" t="str">
        <x:v>M4</x:v>
      </x:c>
      <x:c r="B304" s="10" t="str">
        <x:v>C</x:v>
      </x:c>
      <x:c r="C304" s="10" t="str">
        <x:v>plain_shaft</x:v>
      </x:c>
      <x:c r="D304" s="11" t="n">
        <x:v>7</x:v>
      </x:c>
      <x:c r="E304" s="11" t="n">
        <x:v>7</x:v>
      </x:c>
      <x:c r="F304" s="12" t="n">
        <x:f>E304/D304</x:f>
        <x:v>1</x:v>
      </x:c>
      <x:c r="G304" s="12" t="n">
        <x:f>IF(SUMIFS($E$6:$E$557,$A$6:$A$557,A304,$B$6:$B$557,B304)=0,"n.a.",E304/SUMIFS($E$6:$E$557,$A$6:$A$557,A304,$B$6:$B$557,B304))</x:f>
        <x:v>0.0015527950310559005</x:v>
      </x:c>
      <x:c r="H304" s="11" t="n">
        <x:v>13016</x:v>
      </x:c>
    </x:row>
    <x:row r="305" ht="23" customHeight="1">
      <x:c r="A305" s="10" t="str">
        <x:v>M4</x:v>
      </x:c>
      <x:c r="B305" s="10" t="str">
        <x:v>C</x:v>
      </x:c>
      <x:c r="C305" s="10" t="str">
        <x:v>punch_tool</x:v>
      </x:c>
      <x:c r="D305" s="11" t="n">
        <x:v>65</x:v>
      </x:c>
      <x:c r="E305" s="11" t="n">
        <x:v>65</x:v>
      </x:c>
      <x:c r="F305" s="12" t="n">
        <x:f>E305/D305</x:f>
        <x:v>1</x:v>
      </x:c>
      <x:c r="G305" s="12" t="n">
        <x:f>IF(SUMIFS($E$6:$E$557,$A$6:$A$557,A305,$B$6:$B$557,B305)=0,"n.a.",E305/SUMIFS($E$6:$E$557,$A$6:$A$557,A305,$B$6:$B$557,B305))</x:f>
        <x:v>0.014418811002661935</x:v>
      </x:c>
      <x:c r="H305" s="11" t="n">
        <x:v>101794</x:v>
      </x:c>
    </x:row>
    <x:row r="306" ht="23" customHeight="1">
      <x:c r="A306" s="10" t="str">
        <x:v>M4</x:v>
      </x:c>
      <x:c r="B306" s="10" t="str">
        <x:v>C</x:v>
      </x:c>
      <x:c r="C306" s="10" t="str">
        <x:v>retaining_ring</x:v>
      </x:c>
      <x:c r="D306" s="11" t="n">
        <x:v>128</x:v>
      </x:c>
      <x:c r="E306" s="11" t="n">
        <x:v>105</x:v>
      </x:c>
      <x:c r="F306" s="12" t="n">
        <x:f>E306/D306</x:f>
        <x:v>0.8203125</x:v>
      </x:c>
      <x:c r="G306" s="12" t="n">
        <x:f>IF(SUMIFS($E$6:$E$557,$A$6:$A$557,A306,$B$6:$B$557,B306)=0,"n.a.",E306/SUMIFS($E$6:$E$557,$A$6:$A$557,A306,$B$6:$B$557,B306))</x:f>
        <x:v>0.023291925465838508</x:v>
      </x:c>
      <x:c r="H306" s="11" t="n">
        <x:v>373150</x:v>
      </x:c>
    </x:row>
    <x:row r="307" ht="23" customHeight="1">
      <x:c r="A307" s="10" t="str">
        <x:v>M4</x:v>
      </x:c>
      <x:c r="B307" s="10" t="str">
        <x:v>C</x:v>
      </x:c>
      <x:c r="C307" s="10" t="str">
        <x:v>seal_ring</x:v>
      </x:c>
      <x:c r="D307" s="11" t="n">
        <x:v>29</x:v>
      </x:c>
      <x:c r="E307" s="11" t="n">
        <x:v>29</x:v>
      </x:c>
      <x:c r="F307" s="12" t="n">
        <x:f>E307/D307</x:f>
        <x:v>1</x:v>
      </x:c>
      <x:c r="G307" s="12" t="n">
        <x:f>IF(SUMIFS($E$6:$E$557,$A$6:$A$557,A307,$B$6:$B$557,B307)=0,"n.a.",E307/SUMIFS($E$6:$E$557,$A$6:$A$557,A307,$B$6:$B$557,B307))</x:f>
        <x:v>0.006433007985803017</x:v>
      </x:c>
      <x:c r="H307" s="11" t="n">
        <x:v>17634</x:v>
      </x:c>
    </x:row>
    <x:row r="308" ht="23" customHeight="1">
      <x:c r="A308" s="10" t="str">
        <x:v>M4</x:v>
      </x:c>
      <x:c r="B308" s="10" t="str">
        <x:v>C</x:v>
      </x:c>
      <x:c r="C308" s="10" t="str">
        <x:v>shaft_key</x:v>
      </x:c>
      <x:c r="D308" s="11" t="n">
        <x:v>1781</x:v>
      </x:c>
      <x:c r="E308" s="11" t="n">
        <x:v>1526</x:v>
      </x:c>
      <x:c r="F308" s="12" t="n">
        <x:f>E308/D308</x:f>
        <x:v>0.8568220101066817</x:v>
      </x:c>
      <x:c r="G308" s="12" t="n">
        <x:f>IF(SUMIFS($E$6:$E$557,$A$6:$A$557,A308,$B$6:$B$557,B308)=0,"n.a.",E308/SUMIFS($E$6:$E$557,$A$6:$A$557,A308,$B$6:$B$557,B308))</x:f>
        <x:v>0.3385093167701863</x:v>
      </x:c>
      <x:c r="H308" s="11" t="n">
        <x:v>1607344</x:v>
      </x:c>
    </x:row>
    <x:row r="309" ht="23" customHeight="1">
      <x:c r="A309" s="10" t="str">
        <x:v>M4</x:v>
      </x:c>
      <x:c r="B309" s="10" t="str">
        <x:v>C</x:v>
      </x:c>
      <x:c r="C309" s="10" t="str">
        <x:v>slotted_nut</x:v>
      </x:c>
      <x:c r="D309" s="11" t="n">
        <x:v>143</x:v>
      </x:c>
      <x:c r="E309" s="11" t="n">
        <x:v>139</x:v>
      </x:c>
      <x:c r="F309" s="12" t="n">
        <x:f>E309/D309</x:f>
        <x:v>0.972027972027972</x:v>
      </x:c>
      <x:c r="G309" s="12" t="n">
        <x:f>IF(SUMIFS($E$6:$E$557,$A$6:$A$557,A309,$B$6:$B$557,B309)=0,"n.a.",E309/SUMIFS($E$6:$E$557,$A$6:$A$557,A309,$B$6:$B$557,B309))</x:f>
        <x:v>0.0308340727595386</x:v>
      </x:c>
      <x:c r="H309" s="11" t="n">
        <x:v>336832</x:v>
      </x:c>
    </x:row>
    <x:row r="310" ht="23" customHeight="1">
      <x:c r="A310" s="10" t="str">
        <x:v>M4</x:v>
      </x:c>
      <x:c r="B310" s="10" t="str">
        <x:v>C</x:v>
      </x:c>
      <x:c r="C310" s="10" t="str">
        <x:v>sprocket</x:v>
      </x:c>
      <x:c r="D310" s="11" t="n">
        <x:v>11</x:v>
      </x:c>
      <x:c r="E310" s="11" t="n">
        <x:v>11</x:v>
      </x:c>
      <x:c r="F310" s="12" t="n">
        <x:f>E310/D310</x:f>
        <x:v>1</x:v>
      </x:c>
      <x:c r="G310" s="12" t="n">
        <x:f>IF(SUMIFS($E$6:$E$557,$A$6:$A$557,A310,$B$6:$B$557,B310)=0,"n.a.",E310/SUMIFS($E$6:$E$557,$A$6:$A$557,A310,$B$6:$B$557,B310))</x:f>
        <x:v>0.0024401064773735583</x:v>
      </x:c>
      <x:c r="H310" s="11" t="n">
        <x:v>76576</x:v>
      </x:c>
    </x:row>
    <x:row r="311" ht="23" customHeight="1">
      <x:c r="A311" s="10" t="str">
        <x:v>M4</x:v>
      </x:c>
      <x:c r="B311" s="10" t="str">
        <x:v>C</x:v>
      </x:c>
      <x:c r="C311" s="10" t="str">
        <x:v>threaded_stud</x:v>
      </x:c>
      <x:c r="D311" s="11" t="n">
        <x:v>128</x:v>
      </x:c>
      <x:c r="E311" s="11" t="n">
        <x:v>104</x:v>
      </x:c>
      <x:c r="F311" s="12" t="n">
        <x:f>E311/D311</x:f>
        <x:v>0.8125</x:v>
      </x:c>
      <x:c r="G311" s="12" t="n">
        <x:f>IF(SUMIFS($E$6:$E$557,$A$6:$A$557,A311,$B$6:$B$557,B311)=0,"n.a.",E311/SUMIFS($E$6:$E$557,$A$6:$A$557,A311,$B$6:$B$557,B311))</x:f>
        <x:v>0.023070097604259095</x:v>
      </x:c>
      <x:c r="H311" s="11" t="n">
        <x:v>219544</x:v>
      </x:c>
    </x:row>
    <x:row r="312" ht="23" customHeight="1">
      <x:c r="A312" s="10" t="str">
        <x:v>M5</x:v>
      </x:c>
      <x:c r="B312" s="10" t="str">
        <x:v>N</x:v>
      </x:c>
      <x:c r="C312" s="10" t="str">
        <x:v>bearings_bushings_guides</x:v>
      </x:c>
      <x:c r="D312" s="11" t="n">
        <x:v>177</x:v>
      </x:c>
      <x:c r="E312" s="11" t="n">
        <x:v>123</x:v>
      </x:c>
      <x:c r="F312" s="12" t="n">
        <x:f>E312/D312</x:f>
        <x:v>0.6949152542372882</x:v>
      </x:c>
      <x:c r="G312" s="12" t="n">
        <x:f>IF(SUMIFS($E$6:$E$557,$A$6:$A$557,A312,$B$6:$B$557,B312)=0,"n.a.",E312/SUMIFS($E$6:$E$557,$A$6:$A$557,A312,$B$6:$B$557,B312))</x:f>
        <x:v>0.10856134157105031</x:v>
      </x:c>
      <x:c r="H312" s="11" t="n">
        <x:v>1397652</x:v>
      </x:c>
    </x:row>
    <x:row r="313" ht="23" customHeight="1">
      <x:c r="A313" s="10" t="str">
        <x:v>M5</x:v>
      </x:c>
      <x:c r="B313" s="10" t="str">
        <x:v>N</x:v>
      </x:c>
      <x:c r="C313" s="10" t="str">
        <x:v>gears_pulleys_chains</x:v>
      </x:c>
      <x:c r="D313" s="11" t="n">
        <x:v>14</x:v>
      </x:c>
      <x:c r="E313" s="11" t="n">
        <x:v>7</x:v>
      </x:c>
      <x:c r="F313" s="12" t="n">
        <x:f>E313/D313</x:f>
        <x:v>0.5</x:v>
      </x:c>
      <x:c r="G313" s="12" t="n">
        <x:f>IF(SUMIFS($E$6:$E$557,$A$6:$A$557,A313,$B$6:$B$557,B313)=0,"n.a.",E313/SUMIFS($E$6:$E$557,$A$6:$A$557,A313,$B$6:$B$557,B313))</x:f>
        <x:v>0.00617828773168579</x:v>
      </x:c>
      <x:c r="H313" s="11" t="n">
        <x:v>34258</x:v>
      </x:c>
    </x:row>
    <x:row r="314" ht="23" customHeight="1">
      <x:c r="A314" s="10" t="str">
        <x:v>M5</x:v>
      </x:c>
      <x:c r="B314" s="10" t="str">
        <x:v>N</x:v>
      </x:c>
      <x:c r="C314" s="10" t="str">
        <x:v>handles_controls</x:v>
      </x:c>
      <x:c r="D314" s="11" t="n">
        <x:v>224</x:v>
      </x:c>
      <x:c r="E314" s="11" t="n">
        <x:v>199</x:v>
      </x:c>
      <x:c r="F314" s="12" t="n">
        <x:f>E314/D314</x:f>
        <x:v>0.8883928571428571</x:v>
      </x:c>
      <x:c r="G314" s="12" t="n">
        <x:f>IF(SUMIFS($E$6:$E$557,$A$6:$A$557,A314,$B$6:$B$557,B314)=0,"n.a.",E314/SUMIFS($E$6:$E$557,$A$6:$A$557,A314,$B$6:$B$557,B314))</x:f>
        <x:v>0.17563989408649602</x:v>
      </x:c>
      <x:c r="H314" s="11" t="n">
        <x:v>1333489</x:v>
      </x:c>
    </x:row>
    <x:row r="315" ht="23" customHeight="1">
      <x:c r="A315" s="10" t="str">
        <x:v>M5</x:v>
      </x:c>
      <x:c r="B315" s="10" t="str">
        <x:v>N</x:v>
      </x:c>
      <x:c r="C315" s="10" t="str">
        <x:v>joints_clamps_structural_connectors</x:v>
      </x:c>
      <x:c r="D315" s="11" t="n">
        <x:v>202</x:v>
      </x:c>
      <x:c r="E315" s="11" t="n">
        <x:v>146</x:v>
      </x:c>
      <x:c r="F315" s="12" t="n">
        <x:f>E315/D315</x:f>
        <x:v>0.7227722772277227</x:v>
      </x:c>
      <x:c r="G315" s="12" t="n">
        <x:f>IF(SUMIFS($E$6:$E$557,$A$6:$A$557,A315,$B$6:$B$557,B315)=0,"n.a.",E315/SUMIFS($E$6:$E$557,$A$6:$A$557,A315,$B$6:$B$557,B315))</x:f>
        <x:v>0.12886142983230361</x:v>
      </x:c>
      <x:c r="H315" s="11" t="n">
        <x:v>573870</x:v>
      </x:c>
    </x:row>
    <x:row r="316" ht="23" customHeight="1">
      <x:c r="A316" s="10" t="str">
        <x:v>M5</x:v>
      </x:c>
      <x:c r="B316" s="10" t="str">
        <x:v>N</x:v>
      </x:c>
      <x:c r="C316" s="10" t="str">
        <x:v>motors_gearmotors</x:v>
      </x:c>
      <x:c r="D316" s="11" t="n">
        <x:v>28</x:v>
      </x:c>
      <x:c r="E316" s="11" t="n">
        <x:v>15</x:v>
      </x:c>
      <x:c r="F316" s="12" t="n">
        <x:f>E316/D316</x:f>
        <x:v>0.5357142857142857</x:v>
      </x:c>
      <x:c r="G316" s="12" t="n">
        <x:f>IF(SUMIFS($E$6:$E$557,$A$6:$A$557,A316,$B$6:$B$557,B316)=0,"n.a.",E316/SUMIFS($E$6:$E$557,$A$6:$A$557,A316,$B$6:$B$557,B316))</x:f>
        <x:v>0.01323918799646955</x:v>
      </x:c>
      <x:c r="H316" s="11" t="n">
        <x:v>98362</x:v>
      </x:c>
    </x:row>
    <x:row r="317" ht="23" customHeight="1">
      <x:c r="A317" s="10" t="str">
        <x:v>M5</x:v>
      </x:c>
      <x:c r="B317" s="10" t="str">
        <x:v>N</x:v>
      </x:c>
      <x:c r="C317" s="10" t="str">
        <x:v>nuts</x:v>
      </x:c>
      <x:c r="D317" s="11" t="n">
        <x:v>86</x:v>
      </x:c>
      <x:c r="E317" s="11" t="n">
        <x:v>26</x:v>
      </x:c>
      <x:c r="F317" s="12" t="n">
        <x:f>E317/D317</x:f>
        <x:v>0.3023255813953488</x:v>
      </x:c>
      <x:c r="G317" s="12" t="n">
        <x:f>IF(SUMIFS($E$6:$E$557,$A$6:$A$557,A317,$B$6:$B$557,B317)=0,"n.a.",E317/SUMIFS($E$6:$E$557,$A$6:$A$557,A317,$B$6:$B$557,B317))</x:f>
        <x:v>0.02294792586054722</x:v>
      </x:c>
      <x:c r="H317" s="11" t="n">
        <x:v>88616</x:v>
      </x:c>
    </x:row>
    <x:row r="318" ht="23" customHeight="1">
      <x:c r="A318" s="10" t="str">
        <x:v>M5</x:v>
      </x:c>
      <x:c r="B318" s="10" t="str">
        <x:v>N</x:v>
      </x:c>
      <x:c r="C318" s="10" t="str">
        <x:v>pins_rivets_keys</x:v>
      </x:c>
      <x:c r="D318" s="11" t="n">
        <x:v>214</x:v>
      </x:c>
      <x:c r="E318" s="11" t="n">
        <x:v>168</x:v>
      </x:c>
      <x:c r="F318" s="12" t="n">
        <x:f>E318/D318</x:f>
        <x:v>0.7850467289719626</x:v>
      </x:c>
      <x:c r="G318" s="12" t="n">
        <x:f>IF(SUMIFS($E$6:$E$557,$A$6:$A$557,A318,$B$6:$B$557,B318)=0,"n.a.",E318/SUMIFS($E$6:$E$557,$A$6:$A$557,A318,$B$6:$B$557,B318))</x:f>
        <x:v>0.14827890556045895</x:v>
      </x:c>
      <x:c r="H318" s="11" t="n">
        <x:v>342934</x:v>
      </x:c>
    </x:row>
    <x:row r="319" ht="23" customHeight="1">
      <x:c r="A319" s="10" t="str">
        <x:v>M5</x:v>
      </x:c>
      <x:c r="B319" s="10" t="str">
        <x:v>N</x:v>
      </x:c>
      <x:c r="C319" s="10" t="str">
        <x:v>pipe_fittings_valves_nozzles</x:v>
      </x:c>
      <x:c r="D319" s="11" t="n">
        <x:v>127</x:v>
      </x:c>
      <x:c r="E319" s="11" t="n">
        <x:v>72</x:v>
      </x:c>
      <x:c r="F319" s="12" t="n">
        <x:f>E319/D319</x:f>
        <x:v>0.5669291338582677</x:v>
      </x:c>
      <x:c r="G319" s="12" t="n">
        <x:f>IF(SUMIFS($E$6:$E$557,$A$6:$A$557,A319,$B$6:$B$557,B319)=0,"n.a.",E319/SUMIFS($E$6:$E$557,$A$6:$A$557,A319,$B$6:$B$557,B319))</x:f>
        <x:v>0.06354810238305383</x:v>
      </x:c>
      <x:c r="H319" s="11" t="n">
        <x:v>308690</x:v>
      </x:c>
    </x:row>
    <x:row r="320" ht="23" customHeight="1">
      <x:c r="A320" s="10" t="str">
        <x:v>M5</x:v>
      </x:c>
      <x:c r="B320" s="10" t="str">
        <x:v>N</x:v>
      </x:c>
      <x:c r="C320" s="10" t="str">
        <x:v>plates_discs_shapes</x:v>
      </x:c>
      <x:c r="D320" s="11" t="n">
        <x:v>292</x:v>
      </x:c>
      <x:c r="E320" s="11" t="n">
        <x:v>107</x:v>
      </x:c>
      <x:c r="F320" s="12" t="n">
        <x:f>E320/D320</x:f>
        <x:v>0.3664383561643836</x:v>
      </x:c>
      <x:c r="G320" s="12" t="n">
        <x:f>IF(SUMIFS($E$6:$E$557,$A$6:$A$557,A320,$B$6:$B$557,B320)=0,"n.a.",E320/SUMIFS($E$6:$E$557,$A$6:$A$557,A320,$B$6:$B$557,B320))</x:f>
        <x:v>0.09443954104148279</x:v>
      </x:c>
      <x:c r="H320" s="11" t="n">
        <x:v>326116</x:v>
      </x:c>
    </x:row>
    <x:row r="321" ht="23" customHeight="1">
      <x:c r="A321" s="10" t="str">
        <x:v>M5</x:v>
      </x:c>
      <x:c r="B321" s="10" t="str">
        <x:v>N</x:v>
      </x:c>
      <x:c r="C321" s="10" t="str">
        <x:v>rotating_fluid_machinery</x:v>
      </x:c>
      <x:c r="D321" s="11" t="n">
        <x:v>167</x:v>
      </x:c>
      <x:c r="E321" s="11" t="n">
        <x:v>147</x:v>
      </x:c>
      <x:c r="F321" s="12" t="n">
        <x:f>E321/D321</x:f>
        <x:v>0.8802395209580839</x:v>
      </x:c>
      <x:c r="G321" s="12" t="n">
        <x:f>IF(SUMIFS($E$6:$E$557,$A$6:$A$557,A321,$B$6:$B$557,B321)=0,"n.a.",E321/SUMIFS($E$6:$E$557,$A$6:$A$557,A321,$B$6:$B$557,B321))</x:f>
        <x:v>0.1297440423654016</x:v>
      </x:c>
      <x:c r="H321" s="11" t="n">
        <x:v>1916994</x:v>
      </x:c>
    </x:row>
    <x:row r="322" ht="23" customHeight="1">
      <x:c r="A322" s="10" t="str">
        <x:v>M5</x:v>
      </x:c>
      <x:c r="B322" s="10" t="str">
        <x:v>N</x:v>
      </x:c>
      <x:c r="C322" s="10" t="str">
        <x:v>screws_bolts_studs</x:v>
      </x:c>
      <x:c r="D322" s="11" t="n">
        <x:v>139</x:v>
      </x:c>
      <x:c r="E322" s="11" t="n">
        <x:v>78</x:v>
      </x:c>
      <x:c r="F322" s="12" t="n">
        <x:f>E322/D322</x:f>
        <x:v>0.5611510791366906</x:v>
      </x:c>
      <x:c r="G322" s="12" t="n">
        <x:f>IF(SUMIFS($E$6:$E$557,$A$6:$A$557,A322,$B$6:$B$557,B322)=0,"n.a.",E322/SUMIFS($E$6:$E$557,$A$6:$A$557,A322,$B$6:$B$557,B322))</x:f>
        <x:v>0.06884377758164166</x:v>
      </x:c>
      <x:c r="H322" s="11" t="n">
        <x:v>92090</x:v>
      </x:c>
    </x:row>
    <x:row r="323" ht="23" customHeight="1">
      <x:c r="A323" s="10" t="str">
        <x:v>M5</x:v>
      </x:c>
      <x:c r="B323" s="10" t="str">
        <x:v>N</x:v>
      </x:c>
      <x:c r="C323" s="10" t="str">
        <x:v>springs</x:v>
      </x:c>
      <x:c r="D323" s="11" t="n">
        <x:v>19</x:v>
      </x:c>
      <x:c r="E323" s="11" t="n">
        <x:v>5</x:v>
      </x:c>
      <x:c r="F323" s="12" t="n">
        <x:f>E323/D323</x:f>
        <x:v>0.2631578947368421</x:v>
      </x:c>
      <x:c r="G323" s="12" t="n">
        <x:f>IF(SUMIFS($E$6:$E$557,$A$6:$A$557,A323,$B$6:$B$557,B323)=0,"n.a.",E323/SUMIFS($E$6:$E$557,$A$6:$A$557,A323,$B$6:$B$557,B323))</x:f>
        <x:v>0.00441306266548985</x:v>
      </x:c>
      <x:c r="H323" s="11" t="n">
        <x:v>16148</x:v>
      </x:c>
    </x:row>
    <x:row r="324" ht="23" customHeight="1">
      <x:c r="A324" s="10" t="str">
        <x:v>M5</x:v>
      </x:c>
      <x:c r="B324" s="10" t="str">
        <x:v>N</x:v>
      </x:c>
      <x:c r="C324" s="10" t="str">
        <x:v>washers_rings_spacers</x:v>
      </x:c>
      <x:c r="D324" s="11" t="n">
        <x:v>52</x:v>
      </x:c>
      <x:c r="E324" s="11" t="n">
        <x:v>34</x:v>
      </x:c>
      <x:c r="F324" s="12" t="n">
        <x:f>E324/D324</x:f>
        <x:v>0.6538461538461539</x:v>
      </x:c>
      <x:c r="G324" s="12" t="n">
        <x:f>IF(SUMIFS($E$6:$E$557,$A$6:$A$557,A324,$B$6:$B$557,B324)=0,"n.a.",E324/SUMIFS($E$6:$E$557,$A$6:$A$557,A324,$B$6:$B$557,B324))</x:f>
        <x:v>0.03000882612533098</x:v>
      </x:c>
      <x:c r="H324" s="11" t="n">
        <x:v>147650</x:v>
      </x:c>
    </x:row>
    <x:row r="325" ht="23" customHeight="1">
      <x:c r="A325" s="10" t="str">
        <x:v>M5</x:v>
      </x:c>
      <x:c r="B325" s="10" t="str">
        <x:v>N</x:v>
      </x:c>
      <x:c r="C325" s="10" t="str">
        <x:v>wheels_castors</x:v>
      </x:c>
      <x:c r="D325" s="11" t="n">
        <x:v>6</x:v>
      </x:c>
      <x:c r="E325" s="11" t="n">
        <x:v>6</x:v>
      </x:c>
      <x:c r="F325" s="12" t="n">
        <x:f>E325/D325</x:f>
        <x:v>1</x:v>
      </x:c>
      <x:c r="G325" s="12" t="n">
        <x:f>IF(SUMIFS($E$6:$E$557,$A$6:$A$557,A325,$B$6:$B$557,B325)=0,"n.a.",E325/SUMIFS($E$6:$E$557,$A$6:$A$557,A325,$B$6:$B$557,B325))</x:f>
        <x:v>0.00529567519858782</x:v>
      </x:c>
      <x:c r="H325" s="11" t="n">
        <x:v>311330</x:v>
      </x:c>
    </x:row>
    <x:row r="326" ht="23" customHeight="1">
      <x:c r="A326" s="10" t="str">
        <x:v>M5</x:v>
      </x:c>
      <x:c r="B326" s="10" t="str">
        <x:v>C</x:v>
      </x:c>
      <x:c r="C326" s="10" t="str">
        <x:v>aluminum_extrusion</x:v>
      </x:c>
      <x:c r="D326" s="11" t="n">
        <x:v>13</x:v>
      </x:c>
      <x:c r="E326" s="11" t="n">
        <x:v>13</x:v>
      </x:c>
      <x:c r="F326" s="12" t="n">
        <x:f>E326/D326</x:f>
        <x:v>1</x:v>
      </x:c>
      <x:c r="G326" s="12" t="n">
        <x:f>IF(SUMIFS($E$6:$E$557,$A$6:$A$557,A326,$B$6:$B$557,B326)=0,"n.a.",E326/SUMIFS($E$6:$E$557,$A$6:$A$557,A326,$B$6:$B$557,B326))</x:f>
        <x:v>0.010383386581469648</x:v>
      </x:c>
      <x:c r="H326" s="11" t="n">
        <x:v>54240</x:v>
      </x:c>
    </x:row>
    <x:row r="327" ht="23" customHeight="1">
      <x:c r="A327" s="10" t="str">
        <x:v>M5</x:v>
      </x:c>
      <x:c r="B327" s="10" t="str">
        <x:v>C</x:v>
      </x:c>
      <x:c r="C327" s="10" t="str">
        <x:v>camera_lens</x:v>
      </x:c>
      <x:c r="D327" s="11" t="n">
        <x:v>3</x:v>
      </x:c>
      <x:c r="E327" s="11" t="n">
        <x:v>3</x:v>
      </x:c>
      <x:c r="F327" s="12" t="n">
        <x:f>E327/D327</x:f>
        <x:v>1</x:v>
      </x:c>
      <x:c r="G327" s="12" t="n">
        <x:f>IF(SUMIFS($E$6:$E$557,$A$6:$A$557,A327,$B$6:$B$557,B327)=0,"n.a.",E327/SUMIFS($E$6:$E$557,$A$6:$A$557,A327,$B$6:$B$557,B327))</x:f>
        <x:v>0.0023961661341853034</x:v>
      </x:c>
      <x:c r="H327" s="11" t="n">
        <x:v>27000</x:v>
      </x:c>
    </x:row>
    <x:row r="328" ht="23" customHeight="1">
      <x:c r="A328" s="10" t="str">
        <x:v>M5</x:v>
      </x:c>
      <x:c r="B328" s="10" t="str">
        <x:v>C</x:v>
      </x:c>
      <x:c r="C328" s="10" t="str">
        <x:v>cap_nut</x:v>
      </x:c>
      <x:c r="D328" s="11" t="n">
        <x:v>77</x:v>
      </x:c>
      <x:c r="E328" s="11" t="n">
        <x:v>39</x:v>
      </x:c>
      <x:c r="F328" s="12" t="n">
        <x:f>E328/D328</x:f>
        <x:v>0.5064935064935064</x:v>
      </x:c>
      <x:c r="G328" s="12" t="n">
        <x:f>IF(SUMIFS($E$6:$E$557,$A$6:$A$557,A328,$B$6:$B$557,B328)=0,"n.a.",E328/SUMIFS($E$6:$E$557,$A$6:$A$557,A328,$B$6:$B$557,B328))</x:f>
        <x:v>0.031150159744408944</x:v>
      </x:c>
      <x:c r="H328" s="11" t="n">
        <x:v>341850</x:v>
      </x:c>
    </x:row>
    <x:row r="329" ht="23" customHeight="1">
      <x:c r="A329" s="10" t="str">
        <x:v>M5</x:v>
      </x:c>
      <x:c r="B329" s="10" t="str">
        <x:v>C</x:v>
      </x:c>
      <x:c r="C329" s="10" t="str">
        <x:v>coil_spring</x:v>
      </x:c>
      <x:c r="D329" s="11" t="n">
        <x:v>13</x:v>
      </x:c>
      <x:c r="E329" s="11" t="n">
        <x:v>13</x:v>
      </x:c>
      <x:c r="F329" s="12" t="n">
        <x:f>E329/D329</x:f>
        <x:v>1</x:v>
      </x:c>
      <x:c r="G329" s="12" t="n">
        <x:f>IF(SUMIFS($E$6:$E$557,$A$6:$A$557,A329,$B$6:$B$557,B329)=0,"n.a.",E329/SUMIFS($E$6:$E$557,$A$6:$A$557,A329,$B$6:$B$557,B329))</x:f>
        <x:v>0.010383386581469648</x:v>
      </x:c>
      <x:c r="H329" s="11" t="n">
        <x:v>503898</x:v>
      </x:c>
    </x:row>
    <x:row r="330" ht="23" customHeight="1">
      <x:c r="A330" s="10" t="str">
        <x:v>M5</x:v>
      </x:c>
      <x:c r="B330" s="10" t="str">
        <x:v>C</x:v>
      </x:c>
      <x:c r="C330" s="10" t="str">
        <x:v>die_block</x:v>
      </x:c>
      <x:c r="D330" s="11" t="n">
        <x:v>49</x:v>
      </x:c>
      <x:c r="E330" s="11" t="n">
        <x:v>49</x:v>
      </x:c>
      <x:c r="F330" s="12" t="n">
        <x:f>E330/D330</x:f>
        <x:v>1</x:v>
      </x:c>
      <x:c r="G330" s="12" t="n">
        <x:f>IF(SUMIFS($E$6:$E$557,$A$6:$A$557,A330,$B$6:$B$557,B330)=0,"n.a.",E330/SUMIFS($E$6:$E$557,$A$6:$A$557,A330,$B$6:$B$557,B330))</x:f>
        <x:v>0.03913738019169329</x:v>
      </x:c>
      <x:c r="H330" s="11" t="n">
        <x:v>148744</x:v>
      </x:c>
    </x:row>
    <x:row r="331" ht="23" customHeight="1">
      <x:c r="A331" s="10" t="str">
        <x:v>M5</x:v>
      </x:c>
      <x:c r="B331" s="10" t="str">
        <x:v>C</x:v>
      </x:c>
      <x:c r="C331" s="10" t="str">
        <x:v>dowel_pin</x:v>
      </x:c>
      <x:c r="D331" s="11" t="n">
        <x:v>269</x:v>
      </x:c>
      <x:c r="E331" s="11" t="n">
        <x:v>31</x:v>
      </x:c>
      <x:c r="F331" s="12" t="n">
        <x:f>E331/D331</x:f>
        <x:v>0.11524163568773234</x:v>
      </x:c>
      <x:c r="G331" s="12" t="n">
        <x:f>IF(SUMIFS($E$6:$E$557,$A$6:$A$557,A331,$B$6:$B$557,B331)=0,"n.a.",E331/SUMIFS($E$6:$E$557,$A$6:$A$557,A331,$B$6:$B$557,B331))</x:f>
        <x:v>0.02476038338658147</x:v>
      </x:c>
      <x:c r="H331" s="11" t="n">
        <x:v>44960</x:v>
      </x:c>
    </x:row>
    <x:row r="332" ht="23" customHeight="1">
      <x:c r="A332" s="10" t="str">
        <x:v>M5</x:v>
      </x:c>
      <x:c r="B332" s="10" t="str">
        <x:v>C</x:v>
      </x:c>
      <x:c r="C332" s="10" t="str">
        <x:v>feature_plate</x:v>
      </x:c>
      <x:c r="D332" s="11" t="n">
        <x:v>40</x:v>
      </x:c>
      <x:c r="E332" s="11" t="n">
        <x:v>40</x:v>
      </x:c>
      <x:c r="F332" s="12" t="n">
        <x:f>E332/D332</x:f>
        <x:v>1</x:v>
      </x:c>
      <x:c r="G332" s="12" t="n">
        <x:f>IF(SUMIFS($E$6:$E$557,$A$6:$A$557,A332,$B$6:$B$557,B332)=0,"n.a.",E332/SUMIFS($E$6:$E$557,$A$6:$A$557,A332,$B$6:$B$557,B332))</x:f>
        <x:v>0.03194888178913738</x:v>
      </x:c>
      <x:c r="H332" s="11" t="n">
        <x:v>1037496</x:v>
      </x:c>
    </x:row>
    <x:row r="333" ht="23" customHeight="1">
      <x:c r="A333" s="10" t="str">
        <x:v>M5</x:v>
      </x:c>
      <x:c r="B333" s="10" t="str">
        <x:v>C</x:v>
      </x:c>
      <x:c r="C333" s="10" t="str">
        <x:v>flat_washer</x:v>
      </x:c>
      <x:c r="D333" s="11" t="n">
        <x:v>54</x:v>
      </x:c>
      <x:c r="E333" s="11" t="n">
        <x:v>53</x:v>
      </x:c>
      <x:c r="F333" s="12" t="n">
        <x:f>E333/D333</x:f>
        <x:v>0.9814814814814815</x:v>
      </x:c>
      <x:c r="G333" s="12" t="n">
        <x:f>IF(SUMIFS($E$6:$E$557,$A$6:$A$557,A333,$B$6:$B$557,B333)=0,"n.a.",E333/SUMIFS($E$6:$E$557,$A$6:$A$557,A333,$B$6:$B$557,B333))</x:f>
        <x:v>0.04233226837060703</x:v>
      </x:c>
      <x:c r="H333" s="11" t="n">
        <x:v>920648</x:v>
      </x:c>
    </x:row>
    <x:row r="334" ht="23" customHeight="1">
      <x:c r="A334" s="10" t="str">
        <x:v>M5</x:v>
      </x:c>
      <x:c r="B334" s="10" t="str">
        <x:v>C</x:v>
      </x:c>
      <x:c r="C334" s="10" t="str">
        <x:v>flexible_hose</x:v>
      </x:c>
      <x:c r="D334" s="11" t="n">
        <x:v>1</x:v>
      </x:c>
      <x:c r="E334" s="11" t="n">
        <x:v>1</x:v>
      </x:c>
      <x:c r="F334" s="12" t="n">
        <x:f>E334/D334</x:f>
        <x:v>1</x:v>
      </x:c>
      <x:c r="G334" s="12" t="n">
        <x:f>IF(SUMIFS($E$6:$E$557,$A$6:$A$557,A334,$B$6:$B$557,B334)=0,"n.a.",E334/SUMIFS($E$6:$E$557,$A$6:$A$557,A334,$B$6:$B$557,B334))</x:f>
        <x:v>0.0007987220447284345</x:v>
      </x:c>
      <x:c r="H334" s="11" t="n">
        <x:v>620</x:v>
      </x:c>
    </x:row>
    <x:row r="335" ht="23" customHeight="1">
      <x:c r="A335" s="10" t="str">
        <x:v>M5</x:v>
      </x:c>
      <x:c r="B335" s="10" t="str">
        <x:v>C</x:v>
      </x:c>
      <x:c r="C335" s="10" t="str">
        <x:v>frame_beam</x:v>
      </x:c>
      <x:c r="D335" s="11" t="n">
        <x:v>1</x:v>
      </x:c>
      <x:c r="E335" s="11" t="n">
        <x:v>1</x:v>
      </x:c>
      <x:c r="F335" s="12" t="n">
        <x:f>E335/D335</x:f>
        <x:v>1</x:v>
      </x:c>
      <x:c r="G335" s="12" t="n">
        <x:f>IF(SUMIFS($E$6:$E$557,$A$6:$A$557,A335,$B$6:$B$557,B335)=0,"n.a.",E335/SUMIFS($E$6:$E$557,$A$6:$A$557,A335,$B$6:$B$557,B335))</x:f>
        <x:v>0.0007987220447284345</x:v>
      </x:c>
      <x:c r="H335" s="11" t="n">
        <x:v>16724</x:v>
      </x:c>
    </x:row>
    <x:row r="336" ht="23" customHeight="1">
      <x:c r="A336" s="10" t="str">
        <x:v>M5</x:v>
      </x:c>
      <x:c r="B336" s="10" t="str">
        <x:v>C</x:v>
      </x:c>
      <x:c r="C336" s="10" t="str">
        <x:v>hex_nut</x:v>
      </x:c>
      <x:c r="D336" s="11" t="n">
        <x:v>77</x:v>
      </x:c>
      <x:c r="E336" s="11" t="n">
        <x:v>31</x:v>
      </x:c>
      <x:c r="F336" s="12" t="n">
        <x:f>E336/D336</x:f>
        <x:v>0.4025974025974026</x:v>
      </x:c>
      <x:c r="G336" s="12" t="n">
        <x:f>IF(SUMIFS($E$6:$E$557,$A$6:$A$557,A336,$B$6:$B$557,B336)=0,"n.a.",E336/SUMIFS($E$6:$E$557,$A$6:$A$557,A336,$B$6:$B$557,B336))</x:f>
        <x:v>0.02476038338658147</x:v>
      </x:c>
      <x:c r="H336" s="11" t="n">
        <x:v>100542</x:v>
      </x:c>
    </x:row>
    <x:row r="337" ht="23" customHeight="1">
      <x:c r="A337" s="10" t="str">
        <x:v>M5</x:v>
      </x:c>
      <x:c r="B337" s="10" t="str">
        <x:v>C</x:v>
      </x:c>
      <x:c r="C337" s="10" t="str">
        <x:v>lead_screw</x:v>
      </x:c>
      <x:c r="D337" s="11" t="n">
        <x:v>9</x:v>
      </x:c>
      <x:c r="E337" s="11" t="n">
        <x:v>9</x:v>
      </x:c>
      <x:c r="F337" s="12" t="n">
        <x:f>E337/D337</x:f>
        <x:v>1</x:v>
      </x:c>
      <x:c r="G337" s="12" t="n">
        <x:f>IF(SUMIFS($E$6:$E$557,$A$6:$A$557,A337,$B$6:$B$557,B337)=0,"n.a.",E337/SUMIFS($E$6:$E$557,$A$6:$A$557,A337,$B$6:$B$557,B337))</x:f>
        <x:v>0.00718849840255591</x:v>
      </x:c>
      <x:c r="H337" s="11" t="n">
        <x:v>140064</x:v>
      </x:c>
    </x:row>
    <x:row r="338" ht="23" customHeight="1">
      <x:c r="A338" s="10" t="str">
        <x:v>M5</x:v>
      </x:c>
      <x:c r="B338" s="10" t="str">
        <x:v>C</x:v>
      </x:c>
      <x:c r="C338" s="10" t="str">
        <x:v>mounting_bracket</x:v>
      </x:c>
      <x:c r="D338" s="11" t="n">
        <x:v>3</x:v>
      </x:c>
      <x:c r="E338" s="11" t="n">
        <x:v>3</x:v>
      </x:c>
      <x:c r="F338" s="12" t="n">
        <x:f>E338/D338</x:f>
        <x:v>1</x:v>
      </x:c>
      <x:c r="G338" s="12" t="n">
        <x:f>IF(SUMIFS($E$6:$E$557,$A$6:$A$557,A338,$B$6:$B$557,B338)=0,"n.a.",E338/SUMIFS($E$6:$E$557,$A$6:$A$557,A338,$B$6:$B$557,B338))</x:f>
        <x:v>0.0023961661341853034</x:v>
      </x:c>
      <x:c r="H338" s="11" t="n">
        <x:v>7302</x:v>
      </x:c>
    </x:row>
    <x:row r="339" ht="23" customHeight="1">
      <x:c r="A339" s="10" t="str">
        <x:v>M5</x:v>
      </x:c>
      <x:c r="B339" s="10" t="str">
        <x:v>C</x:v>
      </x:c>
      <x:c r="C339" s="10" t="str">
        <x:v>mounting_plate</x:v>
      </x:c>
      <x:c r="D339" s="11" t="n">
        <x:v>38</x:v>
      </x:c>
      <x:c r="E339" s="11" t="n">
        <x:v>38</x:v>
      </x:c>
      <x:c r="F339" s="12" t="n">
        <x:f>E339/D339</x:f>
        <x:v>1</x:v>
      </x:c>
      <x:c r="G339" s="12" t="n">
        <x:f>IF(SUMIFS($E$6:$E$557,$A$6:$A$557,A339,$B$6:$B$557,B339)=0,"n.a.",E339/SUMIFS($E$6:$E$557,$A$6:$A$557,A339,$B$6:$B$557,B339))</x:f>
        <x:v>0.03035143769968051</x:v>
      </x:c>
      <x:c r="H339" s="11" t="n">
        <x:v>70144</x:v>
      </x:c>
    </x:row>
    <x:row r="340" ht="23" customHeight="1">
      <x:c r="A340" s="10" t="str">
        <x:v>M5</x:v>
      </x:c>
      <x:c r="B340" s="10" t="str">
        <x:v>C</x:v>
      </x:c>
      <x:c r="C340" s="10" t="str">
        <x:v>nozzle</x:v>
      </x:c>
      <x:c r="D340" s="11" t="n">
        <x:v>12</x:v>
      </x:c>
      <x:c r="E340" s="11" t="n">
        <x:v>12</x:v>
      </x:c>
      <x:c r="F340" s="12" t="n">
        <x:f>E340/D340</x:f>
        <x:v>1</x:v>
      </x:c>
      <x:c r="G340" s="12" t="n">
        <x:f>IF(SUMIFS($E$6:$E$557,$A$6:$A$557,A340,$B$6:$B$557,B340)=0,"n.a.",E340/SUMIFS($E$6:$E$557,$A$6:$A$557,A340,$B$6:$B$557,B340))</x:f>
        <x:v>0.009584664536741214</x:v>
      </x:c>
      <x:c r="H340" s="11" t="n">
        <x:v>55494</x:v>
      </x:c>
    </x:row>
    <x:row r="341" ht="23" customHeight="1">
      <x:c r="A341" s="10" t="str">
        <x:v>M5</x:v>
      </x:c>
      <x:c r="B341" s="10" t="str">
        <x:v>C</x:v>
      </x:c>
      <x:c r="C341" s="10" t="str">
        <x:v>plain_block</x:v>
      </x:c>
      <x:c r="D341" s="11" t="n">
        <x:v>493</x:v>
      </x:c>
      <x:c r="E341" s="11" t="n">
        <x:v>493</x:v>
      </x:c>
      <x:c r="F341" s="12" t="n">
        <x:f>E341/D341</x:f>
        <x:v>1</x:v>
      </x:c>
      <x:c r="G341" s="12" t="n">
        <x:f>IF(SUMIFS($E$6:$E$557,$A$6:$A$557,A341,$B$6:$B$557,B341)=0,"n.a.",E341/SUMIFS($E$6:$E$557,$A$6:$A$557,A341,$B$6:$B$557,B341))</x:f>
        <x:v>0.3937699680511182</x:v>
      </x:c>
      <x:c r="H341" s="11" t="n">
        <x:v>3421468</x:v>
      </x:c>
    </x:row>
    <x:row r="342" ht="23" customHeight="1">
      <x:c r="A342" s="10" t="str">
        <x:v>M5</x:v>
      </x:c>
      <x:c r="B342" s="10" t="str">
        <x:v>C</x:v>
      </x:c>
      <x:c r="C342" s="10" t="str">
        <x:v>plain_shaft</x:v>
      </x:c>
      <x:c r="D342" s="11" t="n">
        <x:v>5</x:v>
      </x:c>
      <x:c r="E342" s="11" t="n">
        <x:v>5</x:v>
      </x:c>
      <x:c r="F342" s="12" t="n">
        <x:f>E342/D342</x:f>
        <x:v>1</x:v>
      </x:c>
      <x:c r="G342" s="12" t="n">
        <x:f>IF(SUMIFS($E$6:$E$557,$A$6:$A$557,A342,$B$6:$B$557,B342)=0,"n.a.",E342/SUMIFS($E$6:$E$557,$A$6:$A$557,A342,$B$6:$B$557,B342))</x:f>
        <x:v>0.003993610223642172</x:v>
      </x:c>
      <x:c r="H342" s="11" t="n">
        <x:v>7264</x:v>
      </x:c>
    </x:row>
    <x:row r="343" ht="23" customHeight="1">
      <x:c r="A343" s="10" t="str">
        <x:v>M5</x:v>
      </x:c>
      <x:c r="B343" s="10" t="str">
        <x:v>C</x:v>
      </x:c>
      <x:c r="C343" s="10" t="str">
        <x:v>proximity_sensor</x:v>
      </x:c>
      <x:c r="D343" s="11" t="n">
        <x:v>98</x:v>
      </x:c>
      <x:c r="E343" s="11" t="n">
        <x:v>98</x:v>
      </x:c>
      <x:c r="F343" s="12" t="n">
        <x:f>E343/D343</x:f>
        <x:v>1</x:v>
      </x:c>
      <x:c r="G343" s="12" t="n">
        <x:f>IF(SUMIFS($E$6:$E$557,$A$6:$A$557,A343,$B$6:$B$557,B343)=0,"n.a.",E343/SUMIFS($E$6:$E$557,$A$6:$A$557,A343,$B$6:$B$557,B343))</x:f>
        <x:v>0.07827476038338659</x:v>
      </x:c>
      <x:c r="H343" s="11" t="n">
        <x:v>232848</x:v>
      </x:c>
    </x:row>
    <x:row r="344" ht="23" customHeight="1">
      <x:c r="A344" s="10" t="str">
        <x:v>M5</x:v>
      </x:c>
      <x:c r="B344" s="10" t="str">
        <x:v>C</x:v>
      </x:c>
      <x:c r="C344" s="10" t="str">
        <x:v>punch_tool</x:v>
      </x:c>
      <x:c r="D344" s="11" t="n">
        <x:v>26</x:v>
      </x:c>
      <x:c r="E344" s="11" t="n">
        <x:v>26</x:v>
      </x:c>
      <x:c r="F344" s="12" t="n">
        <x:f>E344/D344</x:f>
        <x:v>1</x:v>
      </x:c>
      <x:c r="G344" s="12" t="n">
        <x:f>IF(SUMIFS($E$6:$E$557,$A$6:$A$557,A344,$B$6:$B$557,B344)=0,"n.a.",E344/SUMIFS($E$6:$E$557,$A$6:$A$557,A344,$B$6:$B$557,B344))</x:f>
        <x:v>0.020766773162939296</x:v>
      </x:c>
      <x:c r="H344" s="11" t="n">
        <x:v>1309478</x:v>
      </x:c>
    </x:row>
    <x:row r="345" ht="23" customHeight="1">
      <x:c r="A345" s="10" t="str">
        <x:v>M5</x:v>
      </x:c>
      <x:c r="B345" s="10" t="str">
        <x:v>C</x:v>
      </x:c>
      <x:c r="C345" s="10" t="str">
        <x:v>retaining_ring</x:v>
      </x:c>
      <x:c r="D345" s="11" t="n">
        <x:v>26</x:v>
      </x:c>
      <x:c r="E345" s="11" t="n">
        <x:v>20</x:v>
      </x:c>
      <x:c r="F345" s="12" t="n">
        <x:f>E345/D345</x:f>
        <x:v>0.7692307692307693</x:v>
      </x:c>
      <x:c r="G345" s="12" t="n">
        <x:f>IF(SUMIFS($E$6:$E$557,$A$6:$A$557,A345,$B$6:$B$557,B345)=0,"n.a.",E345/SUMIFS($E$6:$E$557,$A$6:$A$557,A345,$B$6:$B$557,B345))</x:f>
        <x:v>0.01597444089456869</x:v>
      </x:c>
      <x:c r="H345" s="11" t="n">
        <x:v>621458</x:v>
      </x:c>
    </x:row>
    <x:row r="346" ht="23" customHeight="1">
      <x:c r="A346" s="10" t="str">
        <x:v>M5</x:v>
      </x:c>
      <x:c r="B346" s="10" t="str">
        <x:v>C</x:v>
      </x:c>
      <x:c r="C346" s="10" t="str">
        <x:v>seal_ring</x:v>
      </x:c>
      <x:c r="D346" s="11" t="n">
        <x:v>4</x:v>
      </x:c>
      <x:c r="E346" s="11" t="n">
        <x:v>4</x:v>
      </x:c>
      <x:c r="F346" s="12" t="n">
        <x:f>E346/D346</x:f>
        <x:v>1</x:v>
      </x:c>
      <x:c r="G346" s="12" t="n">
        <x:f>IF(SUMIFS($E$6:$E$557,$A$6:$A$557,A346,$B$6:$B$557,B346)=0,"n.a.",E346/SUMIFS($E$6:$E$557,$A$6:$A$557,A346,$B$6:$B$557,B346))</x:f>
        <x:v>0.003194888178913738</x:v>
      </x:c>
      <x:c r="H346" s="11" t="n">
        <x:v>2576</x:v>
      </x:c>
    </x:row>
    <x:row r="347" ht="23" customHeight="1">
      <x:c r="A347" s="10" t="str">
        <x:v>M5</x:v>
      </x:c>
      <x:c r="B347" s="10" t="str">
        <x:v>C</x:v>
      </x:c>
      <x:c r="C347" s="10" t="str">
        <x:v>shaft_key</x:v>
      </x:c>
      <x:c r="D347" s="11" t="n">
        <x:v>361</x:v>
      </x:c>
      <x:c r="E347" s="11" t="n">
        <x:v>203</x:v>
      </x:c>
      <x:c r="F347" s="12" t="n">
        <x:f>E347/D347</x:f>
        <x:v>0.5623268698060941</x:v>
      </x:c>
      <x:c r="G347" s="12" t="n">
        <x:f>IF(SUMIFS($E$6:$E$557,$A$6:$A$557,A347,$B$6:$B$557,B347)=0,"n.a.",E347/SUMIFS($E$6:$E$557,$A$6:$A$557,A347,$B$6:$B$557,B347))</x:f>
        <x:v>0.1621405750798722</x:v>
      </x:c>
      <x:c r="H347" s="11" t="n">
        <x:v>1001766</x:v>
      </x:c>
    </x:row>
    <x:row r="348" ht="23" customHeight="1">
      <x:c r="A348" s="10" t="str">
        <x:v>M5</x:v>
      </x:c>
      <x:c r="B348" s="10" t="str">
        <x:v>C</x:v>
      </x:c>
      <x:c r="C348" s="10" t="str">
        <x:v>slotted_nut</x:v>
      </x:c>
      <x:c r="D348" s="11" t="n">
        <x:v>38</x:v>
      </x:c>
      <x:c r="E348" s="11" t="n">
        <x:v>36</x:v>
      </x:c>
      <x:c r="F348" s="12" t="n">
        <x:f>E348/D348</x:f>
        <x:v>0.9473684210526315</x:v>
      </x:c>
      <x:c r="G348" s="12" t="n">
        <x:f>IF(SUMIFS($E$6:$E$557,$A$6:$A$557,A348,$B$6:$B$557,B348)=0,"n.a.",E348/SUMIFS($E$6:$E$557,$A$6:$A$557,A348,$B$6:$B$557,B348))</x:f>
        <x:v>0.02875399361022364</x:v>
      </x:c>
      <x:c r="H348" s="11" t="n">
        <x:v>194152</x:v>
      </x:c>
    </x:row>
    <x:row r="349" ht="23" customHeight="1">
      <x:c r="A349" s="10" t="str">
        <x:v>M5</x:v>
      </x:c>
      <x:c r="B349" s="10" t="str">
        <x:v>C</x:v>
      </x:c>
      <x:c r="C349" s="10" t="str">
        <x:v>sprocket</x:v>
      </x:c>
      <x:c r="D349" s="11" t="n">
        <x:v>1</x:v>
      </x:c>
      <x:c r="E349" s="11" t="n">
        <x:v>1</x:v>
      </x:c>
      <x:c r="F349" s="12" t="n">
        <x:f>E349/D349</x:f>
        <x:v>1</x:v>
      </x:c>
      <x:c r="G349" s="12" t="n">
        <x:f>IF(SUMIFS($E$6:$E$557,$A$6:$A$557,A349,$B$6:$B$557,B349)=0,"n.a.",E349/SUMIFS($E$6:$E$557,$A$6:$A$557,A349,$B$6:$B$557,B349))</x:f>
        <x:v>0.0007987220447284345</x:v>
      </x:c>
      <x:c r="H349" s="11" t="n">
        <x:v>4576</x:v>
      </x:c>
    </x:row>
    <x:row r="350" ht="23" customHeight="1">
      <x:c r="A350" s="10" t="str">
        <x:v>M5</x:v>
      </x:c>
      <x:c r="B350" s="10" t="str">
        <x:v>C</x:v>
      </x:c>
      <x:c r="C350" s="10" t="str">
        <x:v>suction_cup</x:v>
      </x:c>
      <x:c r="D350" s="11" t="n">
        <x:v>4</x:v>
      </x:c>
      <x:c r="E350" s="11" t="n">
        <x:v>4</x:v>
      </x:c>
      <x:c r="F350" s="12" t="n">
        <x:f>E350/D350</x:f>
        <x:v>1</x:v>
      </x:c>
      <x:c r="G350" s="12" t="n">
        <x:f>IF(SUMIFS($E$6:$E$557,$A$6:$A$557,A350,$B$6:$B$557,B350)=0,"n.a.",E350/SUMIFS($E$6:$E$557,$A$6:$A$557,A350,$B$6:$B$557,B350))</x:f>
        <x:v>0.003194888178913738</x:v>
      </x:c>
      <x:c r="H350" s="11" t="n">
        <x:v>131179</x:v>
      </x:c>
    </x:row>
    <x:row r="351" ht="23" customHeight="1">
      <x:c r="A351" s="10" t="str">
        <x:v>M5</x:v>
      </x:c>
      <x:c r="B351" s="10" t="str">
        <x:v>C</x:v>
      </x:c>
      <x:c r="C351" s="10" t="str">
        <x:v>threaded_stud</x:v>
      </x:c>
      <x:c r="D351" s="11" t="n">
        <x:v>31</x:v>
      </x:c>
      <x:c r="E351" s="11" t="n">
        <x:v>25</x:v>
      </x:c>
      <x:c r="F351" s="12" t="n">
        <x:f>E351/D351</x:f>
        <x:v>0.8064516129032258</x:v>
      </x:c>
      <x:c r="G351" s="12" t="n">
        <x:f>IF(SUMIFS($E$6:$E$557,$A$6:$A$557,A351,$B$6:$B$557,B351)=0,"n.a.",E351/SUMIFS($E$6:$E$557,$A$6:$A$557,A351,$B$6:$B$557,B351))</x:f>
        <x:v>0.019968051118210862</x:v>
      </x:c>
      <x:c r="H351" s="11" t="n">
        <x:v>106544</x:v>
      </x:c>
    </x:row>
    <x:row r="352" ht="23" customHeight="1">
      <x:c r="A352" s="10" t="str">
        <x:v>M5</x:v>
      </x:c>
      <x:c r="B352" s="10" t="str">
        <x:v>C</x:v>
      </x:c>
      <x:c r="C352" s="10" t="str">
        <x:v>timing_belt</x:v>
      </x:c>
      <x:c r="D352" s="11" t="n">
        <x:v>1</x:v>
      </x:c>
      <x:c r="E352" s="11" t="n">
        <x:v>1</x:v>
      </x:c>
      <x:c r="F352" s="12" t="n">
        <x:f>E352/D352</x:f>
        <x:v>1</x:v>
      </x:c>
      <x:c r="G352" s="12" t="n">
        <x:f>IF(SUMIFS($E$6:$E$557,$A$6:$A$557,A352,$B$6:$B$557,B352)=0,"n.a.",E352/SUMIFS($E$6:$E$557,$A$6:$A$557,A352,$B$6:$B$557,B352))</x:f>
        <x:v>0.0007987220447284345</x:v>
      </x:c>
      <x:c r="H352" s="11" t="n">
        <x:v>3096</x:v>
      </x:c>
    </x:row>
    <x:row r="353" ht="23" customHeight="1">
      <x:c r="A353" s="10" t="str">
        <x:v>M6</x:v>
      </x:c>
      <x:c r="B353" s="10" t="str">
        <x:v>N</x:v>
      </x:c>
      <x:c r="C353" s="10" t="str">
        <x:v>bearings_bushings_guides</x:v>
      </x:c>
      <x:c r="D353" s="11" t="n">
        <x:v>441</x:v>
      </x:c>
      <x:c r="E353" s="11" t="n">
        <x:v>235</x:v>
      </x:c>
      <x:c r="F353" s="12" t="n">
        <x:f>E353/D353</x:f>
        <x:v>0.5328798185941043</x:v>
      </x:c>
      <x:c r="G353" s="12" t="n">
        <x:f>IF(SUMIFS($E$6:$E$557,$A$6:$A$557,A353,$B$6:$B$557,B353)=0,"n.a.",E353/SUMIFS($E$6:$E$557,$A$6:$A$557,A353,$B$6:$B$557,B353))</x:f>
        <x:v>0.134979896611143</x:v>
      </x:c>
      <x:c r="H353" s="11" t="n">
        <x:v>1020570</x:v>
      </x:c>
    </x:row>
    <x:row r="354" ht="23" customHeight="1">
      <x:c r="A354" s="10" t="str">
        <x:v>M6</x:v>
      </x:c>
      <x:c r="B354" s="10" t="str">
        <x:v>N</x:v>
      </x:c>
      <x:c r="C354" s="10" t="str">
        <x:v>gears_pulleys_chains</x:v>
      </x:c>
      <x:c r="D354" s="11" t="n">
        <x:v>41</x:v>
      </x:c>
      <x:c r="E354" s="11" t="n">
        <x:v>18</x:v>
      </x:c>
      <x:c r="F354" s="12" t="n">
        <x:f>E354/D354</x:f>
        <x:v>0.43902439024390244</x:v>
      </x:c>
      <x:c r="G354" s="12" t="n">
        <x:f>IF(SUMIFS($E$6:$E$557,$A$6:$A$557,A354,$B$6:$B$557,B354)=0,"n.a.",E354/SUMIFS($E$6:$E$557,$A$6:$A$557,A354,$B$6:$B$557,B354))</x:f>
        <x:v>0.010338885697874785</x:v>
      </x:c>
      <x:c r="H354" s="11" t="n">
        <x:v>54640</x:v>
      </x:c>
    </x:row>
    <x:row r="355" ht="23" customHeight="1">
      <x:c r="A355" s="10" t="str">
        <x:v>M6</x:v>
      </x:c>
      <x:c r="B355" s="10" t="str">
        <x:v>N</x:v>
      </x:c>
      <x:c r="C355" s="10" t="str">
        <x:v>handles_controls</x:v>
      </x:c>
      <x:c r="D355" s="11" t="n">
        <x:v>237</x:v>
      </x:c>
      <x:c r="E355" s="11" t="n">
        <x:v>217</x:v>
      </x:c>
      <x:c r="F355" s="12" t="n">
        <x:f>E355/D355</x:f>
        <x:v>0.9156118143459916</x:v>
      </x:c>
      <x:c r="G355" s="12" t="n">
        <x:f>IF(SUMIFS($E$6:$E$557,$A$6:$A$557,A355,$B$6:$B$557,B355)=0,"n.a.",E355/SUMIFS($E$6:$E$557,$A$6:$A$557,A355,$B$6:$B$557,B355))</x:f>
        <x:v>0.12464101091326824</x:v>
      </x:c>
      <x:c r="H355" s="11" t="n">
        <x:v>1172834</x:v>
      </x:c>
    </x:row>
    <x:row r="356" ht="23" customHeight="1">
      <x:c r="A356" s="10" t="str">
        <x:v>M6</x:v>
      </x:c>
      <x:c r="B356" s="10" t="str">
        <x:v>N</x:v>
      </x:c>
      <x:c r="C356" s="10" t="str">
        <x:v>joints_clamps_structural_connectors</x:v>
      </x:c>
      <x:c r="D356" s="11" t="n">
        <x:v>320</x:v>
      </x:c>
      <x:c r="E356" s="11" t="n">
        <x:v>222</x:v>
      </x:c>
      <x:c r="F356" s="12" t="n">
        <x:f>E356/D356</x:f>
        <x:v>0.69375</x:v>
      </x:c>
      <x:c r="G356" s="12" t="n">
        <x:f>IF(SUMIFS($E$6:$E$557,$A$6:$A$557,A356,$B$6:$B$557,B356)=0,"n.a.",E356/SUMIFS($E$6:$E$557,$A$6:$A$557,A356,$B$6:$B$557,B356))</x:f>
        <x:v>0.12751292360712235</x:v>
      </x:c>
      <x:c r="H356" s="11" t="n">
        <x:v>482928</x:v>
      </x:c>
    </x:row>
    <x:row r="357" ht="23" customHeight="1">
      <x:c r="A357" s="10" t="str">
        <x:v>M6</x:v>
      </x:c>
      <x:c r="B357" s="10" t="str">
        <x:v>N</x:v>
      </x:c>
      <x:c r="C357" s="10" t="str">
        <x:v>motors_gearmotors</x:v>
      </x:c>
      <x:c r="D357" s="11" t="n">
        <x:v>36</x:v>
      </x:c>
      <x:c r="E357" s="11" t="n">
        <x:v>22</x:v>
      </x:c>
      <x:c r="F357" s="12" t="n">
        <x:f>E357/D357</x:f>
        <x:v>0.6111111111111112</x:v>
      </x:c>
      <x:c r="G357" s="12" t="n">
        <x:f>IF(SUMIFS($E$6:$E$557,$A$6:$A$557,A357,$B$6:$B$557,B357)=0,"n.a.",E357/SUMIFS($E$6:$E$557,$A$6:$A$557,A357,$B$6:$B$557,B357))</x:f>
        <x:v>0.01263641585295807</x:v>
      </x:c>
      <x:c r="H357" s="11" t="n">
        <x:v>316252</x:v>
      </x:c>
    </x:row>
    <x:row r="358" ht="23" customHeight="1">
      <x:c r="A358" s="10" t="str">
        <x:v>M6</x:v>
      </x:c>
      <x:c r="B358" s="10" t="str">
        <x:v>N</x:v>
      </x:c>
      <x:c r="C358" s="10" t="str">
        <x:v>nuts</x:v>
      </x:c>
      <x:c r="D358" s="11" t="n">
        <x:v>23</x:v>
      </x:c>
      <x:c r="E358" s="11" t="n">
        <x:v>9</x:v>
      </x:c>
      <x:c r="F358" s="12" t="n">
        <x:f>E358/D358</x:f>
        <x:v>0.391304347826087</x:v>
      </x:c>
      <x:c r="G358" s="12" t="n">
        <x:f>IF(SUMIFS($E$6:$E$557,$A$6:$A$557,A358,$B$6:$B$557,B358)=0,"n.a.",E358/SUMIFS($E$6:$E$557,$A$6:$A$557,A358,$B$6:$B$557,B358))</x:f>
        <x:v>0.005169442848937392</x:v>
      </x:c>
      <x:c r="H358" s="11" t="n">
        <x:v>9830</x:v>
      </x:c>
    </x:row>
    <x:row r="359" ht="23" customHeight="1">
      <x:c r="A359" s="10" t="str">
        <x:v>M6</x:v>
      </x:c>
      <x:c r="B359" s="10" t="str">
        <x:v>N</x:v>
      </x:c>
      <x:c r="C359" s="10" t="str">
        <x:v>pins_rivets_keys</x:v>
      </x:c>
      <x:c r="D359" s="11" t="n">
        <x:v>625</x:v>
      </x:c>
      <x:c r="E359" s="11" t="n">
        <x:v>459</x:v>
      </x:c>
      <x:c r="F359" s="12" t="n">
        <x:f>E359/D359</x:f>
        <x:v>0.7344</x:v>
      </x:c>
      <x:c r="G359" s="12" t="n">
        <x:f>IF(SUMIFS($E$6:$E$557,$A$6:$A$557,A359,$B$6:$B$557,B359)=0,"n.a.",E359/SUMIFS($E$6:$E$557,$A$6:$A$557,A359,$B$6:$B$557,B359))</x:f>
        <x:v>0.263641585295807</x:v>
      </x:c>
      <x:c r="H359" s="11" t="n">
        <x:v>791336</x:v>
      </x:c>
    </x:row>
    <x:row r="360" ht="23" customHeight="1">
      <x:c r="A360" s="10" t="str">
        <x:v>M6</x:v>
      </x:c>
      <x:c r="B360" s="10" t="str">
        <x:v>N</x:v>
      </x:c>
      <x:c r="C360" s="10" t="str">
        <x:v>pipe_fittings_valves_nozzles</x:v>
      </x:c>
      <x:c r="D360" s="11" t="n">
        <x:v>315</x:v>
      </x:c>
      <x:c r="E360" s="11" t="n">
        <x:v>138</x:v>
      </x:c>
      <x:c r="F360" s="12" t="n">
        <x:f>E360/D360</x:f>
        <x:v>0.4380952380952381</x:v>
      </x:c>
      <x:c r="G360" s="12" t="n">
        <x:f>IF(SUMIFS($E$6:$E$557,$A$6:$A$557,A360,$B$6:$B$557,B360)=0,"n.a.",E360/SUMIFS($E$6:$E$557,$A$6:$A$557,A360,$B$6:$B$557,B360))</x:f>
        <x:v>0.07926479035037334</x:v>
      </x:c>
      <x:c r="H360" s="11" t="n">
        <x:v>444818</x:v>
      </x:c>
    </x:row>
    <x:row r="361" ht="23" customHeight="1">
      <x:c r="A361" s="10" t="str">
        <x:v>M6</x:v>
      </x:c>
      <x:c r="B361" s="10" t="str">
        <x:v>N</x:v>
      </x:c>
      <x:c r="C361" s="10" t="str">
        <x:v>plates_discs_shapes</x:v>
      </x:c>
      <x:c r="D361" s="11" t="n">
        <x:v>616</x:v>
      </x:c>
      <x:c r="E361" s="11" t="n">
        <x:v>145</x:v>
      </x:c>
      <x:c r="F361" s="12" t="n">
        <x:f>E361/D361</x:f>
        <x:v>0.2353896103896104</x:v>
      </x:c>
      <x:c r="G361" s="12" t="n">
        <x:f>IF(SUMIFS($E$6:$E$557,$A$6:$A$557,A361,$B$6:$B$557,B361)=0,"n.a.",E361/SUMIFS($E$6:$E$557,$A$6:$A$557,A361,$B$6:$B$557,B361))</x:f>
        <x:v>0.0832854681217691</x:v>
      </x:c>
      <x:c r="H361" s="11" t="n">
        <x:v>241554</x:v>
      </x:c>
    </x:row>
    <x:row r="362" ht="23" customHeight="1">
      <x:c r="A362" s="10" t="str">
        <x:v>M6</x:v>
      </x:c>
      <x:c r="B362" s="10" t="str">
        <x:v>N</x:v>
      </x:c>
      <x:c r="C362" s="10" t="str">
        <x:v>rotating_fluid_machinery</x:v>
      </x:c>
      <x:c r="D362" s="11" t="n">
        <x:v>56</x:v>
      </x:c>
      <x:c r="E362" s="11" t="n">
        <x:v>35</x:v>
      </x:c>
      <x:c r="F362" s="12" t="n">
        <x:f>E362/D362</x:f>
        <x:v>0.625</x:v>
      </x:c>
      <x:c r="G362" s="12" t="n">
        <x:f>IF(SUMIFS($E$6:$E$557,$A$6:$A$557,A362,$B$6:$B$557,B362)=0,"n.a.",E362/SUMIFS($E$6:$E$557,$A$6:$A$557,A362,$B$6:$B$557,B362))</x:f>
        <x:v>0.020103388856978748</x:v>
      </x:c>
      <x:c r="H362" s="11" t="n">
        <x:v>1086394</x:v>
      </x:c>
    </x:row>
    <x:row r="363" ht="23" customHeight="1">
      <x:c r="A363" s="10" t="str">
        <x:v>M6</x:v>
      </x:c>
      <x:c r="B363" s="10" t="str">
        <x:v>N</x:v>
      </x:c>
      <x:c r="C363" s="10" t="str">
        <x:v>screws_bolts_studs</x:v>
      </x:c>
      <x:c r="D363" s="11" t="n">
        <x:v>164</x:v>
      </x:c>
      <x:c r="E363" s="11" t="n">
        <x:v>68</x:v>
      </x:c>
      <x:c r="F363" s="12" t="n">
        <x:f>E363/D363</x:f>
        <x:v>0.4146341463414634</x:v>
      </x:c>
      <x:c r="G363" s="12" t="n">
        <x:f>IF(SUMIFS($E$6:$E$557,$A$6:$A$557,A363,$B$6:$B$557,B363)=0,"n.a.",E363/SUMIFS($E$6:$E$557,$A$6:$A$557,A363,$B$6:$B$557,B363))</x:f>
        <x:v>0.039058012636415854</x:v>
      </x:c>
      <x:c r="H363" s="11" t="n">
        <x:v>98020</x:v>
      </x:c>
    </x:row>
    <x:row r="364" ht="23" customHeight="1">
      <x:c r="A364" s="10" t="str">
        <x:v>M6</x:v>
      </x:c>
      <x:c r="B364" s="10" t="str">
        <x:v>N</x:v>
      </x:c>
      <x:c r="C364" s="10" t="str">
        <x:v>springs</x:v>
      </x:c>
      <x:c r="D364" s="11" t="n">
        <x:v>23</x:v>
      </x:c>
      <x:c r="E364" s="11" t="n">
        <x:v>9</x:v>
      </x:c>
      <x:c r="F364" s="12" t="n">
        <x:f>E364/D364</x:f>
        <x:v>0.391304347826087</x:v>
      </x:c>
      <x:c r="G364" s="12" t="n">
        <x:f>IF(SUMIFS($E$6:$E$557,$A$6:$A$557,A364,$B$6:$B$557,B364)=0,"n.a.",E364/SUMIFS($E$6:$E$557,$A$6:$A$557,A364,$B$6:$B$557,B364))</x:f>
        <x:v>0.005169442848937392</x:v>
      </x:c>
      <x:c r="H364" s="11" t="n">
        <x:v>43172</x:v>
      </x:c>
    </x:row>
    <x:row r="365" ht="23" customHeight="1">
      <x:c r="A365" s="10" t="str">
        <x:v>M6</x:v>
      </x:c>
      <x:c r="B365" s="10" t="str">
        <x:v>N</x:v>
      </x:c>
      <x:c r="C365" s="10" t="str">
        <x:v>washers_rings_spacers</x:v>
      </x:c>
      <x:c r="D365" s="11" t="n">
        <x:v>448</x:v>
      </x:c>
      <x:c r="E365" s="11" t="n">
        <x:v>162</x:v>
      </x:c>
      <x:c r="F365" s="12" t="n">
        <x:f>E365/D365</x:f>
        <x:v>0.36160714285714285</x:v>
      </x:c>
      <x:c r="G365" s="12" t="n">
        <x:f>IF(SUMIFS($E$6:$E$557,$A$6:$A$557,A365,$B$6:$B$557,B365)=0,"n.a.",E365/SUMIFS($E$6:$E$557,$A$6:$A$557,A365,$B$6:$B$557,B365))</x:f>
        <x:v>0.09304997128087306</x:v>
      </x:c>
      <x:c r="H365" s="11" t="n">
        <x:v>663934</x:v>
      </x:c>
    </x:row>
    <x:row r="366" ht="23" customHeight="1">
      <x:c r="A366" s="10" t="str">
        <x:v>M6</x:v>
      </x:c>
      <x:c r="B366" s="10" t="str">
        <x:v>N</x:v>
      </x:c>
      <x:c r="C366" s="10" t="str">
        <x:v>wheels_castors</x:v>
      </x:c>
      <x:c r="D366" s="11" t="n">
        <x:v>2</x:v>
      </x:c>
      <x:c r="E366" s="11" t="n">
        <x:v>2</x:v>
      </x:c>
      <x:c r="F366" s="12" t="n">
        <x:f>E366/D366</x:f>
        <x:v>1</x:v>
      </x:c>
      <x:c r="G366" s="12" t="n">
        <x:f>IF(SUMIFS($E$6:$E$557,$A$6:$A$557,A366,$B$6:$B$557,B366)=0,"n.a.",E366/SUMIFS($E$6:$E$557,$A$6:$A$557,A366,$B$6:$B$557,B366))</x:f>
        <x:v>0.0011487650775416428</x:v>
      </x:c>
      <x:c r="H366" s="11" t="n">
        <x:v>16950</x:v>
      </x:c>
    </x:row>
    <x:row r="367" ht="23" customHeight="1">
      <x:c r="A367" s="10" t="str">
        <x:v>M6</x:v>
      </x:c>
      <x:c r="B367" s="10" t="str">
        <x:v>C</x:v>
      </x:c>
      <x:c r="C367" s="10" t="str">
        <x:v>aluminum_extrusion</x:v>
      </x:c>
      <x:c r="D367" s="11" t="n">
        <x:v>31</x:v>
      </x:c>
      <x:c r="E367" s="11" t="n">
        <x:v>31</x:v>
      </x:c>
      <x:c r="F367" s="12" t="n">
        <x:f>E367/D367</x:f>
        <x:v>1</x:v>
      </x:c>
      <x:c r="G367" s="12" t="n">
        <x:f>IF(SUMIFS($E$6:$E$557,$A$6:$A$557,A367,$B$6:$B$557,B367)=0,"n.a.",E367/SUMIFS($E$6:$E$557,$A$6:$A$557,A367,$B$6:$B$557,B367))</x:f>
        <x:v>0.013414106447425357</x:v>
      </x:c>
      <x:c r="H367" s="11" t="n">
        <x:v>31776</x:v>
      </x:c>
    </x:row>
    <x:row r="368" ht="23" customHeight="1">
      <x:c r="A368" s="10" t="str">
        <x:v>M6</x:v>
      </x:c>
      <x:c r="B368" s="10" t="str">
        <x:v>C</x:v>
      </x:c>
      <x:c r="C368" s="10" t="str">
        <x:v>camera_lens</x:v>
      </x:c>
      <x:c r="D368" s="11" t="n">
        <x:v>1</x:v>
      </x:c>
      <x:c r="E368" s="11" t="n">
        <x:v>1</x:v>
      </x:c>
      <x:c r="F368" s="12" t="n">
        <x:f>E368/D368</x:f>
        <x:v>1</x:v>
      </x:c>
      <x:c r="G368" s="12" t="n">
        <x:f>IF(SUMIFS($E$6:$E$557,$A$6:$A$557,A368,$B$6:$B$557,B368)=0,"n.a.",E368/SUMIFS($E$6:$E$557,$A$6:$A$557,A368,$B$6:$B$557,B368))</x:f>
        <x:v>0.00043271311120726956</x:v>
      </x:c>
      <x:c r="H368" s="11" t="n">
        <x:v>4016</x:v>
      </x:c>
    </x:row>
    <x:row r="369" ht="23" customHeight="1">
      <x:c r="A369" s="10" t="str">
        <x:v>M6</x:v>
      </x:c>
      <x:c r="B369" s="10" t="str">
        <x:v>C</x:v>
      </x:c>
      <x:c r="C369" s="10" t="str">
        <x:v>cap_nut</x:v>
      </x:c>
      <x:c r="D369" s="11" t="n">
        <x:v>149</x:v>
      </x:c>
      <x:c r="E369" s="11" t="n">
        <x:v>139</x:v>
      </x:c>
      <x:c r="F369" s="12" t="n">
        <x:f>E369/D369</x:f>
        <x:v>0.9328859060402684</x:v>
      </x:c>
      <x:c r="G369" s="12" t="n">
        <x:f>IF(SUMIFS($E$6:$E$557,$A$6:$A$557,A369,$B$6:$B$557,B369)=0,"n.a.",E369/SUMIFS($E$6:$E$557,$A$6:$A$557,A369,$B$6:$B$557,B369))</x:f>
        <x:v>0.060147122457810474</x:v>
      </x:c>
      <x:c r="H369" s="11" t="n">
        <x:v>830066</x:v>
      </x:c>
    </x:row>
    <x:row r="370" ht="23" customHeight="1">
      <x:c r="A370" s="10" t="str">
        <x:v>M6</x:v>
      </x:c>
      <x:c r="B370" s="10" t="str">
        <x:v>C</x:v>
      </x:c>
      <x:c r="C370" s="10" t="str">
        <x:v>coil_spring</x:v>
      </x:c>
      <x:c r="D370" s="11" t="n">
        <x:v>12</x:v>
      </x:c>
      <x:c r="E370" s="11" t="n">
        <x:v>12</x:v>
      </x:c>
      <x:c r="F370" s="12" t="n">
        <x:f>E370/D370</x:f>
        <x:v>1</x:v>
      </x:c>
      <x:c r="G370" s="12" t="n">
        <x:f>IF(SUMIFS($E$6:$E$557,$A$6:$A$557,A370,$B$6:$B$557,B370)=0,"n.a.",E370/SUMIFS($E$6:$E$557,$A$6:$A$557,A370,$B$6:$B$557,B370))</x:f>
        <x:v>0.005192557334487235</x:v>
      </x:c>
      <x:c r="H370" s="11" t="n">
        <x:v>590256</x:v>
      </x:c>
    </x:row>
    <x:row r="371" ht="23" customHeight="1">
      <x:c r="A371" s="10" t="str">
        <x:v>M6</x:v>
      </x:c>
      <x:c r="B371" s="10" t="str">
        <x:v>C</x:v>
      </x:c>
      <x:c r="C371" s="10" t="str">
        <x:v>die_block</x:v>
      </x:c>
      <x:c r="D371" s="11" t="n">
        <x:v>30</x:v>
      </x:c>
      <x:c r="E371" s="11" t="n">
        <x:v>30</x:v>
      </x:c>
      <x:c r="F371" s="12" t="n">
        <x:f>E371/D371</x:f>
        <x:v>1</x:v>
      </x:c>
      <x:c r="G371" s="12" t="n">
        <x:f>IF(SUMIFS($E$6:$E$557,$A$6:$A$557,A371,$B$6:$B$557,B371)=0,"n.a.",E371/SUMIFS($E$6:$E$557,$A$6:$A$557,A371,$B$6:$B$557,B371))</x:f>
        <x:v>0.012981393336218087</x:v>
      </x:c>
      <x:c r="H371" s="11" t="n">
        <x:v>68052</x:v>
      </x:c>
    </x:row>
    <x:row r="372" ht="23" customHeight="1">
      <x:c r="A372" s="10" t="str">
        <x:v>M6</x:v>
      </x:c>
      <x:c r="B372" s="10" t="str">
        <x:v>C</x:v>
      </x:c>
      <x:c r="C372" s="10" t="str">
        <x:v>dowel_pin</x:v>
      </x:c>
      <x:c r="D372" s="11" t="n">
        <x:v>798</x:v>
      </x:c>
      <x:c r="E372" s="11" t="n">
        <x:v>94</x:v>
      </x:c>
      <x:c r="F372" s="12" t="n">
        <x:f>E372/D372</x:f>
        <x:v>0.11779448621553884</x:v>
      </x:c>
      <x:c r="G372" s="12" t="n">
        <x:f>IF(SUMIFS($E$6:$E$557,$A$6:$A$557,A372,$B$6:$B$557,B372)=0,"n.a.",E372/SUMIFS($E$6:$E$557,$A$6:$A$557,A372,$B$6:$B$557,B372))</x:f>
        <x:v>0.04067503245348334</x:v>
      </x:c>
      <x:c r="H372" s="11" t="n">
        <x:v>88602</x:v>
      </x:c>
    </x:row>
    <x:row r="373" ht="23" customHeight="1">
      <x:c r="A373" s="10" t="str">
        <x:v>M6</x:v>
      </x:c>
      <x:c r="B373" s="10" t="str">
        <x:v>C</x:v>
      </x:c>
      <x:c r="C373" s="10" t="str">
        <x:v>feature_plate</x:v>
      </x:c>
      <x:c r="D373" s="11" t="n">
        <x:v>125</x:v>
      </x:c>
      <x:c r="E373" s="11" t="n">
        <x:v>125</x:v>
      </x:c>
      <x:c r="F373" s="12" t="n">
        <x:f>E373/D373</x:f>
        <x:v>1</x:v>
      </x:c>
      <x:c r="G373" s="12" t="n">
        <x:f>IF(SUMIFS($E$6:$E$557,$A$6:$A$557,A373,$B$6:$B$557,B373)=0,"n.a.",E373/SUMIFS($E$6:$E$557,$A$6:$A$557,A373,$B$6:$B$557,B373))</x:f>
        <x:v>0.0540891389009087</x:v>
      </x:c>
      <x:c r="H373" s="11" t="n">
        <x:v>2361466</x:v>
      </x:c>
    </x:row>
    <x:row r="374" ht="23" customHeight="1">
      <x:c r="A374" s="10" t="str">
        <x:v>M6</x:v>
      </x:c>
      <x:c r="B374" s="10" t="str">
        <x:v>C</x:v>
      </x:c>
      <x:c r="C374" s="10" t="str">
        <x:v>flat_washer</x:v>
      </x:c>
      <x:c r="D374" s="11" t="n">
        <x:v>319</x:v>
      </x:c>
      <x:c r="E374" s="11" t="n">
        <x:v>304</x:v>
      </x:c>
      <x:c r="F374" s="12" t="n">
        <x:f>E374/D374</x:f>
        <x:v>0.9529780564263323</x:v>
      </x:c>
      <x:c r="G374" s="12" t="n">
        <x:f>IF(SUMIFS($E$6:$E$557,$A$6:$A$557,A374,$B$6:$B$557,B374)=0,"n.a.",E374/SUMIFS($E$6:$E$557,$A$6:$A$557,A374,$B$6:$B$557,B374))</x:f>
        <x:v>0.13154478580700996</x:v>
      </x:c>
      <x:c r="H374" s="11" t="n">
        <x:v>1617196</x:v>
      </x:c>
    </x:row>
    <x:row r="375" ht="23" customHeight="1">
      <x:c r="A375" s="10" t="str">
        <x:v>M6</x:v>
      </x:c>
      <x:c r="B375" s="10" t="str">
        <x:v>C</x:v>
      </x:c>
      <x:c r="C375" s="10" t="str">
        <x:v>hex_bolt</x:v>
      </x:c>
      <x:c r="D375" s="11" t="n">
        <x:v>1</x:v>
      </x:c>
      <x:c r="E375" s="11" t="n">
        <x:v>1</x:v>
      </x:c>
      <x:c r="F375" s="12" t="n">
        <x:f>E375/D375</x:f>
        <x:v>1</x:v>
      </x:c>
      <x:c r="G375" s="12" t="n">
        <x:f>IF(SUMIFS($E$6:$E$557,$A$6:$A$557,A375,$B$6:$B$557,B375)=0,"n.a.",E375/SUMIFS($E$6:$E$557,$A$6:$A$557,A375,$B$6:$B$557,B375))</x:f>
        <x:v>0.00043271311120726956</x:v>
      </x:c>
      <x:c r="H375" s="11" t="n">
        <x:v>980</x:v>
      </x:c>
    </x:row>
    <x:row r="376" ht="23" customHeight="1">
      <x:c r="A376" s="10" t="str">
        <x:v>M6</x:v>
      </x:c>
      <x:c r="B376" s="10" t="str">
        <x:v>C</x:v>
      </x:c>
      <x:c r="C376" s="10" t="str">
        <x:v>hex_nut</x:v>
      </x:c>
      <x:c r="D376" s="11" t="n">
        <x:v>51</x:v>
      </x:c>
      <x:c r="E376" s="11" t="n">
        <x:v>39</x:v>
      </x:c>
      <x:c r="F376" s="12" t="n">
        <x:f>E376/D376</x:f>
        <x:v>0.7647058823529411</x:v>
      </x:c>
      <x:c r="G376" s="12" t="n">
        <x:f>IF(SUMIFS($E$6:$E$557,$A$6:$A$557,A376,$B$6:$B$557,B376)=0,"n.a.",E376/SUMIFS($E$6:$E$557,$A$6:$A$557,A376,$B$6:$B$557,B376))</x:f>
        <x:v>0.016875811337083515</x:v>
      </x:c>
      <x:c r="H376" s="11" t="n">
        <x:v>295220</x:v>
      </x:c>
    </x:row>
    <x:row r="377" ht="23" customHeight="1">
      <x:c r="A377" s="10" t="str">
        <x:v>M6</x:v>
      </x:c>
      <x:c r="B377" s="10" t="str">
        <x:v>C</x:v>
      </x:c>
      <x:c r="C377" s="10" t="str">
        <x:v>lead_screw</x:v>
      </x:c>
      <x:c r="D377" s="11" t="n">
        <x:v>15</x:v>
      </x:c>
      <x:c r="E377" s="11" t="n">
        <x:v>15</x:v>
      </x:c>
      <x:c r="F377" s="12" t="n">
        <x:f>E377/D377</x:f>
        <x:v>1</x:v>
      </x:c>
      <x:c r="G377" s="12" t="n">
        <x:f>IF(SUMIFS($E$6:$E$557,$A$6:$A$557,A377,$B$6:$B$557,B377)=0,"n.a.",E377/SUMIFS($E$6:$E$557,$A$6:$A$557,A377,$B$6:$B$557,B377))</x:f>
        <x:v>0.006490696668109044</x:v>
      </x:c>
      <x:c r="H377" s="11" t="n">
        <x:v>8820</x:v>
      </x:c>
    </x:row>
    <x:row r="378" ht="23" customHeight="1">
      <x:c r="A378" s="10" t="str">
        <x:v>M6</x:v>
      </x:c>
      <x:c r="B378" s="10" t="str">
        <x:v>C</x:v>
      </x:c>
      <x:c r="C378" s="10" t="str">
        <x:v>mounting_bracket</x:v>
      </x:c>
      <x:c r="D378" s="11" t="n">
        <x:v>2</x:v>
      </x:c>
      <x:c r="E378" s="11" t="n">
        <x:v>2</x:v>
      </x:c>
      <x:c r="F378" s="12" t="n">
        <x:f>E378/D378</x:f>
        <x:v>1</x:v>
      </x:c>
      <x:c r="G378" s="12" t="n">
        <x:f>IF(SUMIFS($E$6:$E$557,$A$6:$A$557,A378,$B$6:$B$557,B378)=0,"n.a.",E378/SUMIFS($E$6:$E$557,$A$6:$A$557,A378,$B$6:$B$557,B378))</x:f>
        <x:v>0.0008654262224145391</x:v>
      </x:c>
      <x:c r="H378" s="11" t="n">
        <x:v>2864</x:v>
      </x:c>
    </x:row>
    <x:row r="379" ht="23" customHeight="1">
      <x:c r="A379" s="10" t="str">
        <x:v>M6</x:v>
      </x:c>
      <x:c r="B379" s="10" t="str">
        <x:v>C</x:v>
      </x:c>
      <x:c r="C379" s="10" t="str">
        <x:v>mounting_plate</x:v>
      </x:c>
      <x:c r="D379" s="11" t="n">
        <x:v>57</x:v>
      </x:c>
      <x:c r="E379" s="11" t="n">
        <x:v>57</x:v>
      </x:c>
      <x:c r="F379" s="12" t="n">
        <x:f>E379/D379</x:f>
        <x:v>1</x:v>
      </x:c>
      <x:c r="G379" s="12" t="n">
        <x:f>IF(SUMIFS($E$6:$E$557,$A$6:$A$557,A379,$B$6:$B$557,B379)=0,"n.a.",E379/SUMIFS($E$6:$E$557,$A$6:$A$557,A379,$B$6:$B$557,B379))</x:f>
        <x:v>0.024664647338814367</x:v>
      </x:c>
      <x:c r="H379" s="11" t="n">
        <x:v>70468</x:v>
      </x:c>
    </x:row>
    <x:row r="380" ht="23" customHeight="1">
      <x:c r="A380" s="10" t="str">
        <x:v>M6</x:v>
      </x:c>
      <x:c r="B380" s="10" t="str">
        <x:v>C</x:v>
      </x:c>
      <x:c r="C380" s="10" t="str">
        <x:v>nozzle</x:v>
      </x:c>
      <x:c r="D380" s="11" t="n">
        <x:v>125</x:v>
      </x:c>
      <x:c r="E380" s="11" t="n">
        <x:v>122</x:v>
      </x:c>
      <x:c r="F380" s="12" t="n">
        <x:f>E380/D380</x:f>
        <x:v>0.976</x:v>
      </x:c>
      <x:c r="G380" s="12" t="n">
        <x:f>IF(SUMIFS($E$6:$E$557,$A$6:$A$557,A380,$B$6:$B$557,B380)=0,"n.a.",E380/SUMIFS($E$6:$E$557,$A$6:$A$557,A380,$B$6:$B$557,B380))</x:f>
        <x:v>0.05279099956728689</x:v>
      </x:c>
      <x:c r="H380" s="11" t="n">
        <x:v>1000910</x:v>
      </x:c>
    </x:row>
    <x:row r="381" ht="23" customHeight="1">
      <x:c r="A381" s="10" t="str">
        <x:v>M6</x:v>
      </x:c>
      <x:c r="B381" s="10" t="str">
        <x:v>C</x:v>
      </x:c>
      <x:c r="C381" s="10" t="str">
        <x:v>pipe_fitting</x:v>
      </x:c>
      <x:c r="D381" s="11" t="n">
        <x:v>30</x:v>
      </x:c>
      <x:c r="E381" s="11" t="n">
        <x:v>30</x:v>
      </x:c>
      <x:c r="F381" s="12" t="n">
        <x:f>E381/D381</x:f>
        <x:v>1</x:v>
      </x:c>
      <x:c r="G381" s="12" t="n">
        <x:f>IF(SUMIFS($E$6:$E$557,$A$6:$A$557,A381,$B$6:$B$557,B381)=0,"n.a.",E381/SUMIFS($E$6:$E$557,$A$6:$A$557,A381,$B$6:$B$557,B381))</x:f>
        <x:v>0.012981393336218087</x:v>
      </x:c>
      <x:c r="H381" s="11" t="n">
        <x:v>180120</x:v>
      </x:c>
    </x:row>
    <x:row r="382" ht="23" customHeight="1">
      <x:c r="A382" s="10" t="str">
        <x:v>M6</x:v>
      </x:c>
      <x:c r="B382" s="10" t="str">
        <x:v>C</x:v>
      </x:c>
      <x:c r="C382" s="10" t="str">
        <x:v>plain_block</x:v>
      </x:c>
      <x:c r="D382" s="11" t="n">
        <x:v>621</x:v>
      </x:c>
      <x:c r="E382" s="11" t="n">
        <x:v>621</x:v>
      </x:c>
      <x:c r="F382" s="12" t="n">
        <x:f>E382/D382</x:f>
        <x:v>1</x:v>
      </x:c>
      <x:c r="G382" s="12" t="n">
        <x:f>IF(SUMIFS($E$6:$E$557,$A$6:$A$557,A382,$B$6:$B$557,B382)=0,"n.a.",E382/SUMIFS($E$6:$E$557,$A$6:$A$557,A382,$B$6:$B$557,B382))</x:f>
        <x:v>0.2687148420597144</x:v>
      </x:c>
      <x:c r="H382" s="11" t="n">
        <x:v>3422040</x:v>
      </x:c>
    </x:row>
    <x:row r="383" ht="23" customHeight="1">
      <x:c r="A383" s="10" t="str">
        <x:v>M6</x:v>
      </x:c>
      <x:c r="B383" s="10" t="str">
        <x:v>C</x:v>
      </x:c>
      <x:c r="C383" s="10" t="str">
        <x:v>plain_shaft</x:v>
      </x:c>
      <x:c r="D383" s="11" t="n">
        <x:v>15</x:v>
      </x:c>
      <x:c r="E383" s="11" t="n">
        <x:v>15</x:v>
      </x:c>
      <x:c r="F383" s="12" t="n">
        <x:f>E383/D383</x:f>
        <x:v>1</x:v>
      </x:c>
      <x:c r="G383" s="12" t="n">
        <x:f>IF(SUMIFS($E$6:$E$557,$A$6:$A$557,A383,$B$6:$B$557,B383)=0,"n.a.",E383/SUMIFS($E$6:$E$557,$A$6:$A$557,A383,$B$6:$B$557,B383))</x:f>
        <x:v>0.006490696668109044</x:v>
      </x:c>
      <x:c r="H383" s="11" t="n">
        <x:v>16892</x:v>
      </x:c>
    </x:row>
    <x:row r="384" ht="23" customHeight="1">
      <x:c r="A384" s="10" t="str">
        <x:v>M6</x:v>
      </x:c>
      <x:c r="B384" s="10" t="str">
        <x:v>C</x:v>
      </x:c>
      <x:c r="C384" s="10" t="str">
        <x:v>punch_tool</x:v>
      </x:c>
      <x:c r="D384" s="11" t="n">
        <x:v>34</x:v>
      </x:c>
      <x:c r="E384" s="11" t="n">
        <x:v>34</x:v>
      </x:c>
      <x:c r="F384" s="12" t="n">
        <x:f>E384/D384</x:f>
        <x:v>1</x:v>
      </x:c>
      <x:c r="G384" s="12" t="n">
        <x:f>IF(SUMIFS($E$6:$E$557,$A$6:$A$557,A384,$B$6:$B$557,B384)=0,"n.a.",E384/SUMIFS($E$6:$E$557,$A$6:$A$557,A384,$B$6:$B$557,B384))</x:f>
        <x:v>0.014712245781047165</x:v>
      </x:c>
      <x:c r="H384" s="11" t="n">
        <x:v>74544</x:v>
      </x:c>
    </x:row>
    <x:row r="385" ht="23" customHeight="1">
      <x:c r="A385" s="10" t="str">
        <x:v>M6</x:v>
      </x:c>
      <x:c r="B385" s="10" t="str">
        <x:v>C</x:v>
      </x:c>
      <x:c r="C385" s="10" t="str">
        <x:v>retaining_ring</x:v>
      </x:c>
      <x:c r="D385" s="11" t="n">
        <x:v>216</x:v>
      </x:c>
      <x:c r="E385" s="11" t="n">
        <x:v>154</x:v>
      </x:c>
      <x:c r="F385" s="12" t="n">
        <x:f>E385/D385</x:f>
        <x:v>0.7129629629629629</x:v>
      </x:c>
      <x:c r="G385" s="12" t="n">
        <x:f>IF(SUMIFS($E$6:$E$557,$A$6:$A$557,A385,$B$6:$B$557,B385)=0,"n.a.",E385/SUMIFS($E$6:$E$557,$A$6:$A$557,A385,$B$6:$B$557,B385))</x:f>
        <x:v>0.06663781912591951</x:v>
      </x:c>
      <x:c r="H385" s="11" t="n">
        <x:v>625064</x:v>
      </x:c>
    </x:row>
    <x:row r="386" ht="23" customHeight="1">
      <x:c r="A386" s="10" t="str">
        <x:v>M6</x:v>
      </x:c>
      <x:c r="B386" s="10" t="str">
        <x:v>C</x:v>
      </x:c>
      <x:c r="C386" s="10" t="str">
        <x:v>shaft_key</x:v>
      </x:c>
      <x:c r="D386" s="11" t="n">
        <x:v>524</x:v>
      </x:c>
      <x:c r="E386" s="11" t="n">
        <x:v>307</x:v>
      </x:c>
      <x:c r="F386" s="12" t="n">
        <x:f>E386/D386</x:f>
        <x:v>0.5858778625954199</x:v>
      </x:c>
      <x:c r="G386" s="12" t="n">
        <x:f>IF(SUMIFS($E$6:$E$557,$A$6:$A$557,A386,$B$6:$B$557,B386)=0,"n.a.",E386/SUMIFS($E$6:$E$557,$A$6:$A$557,A386,$B$6:$B$557,B386))</x:f>
        <x:v>0.13284292514063176</x:v>
      </x:c>
      <x:c r="H386" s="11" t="n">
        <x:v>1327542</x:v>
      </x:c>
    </x:row>
    <x:row r="387" ht="23" customHeight="1">
      <x:c r="A387" s="10" t="str">
        <x:v>M6</x:v>
      </x:c>
      <x:c r="B387" s="10" t="str">
        <x:v>C</x:v>
      </x:c>
      <x:c r="C387" s="10" t="str">
        <x:v>slotted_nut</x:v>
      </x:c>
      <x:c r="D387" s="11" t="n">
        <x:v>70</x:v>
      </x:c>
      <x:c r="E387" s="11" t="n">
        <x:v>70</x:v>
      </x:c>
      <x:c r="F387" s="12" t="n">
        <x:f>E387/D387</x:f>
        <x:v>1</x:v>
      </x:c>
      <x:c r="G387" s="12" t="n">
        <x:f>IF(SUMIFS($E$6:$E$557,$A$6:$A$557,A387,$B$6:$B$557,B387)=0,"n.a.",E387/SUMIFS($E$6:$E$557,$A$6:$A$557,A387,$B$6:$B$557,B387))</x:f>
        <x:v>0.03028991778450887</x:v>
      </x:c>
      <x:c r="H387" s="11" t="n">
        <x:v>215792</x:v>
      </x:c>
    </x:row>
    <x:row r="388" ht="23" customHeight="1">
      <x:c r="A388" s="10" t="str">
        <x:v>M6</x:v>
      </x:c>
      <x:c r="B388" s="10" t="str">
        <x:v>C</x:v>
      </x:c>
      <x:c r="C388" s="10" t="str">
        <x:v>sprocket</x:v>
      </x:c>
      <x:c r="D388" s="11" t="n">
        <x:v>8</x:v>
      </x:c>
      <x:c r="E388" s="11" t="n">
        <x:v>8</x:v>
      </x:c>
      <x:c r="F388" s="12" t="n">
        <x:f>E388/D388</x:f>
        <x:v>1</x:v>
      </x:c>
      <x:c r="G388" s="12" t="n">
        <x:f>IF(SUMIFS($E$6:$E$557,$A$6:$A$557,A388,$B$6:$B$557,B388)=0,"n.a.",E388/SUMIFS($E$6:$E$557,$A$6:$A$557,A388,$B$6:$B$557,B388))</x:f>
        <x:v>0.0034617048896581565</x:v>
      </x:c>
      <x:c r="H388" s="11" t="n">
        <x:v>45340</x:v>
      </x:c>
    </x:row>
    <x:row r="389" ht="23" customHeight="1">
      <x:c r="A389" s="10" t="str">
        <x:v>M6</x:v>
      </x:c>
      <x:c r="B389" s="10" t="str">
        <x:v>C</x:v>
      </x:c>
      <x:c r="C389" s="10" t="str">
        <x:v>suction_cup</x:v>
      </x:c>
      <x:c r="D389" s="11" t="n">
        <x:v>5</x:v>
      </x:c>
      <x:c r="E389" s="11" t="n">
        <x:v>5</x:v>
      </x:c>
      <x:c r="F389" s="12" t="n">
        <x:f>E389/D389</x:f>
        <x:v>1</x:v>
      </x:c>
      <x:c r="G389" s="12" t="n">
        <x:f>IF(SUMIFS($E$6:$E$557,$A$6:$A$557,A389,$B$6:$B$557,B389)=0,"n.a.",E389/SUMIFS($E$6:$E$557,$A$6:$A$557,A389,$B$6:$B$557,B389))</x:f>
        <x:v>0.0021635655560363477</x:v>
      </x:c>
      <x:c r="H389" s="11" t="n">
        <x:v>15476</x:v>
      </x:c>
    </x:row>
    <x:row r="390" ht="23" customHeight="1">
      <x:c r="A390" s="10" t="str">
        <x:v>M6</x:v>
      </x:c>
      <x:c r="B390" s="10" t="str">
        <x:v>C</x:v>
      </x:c>
      <x:c r="C390" s="10" t="str">
        <x:v>threaded_stud</x:v>
      </x:c>
      <x:c r="D390" s="11" t="n">
        <x:v>108</x:v>
      </x:c>
      <x:c r="E390" s="11" t="n">
        <x:v>95</x:v>
      </x:c>
      <x:c r="F390" s="12" t="n">
        <x:f>E390/D390</x:f>
        <x:v>0.8796296296296297</x:v>
      </x:c>
      <x:c r="G390" s="12" t="n">
        <x:f>IF(SUMIFS($E$6:$E$557,$A$6:$A$557,A390,$B$6:$B$557,B390)=0,"n.a.",E390/SUMIFS($E$6:$E$557,$A$6:$A$557,A390,$B$6:$B$557,B390))</x:f>
        <x:v>0.04110774556469061</x:v>
      </x:c>
      <x:c r="H390" s="11" t="n">
        <x:v>325070</x:v>
      </x:c>
    </x:row>
    <x:row r="391" ht="23" customHeight="1">
      <x:c r="A391" s="10" t="str">
        <x:v>M7</x:v>
      </x:c>
      <x:c r="B391" s="10" t="str">
        <x:v>N</x:v>
      </x:c>
      <x:c r="C391" s="10" t="str">
        <x:v>bearings_bushings_guides</x:v>
      </x:c>
      <x:c r="D391" s="11" t="n">
        <x:v>37</x:v>
      </x:c>
      <x:c r="E391" s="11" t="n">
        <x:v>32</x:v>
      </x:c>
      <x:c r="F391" s="12" t="n">
        <x:f>E391/D391</x:f>
        <x:v>0.8648648648648649</x:v>
      </x:c>
      <x:c r="G391" s="12" t="n">
        <x:f>IF(SUMIFS($E$6:$E$557,$A$6:$A$557,A391,$B$6:$B$557,B391)=0,"n.a.",E391/SUMIFS($E$6:$E$557,$A$6:$A$557,A391,$B$6:$B$557,B391))</x:f>
        <x:v>0.0426098535286285</x:v>
      </x:c>
      <x:c r="H391" s="11" t="n">
        <x:v>88532</x:v>
      </x:c>
    </x:row>
    <x:row r="392" ht="23" customHeight="1">
      <x:c r="A392" s="10" t="str">
        <x:v>M7</x:v>
      </x:c>
      <x:c r="B392" s="10" t="str">
        <x:v>N</x:v>
      </x:c>
      <x:c r="C392" s="10" t="str">
        <x:v>gears_pulleys_chains</x:v>
      </x:c>
      <x:c r="D392" s="11" t="n">
        <x:v>6</x:v>
      </x:c>
      <x:c r="E392" s="11" t="n">
        <x:v>2</x:v>
      </x:c>
      <x:c r="F392" s="12" t="n">
        <x:f>E392/D392</x:f>
        <x:v>0.3333333333333333</x:v>
      </x:c>
      <x:c r="G392" s="12" t="n">
        <x:f>IF(SUMIFS($E$6:$E$557,$A$6:$A$557,A392,$B$6:$B$557,B392)=0,"n.a.",E392/SUMIFS($E$6:$E$557,$A$6:$A$557,A392,$B$6:$B$557,B392))</x:f>
        <x:v>0.002663115845539281</x:v>
      </x:c>
      <x:c r="H392" s="11" t="n">
        <x:v>2390</x:v>
      </x:c>
    </x:row>
    <x:row r="393" ht="23" customHeight="1">
      <x:c r="A393" s="10" t="str">
        <x:v>M7</x:v>
      </x:c>
      <x:c r="B393" s="10" t="str">
        <x:v>N</x:v>
      </x:c>
      <x:c r="C393" s="10" t="str">
        <x:v>handles_controls</x:v>
      </x:c>
      <x:c r="D393" s="11" t="n">
        <x:v>96</x:v>
      </x:c>
      <x:c r="E393" s="11" t="n">
        <x:v>81</x:v>
      </x:c>
      <x:c r="F393" s="12" t="n">
        <x:f>E393/D393</x:f>
        <x:v>0.84375</x:v>
      </x:c>
      <x:c r="G393" s="12" t="n">
        <x:f>IF(SUMIFS($E$6:$E$557,$A$6:$A$557,A393,$B$6:$B$557,B393)=0,"n.a.",E393/SUMIFS($E$6:$E$557,$A$6:$A$557,A393,$B$6:$B$557,B393))</x:f>
        <x:v>0.10785619174434088</x:v>
      </x:c>
      <x:c r="H393" s="11" t="n">
        <x:v>243514</x:v>
      </x:c>
    </x:row>
    <x:row r="394" ht="23" customHeight="1">
      <x:c r="A394" s="10" t="str">
        <x:v>M7</x:v>
      </x:c>
      <x:c r="B394" s="10" t="str">
        <x:v>N</x:v>
      </x:c>
      <x:c r="C394" s="10" t="str">
        <x:v>joints_clamps_structural_connectors</x:v>
      </x:c>
      <x:c r="D394" s="11" t="n">
        <x:v>77</x:v>
      </x:c>
      <x:c r="E394" s="11" t="n">
        <x:v>59</x:v>
      </x:c>
      <x:c r="F394" s="12" t="n">
        <x:f>E394/D394</x:f>
        <x:v>0.7662337662337663</x:v>
      </x:c>
      <x:c r="G394" s="12" t="n">
        <x:f>IF(SUMIFS($E$6:$E$557,$A$6:$A$557,A394,$B$6:$B$557,B394)=0,"n.a.",E394/SUMIFS($E$6:$E$557,$A$6:$A$557,A394,$B$6:$B$557,B394))</x:f>
        <x:v>0.07856191744340879</x:v>
      </x:c>
      <x:c r="H394" s="11" t="n">
        <x:v>1571750</x:v>
      </x:c>
    </x:row>
    <x:row r="395" ht="23" customHeight="1">
      <x:c r="A395" s="10" t="str">
        <x:v>M7</x:v>
      </x:c>
      <x:c r="B395" s="10" t="str">
        <x:v>N</x:v>
      </x:c>
      <x:c r="C395" s="10" t="str">
        <x:v>motors_gearmotors</x:v>
      </x:c>
      <x:c r="D395" s="11" t="n">
        <x:v>19</x:v>
      </x:c>
      <x:c r="E395" s="11" t="n">
        <x:v>15</x:v>
      </x:c>
      <x:c r="F395" s="12" t="n">
        <x:f>E395/D395</x:f>
        <x:v>0.7894736842105263</x:v>
      </x:c>
      <x:c r="G395" s="12" t="n">
        <x:f>IF(SUMIFS($E$6:$E$557,$A$6:$A$557,A395,$B$6:$B$557,B395)=0,"n.a.",E395/SUMIFS($E$6:$E$557,$A$6:$A$557,A395,$B$6:$B$557,B395))</x:f>
        <x:v>0.019973368841544607</x:v>
      </x:c>
      <x:c r="H395" s="11" t="n">
        <x:v>12474324</x:v>
      </x:c>
    </x:row>
    <x:row r="396" ht="23" customHeight="1">
      <x:c r="A396" s="10" t="str">
        <x:v>M7</x:v>
      </x:c>
      <x:c r="B396" s="10" t="str">
        <x:v>N</x:v>
      </x:c>
      <x:c r="C396" s="10" t="str">
        <x:v>nuts</x:v>
      </x:c>
      <x:c r="D396" s="11" t="n">
        <x:v>10</x:v>
      </x:c>
      <x:c r="E396" s="11" t="n">
        <x:v>5</x:v>
      </x:c>
      <x:c r="F396" s="12" t="n">
        <x:f>E396/D396</x:f>
        <x:v>0.5</x:v>
      </x:c>
      <x:c r="G396" s="12" t="n">
        <x:f>IF(SUMIFS($E$6:$E$557,$A$6:$A$557,A396,$B$6:$B$557,B396)=0,"n.a.",E396/SUMIFS($E$6:$E$557,$A$6:$A$557,A396,$B$6:$B$557,B396))</x:f>
        <x:v>0.006657789613848202</x:v>
      </x:c>
      <x:c r="H396" s="11" t="n">
        <x:v>9260</x:v>
      </x:c>
    </x:row>
    <x:row r="397" ht="23" customHeight="1">
      <x:c r="A397" s="10" t="str">
        <x:v>M7</x:v>
      </x:c>
      <x:c r="B397" s="10" t="str">
        <x:v>N</x:v>
      </x:c>
      <x:c r="C397" s="10" t="str">
        <x:v>pins_rivets_keys</x:v>
      </x:c>
      <x:c r="D397" s="11" t="n">
        <x:v>71</x:v>
      </x:c>
      <x:c r="E397" s="11" t="n">
        <x:v>65</x:v>
      </x:c>
      <x:c r="F397" s="12" t="n">
        <x:f>E397/D397</x:f>
        <x:v>0.9154929577464789</x:v>
      </x:c>
      <x:c r="G397" s="12" t="n">
        <x:f>IF(SUMIFS($E$6:$E$557,$A$6:$A$557,A397,$B$6:$B$557,B397)=0,"n.a.",E397/SUMIFS($E$6:$E$557,$A$6:$A$557,A397,$B$6:$B$557,B397))</x:f>
        <x:v>0.08655126498002663</x:v>
      </x:c>
      <x:c r="H397" s="11" t="n">
        <x:v>152734</x:v>
      </x:c>
    </x:row>
    <x:row r="398" ht="23" customHeight="1">
      <x:c r="A398" s="10" t="str">
        <x:v>M7</x:v>
      </x:c>
      <x:c r="B398" s="10" t="str">
        <x:v>N</x:v>
      </x:c>
      <x:c r="C398" s="10" t="str">
        <x:v>pipe_fittings_valves_nozzles</x:v>
      </x:c>
      <x:c r="D398" s="11" t="n">
        <x:v>25</x:v>
      </x:c>
      <x:c r="E398" s="11" t="n">
        <x:v>24</x:v>
      </x:c>
      <x:c r="F398" s="12" t="n">
        <x:f>E398/D398</x:f>
        <x:v>0.96</x:v>
      </x:c>
      <x:c r="G398" s="12" t="n">
        <x:f>IF(SUMIFS($E$6:$E$557,$A$6:$A$557,A398,$B$6:$B$557,B398)=0,"n.a.",E398/SUMIFS($E$6:$E$557,$A$6:$A$557,A398,$B$6:$B$557,B398))</x:f>
        <x:v>0.03195739014647137</x:v>
      </x:c>
      <x:c r="H398" s="11" t="n">
        <x:v>113078</x:v>
      </x:c>
    </x:row>
    <x:row r="399" ht="23" customHeight="1">
      <x:c r="A399" s="10" t="str">
        <x:v>M7</x:v>
      </x:c>
      <x:c r="B399" s="10" t="str">
        <x:v>N</x:v>
      </x:c>
      <x:c r="C399" s="10" t="str">
        <x:v>plates_discs_shapes</x:v>
      </x:c>
      <x:c r="D399" s="11" t="n">
        <x:v>178</x:v>
      </x:c>
      <x:c r="E399" s="11" t="n">
        <x:v>21</x:v>
      </x:c>
      <x:c r="F399" s="12" t="n">
        <x:f>E399/D399</x:f>
        <x:v>0.11797752808988764</x:v>
      </x:c>
      <x:c r="G399" s="12" t="n">
        <x:f>IF(SUMIFS($E$6:$E$557,$A$6:$A$557,A399,$B$6:$B$557,B399)=0,"n.a.",E399/SUMIFS($E$6:$E$557,$A$6:$A$557,A399,$B$6:$B$557,B399))</x:f>
        <x:v>0.02796271637816245</x:v>
      </x:c>
      <x:c r="H399" s="11" t="n">
        <x:v>234434</x:v>
      </x:c>
    </x:row>
    <x:row r="400" ht="23" customHeight="1">
      <x:c r="A400" s="10" t="str">
        <x:v>M7</x:v>
      </x:c>
      <x:c r="B400" s="10" t="str">
        <x:v>N</x:v>
      </x:c>
      <x:c r="C400" s="10" t="str">
        <x:v>rotating_fluid_machinery</x:v>
      </x:c>
      <x:c r="D400" s="11" t="n">
        <x:v>15</x:v>
      </x:c>
      <x:c r="E400" s="11" t="n">
        <x:v>14</x:v>
      </x:c>
      <x:c r="F400" s="12" t="n">
        <x:f>E400/D400</x:f>
        <x:v>0.9333333333333333</x:v>
      </x:c>
      <x:c r="G400" s="12" t="n">
        <x:f>IF(SUMIFS($E$6:$E$557,$A$6:$A$557,A400,$B$6:$B$557,B400)=0,"n.a.",E400/SUMIFS($E$6:$E$557,$A$6:$A$557,A400,$B$6:$B$557,B400))</x:f>
        <x:v>0.018641810918774968</x:v>
      </x:c>
      <x:c r="H400" s="11" t="n">
        <x:v>3134649</x:v>
      </x:c>
    </x:row>
    <x:row r="401" ht="23" customHeight="1">
      <x:c r="A401" s="10" t="str">
        <x:v>M7</x:v>
      </x:c>
      <x:c r="B401" s="10" t="str">
        <x:v>N</x:v>
      </x:c>
      <x:c r="C401" s="10" t="str">
        <x:v>screws_bolts_studs</x:v>
      </x:c>
      <x:c r="D401" s="11" t="n">
        <x:v>57</x:v>
      </x:c>
      <x:c r="E401" s="11" t="n">
        <x:v>33</x:v>
      </x:c>
      <x:c r="F401" s="12" t="n">
        <x:f>E401/D401</x:f>
        <x:v>0.5789473684210527</x:v>
      </x:c>
      <x:c r="G401" s="12" t="n">
        <x:f>IF(SUMIFS($E$6:$E$557,$A$6:$A$557,A401,$B$6:$B$557,B401)=0,"n.a.",E401/SUMIFS($E$6:$E$557,$A$6:$A$557,A401,$B$6:$B$557,B401))</x:f>
        <x:v>0.043941411451398134</x:v>
      </x:c>
      <x:c r="H401" s="11" t="n">
        <x:v>44170</x:v>
      </x:c>
    </x:row>
    <x:row r="402" ht="23" customHeight="1">
      <x:c r="A402" s="10" t="str">
        <x:v>M7</x:v>
      </x:c>
      <x:c r="B402" s="10" t="str">
        <x:v>N</x:v>
      </x:c>
      <x:c r="C402" s="10" t="str">
        <x:v>springs</x:v>
      </x:c>
      <x:c r="D402" s="11" t="n">
        <x:v>17</x:v>
      </x:c>
      <x:c r="E402" s="11" t="n">
        <x:v>6</x:v>
      </x:c>
      <x:c r="F402" s="12" t="n">
        <x:f>E402/D402</x:f>
        <x:v>0.35294117647058826</x:v>
      </x:c>
      <x:c r="G402" s="12" t="n">
        <x:f>IF(SUMIFS($E$6:$E$557,$A$6:$A$557,A402,$B$6:$B$557,B402)=0,"n.a.",E402/SUMIFS($E$6:$E$557,$A$6:$A$557,A402,$B$6:$B$557,B402))</x:f>
        <x:v>0.007989347536617843</x:v>
      </x:c>
      <x:c r="H402" s="11" t="n">
        <x:v>215318</x:v>
      </x:c>
    </x:row>
    <x:row r="403" ht="23" customHeight="1">
      <x:c r="A403" s="10" t="str">
        <x:v>M7</x:v>
      </x:c>
      <x:c r="B403" s="10" t="str">
        <x:v>N</x:v>
      </x:c>
      <x:c r="C403" s="10" t="str">
        <x:v>washers_rings_spacers</x:v>
      </x:c>
      <x:c r="D403" s="11" t="n">
        <x:v>27</x:v>
      </x:c>
      <x:c r="E403" s="11" t="n">
        <x:v>14</x:v>
      </x:c>
      <x:c r="F403" s="12" t="n">
        <x:f>E403/D403</x:f>
        <x:v>0.5185185185185185</x:v>
      </x:c>
      <x:c r="G403" s="12" t="n">
        <x:f>IF(SUMIFS($E$6:$E$557,$A$6:$A$557,A403,$B$6:$B$557,B403)=0,"n.a.",E403/SUMIFS($E$6:$E$557,$A$6:$A$557,A403,$B$6:$B$557,B403))</x:f>
        <x:v>0.018641810918774968</x:v>
      </x:c>
      <x:c r="H403" s="11" t="n">
        <x:v>46290</x:v>
      </x:c>
    </x:row>
    <x:row r="404" ht="23" customHeight="1">
      <x:c r="A404" s="10" t="str">
        <x:v>M7</x:v>
      </x:c>
      <x:c r="B404" s="10" t="str">
        <x:v>N</x:v>
      </x:c>
      <x:c r="C404" s="10" t="str">
        <x:v>wheels_castors</x:v>
      </x:c>
      <x:c r="D404" s="11" t="n">
        <x:v>391</x:v>
      </x:c>
      <x:c r="E404" s="11" t="n">
        <x:v>380</x:v>
      </x:c>
      <x:c r="F404" s="12" t="n">
        <x:f>E404/D404</x:f>
        <x:v>0.9718670076726342</x:v>
      </x:c>
      <x:c r="G404" s="12" t="n">
        <x:f>IF(SUMIFS($E$6:$E$557,$A$6:$A$557,A404,$B$6:$B$557,B404)=0,"n.a.",E404/SUMIFS($E$6:$E$557,$A$6:$A$557,A404,$B$6:$B$557,B404))</x:f>
        <x:v>0.5059920106524634</x:v>
      </x:c>
      <x:c r="H404" s="11" t="n">
        <x:v>729312</x:v>
      </x:c>
    </x:row>
    <x:row r="405" ht="23" customHeight="1">
      <x:c r="A405" s="10" t="str">
        <x:v>M7</x:v>
      </x:c>
      <x:c r="B405" s="10" t="str">
        <x:v>C</x:v>
      </x:c>
      <x:c r="C405" s="10" t="str">
        <x:v>aluminum_extrusion</x:v>
      </x:c>
      <x:c r="D405" s="11" t="n">
        <x:v>8</x:v>
      </x:c>
      <x:c r="E405" s="11" t="n">
        <x:v>8</x:v>
      </x:c>
      <x:c r="F405" s="12" t="n">
        <x:f>E405/D405</x:f>
        <x:v>1</x:v>
      </x:c>
      <x:c r="G405" s="12" t="n">
        <x:f>IF(SUMIFS($E$6:$E$557,$A$6:$A$557,A405,$B$6:$B$557,B405)=0,"n.a.",E405/SUMIFS($E$6:$E$557,$A$6:$A$557,A405,$B$6:$B$557,B405))</x:f>
        <x:v>0.008695652173913044</x:v>
      </x:c>
      <x:c r="H405" s="11" t="n">
        <x:v>17788</x:v>
      </x:c>
    </x:row>
    <x:row r="406" ht="23" customHeight="1">
      <x:c r="A406" s="10" t="str">
        <x:v>M7</x:v>
      </x:c>
      <x:c r="B406" s="10" t="str">
        <x:v>C</x:v>
      </x:c>
      <x:c r="C406" s="10" t="str">
        <x:v>cap_nut</x:v>
      </x:c>
      <x:c r="D406" s="11" t="n">
        <x:v>426</x:v>
      </x:c>
      <x:c r="E406" s="11" t="n">
        <x:v>425</x:v>
      </x:c>
      <x:c r="F406" s="12" t="n">
        <x:f>E406/D406</x:f>
        <x:v>0.9976525821596244</x:v>
      </x:c>
      <x:c r="G406" s="12" t="n">
        <x:f>IF(SUMIFS($E$6:$E$557,$A$6:$A$557,A406,$B$6:$B$557,B406)=0,"n.a.",E406/SUMIFS($E$6:$E$557,$A$6:$A$557,A406,$B$6:$B$557,B406))</x:f>
        <x:v>0.46195652173913043</x:v>
      </x:c>
      <x:c r="H406" s="11" t="n">
        <x:v>813442</x:v>
      </x:c>
    </x:row>
    <x:row r="407" ht="23" customHeight="1">
      <x:c r="A407" s="10" t="str">
        <x:v>M7</x:v>
      </x:c>
      <x:c r="B407" s="10" t="str">
        <x:v>C</x:v>
      </x:c>
      <x:c r="C407" s="10" t="str">
        <x:v>coil_spring</x:v>
      </x:c>
      <x:c r="D407" s="11" t="n">
        <x:v>11</x:v>
      </x:c>
      <x:c r="E407" s="11" t="n">
        <x:v>11</x:v>
      </x:c>
      <x:c r="F407" s="12" t="n">
        <x:f>E407/D407</x:f>
        <x:v>1</x:v>
      </x:c>
      <x:c r="G407" s="12" t="n">
        <x:f>IF(SUMIFS($E$6:$E$557,$A$6:$A$557,A407,$B$6:$B$557,B407)=0,"n.a.",E407/SUMIFS($E$6:$E$557,$A$6:$A$557,A407,$B$6:$B$557,B407))</x:f>
        <x:v>0.011956521739130435</x:v>
      </x:c>
      <x:c r="H407" s="11" t="n">
        <x:v>240570</x:v>
      </x:c>
    </x:row>
    <x:row r="408" ht="23" customHeight="1">
      <x:c r="A408" s="10" t="str">
        <x:v>M7</x:v>
      </x:c>
      <x:c r="B408" s="10" t="str">
        <x:v>C</x:v>
      </x:c>
      <x:c r="C408" s="10" t="str">
        <x:v>die_block</x:v>
      </x:c>
      <x:c r="D408" s="11" t="n">
        <x:v>14</x:v>
      </x:c>
      <x:c r="E408" s="11" t="n">
        <x:v>14</x:v>
      </x:c>
      <x:c r="F408" s="12" t="n">
        <x:f>E408/D408</x:f>
        <x:v>1</x:v>
      </x:c>
      <x:c r="G408" s="12" t="n">
        <x:f>IF(SUMIFS($E$6:$E$557,$A$6:$A$557,A408,$B$6:$B$557,B408)=0,"n.a.",E408/SUMIFS($E$6:$E$557,$A$6:$A$557,A408,$B$6:$B$557,B408))</x:f>
        <x:v>0.015217391304347827</x:v>
      </x:c>
      <x:c r="H408" s="11" t="n">
        <x:v>34940</x:v>
      </x:c>
    </x:row>
    <x:row r="409" ht="23" customHeight="1">
      <x:c r="A409" s="10" t="str">
        <x:v>M7</x:v>
      </x:c>
      <x:c r="B409" s="10" t="str">
        <x:v>C</x:v>
      </x:c>
      <x:c r="C409" s="10" t="str">
        <x:v>dowel_pin</x:v>
      </x:c>
      <x:c r="D409" s="11" t="n">
        <x:v>94</x:v>
      </x:c>
      <x:c r="E409" s="11" t="n">
        <x:v>21</x:v>
      </x:c>
      <x:c r="F409" s="12" t="n">
        <x:f>E409/D409</x:f>
        <x:v>0.22340425531914893</x:v>
      </x:c>
      <x:c r="G409" s="12" t="n">
        <x:f>IF(SUMIFS($E$6:$E$557,$A$6:$A$557,A409,$B$6:$B$557,B409)=0,"n.a.",E409/SUMIFS($E$6:$E$557,$A$6:$A$557,A409,$B$6:$B$557,B409))</x:f>
        <x:v>0.02282608695652174</x:v>
      </x:c>
      <x:c r="H409" s="11" t="n">
        <x:v>45106</x:v>
      </x:c>
    </x:row>
    <x:row r="410" ht="23" customHeight="1">
      <x:c r="A410" s="10" t="str">
        <x:v>M7</x:v>
      </x:c>
      <x:c r="B410" s="10" t="str">
        <x:v>C</x:v>
      </x:c>
      <x:c r="C410" s="10" t="str">
        <x:v>feature_plate</x:v>
      </x:c>
      <x:c r="D410" s="11" t="n">
        <x:v>16</x:v>
      </x:c>
      <x:c r="E410" s="11" t="n">
        <x:v>16</x:v>
      </x:c>
      <x:c r="F410" s="12" t="n">
        <x:f>E410/D410</x:f>
        <x:v>1</x:v>
      </x:c>
      <x:c r="G410" s="12" t="n">
        <x:f>IF(SUMIFS($E$6:$E$557,$A$6:$A$557,A410,$B$6:$B$557,B410)=0,"n.a.",E410/SUMIFS($E$6:$E$557,$A$6:$A$557,A410,$B$6:$B$557,B410))</x:f>
        <x:v>0.017391304347826087</x:v>
      </x:c>
      <x:c r="H410" s="11" t="n">
        <x:v>360118</x:v>
      </x:c>
    </x:row>
    <x:row r="411" ht="23" customHeight="1">
      <x:c r="A411" s="10" t="str">
        <x:v>M7</x:v>
      </x:c>
      <x:c r="B411" s="10" t="str">
        <x:v>C</x:v>
      </x:c>
      <x:c r="C411" s="10" t="str">
        <x:v>flat_washer</x:v>
      </x:c>
      <x:c r="D411" s="11" t="n">
        <x:v>34</x:v>
      </x:c>
      <x:c r="E411" s="11" t="n">
        <x:v>32</x:v>
      </x:c>
      <x:c r="F411" s="12" t="n">
        <x:f>E411/D411</x:f>
        <x:v>0.9411764705882353</x:v>
      </x:c>
      <x:c r="G411" s="12" t="n">
        <x:f>IF(SUMIFS($E$6:$E$557,$A$6:$A$557,A411,$B$6:$B$557,B411)=0,"n.a.",E411/SUMIFS($E$6:$E$557,$A$6:$A$557,A411,$B$6:$B$557,B411))</x:f>
        <x:v>0.034782608695652174</x:v>
      </x:c>
      <x:c r="H411" s="11" t="n">
        <x:v>76974</x:v>
      </x:c>
    </x:row>
    <x:row r="412" ht="23" customHeight="1">
      <x:c r="A412" s="10" t="str">
        <x:v>M7</x:v>
      </x:c>
      <x:c r="B412" s="10" t="str">
        <x:v>C</x:v>
      </x:c>
      <x:c r="C412" s="10" t="str">
        <x:v>frame_beam</x:v>
      </x:c>
      <x:c r="D412" s="11" t="n">
        <x:v>8</x:v>
      </x:c>
      <x:c r="E412" s="11" t="n">
        <x:v>8</x:v>
      </x:c>
      <x:c r="F412" s="12" t="n">
        <x:f>E412/D412</x:f>
        <x:v>1</x:v>
      </x:c>
      <x:c r="G412" s="12" t="n">
        <x:f>IF(SUMIFS($E$6:$E$557,$A$6:$A$557,A412,$B$6:$B$557,B412)=0,"n.a.",E412/SUMIFS($E$6:$E$557,$A$6:$A$557,A412,$B$6:$B$557,B412))</x:f>
        <x:v>0.008695652173913044</x:v>
      </x:c>
      <x:c r="H412" s="11" t="n">
        <x:v>45504</x:v>
      </x:c>
    </x:row>
    <x:row r="413" ht="23" customHeight="1">
      <x:c r="A413" s="10" t="str">
        <x:v>M7</x:v>
      </x:c>
      <x:c r="B413" s="10" t="str">
        <x:v>C</x:v>
      </x:c>
      <x:c r="C413" s="10" t="str">
        <x:v>hex_nut</x:v>
      </x:c>
      <x:c r="D413" s="11" t="n">
        <x:v>36</x:v>
      </x:c>
      <x:c r="E413" s="11" t="n">
        <x:v>34</x:v>
      </x:c>
      <x:c r="F413" s="12" t="n">
        <x:f>E413/D413</x:f>
        <x:v>0.9444444444444444</x:v>
      </x:c>
      <x:c r="G413" s="12" t="n">
        <x:f>IF(SUMIFS($E$6:$E$557,$A$6:$A$557,A413,$B$6:$B$557,B413)=0,"n.a.",E413/SUMIFS($E$6:$E$557,$A$6:$A$557,A413,$B$6:$B$557,B413))</x:f>
        <x:v>0.03695652173913044</x:v>
      </x:c>
      <x:c r="H413" s="11" t="n">
        <x:v>121350</x:v>
      </x:c>
    </x:row>
    <x:row r="414" ht="23" customHeight="1">
      <x:c r="A414" s="10" t="str">
        <x:v>M7</x:v>
      </x:c>
      <x:c r="B414" s="10" t="str">
        <x:v>C</x:v>
      </x:c>
      <x:c r="C414" s="10" t="str">
        <x:v>machine_base</x:v>
      </x:c>
      <x:c r="D414" s="11" t="n">
        <x:v>1</x:v>
      </x:c>
      <x:c r="E414" s="11" t="n">
        <x:v>1</x:v>
      </x:c>
      <x:c r="F414" s="12" t="n">
        <x:f>E414/D414</x:f>
        <x:v>1</x:v>
      </x:c>
      <x:c r="G414" s="12" t="n">
        <x:f>IF(SUMIFS($E$6:$E$557,$A$6:$A$557,A414,$B$6:$B$557,B414)=0,"n.a.",E414/SUMIFS($E$6:$E$557,$A$6:$A$557,A414,$B$6:$B$557,B414))</x:f>
        <x:v>0.0010869565217391304</x:v>
      </x:c>
      <x:c r="H414" s="11" t="n">
        <x:v>132556</x:v>
      </x:c>
    </x:row>
    <x:row r="415" ht="23" customHeight="1">
      <x:c r="A415" s="10" t="str">
        <x:v>M7</x:v>
      </x:c>
      <x:c r="B415" s="10" t="str">
        <x:v>C</x:v>
      </x:c>
      <x:c r="C415" s="10" t="str">
        <x:v>mounting_plate</x:v>
      </x:c>
      <x:c r="D415" s="11" t="n">
        <x:v>25</x:v>
      </x:c>
      <x:c r="E415" s="11" t="n">
        <x:v>25</x:v>
      </x:c>
      <x:c r="F415" s="12" t="n">
        <x:f>E415/D415</x:f>
        <x:v>1</x:v>
      </x:c>
      <x:c r="G415" s="12" t="n">
        <x:f>IF(SUMIFS($E$6:$E$557,$A$6:$A$557,A415,$B$6:$B$557,B415)=0,"n.a.",E415/SUMIFS($E$6:$E$557,$A$6:$A$557,A415,$B$6:$B$557,B415))</x:f>
        <x:v>0.02717391304347826</x:v>
      </x:c>
      <x:c r="H415" s="11" t="n">
        <x:v>146442</x:v>
      </x:c>
    </x:row>
    <x:row r="416" ht="23" customHeight="1">
      <x:c r="A416" s="10" t="str">
        <x:v>M7</x:v>
      </x:c>
      <x:c r="B416" s="10" t="str">
        <x:v>C</x:v>
      </x:c>
      <x:c r="C416" s="10" t="str">
        <x:v>nozzle</x:v>
      </x:c>
      <x:c r="D416" s="11" t="n">
        <x:v>13</x:v>
      </x:c>
      <x:c r="E416" s="11" t="n">
        <x:v>13</x:v>
      </x:c>
      <x:c r="F416" s="12" t="n">
        <x:f>E416/D416</x:f>
        <x:v>1</x:v>
      </x:c>
      <x:c r="G416" s="12" t="n">
        <x:f>IF(SUMIFS($E$6:$E$557,$A$6:$A$557,A416,$B$6:$B$557,B416)=0,"n.a.",E416/SUMIFS($E$6:$E$557,$A$6:$A$557,A416,$B$6:$B$557,B416))</x:f>
        <x:v>0.014130434782608696</x:v>
      </x:c>
      <x:c r="H416" s="11" t="n">
        <x:v>49546</x:v>
      </x:c>
    </x:row>
    <x:row r="417" ht="23" customHeight="1">
      <x:c r="A417" s="10" t="str">
        <x:v>M7</x:v>
      </x:c>
      <x:c r="B417" s="10" t="str">
        <x:v>C</x:v>
      </x:c>
      <x:c r="C417" s="10" t="str">
        <x:v>plain_block</x:v>
      </x:c>
      <x:c r="D417" s="11" t="n">
        <x:v>196</x:v>
      </x:c>
      <x:c r="E417" s="11" t="n">
        <x:v>196</x:v>
      </x:c>
      <x:c r="F417" s="12" t="n">
        <x:f>E417/D417</x:f>
        <x:v>1</x:v>
      </x:c>
      <x:c r="G417" s="12" t="n">
        <x:f>IF(SUMIFS($E$6:$E$557,$A$6:$A$557,A417,$B$6:$B$557,B417)=0,"n.a.",E417/SUMIFS($E$6:$E$557,$A$6:$A$557,A417,$B$6:$B$557,B417))</x:f>
        <x:v>0.21304347826086956</x:v>
      </x:c>
      <x:c r="H417" s="11" t="n">
        <x:v>17101125</x:v>
      </x:c>
    </x:row>
    <x:row r="418" ht="23" customHeight="1">
      <x:c r="A418" s="10" t="str">
        <x:v>M7</x:v>
      </x:c>
      <x:c r="B418" s="10" t="str">
        <x:v>C</x:v>
      </x:c>
      <x:c r="C418" s="10" t="str">
        <x:v>plain_shaft</x:v>
      </x:c>
      <x:c r="D418" s="11" t="n">
        <x:v>3</x:v>
      </x:c>
      <x:c r="E418" s="11" t="n">
        <x:v>3</x:v>
      </x:c>
      <x:c r="F418" s="12" t="n">
        <x:f>E418/D418</x:f>
        <x:v>1</x:v>
      </x:c>
      <x:c r="G418" s="12" t="n">
        <x:f>IF(SUMIFS($E$6:$E$557,$A$6:$A$557,A418,$B$6:$B$557,B418)=0,"n.a.",E418/SUMIFS($E$6:$E$557,$A$6:$A$557,A418,$B$6:$B$557,B418))</x:f>
        <x:v>0.003260869565217391</x:v>
      </x:c>
      <x:c r="H418" s="11" t="n">
        <x:v>2224</x:v>
      </x:c>
    </x:row>
    <x:row r="419" ht="23" customHeight="1">
      <x:c r="A419" s="10" t="str">
        <x:v>M7</x:v>
      </x:c>
      <x:c r="B419" s="10" t="str">
        <x:v>C</x:v>
      </x:c>
      <x:c r="C419" s="10" t="str">
        <x:v>proximity_sensor</x:v>
      </x:c>
      <x:c r="D419" s="11" t="n">
        <x:v>1</x:v>
      </x:c>
      <x:c r="E419" s="11" t="n">
        <x:v>1</x:v>
      </x:c>
      <x:c r="F419" s="12" t="n">
        <x:f>E419/D419</x:f>
        <x:v>1</x:v>
      </x:c>
      <x:c r="G419" s="12" t="n">
        <x:f>IF(SUMIFS($E$6:$E$557,$A$6:$A$557,A419,$B$6:$B$557,B419)=0,"n.a.",E419/SUMIFS($E$6:$E$557,$A$6:$A$557,A419,$B$6:$B$557,B419))</x:f>
        <x:v>0.0010869565217391304</x:v>
      </x:c>
      <x:c r="H419" s="11" t="n">
        <x:v>12</x:v>
      </x:c>
    </x:row>
    <x:row r="420" ht="23" customHeight="1">
      <x:c r="A420" s="10" t="str">
        <x:v>M7</x:v>
      </x:c>
      <x:c r="B420" s="10" t="str">
        <x:v>C</x:v>
      </x:c>
      <x:c r="C420" s="10" t="str">
        <x:v>punch_tool</x:v>
      </x:c>
      <x:c r="D420" s="11" t="n">
        <x:v>1</x:v>
      </x:c>
      <x:c r="E420" s="11" t="n">
        <x:v>1</x:v>
      </x:c>
      <x:c r="F420" s="12" t="n">
        <x:f>E420/D420</x:f>
        <x:v>1</x:v>
      </x:c>
      <x:c r="G420" s="12" t="n">
        <x:f>IF(SUMIFS($E$6:$E$557,$A$6:$A$557,A420,$B$6:$B$557,B420)=0,"n.a.",E420/SUMIFS($E$6:$E$557,$A$6:$A$557,A420,$B$6:$B$557,B420))</x:f>
        <x:v>0.0010869565217391304</x:v>
      </x:c>
      <x:c r="H420" s="11" t="n">
        <x:v>1984</x:v>
      </x:c>
    </x:row>
    <x:row r="421" ht="23" customHeight="1">
      <x:c r="A421" s="10" t="str">
        <x:v>M7</x:v>
      </x:c>
      <x:c r="B421" s="10" t="str">
        <x:v>C</x:v>
      </x:c>
      <x:c r="C421" s="10" t="str">
        <x:v>retaining_ring</x:v>
      </x:c>
      <x:c r="D421" s="11" t="n">
        <x:v>11</x:v>
      </x:c>
      <x:c r="E421" s="11" t="n">
        <x:v>10</x:v>
      </x:c>
      <x:c r="F421" s="12" t="n">
        <x:f>E421/D421</x:f>
        <x:v>0.9090909090909091</x:v>
      </x:c>
      <x:c r="G421" s="12" t="n">
        <x:f>IF(SUMIFS($E$6:$E$557,$A$6:$A$557,A421,$B$6:$B$557,B421)=0,"n.a.",E421/SUMIFS($E$6:$E$557,$A$6:$A$557,A421,$B$6:$B$557,B421))</x:f>
        <x:v>0.010869565217391304</x:v>
      </x:c>
      <x:c r="H421" s="11" t="n">
        <x:v>23946</x:v>
      </x:c>
    </x:row>
    <x:row r="422" ht="23" customHeight="1">
      <x:c r="A422" s="10" t="str">
        <x:v>M7</x:v>
      </x:c>
      <x:c r="B422" s="10" t="str">
        <x:v>C</x:v>
      </x:c>
      <x:c r="C422" s="10" t="str">
        <x:v>shaft_key</x:v>
      </x:c>
      <x:c r="D422" s="11" t="n">
        <x:v>111</x:v>
      </x:c>
      <x:c r="E422" s="11" t="n">
        <x:v>89</x:v>
      </x:c>
      <x:c r="F422" s="12" t="n">
        <x:f>E422/D422</x:f>
        <x:v>0.8018018018018018</x:v>
      </x:c>
      <x:c r="G422" s="12" t="n">
        <x:f>IF(SUMIFS($E$6:$E$557,$A$6:$A$557,A422,$B$6:$B$557,B422)=0,"n.a.",E422/SUMIFS($E$6:$E$557,$A$6:$A$557,A422,$B$6:$B$557,B422))</x:f>
        <x:v>0.0967391304347826</x:v>
      </x:c>
      <x:c r="H422" s="11" t="n">
        <x:v>228266</x:v>
      </x:c>
    </x:row>
    <x:row r="423" ht="23" customHeight="1">
      <x:c r="A423" s="10" t="str">
        <x:v>M7</x:v>
      </x:c>
      <x:c r="B423" s="10" t="str">
        <x:v>C</x:v>
      </x:c>
      <x:c r="C423" s="10" t="str">
        <x:v>slotted_nut</x:v>
      </x:c>
      <x:c r="D423" s="11" t="n">
        <x:v>2</x:v>
      </x:c>
      <x:c r="E423" s="11" t="n">
        <x:v>2</x:v>
      </x:c>
      <x:c r="F423" s="12" t="n">
        <x:f>E423/D423</x:f>
        <x:v>1</x:v>
      </x:c>
      <x:c r="G423" s="12" t="n">
        <x:f>IF(SUMIFS($E$6:$E$557,$A$6:$A$557,A423,$B$6:$B$557,B423)=0,"n.a.",E423/SUMIFS($E$6:$E$557,$A$6:$A$557,A423,$B$6:$B$557,B423))</x:f>
        <x:v>0.002173913043478261</x:v>
      </x:c>
      <x:c r="H423" s="11" t="n">
        <x:v>3606</x:v>
      </x:c>
    </x:row>
    <x:row r="424" ht="23" customHeight="1">
      <x:c r="A424" s="10" t="str">
        <x:v>M7</x:v>
      </x:c>
      <x:c r="B424" s="10" t="str">
        <x:v>C</x:v>
      </x:c>
      <x:c r="C424" s="10" t="str">
        <x:v>sprocket</x:v>
      </x:c>
      <x:c r="D424" s="11" t="n">
        <x:v>5</x:v>
      </x:c>
      <x:c r="E424" s="11" t="n">
        <x:v>1</x:v>
      </x:c>
      <x:c r="F424" s="12" t="n">
        <x:f>E424/D424</x:f>
        <x:v>0.2</x:v>
      </x:c>
      <x:c r="G424" s="12" t="n">
        <x:f>IF(SUMIFS($E$6:$E$557,$A$6:$A$557,A424,$B$6:$B$557,B424)=0,"n.a.",E424/SUMIFS($E$6:$E$557,$A$6:$A$557,A424,$B$6:$B$557,B424))</x:f>
        <x:v>0.0010869565217391304</x:v>
      </x:c>
      <x:c r="H424" s="11" t="n">
        <x:v>7266</x:v>
      </x:c>
    </x:row>
    <x:row r="425" ht="23" customHeight="1">
      <x:c r="A425" s="10" t="str">
        <x:v>M7</x:v>
      </x:c>
      <x:c r="B425" s="10" t="str">
        <x:v>C</x:v>
      </x:c>
      <x:c r="C425" s="10" t="str">
        <x:v>suction_cup</x:v>
      </x:c>
      <x:c r="D425" s="11" t="n">
        <x:v>4</x:v>
      </x:c>
      <x:c r="E425" s="11" t="n">
        <x:v>4</x:v>
      </x:c>
      <x:c r="F425" s="12" t="n">
        <x:f>E425/D425</x:f>
        <x:v>1</x:v>
      </x:c>
      <x:c r="G425" s="12" t="n">
        <x:f>IF(SUMIFS($E$6:$E$557,$A$6:$A$557,A425,$B$6:$B$557,B425)=0,"n.a.",E425/SUMIFS($E$6:$E$557,$A$6:$A$557,A425,$B$6:$B$557,B425))</x:f>
        <x:v>0.004347826086956522</x:v>
      </x:c>
      <x:c r="H425" s="11" t="n">
        <x:v>22458</x:v>
      </x:c>
    </x:row>
    <x:row r="426" ht="23" customHeight="1">
      <x:c r="A426" s="10" t="str">
        <x:v>M7</x:v>
      </x:c>
      <x:c r="B426" s="10" t="str">
        <x:v>C</x:v>
      </x:c>
      <x:c r="C426" s="10" t="str">
        <x:v>threaded_stud</x:v>
      </x:c>
      <x:c r="D426" s="11" t="n">
        <x:v>6</x:v>
      </x:c>
      <x:c r="E426" s="11" t="n">
        <x:v>5</x:v>
      </x:c>
      <x:c r="F426" s="12" t="n">
        <x:f>E426/D426</x:f>
        <x:v>0.8333333333333334</x:v>
      </x:c>
      <x:c r="G426" s="12" t="n">
        <x:f>IF(SUMIFS($E$6:$E$557,$A$6:$A$557,A426,$B$6:$B$557,B426)=0,"n.a.",E426/SUMIFS($E$6:$E$557,$A$6:$A$557,A426,$B$6:$B$557,B426))</x:f>
        <x:v>0.005434782608695652</x:v>
      </x:c>
      <x:c r="H426" s="11" t="n">
        <x:v>11972</x:v>
      </x:c>
    </x:row>
    <x:row r="427" ht="23" customHeight="1">
      <x:c r="A427" s="10" t="str">
        <x:v>M8</x:v>
      </x:c>
      <x:c r="B427" s="10" t="str">
        <x:v>N</x:v>
      </x:c>
      <x:c r="C427" s="10" t="str">
        <x:v>bearings_bushings_guides</x:v>
      </x:c>
      <x:c r="D427" s="11" t="n">
        <x:v>456</x:v>
      </x:c>
      <x:c r="E427" s="11" t="n">
        <x:v>288</x:v>
      </x:c>
      <x:c r="F427" s="12" t="n">
        <x:f>E427/D427</x:f>
        <x:v>0.631578947368421</x:v>
      </x:c>
      <x:c r="G427" s="12" t="n">
        <x:f>IF(SUMIFS($E$6:$E$557,$A$6:$A$557,A427,$B$6:$B$557,B427)=0,"n.a.",E427/SUMIFS($E$6:$E$557,$A$6:$A$557,A427,$B$6:$B$557,B427))</x:f>
        <x:v>0.0783673469387755</x:v>
      </x:c>
      <x:c r="H427" s="11" t="n">
        <x:v>681031</x:v>
      </x:c>
    </x:row>
    <x:row r="428" ht="23" customHeight="1">
      <x:c r="A428" s="10" t="str">
        <x:v>M8</x:v>
      </x:c>
      <x:c r="B428" s="10" t="str">
        <x:v>N</x:v>
      </x:c>
      <x:c r="C428" s="10" t="str">
        <x:v>gears_pulleys_chains</x:v>
      </x:c>
      <x:c r="D428" s="11" t="n">
        <x:v>33</x:v>
      </x:c>
      <x:c r="E428" s="11" t="n">
        <x:v>10</x:v>
      </x:c>
      <x:c r="F428" s="12" t="n">
        <x:f>E428/D428</x:f>
        <x:v>0.30303030303030304</x:v>
      </x:c>
      <x:c r="G428" s="12" t="n">
        <x:f>IF(SUMIFS($E$6:$E$557,$A$6:$A$557,A428,$B$6:$B$557,B428)=0,"n.a.",E428/SUMIFS($E$6:$E$557,$A$6:$A$557,A428,$B$6:$B$557,B428))</x:f>
        <x:v>0.0027210884353741495</x:v>
      </x:c>
      <x:c r="H428" s="11" t="n">
        <x:v>20212</x:v>
      </x:c>
    </x:row>
    <x:row r="429" ht="23" customHeight="1">
      <x:c r="A429" s="10" t="str">
        <x:v>M8</x:v>
      </x:c>
      <x:c r="B429" s="10" t="str">
        <x:v>N</x:v>
      </x:c>
      <x:c r="C429" s="10" t="str">
        <x:v>handles_controls</x:v>
      </x:c>
      <x:c r="D429" s="11" t="n">
        <x:v>930</x:v>
      </x:c>
      <x:c r="E429" s="11" t="n">
        <x:v>820</x:v>
      </x:c>
      <x:c r="F429" s="12" t="n">
        <x:f>E429/D429</x:f>
        <x:v>0.8817204301075269</x:v>
      </x:c>
      <x:c r="G429" s="12" t="n">
        <x:f>IF(SUMIFS($E$6:$E$557,$A$6:$A$557,A429,$B$6:$B$557,B429)=0,"n.a.",E429/SUMIFS($E$6:$E$557,$A$6:$A$557,A429,$B$6:$B$557,B429))</x:f>
        <x:v>0.22312925170068026</x:v>
      </x:c>
      <x:c r="H429" s="11" t="n">
        <x:v>1864398</x:v>
      </x:c>
    </x:row>
    <x:row r="430" ht="23" customHeight="1">
      <x:c r="A430" s="10" t="str">
        <x:v>M8</x:v>
      </x:c>
      <x:c r="B430" s="10" t="str">
        <x:v>N</x:v>
      </x:c>
      <x:c r="C430" s="10" t="str">
        <x:v>joints_clamps_structural_connectors</x:v>
      </x:c>
      <x:c r="D430" s="11" t="n">
        <x:v>668</x:v>
      </x:c>
      <x:c r="E430" s="11" t="n">
        <x:v>435</x:v>
      </x:c>
      <x:c r="F430" s="12" t="n">
        <x:f>E430/D430</x:f>
        <x:v>0.6511976047904192</x:v>
      </x:c>
      <x:c r="G430" s="12" t="n">
        <x:f>IF(SUMIFS($E$6:$E$557,$A$6:$A$557,A430,$B$6:$B$557,B430)=0,"n.a.",E430/SUMIFS($E$6:$E$557,$A$6:$A$557,A430,$B$6:$B$557,B430))</x:f>
        <x:v>0.11836734693877551</x:v>
      </x:c>
      <x:c r="H430" s="11" t="n">
        <x:v>707704</x:v>
      </x:c>
    </x:row>
    <x:row r="431" ht="23" customHeight="1">
      <x:c r="A431" s="10" t="str">
        <x:v>M8</x:v>
      </x:c>
      <x:c r="B431" s="10" t="str">
        <x:v>N</x:v>
      </x:c>
      <x:c r="C431" s="10" t="str">
        <x:v>motors_gearmotors</x:v>
      </x:c>
      <x:c r="D431" s="11" t="n">
        <x:v>155</x:v>
      </x:c>
      <x:c r="E431" s="11" t="n">
        <x:v>78</x:v>
      </x:c>
      <x:c r="F431" s="12" t="n">
        <x:f>E431/D431</x:f>
        <x:v>0.5032258064516129</x:v>
      </x:c>
      <x:c r="G431" s="12" t="n">
        <x:f>IF(SUMIFS($E$6:$E$557,$A$6:$A$557,A431,$B$6:$B$557,B431)=0,"n.a.",E431/SUMIFS($E$6:$E$557,$A$6:$A$557,A431,$B$6:$B$557,B431))</x:f>
        <x:v>0.02122448979591837</x:v>
      </x:c>
      <x:c r="H431" s="11" t="n">
        <x:v>759495</x:v>
      </x:c>
    </x:row>
    <x:row r="432" ht="23" customHeight="1">
      <x:c r="A432" s="10" t="str">
        <x:v>M8</x:v>
      </x:c>
      <x:c r="B432" s="10" t="str">
        <x:v>N</x:v>
      </x:c>
      <x:c r="C432" s="10" t="str">
        <x:v>nuts</x:v>
      </x:c>
      <x:c r="D432" s="11" t="n">
        <x:v>453</x:v>
      </x:c>
      <x:c r="E432" s="11" t="n">
        <x:v>70</x:v>
      </x:c>
      <x:c r="F432" s="12" t="n">
        <x:f>E432/D432</x:f>
        <x:v>0.1545253863134658</x:v>
      </x:c>
      <x:c r="G432" s="12" t="n">
        <x:f>IF(SUMIFS($E$6:$E$557,$A$6:$A$557,A432,$B$6:$B$557,B432)=0,"n.a.",E432/SUMIFS($E$6:$E$557,$A$6:$A$557,A432,$B$6:$B$557,B432))</x:f>
        <x:v>0.01904761904761905</x:v>
      </x:c>
      <x:c r="H432" s="11" t="n">
        <x:v>56374</x:v>
      </x:c>
    </x:row>
    <x:row r="433" ht="23" customHeight="1">
      <x:c r="A433" s="10" t="str">
        <x:v>M8</x:v>
      </x:c>
      <x:c r="B433" s="10" t="str">
        <x:v>N</x:v>
      </x:c>
      <x:c r="C433" s="10" t="str">
        <x:v>pins_rivets_keys</x:v>
      </x:c>
      <x:c r="D433" s="11" t="n">
        <x:v>455</x:v>
      </x:c>
      <x:c r="E433" s="11" t="n">
        <x:v>403</x:v>
      </x:c>
      <x:c r="F433" s="12" t="n">
        <x:f>E433/D433</x:f>
        <x:v>0.8857142857142857</x:v>
      </x:c>
      <x:c r="G433" s="12" t="n">
        <x:f>IF(SUMIFS($E$6:$E$557,$A$6:$A$557,A433,$B$6:$B$557,B433)=0,"n.a.",E433/SUMIFS($E$6:$E$557,$A$6:$A$557,A433,$B$6:$B$557,B433))</x:f>
        <x:v>0.10965986394557824</x:v>
      </x:c>
      <x:c r="H433" s="11" t="n">
        <x:v>727102</x:v>
      </x:c>
    </x:row>
    <x:row r="434" ht="23" customHeight="1">
      <x:c r="A434" s="10" t="str">
        <x:v>M8</x:v>
      </x:c>
      <x:c r="B434" s="10" t="str">
        <x:v>N</x:v>
      </x:c>
      <x:c r="C434" s="10" t="str">
        <x:v>pipe_fittings_valves_nozzles</x:v>
      </x:c>
      <x:c r="D434" s="11" t="n">
        <x:v>303</x:v>
      </x:c>
      <x:c r="E434" s="11" t="n">
        <x:v>227</x:v>
      </x:c>
      <x:c r="F434" s="12" t="n">
        <x:f>E434/D434</x:f>
        <x:v>0.7491749174917491</x:v>
      </x:c>
      <x:c r="G434" s="12" t="n">
        <x:f>IF(SUMIFS($E$6:$E$557,$A$6:$A$557,A434,$B$6:$B$557,B434)=0,"n.a.",E434/SUMIFS($E$6:$E$557,$A$6:$A$557,A434,$B$6:$B$557,B434))</x:f>
        <x:v>0.0617687074829932</x:v>
      </x:c>
      <x:c r="H434" s="11" t="n">
        <x:v>663301</x:v>
      </x:c>
    </x:row>
    <x:row r="435" ht="23" customHeight="1">
      <x:c r="A435" s="10" t="str">
        <x:v>M8</x:v>
      </x:c>
      <x:c r="B435" s="10" t="str">
        <x:v>N</x:v>
      </x:c>
      <x:c r="C435" s="10" t="str">
        <x:v>plates_discs_shapes</x:v>
      </x:c>
      <x:c r="D435" s="11" t="n">
        <x:v>1462</x:v>
      </x:c>
      <x:c r="E435" s="11" t="n">
        <x:v>726</x:v>
      </x:c>
      <x:c r="F435" s="12" t="n">
        <x:f>E435/D435</x:f>
        <x:v>0.49658002735978113</x:v>
      </x:c>
      <x:c r="G435" s="12" t="n">
        <x:f>IF(SUMIFS($E$6:$E$557,$A$6:$A$557,A435,$B$6:$B$557,B435)=0,"n.a.",E435/SUMIFS($E$6:$E$557,$A$6:$A$557,A435,$B$6:$B$557,B435))</x:f>
        <x:v>0.19755102040816327</x:v>
      </x:c>
      <x:c r="H435" s="11" t="n">
        <x:v>783228</x:v>
      </x:c>
    </x:row>
    <x:row r="436" ht="23" customHeight="1">
      <x:c r="A436" s="10" t="str">
        <x:v>M8</x:v>
      </x:c>
      <x:c r="B436" s="10" t="str">
        <x:v>N</x:v>
      </x:c>
      <x:c r="C436" s="10" t="str">
        <x:v>rotating_fluid_machinery</x:v>
      </x:c>
      <x:c r="D436" s="11" t="n">
        <x:v>188</x:v>
      </x:c>
      <x:c r="E436" s="11" t="n">
        <x:v>100</x:v>
      </x:c>
      <x:c r="F436" s="12" t="n">
        <x:f>E436/D436</x:f>
        <x:v>0.5319148936170213</x:v>
      </x:c>
      <x:c r="G436" s="12" t="n">
        <x:f>IF(SUMIFS($E$6:$E$557,$A$6:$A$557,A436,$B$6:$B$557,B436)=0,"n.a.",E436/SUMIFS($E$6:$E$557,$A$6:$A$557,A436,$B$6:$B$557,B436))</x:f>
        <x:v>0.027210884353741496</x:v>
      </x:c>
      <x:c r="H436" s="11" t="n">
        <x:v>2070896</x:v>
      </x:c>
    </x:row>
    <x:row r="437" ht="23" customHeight="1">
      <x:c r="A437" s="10" t="str">
        <x:v>M8</x:v>
      </x:c>
      <x:c r="B437" s="10" t="str">
        <x:v>N</x:v>
      </x:c>
      <x:c r="C437" s="10" t="str">
        <x:v>screws_bolts_studs</x:v>
      </x:c>
      <x:c r="D437" s="11" t="n">
        <x:v>648</x:v>
      </x:c>
      <x:c r="E437" s="11" t="n">
        <x:v>298</x:v>
      </x:c>
      <x:c r="F437" s="12" t="n">
        <x:f>E437/D437</x:f>
        <x:v>0.45987654320987653</x:v>
      </x:c>
      <x:c r="G437" s="12" t="n">
        <x:f>IF(SUMIFS($E$6:$E$557,$A$6:$A$557,A437,$B$6:$B$557,B437)=0,"n.a.",E437/SUMIFS($E$6:$E$557,$A$6:$A$557,A437,$B$6:$B$557,B437))</x:f>
        <x:v>0.08108843537414966</x:v>
      </x:c>
      <x:c r="H437" s="11" t="n">
        <x:v>678542</x:v>
      </x:c>
    </x:row>
    <x:row r="438" ht="23" customHeight="1">
      <x:c r="A438" s="10" t="str">
        <x:v>M8</x:v>
      </x:c>
      <x:c r="B438" s="10" t="str">
        <x:v>N</x:v>
      </x:c>
      <x:c r="C438" s="10" t="str">
        <x:v>springs</x:v>
      </x:c>
      <x:c r="D438" s="11" t="n">
        <x:v>71</x:v>
      </x:c>
      <x:c r="E438" s="11" t="n">
        <x:v>51</x:v>
      </x:c>
      <x:c r="F438" s="12" t="n">
        <x:f>E438/D438</x:f>
        <x:v>0.7183098591549296</x:v>
      </x:c>
      <x:c r="G438" s="12" t="n">
        <x:f>IF(SUMIFS($E$6:$E$557,$A$6:$A$557,A438,$B$6:$B$557,B438)=0,"n.a.",E438/SUMIFS($E$6:$E$557,$A$6:$A$557,A438,$B$6:$B$557,B438))</x:f>
        <x:v>0.013877551020408163</x:v>
      </x:c>
      <x:c r="H438" s="11" t="n">
        <x:v>429268</x:v>
      </x:c>
    </x:row>
    <x:row r="439" ht="23" customHeight="1">
      <x:c r="A439" s="10" t="str">
        <x:v>M8</x:v>
      </x:c>
      <x:c r="B439" s="10" t="str">
        <x:v>N</x:v>
      </x:c>
      <x:c r="C439" s="10" t="str">
        <x:v>washers_rings_spacers</x:v>
      </x:c>
      <x:c r="D439" s="11" t="n">
        <x:v>200</x:v>
      </x:c>
      <x:c r="E439" s="11" t="n">
        <x:v>123</x:v>
      </x:c>
      <x:c r="F439" s="12" t="n">
        <x:f>E439/D439</x:f>
        <x:v>0.615</x:v>
      </x:c>
      <x:c r="G439" s="12" t="n">
        <x:f>IF(SUMIFS($E$6:$E$557,$A$6:$A$557,A439,$B$6:$B$557,B439)=0,"n.a.",E439/SUMIFS($E$6:$E$557,$A$6:$A$557,A439,$B$6:$B$557,B439))</x:f>
        <x:v>0.03346938775510204</x:v>
      </x:c>
      <x:c r="H439" s="11" t="n">
        <x:v>289644</x:v>
      </x:c>
    </x:row>
    <x:row r="440" ht="23" customHeight="1">
      <x:c r="A440" s="10" t="str">
        <x:v>M8</x:v>
      </x:c>
      <x:c r="B440" s="10" t="str">
        <x:v>N</x:v>
      </x:c>
      <x:c r="C440" s="10" t="str">
        <x:v>wheels_castors</x:v>
      </x:c>
      <x:c r="D440" s="11" t="n">
        <x:v>81</x:v>
      </x:c>
      <x:c r="E440" s="11" t="n">
        <x:v>46</x:v>
      </x:c>
      <x:c r="F440" s="12" t="n">
        <x:f>E440/D440</x:f>
        <x:v>0.5679012345679012</x:v>
      </x:c>
      <x:c r="G440" s="12" t="n">
        <x:f>IF(SUMIFS($E$6:$E$557,$A$6:$A$557,A440,$B$6:$B$557,B440)=0,"n.a.",E440/SUMIFS($E$6:$E$557,$A$6:$A$557,A440,$B$6:$B$557,B440))</x:f>
        <x:v>0.012517006802721088</x:v>
      </x:c>
      <x:c r="H440" s="11" t="n">
        <x:v>164718</x:v>
      </x:c>
    </x:row>
    <x:row r="441" ht="23" customHeight="1">
      <x:c r="A441" s="10" t="str">
        <x:v>M8</x:v>
      </x:c>
      <x:c r="B441" s="10" t="str">
        <x:v>C</x:v>
      </x:c>
      <x:c r="C441" s="10" t="str">
        <x:v>aluminum_extrusion</x:v>
      </x:c>
      <x:c r="D441" s="11" t="n">
        <x:v>52</x:v>
      </x:c>
      <x:c r="E441" s="11" t="n">
        <x:v>52</x:v>
      </x:c>
      <x:c r="F441" s="12" t="n">
        <x:f>E441/D441</x:f>
        <x:v>1</x:v>
      </x:c>
      <x:c r="G441" s="12" t="n">
        <x:f>IF(SUMIFS($E$6:$E$557,$A$6:$A$557,A441,$B$6:$B$557,B441)=0,"n.a.",E441/SUMIFS($E$6:$E$557,$A$6:$A$557,A441,$B$6:$B$557,B441))</x:f>
        <x:v>0.011701170117011701</x:v>
      </x:c>
      <x:c r="H441" s="11" t="n">
        <x:v>85302</x:v>
      </x:c>
    </x:row>
    <x:row r="442" ht="23" customHeight="1">
      <x:c r="A442" s="10" t="str">
        <x:v>M8</x:v>
      </x:c>
      <x:c r="B442" s="10" t="str">
        <x:v>C</x:v>
      </x:c>
      <x:c r="C442" s="10" t="str">
        <x:v>camera_lens</x:v>
      </x:c>
      <x:c r="D442" s="11" t="n">
        <x:v>5</x:v>
      </x:c>
      <x:c r="E442" s="11" t="n">
        <x:v>5</x:v>
      </x:c>
      <x:c r="F442" s="12" t="n">
        <x:f>E442/D442</x:f>
        <x:v>1</x:v>
      </x:c>
      <x:c r="G442" s="12" t="n">
        <x:f>IF(SUMIFS($E$6:$E$557,$A$6:$A$557,A442,$B$6:$B$557,B442)=0,"n.a.",E442/SUMIFS($E$6:$E$557,$A$6:$A$557,A442,$B$6:$B$557,B442))</x:f>
        <x:v>0.0011251125112511251</x:v>
      </x:c>
      <x:c r="H442" s="11" t="n">
        <x:v>13956</x:v>
      </x:c>
    </x:row>
    <x:row r="443" ht="23" customHeight="1">
      <x:c r="A443" s="10" t="str">
        <x:v>M8</x:v>
      </x:c>
      <x:c r="B443" s="10" t="str">
        <x:v>C</x:v>
      </x:c>
      <x:c r="C443" s="10" t="str">
        <x:v>cap_nut</x:v>
      </x:c>
      <x:c r="D443" s="11" t="n">
        <x:v>386</x:v>
      </x:c>
      <x:c r="E443" s="11" t="n">
        <x:v>329</x:v>
      </x:c>
      <x:c r="F443" s="12" t="n">
        <x:f>E443/D443</x:f>
        <x:v>0.8523316062176166</x:v>
      </x:c>
      <x:c r="G443" s="12" t="n">
        <x:f>IF(SUMIFS($E$6:$E$557,$A$6:$A$557,A443,$B$6:$B$557,B443)=0,"n.a.",E443/SUMIFS($E$6:$E$557,$A$6:$A$557,A443,$B$6:$B$557,B443))</x:f>
        <x:v>0.07403240324032404</x:v>
      </x:c>
      <x:c r="H443" s="11" t="n">
        <x:v>1681410</x:v>
      </x:c>
    </x:row>
    <x:row r="444" ht="23" customHeight="1">
      <x:c r="A444" s="10" t="str">
        <x:v>M8</x:v>
      </x:c>
      <x:c r="B444" s="10" t="str">
        <x:v>C</x:v>
      </x:c>
      <x:c r="C444" s="10" t="str">
        <x:v>coil_spring</x:v>
      </x:c>
      <x:c r="D444" s="11" t="n">
        <x:v>30</x:v>
      </x:c>
      <x:c r="E444" s="11" t="n">
        <x:v>30</x:v>
      </x:c>
      <x:c r="F444" s="12" t="n">
        <x:f>E444/D444</x:f>
        <x:v>1</x:v>
      </x:c>
      <x:c r="G444" s="12" t="n">
        <x:f>IF(SUMIFS($E$6:$E$557,$A$6:$A$557,A444,$B$6:$B$557,B444)=0,"n.a.",E444/SUMIFS($E$6:$E$557,$A$6:$A$557,A444,$B$6:$B$557,B444))</x:f>
        <x:v>0.0067506750675067504</x:v>
      </x:c>
      <x:c r="H444" s="11" t="n">
        <x:v>925518</x:v>
      </x:c>
    </x:row>
    <x:row r="445" ht="23" customHeight="1">
      <x:c r="A445" s="10" t="str">
        <x:v>M8</x:v>
      </x:c>
      <x:c r="B445" s="10" t="str">
        <x:v>C</x:v>
      </x:c>
      <x:c r="C445" s="10" t="str">
        <x:v>cooling_fan</x:v>
      </x:c>
      <x:c r="D445" s="11" t="n">
        <x:v>3</x:v>
      </x:c>
      <x:c r="E445" s="11" t="n">
        <x:v>3</x:v>
      </x:c>
      <x:c r="F445" s="12" t="n">
        <x:f>E445/D445</x:f>
        <x:v>1</x:v>
      </x:c>
      <x:c r="G445" s="12" t="n">
        <x:f>IF(SUMIFS($E$6:$E$557,$A$6:$A$557,A445,$B$6:$B$557,B445)=0,"n.a.",E445/SUMIFS($E$6:$E$557,$A$6:$A$557,A445,$B$6:$B$557,B445))</x:f>
        <x:v>0.0006750675067506751</x:v>
      </x:c>
      <x:c r="H445" s="11" t="n">
        <x:v>11028</x:v>
      </x:c>
    </x:row>
    <x:row r="446" ht="23" customHeight="1">
      <x:c r="A446" s="10" t="str">
        <x:v>M8</x:v>
      </x:c>
      <x:c r="B446" s="10" t="str">
        <x:v>C</x:v>
      </x:c>
      <x:c r="C446" s="10" t="str">
        <x:v>die_block</x:v>
      </x:c>
      <x:c r="D446" s="11" t="n">
        <x:v>222</x:v>
      </x:c>
      <x:c r="E446" s="11" t="n">
        <x:v>219</x:v>
      </x:c>
      <x:c r="F446" s="12" t="n">
        <x:f>E446/D446</x:f>
        <x:v>0.9864864864864865</x:v>
      </x:c>
      <x:c r="G446" s="12" t="n">
        <x:f>IF(SUMIFS($E$6:$E$557,$A$6:$A$557,A446,$B$6:$B$557,B446)=0,"n.a.",E446/SUMIFS($E$6:$E$557,$A$6:$A$557,A446,$B$6:$B$557,B446))</x:f>
        <x:v>0.04927992799279928</x:v>
      </x:c>
      <x:c r="H446" s="11" t="n">
        <x:v>231912</x:v>
      </x:c>
    </x:row>
    <x:row r="447" ht="23" customHeight="1">
      <x:c r="A447" s="10" t="str">
        <x:v>M8</x:v>
      </x:c>
      <x:c r="B447" s="10" t="str">
        <x:v>C</x:v>
      </x:c>
      <x:c r="C447" s="10" t="str">
        <x:v>dowel_pin</x:v>
      </x:c>
      <x:c r="D447" s="11" t="n">
        <x:v>810</x:v>
      </x:c>
      <x:c r="E447" s="11" t="n">
        <x:v>70</x:v>
      </x:c>
      <x:c r="F447" s="12" t="n">
        <x:f>E447/D447</x:f>
        <x:v>0.08641975308641975</x:v>
      </x:c>
      <x:c r="G447" s="12" t="n">
        <x:f>IF(SUMIFS($E$6:$E$557,$A$6:$A$557,A447,$B$6:$B$557,B447)=0,"n.a.",E447/SUMIFS($E$6:$E$557,$A$6:$A$557,A447,$B$6:$B$557,B447))</x:f>
        <x:v>0.01575157515751575</x:v>
      </x:c>
      <x:c r="H447" s="11" t="n">
        <x:v>142538</x:v>
      </x:c>
    </x:row>
    <x:row r="448" ht="23" customHeight="1">
      <x:c r="A448" s="10" t="str">
        <x:v>M8</x:v>
      </x:c>
      <x:c r="B448" s="10" t="str">
        <x:v>C</x:v>
      </x:c>
      <x:c r="C448" s="10" t="str">
        <x:v>feature_plate</x:v>
      </x:c>
      <x:c r="D448" s="11" t="n">
        <x:v>54</x:v>
      </x:c>
      <x:c r="E448" s="11" t="n">
        <x:v>54</x:v>
      </x:c>
      <x:c r="F448" s="12" t="n">
        <x:f>E448/D448</x:f>
        <x:v>1</x:v>
      </x:c>
      <x:c r="G448" s="12" t="n">
        <x:f>IF(SUMIFS($E$6:$E$557,$A$6:$A$557,A448,$B$6:$B$557,B448)=0,"n.a.",E448/SUMIFS($E$6:$E$557,$A$6:$A$557,A448,$B$6:$B$557,B448))</x:f>
        <x:v>0.012151215121512151</x:v>
      </x:c>
      <x:c r="H448" s="11" t="n">
        <x:v>145270</x:v>
      </x:c>
    </x:row>
    <x:row r="449" ht="23" customHeight="1">
      <x:c r="A449" s="10" t="str">
        <x:v>M8</x:v>
      </x:c>
      <x:c r="B449" s="10" t="str">
        <x:v>C</x:v>
      </x:c>
      <x:c r="C449" s="10" t="str">
        <x:v>flat_washer</x:v>
      </x:c>
      <x:c r="D449" s="11" t="n">
        <x:v>229</x:v>
      </x:c>
      <x:c r="E449" s="11" t="n">
        <x:v>196</x:v>
      </x:c>
      <x:c r="F449" s="12" t="n">
        <x:f>E449/D449</x:f>
        <x:v>0.8558951965065502</x:v>
      </x:c>
      <x:c r="G449" s="12" t="n">
        <x:f>IF(SUMIFS($E$6:$E$557,$A$6:$A$557,A449,$B$6:$B$557,B449)=0,"n.a.",E449/SUMIFS($E$6:$E$557,$A$6:$A$557,A449,$B$6:$B$557,B449))</x:f>
        <x:v>0.04410441044104411</x:v>
      </x:c>
      <x:c r="H449" s="11" t="n">
        <x:v>803834</x:v>
      </x:c>
    </x:row>
    <x:row r="450" ht="23" customHeight="1">
      <x:c r="A450" s="10" t="str">
        <x:v>M8</x:v>
      </x:c>
      <x:c r="B450" s="10" t="str">
        <x:v>C</x:v>
      </x:c>
      <x:c r="C450" s="10" t="str">
        <x:v>flexible_hose</x:v>
      </x:c>
      <x:c r="D450" s="11" t="n">
        <x:v>27</x:v>
      </x:c>
      <x:c r="E450" s="11" t="n">
        <x:v>27</x:v>
      </x:c>
      <x:c r="F450" s="12" t="n">
        <x:f>E450/D450</x:f>
        <x:v>1</x:v>
      </x:c>
      <x:c r="G450" s="12" t="n">
        <x:f>IF(SUMIFS($E$6:$E$557,$A$6:$A$557,A450,$B$6:$B$557,B450)=0,"n.a.",E450/SUMIFS($E$6:$E$557,$A$6:$A$557,A450,$B$6:$B$557,B450))</x:f>
        <x:v>0.0060756075607560755</x:v>
      </x:c>
      <x:c r="H450" s="11" t="n">
        <x:v>68584</x:v>
      </x:c>
    </x:row>
    <x:row r="451" ht="23" customHeight="1">
      <x:c r="A451" s="10" t="str">
        <x:v>M8</x:v>
      </x:c>
      <x:c r="B451" s="10" t="str">
        <x:v>C</x:v>
      </x:c>
      <x:c r="C451" s="10" t="str">
        <x:v>frame_beam</x:v>
      </x:c>
      <x:c r="D451" s="11" t="n">
        <x:v>3</x:v>
      </x:c>
      <x:c r="E451" s="11" t="n">
        <x:v>3</x:v>
      </x:c>
      <x:c r="F451" s="12" t="n">
        <x:f>E451/D451</x:f>
        <x:v>1</x:v>
      </x:c>
      <x:c r="G451" s="12" t="n">
        <x:f>IF(SUMIFS($E$6:$E$557,$A$6:$A$557,A451,$B$6:$B$557,B451)=0,"n.a.",E451/SUMIFS($E$6:$E$557,$A$6:$A$557,A451,$B$6:$B$557,B451))</x:f>
        <x:v>0.0006750675067506751</x:v>
      </x:c>
      <x:c r="H451" s="11" t="n">
        <x:v>25454</x:v>
      </x:c>
    </x:row>
    <x:row r="452" ht="23" customHeight="1">
      <x:c r="A452" s="10" t="str">
        <x:v>M8</x:v>
      </x:c>
      <x:c r="B452" s="10" t="str">
        <x:v>C</x:v>
      </x:c>
      <x:c r="C452" s="10" t="str">
        <x:v>hex_bolt</x:v>
      </x:c>
      <x:c r="D452" s="11" t="n">
        <x:v>8</x:v>
      </x:c>
      <x:c r="E452" s="11" t="n">
        <x:v>6</x:v>
      </x:c>
      <x:c r="F452" s="12" t="n">
        <x:f>E452/D452</x:f>
        <x:v>0.75</x:v>
      </x:c>
      <x:c r="G452" s="12" t="n">
        <x:f>IF(SUMIFS($E$6:$E$557,$A$6:$A$557,A452,$B$6:$B$557,B452)=0,"n.a.",E452/SUMIFS($E$6:$E$557,$A$6:$A$557,A452,$B$6:$B$557,B452))</x:f>
        <x:v>0.0013501350135013501</x:v>
      </x:c>
      <x:c r="H452" s="11" t="n">
        <x:v>13178</x:v>
      </x:c>
    </x:row>
    <x:row r="453" ht="23" customHeight="1">
      <x:c r="A453" s="10" t="str">
        <x:v>M8</x:v>
      </x:c>
      <x:c r="B453" s="10" t="str">
        <x:v>C</x:v>
      </x:c>
      <x:c r="C453" s="10" t="str">
        <x:v>hex_nut</x:v>
      </x:c>
      <x:c r="D453" s="11" t="n">
        <x:v>591</x:v>
      </x:c>
      <x:c r="E453" s="11" t="n">
        <x:v>169</x:v>
      </x:c>
      <x:c r="F453" s="12" t="n">
        <x:f>E453/D453</x:f>
        <x:v>0.2859560067681895</x:v>
      </x:c>
      <x:c r="G453" s="12" t="n">
        <x:f>IF(SUMIFS($E$6:$E$557,$A$6:$A$557,A453,$B$6:$B$557,B453)=0,"n.a.",E453/SUMIFS($E$6:$E$557,$A$6:$A$557,A453,$B$6:$B$557,B453))</x:f>
        <x:v>0.03802880288028803</x:v>
      </x:c>
      <x:c r="H453" s="11" t="n">
        <x:v>431934</x:v>
      </x:c>
    </x:row>
    <x:row r="454" ht="23" customHeight="1">
      <x:c r="A454" s="10" t="str">
        <x:v>M8</x:v>
      </x:c>
      <x:c r="B454" s="10" t="str">
        <x:v>C</x:v>
      </x:c>
      <x:c r="C454" s="10" t="str">
        <x:v>lead_screw</x:v>
      </x:c>
      <x:c r="D454" s="11" t="n">
        <x:v>2</x:v>
      </x:c>
      <x:c r="E454" s="11" t="n">
        <x:v>2</x:v>
      </x:c>
      <x:c r="F454" s="12" t="n">
        <x:f>E454/D454</x:f>
        <x:v>1</x:v>
      </x:c>
      <x:c r="G454" s="12" t="n">
        <x:f>IF(SUMIFS($E$6:$E$557,$A$6:$A$557,A454,$B$6:$B$557,B454)=0,"n.a.",E454/SUMIFS($E$6:$E$557,$A$6:$A$557,A454,$B$6:$B$557,B454))</x:f>
        <x:v>0.00045004500450045</x:v>
      </x:c>
      <x:c r="H454" s="11" t="n">
        <x:v>223688</x:v>
      </x:c>
    </x:row>
    <x:row r="455" ht="23" customHeight="1">
      <x:c r="A455" s="10" t="str">
        <x:v>M8</x:v>
      </x:c>
      <x:c r="B455" s="10" t="str">
        <x:v>C</x:v>
      </x:c>
      <x:c r="C455" s="10" t="str">
        <x:v>mounting_bracket</x:v>
      </x:c>
      <x:c r="D455" s="11" t="n">
        <x:v>53</x:v>
      </x:c>
      <x:c r="E455" s="11" t="n">
        <x:v>53</x:v>
      </x:c>
      <x:c r="F455" s="12" t="n">
        <x:f>E455/D455</x:f>
        <x:v>1</x:v>
      </x:c>
      <x:c r="G455" s="12" t="n">
        <x:f>IF(SUMIFS($E$6:$E$557,$A$6:$A$557,A455,$B$6:$B$557,B455)=0,"n.a.",E455/SUMIFS($E$6:$E$557,$A$6:$A$557,A455,$B$6:$B$557,B455))</x:f>
        <x:v>0.011926192619261927</x:v>
      </x:c>
      <x:c r="H455" s="11" t="n">
        <x:v>53184</x:v>
      </x:c>
    </x:row>
    <x:row r="456" ht="23" customHeight="1">
      <x:c r="A456" s="10" t="str">
        <x:v>M8</x:v>
      </x:c>
      <x:c r="B456" s="10" t="str">
        <x:v>C</x:v>
      </x:c>
      <x:c r="C456" s="10" t="str">
        <x:v>mounting_plate</x:v>
      </x:c>
      <x:c r="D456" s="11" t="n">
        <x:v>279</x:v>
      </x:c>
      <x:c r="E456" s="11" t="n">
        <x:v>277</x:v>
      </x:c>
      <x:c r="F456" s="12" t="n">
        <x:f>E456/D456</x:f>
        <x:v>0.992831541218638</x:v>
      </x:c>
      <x:c r="G456" s="12" t="n">
        <x:f>IF(SUMIFS($E$6:$E$557,$A$6:$A$557,A456,$B$6:$B$557,B456)=0,"n.a.",E456/SUMIFS($E$6:$E$557,$A$6:$A$557,A456,$B$6:$B$557,B456))</x:f>
        <x:v>0.06233123312331233</x:v>
      </x:c>
      <x:c r="H456" s="11" t="n">
        <x:v>375820</x:v>
      </x:c>
    </x:row>
    <x:row r="457" ht="23" customHeight="1">
      <x:c r="A457" s="10" t="str">
        <x:v>M8</x:v>
      </x:c>
      <x:c r="B457" s="10" t="str">
        <x:v>C</x:v>
      </x:c>
      <x:c r="C457" s="10" t="str">
        <x:v>nozzle</x:v>
      </x:c>
      <x:c r="D457" s="11" t="n">
        <x:v>116</x:v>
      </x:c>
      <x:c r="E457" s="11" t="n">
        <x:v>112</x:v>
      </x:c>
      <x:c r="F457" s="12" t="n">
        <x:f>E457/D457</x:f>
        <x:v>0.9655172413793104</x:v>
      </x:c>
      <x:c r="G457" s="12" t="n">
        <x:f>IF(SUMIFS($E$6:$E$557,$A$6:$A$557,A457,$B$6:$B$557,B457)=0,"n.a.",E457/SUMIFS($E$6:$E$557,$A$6:$A$557,A457,$B$6:$B$557,B457))</x:f>
        <x:v>0.025202520252025202</x:v>
      </x:c>
      <x:c r="H457" s="11" t="n">
        <x:v>1566703</x:v>
      </x:c>
    </x:row>
    <x:row r="458" ht="23" customHeight="1">
      <x:c r="A458" s="10" t="str">
        <x:v>M8</x:v>
      </x:c>
      <x:c r="B458" s="10" t="str">
        <x:v>C</x:v>
      </x:c>
      <x:c r="C458" s="10" t="str">
        <x:v>pipe_fitting</x:v>
      </x:c>
      <x:c r="D458" s="11" t="n">
        <x:v>2</x:v>
      </x:c>
      <x:c r="E458" s="11" t="n">
        <x:v>2</x:v>
      </x:c>
      <x:c r="F458" s="12" t="n">
        <x:f>E458/D458</x:f>
        <x:v>1</x:v>
      </x:c>
      <x:c r="G458" s="12" t="n">
        <x:f>IF(SUMIFS($E$6:$E$557,$A$6:$A$557,A458,$B$6:$B$557,B458)=0,"n.a.",E458/SUMIFS($E$6:$E$557,$A$6:$A$557,A458,$B$6:$B$557,B458))</x:f>
        <x:v>0.00045004500450045</x:v>
      </x:c>
      <x:c r="H458" s="11" t="n">
        <x:v>4912</x:v>
      </x:c>
    </x:row>
    <x:row r="459" ht="23" customHeight="1">
      <x:c r="A459" s="10" t="str">
        <x:v>M8</x:v>
      </x:c>
      <x:c r="B459" s="10" t="str">
        <x:v>C</x:v>
      </x:c>
      <x:c r="C459" s="10" t="str">
        <x:v>plain_block</x:v>
      </x:c>
      <x:c r="D459" s="11" t="n">
        <x:v>1085</x:v>
      </x:c>
      <x:c r="E459" s="11" t="n">
        <x:v>1085</x:v>
      </x:c>
      <x:c r="F459" s="12" t="n">
        <x:f>E459/D459</x:f>
        <x:v>1</x:v>
      </x:c>
      <x:c r="G459" s="12" t="n">
        <x:f>IF(SUMIFS($E$6:$E$557,$A$6:$A$557,A459,$B$6:$B$557,B459)=0,"n.a.",E459/SUMIFS($E$6:$E$557,$A$6:$A$557,A459,$B$6:$B$557,B459))</x:f>
        <x:v>0.24414941494149414</x:v>
      </x:c>
      <x:c r="H459" s="11" t="n">
        <x:v>7547120</x:v>
      </x:c>
    </x:row>
    <x:row r="460" ht="23" customHeight="1">
      <x:c r="A460" s="10" t="str">
        <x:v>M8</x:v>
      </x:c>
      <x:c r="B460" s="10" t="str">
        <x:v>C</x:v>
      </x:c>
      <x:c r="C460" s="10" t="str">
        <x:v>plain_shaft</x:v>
      </x:c>
      <x:c r="D460" s="11" t="n">
        <x:v>18</x:v>
      </x:c>
      <x:c r="E460" s="11" t="n">
        <x:v>18</x:v>
      </x:c>
      <x:c r="F460" s="12" t="n">
        <x:f>E460/D460</x:f>
        <x:v>1</x:v>
      </x:c>
      <x:c r="G460" s="12" t="n">
        <x:f>IF(SUMIFS($E$6:$E$557,$A$6:$A$557,A460,$B$6:$B$557,B460)=0,"n.a.",E460/SUMIFS($E$6:$E$557,$A$6:$A$557,A460,$B$6:$B$557,B460))</x:f>
        <x:v>0.004050405040504051</x:v>
      </x:c>
      <x:c r="H460" s="11" t="n">
        <x:v>104626</x:v>
      </x:c>
    </x:row>
    <x:row r="461" ht="23" customHeight="1">
      <x:c r="A461" s="10" t="str">
        <x:v>M8</x:v>
      </x:c>
      <x:c r="B461" s="10" t="str">
        <x:v>C</x:v>
      </x:c>
      <x:c r="C461" s="10" t="str">
        <x:v>proximity_sensor</x:v>
      </x:c>
      <x:c r="D461" s="11" t="n">
        <x:v>1</x:v>
      </x:c>
      <x:c r="E461" s="11" t="n">
        <x:v>1</x:v>
      </x:c>
      <x:c r="F461" s="12" t="n">
        <x:f>E461/D461</x:f>
        <x:v>1</x:v>
      </x:c>
      <x:c r="G461" s="12" t="n">
        <x:f>IF(SUMIFS($E$6:$E$557,$A$6:$A$557,A461,$B$6:$B$557,B461)=0,"n.a.",E461/SUMIFS($E$6:$E$557,$A$6:$A$557,A461,$B$6:$B$557,B461))</x:f>
        <x:v>0.000225022502250225</x:v>
      </x:c>
      <x:c r="H461" s="11" t="n">
        <x:v>628</x:v>
      </x:c>
    </x:row>
    <x:row r="462" ht="23" customHeight="1">
      <x:c r="A462" s="10" t="str">
        <x:v>M8</x:v>
      </x:c>
      <x:c r="B462" s="10" t="str">
        <x:v>C</x:v>
      </x:c>
      <x:c r="C462" s="10" t="str">
        <x:v>punch_tool</x:v>
      </x:c>
      <x:c r="D462" s="11" t="n">
        <x:v>180</x:v>
      </x:c>
      <x:c r="E462" s="11" t="n">
        <x:v>180</x:v>
      </x:c>
      <x:c r="F462" s="12" t="n">
        <x:f>E462/D462</x:f>
        <x:v>1</x:v>
      </x:c>
      <x:c r="G462" s="12" t="n">
        <x:f>IF(SUMIFS($E$6:$E$557,$A$6:$A$557,A462,$B$6:$B$557,B462)=0,"n.a.",E462/SUMIFS($E$6:$E$557,$A$6:$A$557,A462,$B$6:$B$557,B462))</x:f>
        <x:v>0.0405040504050405</x:v>
      </x:c>
      <x:c r="H462" s="11" t="n">
        <x:v>391281</x:v>
      </x:c>
    </x:row>
    <x:row r="463" ht="23" customHeight="1">
      <x:c r="A463" s="10" t="str">
        <x:v>M8</x:v>
      </x:c>
      <x:c r="B463" s="10" t="str">
        <x:v>C</x:v>
      </x:c>
      <x:c r="C463" s="10" t="str">
        <x:v>retaining_ring</x:v>
      </x:c>
      <x:c r="D463" s="11" t="n">
        <x:v>80</x:v>
      </x:c>
      <x:c r="E463" s="11" t="n">
        <x:v>77</x:v>
      </x:c>
      <x:c r="F463" s="12" t="n">
        <x:f>E463/D463</x:f>
        <x:v>0.9625</x:v>
      </x:c>
      <x:c r="G463" s="12" t="n">
        <x:f>IF(SUMIFS($E$6:$E$557,$A$6:$A$557,A463,$B$6:$B$557,B463)=0,"n.a.",E463/SUMIFS($E$6:$E$557,$A$6:$A$557,A463,$B$6:$B$557,B463))</x:f>
        <x:v>0.017326732673267328</x:v>
      </x:c>
      <x:c r="H463" s="11" t="n">
        <x:v>66978</x:v>
      </x:c>
    </x:row>
    <x:row r="464" ht="23" customHeight="1">
      <x:c r="A464" s="10" t="str">
        <x:v>M8</x:v>
      </x:c>
      <x:c r="B464" s="10" t="str">
        <x:v>C</x:v>
      </x:c>
      <x:c r="C464" s="10" t="str">
        <x:v>seal_ring</x:v>
      </x:c>
      <x:c r="D464" s="11" t="n">
        <x:v>460</x:v>
      </x:c>
      <x:c r="E464" s="11" t="n">
        <x:v>460</x:v>
      </x:c>
      <x:c r="F464" s="12" t="n">
        <x:f>E464/D464</x:f>
        <x:v>1</x:v>
      </x:c>
      <x:c r="G464" s="12" t="n">
        <x:f>IF(SUMIFS($E$6:$E$557,$A$6:$A$557,A464,$B$6:$B$557,B464)=0,"n.a.",E464/SUMIFS($E$6:$E$557,$A$6:$A$557,A464,$B$6:$B$557,B464))</x:f>
        <x:v>0.1035103510351035</x:v>
      </x:c>
      <x:c r="H464" s="11" t="n">
        <x:v>413416</x:v>
      </x:c>
    </x:row>
    <x:row r="465" ht="23" customHeight="1">
      <x:c r="A465" s="10" t="str">
        <x:v>M8</x:v>
      </x:c>
      <x:c r="B465" s="10" t="str">
        <x:v>C</x:v>
      </x:c>
      <x:c r="C465" s="10" t="str">
        <x:v>shaft_key</x:v>
      </x:c>
      <x:c r="D465" s="11" t="n">
        <x:v>909</x:v>
      </x:c>
      <x:c r="E465" s="11" t="n">
        <x:v>572</x:v>
      </x:c>
      <x:c r="F465" s="12" t="n">
        <x:f>E465/D465</x:f>
        <x:v>0.6292629262926293</x:v>
      </x:c>
      <x:c r="G465" s="12" t="n">
        <x:f>IF(SUMIFS($E$6:$E$557,$A$6:$A$557,A465,$B$6:$B$557,B465)=0,"n.a.",E465/SUMIFS($E$6:$E$557,$A$6:$A$557,A465,$B$6:$B$557,B465))</x:f>
        <x:v>0.12871287128712872</x:v>
      </x:c>
      <x:c r="H465" s="11" t="n">
        <x:v>1362101</x:v>
      </x:c>
    </x:row>
    <x:row r="466" ht="23" customHeight="1">
      <x:c r="A466" s="10" t="str">
        <x:v>M8</x:v>
      </x:c>
      <x:c r="B466" s="10" t="str">
        <x:v>C</x:v>
      </x:c>
      <x:c r="C466" s="10" t="str">
        <x:v>slotted_nut</x:v>
      </x:c>
      <x:c r="D466" s="11" t="n">
        <x:v>37</x:v>
      </x:c>
      <x:c r="E466" s="11" t="n">
        <x:v>30</x:v>
      </x:c>
      <x:c r="F466" s="12" t="n">
        <x:f>E466/D466</x:f>
        <x:v>0.8108108108108109</x:v>
      </x:c>
      <x:c r="G466" s="12" t="n">
        <x:f>IF(SUMIFS($E$6:$E$557,$A$6:$A$557,A466,$B$6:$B$557,B466)=0,"n.a.",E466/SUMIFS($E$6:$E$557,$A$6:$A$557,A466,$B$6:$B$557,B466))</x:f>
        <x:v>0.0067506750675067504</x:v>
      </x:c>
      <x:c r="H466" s="11" t="n">
        <x:v>128243</x:v>
      </x:c>
    </x:row>
    <x:row r="467" ht="23" customHeight="1">
      <x:c r="A467" s="10" t="str">
        <x:v>M8</x:v>
      </x:c>
      <x:c r="B467" s="10" t="str">
        <x:v>C</x:v>
      </x:c>
      <x:c r="C467" s="10" t="str">
        <x:v>sprocket</x:v>
      </x:c>
      <x:c r="D467" s="11" t="n">
        <x:v>146</x:v>
      </x:c>
      <x:c r="E467" s="11" t="n">
        <x:v>144</x:v>
      </x:c>
      <x:c r="F467" s="12" t="n">
        <x:f>E467/D467</x:f>
        <x:v>0.9863013698630136</x:v>
      </x:c>
      <x:c r="G467" s="12" t="n">
        <x:f>IF(SUMIFS($E$6:$E$557,$A$6:$A$557,A467,$B$6:$B$557,B467)=0,"n.a.",E467/SUMIFS($E$6:$E$557,$A$6:$A$557,A467,$B$6:$B$557,B467))</x:f>
        <x:v>0.032403240324032405</x:v>
      </x:c>
      <x:c r="H467" s="11" t="n">
        <x:v>160588</x:v>
      </x:c>
    </x:row>
    <x:row r="468" ht="23" customHeight="1">
      <x:c r="A468" s="10" t="str">
        <x:v>M8</x:v>
      </x:c>
      <x:c r="B468" s="10" t="str">
        <x:v>C</x:v>
      </x:c>
      <x:c r="C468" s="10" t="str">
        <x:v>suction_cup</x:v>
      </x:c>
      <x:c r="D468" s="11" t="n">
        <x:v>131</x:v>
      </x:c>
      <x:c r="E468" s="11" t="n">
        <x:v>125</x:v>
      </x:c>
      <x:c r="F468" s="12" t="n">
        <x:f>E468/D468</x:f>
        <x:v>0.9541984732824428</x:v>
      </x:c>
      <x:c r="G468" s="12" t="n">
        <x:f>IF(SUMIFS($E$6:$E$557,$A$6:$A$557,A468,$B$6:$B$557,B468)=0,"n.a.",E468/SUMIFS($E$6:$E$557,$A$6:$A$557,A468,$B$6:$B$557,B468))</x:f>
        <x:v>0.028127812781278128</x:v>
      </x:c>
      <x:c r="H468" s="11" t="n">
        <x:v>207940</x:v>
      </x:c>
    </x:row>
    <x:row r="469" ht="23" customHeight="1">
      <x:c r="A469" s="10" t="str">
        <x:v>M8</x:v>
      </x:c>
      <x:c r="B469" s="10" t="str">
        <x:v>C</x:v>
      </x:c>
      <x:c r="C469" s="10" t="str">
        <x:v>threaded_stud</x:v>
      </x:c>
      <x:c r="D469" s="11" t="n">
        <x:v>184</x:v>
      </x:c>
      <x:c r="E469" s="11" t="n">
        <x:v>143</x:v>
      </x:c>
      <x:c r="F469" s="12" t="n">
        <x:f>E469/D469</x:f>
        <x:v>0.7771739130434783</x:v>
      </x:c>
      <x:c r="G469" s="12" t="n">
        <x:f>IF(SUMIFS($E$6:$E$557,$A$6:$A$557,A469,$B$6:$B$557,B469)=0,"n.a.",E469/SUMIFS($E$6:$E$557,$A$6:$A$557,A469,$B$6:$B$557,B469))</x:f>
        <x:v>0.03217821782178218</x:v>
      </x:c>
      <x:c r="H469" s="11" t="n">
        <x:v>306090</x:v>
      </x:c>
    </x:row>
    <x:row r="470" ht="23" customHeight="1">
      <x:c r="A470" s="10" t="str">
        <x:v>M9</x:v>
      </x:c>
      <x:c r="B470" s="10" t="str">
        <x:v>N</x:v>
      </x:c>
      <x:c r="C470" s="10" t="str">
        <x:v>bearings_bushings_guides</x:v>
      </x:c>
      <x:c r="D470" s="11" t="n">
        <x:v>519</x:v>
      </x:c>
      <x:c r="E470" s="11" t="n">
        <x:v>402</x:v>
      </x:c>
      <x:c r="F470" s="12" t="n">
        <x:f>E470/D470</x:f>
        <x:v>0.7745664739884393</x:v>
      </x:c>
      <x:c r="G470" s="12" t="n">
        <x:f>IF(SUMIFS($E$6:$E$557,$A$6:$A$557,A470,$B$6:$B$557,B470)=0,"n.a.",E470/SUMIFS($E$6:$E$557,$A$6:$A$557,A470,$B$6:$B$557,B470))</x:f>
        <x:v>0.2291904218928164</x:v>
      </x:c>
      <x:c r="H470" s="11" t="n">
        <x:v>1692458</x:v>
      </x:c>
    </x:row>
    <x:row r="471" ht="23" customHeight="1">
      <x:c r="A471" s="10" t="str">
        <x:v>M9</x:v>
      </x:c>
      <x:c r="B471" s="10" t="str">
        <x:v>N</x:v>
      </x:c>
      <x:c r="C471" s="10" t="str">
        <x:v>gears_pulleys_chains</x:v>
      </x:c>
      <x:c r="D471" s="11" t="n">
        <x:v>44</x:v>
      </x:c>
      <x:c r="E471" s="11" t="n">
        <x:v>3</x:v>
      </x:c>
      <x:c r="F471" s="12" t="n">
        <x:f>E471/D471</x:f>
        <x:v>0.06818181818181818</x:v>
      </x:c>
      <x:c r="G471" s="12" t="n">
        <x:f>IF(SUMIFS($E$6:$E$557,$A$6:$A$557,A471,$B$6:$B$557,B471)=0,"n.a.",E471/SUMIFS($E$6:$E$557,$A$6:$A$557,A471,$B$6:$B$557,B471))</x:f>
        <x:v>0.0017103762827822121</x:v>
      </x:c>
      <x:c r="H471" s="11" t="n">
        <x:v>52272</x:v>
      </x:c>
    </x:row>
    <x:row r="472" ht="23" customHeight="1">
      <x:c r="A472" s="10" t="str">
        <x:v>M9</x:v>
      </x:c>
      <x:c r="B472" s="10" t="str">
        <x:v>N</x:v>
      </x:c>
      <x:c r="C472" s="10" t="str">
        <x:v>handles_controls</x:v>
      </x:c>
      <x:c r="D472" s="11" t="n">
        <x:v>323</x:v>
      </x:c>
      <x:c r="E472" s="11" t="n">
        <x:v>273</x:v>
      </x:c>
      <x:c r="F472" s="12" t="n">
        <x:f>E472/D472</x:f>
        <x:v>0.8452012383900929</x:v>
      </x:c>
      <x:c r="G472" s="12" t="n">
        <x:f>IF(SUMIFS($E$6:$E$557,$A$6:$A$557,A472,$B$6:$B$557,B472)=0,"n.a.",E472/SUMIFS($E$6:$E$557,$A$6:$A$557,A472,$B$6:$B$557,B472))</x:f>
        <x:v>0.1556442417331813</x:v>
      </x:c>
      <x:c r="H472" s="11" t="n">
        <x:v>928261</x:v>
      </x:c>
    </x:row>
    <x:row r="473" ht="23" customHeight="1">
      <x:c r="A473" s="10" t="str">
        <x:v>M9</x:v>
      </x:c>
      <x:c r="B473" s="10" t="str">
        <x:v>N</x:v>
      </x:c>
      <x:c r="C473" s="10" t="str">
        <x:v>joints_clamps_structural_connectors</x:v>
      </x:c>
      <x:c r="D473" s="11" t="n">
        <x:v>185</x:v>
      </x:c>
      <x:c r="E473" s="11" t="n">
        <x:v>148</x:v>
      </x:c>
      <x:c r="F473" s="12" t="n">
        <x:f>E473/D473</x:f>
        <x:v>0.8</x:v>
      </x:c>
      <x:c r="G473" s="12" t="n">
        <x:f>IF(SUMIFS($E$6:$E$557,$A$6:$A$557,A473,$B$6:$B$557,B473)=0,"n.a.",E473/SUMIFS($E$6:$E$557,$A$6:$A$557,A473,$B$6:$B$557,B473))</x:f>
        <x:v>0.08437856328392246</x:v>
      </x:c>
      <x:c r="H473" s="11" t="n">
        <x:v>2520953</x:v>
      </x:c>
    </x:row>
    <x:row r="474" ht="23" customHeight="1">
      <x:c r="A474" s="10" t="str">
        <x:v>M9</x:v>
      </x:c>
      <x:c r="B474" s="10" t="str">
        <x:v>N</x:v>
      </x:c>
      <x:c r="C474" s="10" t="str">
        <x:v>motors_gearmotors</x:v>
      </x:c>
      <x:c r="D474" s="11" t="n">
        <x:v>67</x:v>
      </x:c>
      <x:c r="E474" s="11" t="n">
        <x:v>30</x:v>
      </x:c>
      <x:c r="F474" s="12" t="n">
        <x:f>E474/D474</x:f>
        <x:v>0.44776119402985076</x:v>
      </x:c>
      <x:c r="G474" s="12" t="n">
        <x:f>IF(SUMIFS($E$6:$E$557,$A$6:$A$557,A474,$B$6:$B$557,B474)=0,"n.a.",E474/SUMIFS($E$6:$E$557,$A$6:$A$557,A474,$B$6:$B$557,B474))</x:f>
        <x:v>0.01710376282782212</x:v>
      </x:c>
      <x:c r="H474" s="11" t="n">
        <x:v>787889</x:v>
      </x:c>
    </x:row>
    <x:row r="475" ht="23" customHeight="1">
      <x:c r="A475" s="10" t="str">
        <x:v>M9</x:v>
      </x:c>
      <x:c r="B475" s="10" t="str">
        <x:v>N</x:v>
      </x:c>
      <x:c r="C475" s="10" t="str">
        <x:v>nuts</x:v>
      </x:c>
      <x:c r="D475" s="11" t="n">
        <x:v>67</x:v>
      </x:c>
      <x:c r="E475" s="11" t="n">
        <x:v>17</x:v>
      </x:c>
      <x:c r="F475" s="12" t="n">
        <x:f>E475/D475</x:f>
        <x:v>0.2537313432835821</x:v>
      </x:c>
      <x:c r="G475" s="12" t="n">
        <x:f>IF(SUMIFS($E$6:$E$557,$A$6:$A$557,A475,$B$6:$B$557,B475)=0,"n.a.",E475/SUMIFS($E$6:$E$557,$A$6:$A$557,A475,$B$6:$B$557,B475))</x:f>
        <x:v>0.009692132269099202</x:v>
      </x:c>
      <x:c r="H475" s="11" t="n">
        <x:v>30012</x:v>
      </x:c>
    </x:row>
    <x:row r="476" ht="23" customHeight="1">
      <x:c r="A476" s="10" t="str">
        <x:v>M9</x:v>
      </x:c>
      <x:c r="B476" s="10" t="str">
        <x:v>N</x:v>
      </x:c>
      <x:c r="C476" s="10" t="str">
        <x:v>pins_rivets_keys</x:v>
      </x:c>
      <x:c r="D476" s="11" t="n">
        <x:v>361</x:v>
      </x:c>
      <x:c r="E476" s="11" t="n">
        <x:v>291</x:v>
      </x:c>
      <x:c r="F476" s="12" t="n">
        <x:f>E476/D476</x:f>
        <x:v>0.8060941828254847</x:v>
      </x:c>
      <x:c r="G476" s="12" t="n">
        <x:f>IF(SUMIFS($E$6:$E$557,$A$6:$A$557,A476,$B$6:$B$557,B476)=0,"n.a.",E476/SUMIFS($E$6:$E$557,$A$6:$A$557,A476,$B$6:$B$557,B476))</x:f>
        <x:v>0.16590649942987457</x:v>
      </x:c>
      <x:c r="H476" s="11" t="n">
        <x:v>670478</x:v>
      </x:c>
    </x:row>
    <x:row r="477" ht="23" customHeight="1">
      <x:c r="A477" s="10" t="str">
        <x:v>M9</x:v>
      </x:c>
      <x:c r="B477" s="10" t="str">
        <x:v>N</x:v>
      </x:c>
      <x:c r="C477" s="10" t="str">
        <x:v>pipe_fittings_valves_nozzles</x:v>
      </x:c>
      <x:c r="D477" s="11" t="n">
        <x:v>546</x:v>
      </x:c>
      <x:c r="E477" s="11" t="n">
        <x:v>147</x:v>
      </x:c>
      <x:c r="F477" s="12" t="n">
        <x:f>E477/D477</x:f>
        <x:v>0.2692307692307692</x:v>
      </x:c>
      <x:c r="G477" s="12" t="n">
        <x:f>IF(SUMIFS($E$6:$E$557,$A$6:$A$557,A477,$B$6:$B$557,B477)=0,"n.a.",E477/SUMIFS($E$6:$E$557,$A$6:$A$557,A477,$B$6:$B$557,B477))</x:f>
        <x:v>0.0838084378563284</x:v>
      </x:c>
      <x:c r="H477" s="11" t="n">
        <x:v>973268</x:v>
      </x:c>
    </x:row>
    <x:row r="478" ht="23" customHeight="1">
      <x:c r="A478" s="10" t="str">
        <x:v>M9</x:v>
      </x:c>
      <x:c r="B478" s="10" t="str">
        <x:v>N</x:v>
      </x:c>
      <x:c r="C478" s="10" t="str">
        <x:v>plates_discs_shapes</x:v>
      </x:c>
      <x:c r="D478" s="11" t="n">
        <x:v>604</x:v>
      </x:c>
      <x:c r="E478" s="11" t="n">
        <x:v>218</x:v>
      </x:c>
      <x:c r="F478" s="12" t="n">
        <x:f>E478/D478</x:f>
        <x:v>0.3609271523178808</x:v>
      </x:c>
      <x:c r="G478" s="12" t="n">
        <x:f>IF(SUMIFS($E$6:$E$557,$A$6:$A$557,A478,$B$6:$B$557,B478)=0,"n.a.",E478/SUMIFS($E$6:$E$557,$A$6:$A$557,A478,$B$6:$B$557,B478))</x:f>
        <x:v>0.12428734321550741</x:v>
      </x:c>
      <x:c r="H478" s="11" t="n">
        <x:v>589043</x:v>
      </x:c>
    </x:row>
    <x:row r="479" ht="23" customHeight="1">
      <x:c r="A479" s="10" t="str">
        <x:v>M9</x:v>
      </x:c>
      <x:c r="B479" s="10" t="str">
        <x:v>N</x:v>
      </x:c>
      <x:c r="C479" s="10" t="str">
        <x:v>rotating_fluid_machinery</x:v>
      </x:c>
      <x:c r="D479" s="11" t="n">
        <x:v>101</x:v>
      </x:c>
      <x:c r="E479" s="11" t="n">
        <x:v>62</x:v>
      </x:c>
      <x:c r="F479" s="12" t="n">
        <x:f>E479/D479</x:f>
        <x:v>0.6138613861386139</x:v>
      </x:c>
      <x:c r="G479" s="12" t="n">
        <x:f>IF(SUMIFS($E$6:$E$557,$A$6:$A$557,A479,$B$6:$B$557,B479)=0,"n.a.",E479/SUMIFS($E$6:$E$557,$A$6:$A$557,A479,$B$6:$B$557,B479))</x:f>
        <x:v>0.03534777651083238</x:v>
      </x:c>
      <x:c r="H479" s="11" t="n">
        <x:v>826046</x:v>
      </x:c>
    </x:row>
    <x:row r="480" ht="23" customHeight="1">
      <x:c r="A480" s="10" t="str">
        <x:v>M9</x:v>
      </x:c>
      <x:c r="B480" s="10" t="str">
        <x:v>N</x:v>
      </x:c>
      <x:c r="C480" s="10" t="str">
        <x:v>screws_bolts_studs</x:v>
      </x:c>
      <x:c r="D480" s="11" t="n">
        <x:v>159</x:v>
      </x:c>
      <x:c r="E480" s="11" t="n">
        <x:v>96</x:v>
      </x:c>
      <x:c r="F480" s="12" t="n">
        <x:f>E480/D480</x:f>
        <x:v>0.6037735849056604</x:v>
      </x:c>
      <x:c r="G480" s="12" t="n">
        <x:f>IF(SUMIFS($E$6:$E$557,$A$6:$A$557,A480,$B$6:$B$557,B480)=0,"n.a.",E480/SUMIFS($E$6:$E$557,$A$6:$A$557,A480,$B$6:$B$557,B480))</x:f>
        <x:v>0.05473204104903079</x:v>
      </x:c>
      <x:c r="H480" s="11" t="n">
        <x:v>173946</x:v>
      </x:c>
    </x:row>
    <x:row r="481" ht="23" customHeight="1">
      <x:c r="A481" s="10" t="str">
        <x:v>M9</x:v>
      </x:c>
      <x:c r="B481" s="10" t="str">
        <x:v>N</x:v>
      </x:c>
      <x:c r="C481" s="10" t="str">
        <x:v>springs</x:v>
      </x:c>
      <x:c r="D481" s="11" t="n">
        <x:v>23</x:v>
      </x:c>
      <x:c r="E481" s="11" t="n">
        <x:v>8</x:v>
      </x:c>
      <x:c r="F481" s="12" t="n">
        <x:f>E481/D481</x:f>
        <x:v>0.34782608695652173</x:v>
      </x:c>
      <x:c r="G481" s="12" t="n">
        <x:f>IF(SUMIFS($E$6:$E$557,$A$6:$A$557,A481,$B$6:$B$557,B481)=0,"n.a.",E481/SUMIFS($E$6:$E$557,$A$6:$A$557,A481,$B$6:$B$557,B481))</x:f>
        <x:v>0.004561003420752566</x:v>
      </x:c>
      <x:c r="H481" s="11" t="n">
        <x:v>76326</x:v>
      </x:c>
    </x:row>
    <x:row r="482" ht="23" customHeight="1">
      <x:c r="A482" s="10" t="str">
        <x:v>M9</x:v>
      </x:c>
      <x:c r="B482" s="10" t="str">
        <x:v>N</x:v>
      </x:c>
      <x:c r="C482" s="10" t="str">
        <x:v>washers_rings_spacers</x:v>
      </x:c>
      <x:c r="D482" s="11" t="n">
        <x:v>90</x:v>
      </x:c>
      <x:c r="E482" s="11" t="n">
        <x:v>47</x:v>
      </x:c>
      <x:c r="F482" s="12" t="n">
        <x:f>E482/D482</x:f>
        <x:v>0.5222222222222223</x:v>
      </x:c>
      <x:c r="G482" s="12" t="n">
        <x:f>IF(SUMIFS($E$6:$E$557,$A$6:$A$557,A482,$B$6:$B$557,B482)=0,"n.a.",E482/SUMIFS($E$6:$E$557,$A$6:$A$557,A482,$B$6:$B$557,B482))</x:f>
        <x:v>0.026795895096921322</x:v>
      </x:c>
      <x:c r="H482" s="11" t="n">
        <x:v>391028</x:v>
      </x:c>
    </x:row>
    <x:row r="483" ht="23" customHeight="1">
      <x:c r="A483" s="10" t="str">
        <x:v>M9</x:v>
      </x:c>
      <x:c r="B483" s="10" t="str">
        <x:v>N</x:v>
      </x:c>
      <x:c r="C483" s="10" t="str">
        <x:v>wheels_castors</x:v>
      </x:c>
      <x:c r="D483" s="11" t="n">
        <x:v>29</x:v>
      </x:c>
      <x:c r="E483" s="11" t="n">
        <x:v>12</x:v>
      </x:c>
      <x:c r="F483" s="12" t="n">
        <x:f>E483/D483</x:f>
        <x:v>0.41379310344827586</x:v>
      </x:c>
      <x:c r="G483" s="12" t="n">
        <x:f>IF(SUMIFS($E$6:$E$557,$A$6:$A$557,A483,$B$6:$B$557,B483)=0,"n.a.",E483/SUMIFS($E$6:$E$557,$A$6:$A$557,A483,$B$6:$B$557,B483))</x:f>
        <x:v>0.0068415051311288486</x:v>
      </x:c>
      <x:c r="H483" s="11" t="n">
        <x:v>99572</x:v>
      </x:c>
    </x:row>
    <x:row r="484" ht="23" customHeight="1">
      <x:c r="A484" s="10" t="str">
        <x:v>M9</x:v>
      </x:c>
      <x:c r="B484" s="10" t="str">
        <x:v>C</x:v>
      </x:c>
      <x:c r="C484" s="10" t="str">
        <x:v>aluminum_extrusion</x:v>
      </x:c>
      <x:c r="D484" s="11" t="n">
        <x:v>11</x:v>
      </x:c>
      <x:c r="E484" s="11" t="n">
        <x:v>11</x:v>
      </x:c>
      <x:c r="F484" s="12" t="n">
        <x:f>E484/D484</x:f>
        <x:v>1</x:v>
      </x:c>
      <x:c r="G484" s="12" t="n">
        <x:f>IF(SUMIFS($E$6:$E$557,$A$6:$A$557,A484,$B$6:$B$557,B484)=0,"n.a.",E484/SUMIFS($E$6:$E$557,$A$6:$A$557,A484,$B$6:$B$557,B484))</x:f>
        <x:v>0.004719004719004719</x:v>
      </x:c>
      <x:c r="H484" s="11" t="n">
        <x:v>55668</x:v>
      </x:c>
    </x:row>
    <x:row r="485" ht="23" customHeight="1">
      <x:c r="A485" s="10" t="str">
        <x:v>M9</x:v>
      </x:c>
      <x:c r="B485" s="10" t="str">
        <x:v>C</x:v>
      </x:c>
      <x:c r="C485" s="10" t="str">
        <x:v>camera_lens</x:v>
      </x:c>
      <x:c r="D485" s="11" t="n">
        <x:v>11</x:v>
      </x:c>
      <x:c r="E485" s="11" t="n">
        <x:v>11</x:v>
      </x:c>
      <x:c r="F485" s="12" t="n">
        <x:f>E485/D485</x:f>
        <x:v>1</x:v>
      </x:c>
      <x:c r="G485" s="12" t="n">
        <x:f>IF(SUMIFS($E$6:$E$557,$A$6:$A$557,A485,$B$6:$B$557,B485)=0,"n.a.",E485/SUMIFS($E$6:$E$557,$A$6:$A$557,A485,$B$6:$B$557,B485))</x:f>
        <x:v>0.004719004719004719</x:v>
      </x:c>
      <x:c r="H485" s="11" t="n">
        <x:v>80510</x:v>
      </x:c>
    </x:row>
    <x:row r="486" ht="23" customHeight="1">
      <x:c r="A486" s="10" t="str">
        <x:v>M9</x:v>
      </x:c>
      <x:c r="B486" s="10" t="str">
        <x:v>C</x:v>
      </x:c>
      <x:c r="C486" s="10" t="str">
        <x:v>cap_nut</x:v>
      </x:c>
      <x:c r="D486" s="11" t="n">
        <x:v>377</x:v>
      </x:c>
      <x:c r="E486" s="11" t="n">
        <x:v>283</x:v>
      </x:c>
      <x:c r="F486" s="12" t="n">
        <x:f>E486/D486</x:f>
        <x:v>0.7506631299734748</x:v>
      </x:c>
      <x:c r="G486" s="12" t="n">
        <x:f>IF(SUMIFS($E$6:$E$557,$A$6:$A$557,A486,$B$6:$B$557,B486)=0,"n.a.",E486/SUMIFS($E$6:$E$557,$A$6:$A$557,A486,$B$6:$B$557,B486))</x:f>
        <x:v>0.12140712140712141</x:v>
      </x:c>
      <x:c r="H486" s="11" t="n">
        <x:v>1898674</x:v>
      </x:c>
    </x:row>
    <x:row r="487" ht="23" customHeight="1">
      <x:c r="A487" s="10" t="str">
        <x:v>M9</x:v>
      </x:c>
      <x:c r="B487" s="10" t="str">
        <x:v>C</x:v>
      </x:c>
      <x:c r="C487" s="10" t="str">
        <x:v>coil_spring</x:v>
      </x:c>
      <x:c r="D487" s="11" t="n">
        <x:v>15</x:v>
      </x:c>
      <x:c r="E487" s="11" t="n">
        <x:v>15</x:v>
      </x:c>
      <x:c r="F487" s="12" t="n">
        <x:f>E487/D487</x:f>
        <x:v>1</x:v>
      </x:c>
      <x:c r="G487" s="12" t="n">
        <x:f>IF(SUMIFS($E$6:$E$557,$A$6:$A$557,A487,$B$6:$B$557,B487)=0,"n.a.",E487/SUMIFS($E$6:$E$557,$A$6:$A$557,A487,$B$6:$B$557,B487))</x:f>
        <x:v>0.006435006435006435</x:v>
      </x:c>
      <x:c r="H487" s="11" t="n">
        <x:v>486092</x:v>
      </x:c>
    </x:row>
    <x:row r="488" ht="23" customHeight="1">
      <x:c r="A488" s="10" t="str">
        <x:v>M9</x:v>
      </x:c>
      <x:c r="B488" s="10" t="str">
        <x:v>C</x:v>
      </x:c>
      <x:c r="C488" s="10" t="str">
        <x:v>die_block</x:v>
      </x:c>
      <x:c r="D488" s="11" t="n">
        <x:v>70</x:v>
      </x:c>
      <x:c r="E488" s="11" t="n">
        <x:v>70</x:v>
      </x:c>
      <x:c r="F488" s="12" t="n">
        <x:f>E488/D488</x:f>
        <x:v>1</x:v>
      </x:c>
      <x:c r="G488" s="12" t="n">
        <x:f>IF(SUMIFS($E$6:$E$557,$A$6:$A$557,A488,$B$6:$B$557,B488)=0,"n.a.",E488/SUMIFS($E$6:$E$557,$A$6:$A$557,A488,$B$6:$B$557,B488))</x:f>
        <x:v>0.03003003003003003</x:v>
      </x:c>
      <x:c r="H488" s="11" t="n">
        <x:v>150260</x:v>
      </x:c>
    </x:row>
    <x:row r="489" ht="23" customHeight="1">
      <x:c r="A489" s="10" t="str">
        <x:v>M9</x:v>
      </x:c>
      <x:c r="B489" s="10" t="str">
        <x:v>C</x:v>
      </x:c>
      <x:c r="C489" s="10" t="str">
        <x:v>dowel_pin</x:v>
      </x:c>
      <x:c r="D489" s="11" t="n">
        <x:v>387</x:v>
      </x:c>
      <x:c r="E489" s="11" t="n">
        <x:v>41</x:v>
      </x:c>
      <x:c r="F489" s="12" t="n">
        <x:f>E489/D489</x:f>
        <x:v>0.10594315245478036</x:v>
      </x:c>
      <x:c r="G489" s="12" t="n">
        <x:f>IF(SUMIFS($E$6:$E$557,$A$6:$A$557,A489,$B$6:$B$557,B489)=0,"n.a.",E489/SUMIFS($E$6:$E$557,$A$6:$A$557,A489,$B$6:$B$557,B489))</x:f>
        <x:v>0.01758901758901759</x:v>
      </x:c>
      <x:c r="H489" s="11" t="n">
        <x:v>92882</x:v>
      </x:c>
    </x:row>
    <x:row r="490" ht="23" customHeight="1">
      <x:c r="A490" s="10" t="str">
        <x:v>M9</x:v>
      </x:c>
      <x:c r="B490" s="10" t="str">
        <x:v>C</x:v>
      </x:c>
      <x:c r="C490" s="10" t="str">
        <x:v>feature_plate</x:v>
      </x:c>
      <x:c r="D490" s="11" t="n">
        <x:v>71</x:v>
      </x:c>
      <x:c r="E490" s="11" t="n">
        <x:v>71</x:v>
      </x:c>
      <x:c r="F490" s="12" t="n">
        <x:f>E490/D490</x:f>
        <x:v>1</x:v>
      </x:c>
      <x:c r="G490" s="12" t="n">
        <x:f>IF(SUMIFS($E$6:$E$557,$A$6:$A$557,A490,$B$6:$B$557,B490)=0,"n.a.",E490/SUMIFS($E$6:$E$557,$A$6:$A$557,A490,$B$6:$B$557,B490))</x:f>
        <x:v>0.030459030459030458</x:v>
      </x:c>
      <x:c r="H490" s="11" t="n">
        <x:v>2180534</x:v>
      </x:c>
    </x:row>
    <x:row r="491" ht="23" customHeight="1">
      <x:c r="A491" s="10" t="str">
        <x:v>M9</x:v>
      </x:c>
      <x:c r="B491" s="10" t="str">
        <x:v>C</x:v>
      </x:c>
      <x:c r="C491" s="10" t="str">
        <x:v>flat_washer</x:v>
      </x:c>
      <x:c r="D491" s="11" t="n">
        <x:v>60</x:v>
      </x:c>
      <x:c r="E491" s="11" t="n">
        <x:v>59</x:v>
      </x:c>
      <x:c r="F491" s="12" t="n">
        <x:f>E491/D491</x:f>
        <x:v>0.9833333333333333</x:v>
      </x:c>
      <x:c r="G491" s="12" t="n">
        <x:f>IF(SUMIFS($E$6:$E$557,$A$6:$A$557,A491,$B$6:$B$557,B491)=0,"n.a.",E491/SUMIFS($E$6:$E$557,$A$6:$A$557,A491,$B$6:$B$557,B491))</x:f>
        <x:v>0.02531102531102531</x:v>
      </x:c>
      <x:c r="H491" s="11" t="n">
        <x:v>565940</x:v>
      </x:c>
    </x:row>
    <x:row r="492" ht="23" customHeight="1">
      <x:c r="A492" s="10" t="str">
        <x:v>M9</x:v>
      </x:c>
      <x:c r="B492" s="10" t="str">
        <x:v>C</x:v>
      </x:c>
      <x:c r="C492" s="10" t="str">
        <x:v>hex_bolt</x:v>
      </x:c>
      <x:c r="D492" s="11" t="n">
        <x:v>1</x:v>
      </x:c>
      <x:c r="E492" s="11" t="n">
        <x:v>1</x:v>
      </x:c>
      <x:c r="F492" s="12" t="n">
        <x:f>E492/D492</x:f>
        <x:v>1</x:v>
      </x:c>
      <x:c r="G492" s="12" t="n">
        <x:f>IF(SUMIFS($E$6:$E$557,$A$6:$A$557,A492,$B$6:$B$557,B492)=0,"n.a.",E492/SUMIFS($E$6:$E$557,$A$6:$A$557,A492,$B$6:$B$557,B492))</x:f>
        <x:v>0.000429000429000429</x:v>
      </x:c>
      <x:c r="H492" s="11" t="n">
        <x:v>8584</x:v>
      </x:c>
    </x:row>
    <x:row r="493" ht="23" customHeight="1">
      <x:c r="A493" s="10" t="str">
        <x:v>M9</x:v>
      </x:c>
      <x:c r="B493" s="10" t="str">
        <x:v>C</x:v>
      </x:c>
      <x:c r="C493" s="10" t="str">
        <x:v>hex_nut</x:v>
      </x:c>
      <x:c r="D493" s="11" t="n">
        <x:v>53</x:v>
      </x:c>
      <x:c r="E493" s="11" t="n">
        <x:v>41</x:v>
      </x:c>
      <x:c r="F493" s="12" t="n">
        <x:f>E493/D493</x:f>
        <x:v>0.7735849056603774</x:v>
      </x:c>
      <x:c r="G493" s="12" t="n">
        <x:f>IF(SUMIFS($E$6:$E$557,$A$6:$A$557,A493,$B$6:$B$557,B493)=0,"n.a.",E493/SUMIFS($E$6:$E$557,$A$6:$A$557,A493,$B$6:$B$557,B493))</x:f>
        <x:v>0.01758901758901759</x:v>
      </x:c>
      <x:c r="H493" s="11" t="n">
        <x:v>297526</x:v>
      </x:c>
    </x:row>
    <x:row r="494" ht="23" customHeight="1">
      <x:c r="A494" s="10" t="str">
        <x:v>M9</x:v>
      </x:c>
      <x:c r="B494" s="10" t="str">
        <x:v>C</x:v>
      </x:c>
      <x:c r="C494" s="10" t="str">
        <x:v>mounting_bracket</x:v>
      </x:c>
      <x:c r="D494" s="11" t="n">
        <x:v>5</x:v>
      </x:c>
      <x:c r="E494" s="11" t="n">
        <x:v>5</x:v>
      </x:c>
      <x:c r="F494" s="12" t="n">
        <x:f>E494/D494</x:f>
        <x:v>1</x:v>
      </x:c>
      <x:c r="G494" s="12" t="n">
        <x:f>IF(SUMIFS($E$6:$E$557,$A$6:$A$557,A494,$B$6:$B$557,B494)=0,"n.a.",E494/SUMIFS($E$6:$E$557,$A$6:$A$557,A494,$B$6:$B$557,B494))</x:f>
        <x:v>0.002145002145002145</x:v>
      </x:c>
      <x:c r="H494" s="11" t="n">
        <x:v>8992</x:v>
      </x:c>
    </x:row>
    <x:row r="495" ht="23" customHeight="1">
      <x:c r="A495" s="10" t="str">
        <x:v>M9</x:v>
      </x:c>
      <x:c r="B495" s="10" t="str">
        <x:v>C</x:v>
      </x:c>
      <x:c r="C495" s="10" t="str">
        <x:v>mounting_plate</x:v>
      </x:c>
      <x:c r="D495" s="11" t="n">
        <x:v>166</x:v>
      </x:c>
      <x:c r="E495" s="11" t="n">
        <x:v>152</x:v>
      </x:c>
      <x:c r="F495" s="12" t="n">
        <x:f>E495/D495</x:f>
        <x:v>0.9156626506024096</x:v>
      </x:c>
      <x:c r="G495" s="12" t="n">
        <x:f>IF(SUMIFS($E$6:$E$557,$A$6:$A$557,A495,$B$6:$B$557,B495)=0,"n.a.",E495/SUMIFS($E$6:$E$557,$A$6:$A$557,A495,$B$6:$B$557,B495))</x:f>
        <x:v>0.06520806520806521</x:v>
      </x:c>
      <x:c r="H495" s="11" t="n">
        <x:v>569154</x:v>
      </x:c>
    </x:row>
    <x:row r="496" ht="23" customHeight="1">
      <x:c r="A496" s="10" t="str">
        <x:v>M9</x:v>
      </x:c>
      <x:c r="B496" s="10" t="str">
        <x:v>C</x:v>
      </x:c>
      <x:c r="C496" s="10" t="str">
        <x:v>nozzle</x:v>
      </x:c>
      <x:c r="D496" s="11" t="n">
        <x:v>166</x:v>
      </x:c>
      <x:c r="E496" s="11" t="n">
        <x:v>157</x:v>
      </x:c>
      <x:c r="F496" s="12" t="n">
        <x:f>E496/D496</x:f>
        <x:v>0.9457831325301205</x:v>
      </x:c>
      <x:c r="G496" s="12" t="n">
        <x:f>IF(SUMIFS($E$6:$E$557,$A$6:$A$557,A496,$B$6:$B$557,B496)=0,"n.a.",E496/SUMIFS($E$6:$E$557,$A$6:$A$557,A496,$B$6:$B$557,B496))</x:f>
        <x:v>0.06735306735306736</x:v>
      </x:c>
      <x:c r="H496" s="11" t="n">
        <x:v>1023566</x:v>
      </x:c>
    </x:row>
    <x:row r="497" ht="23" customHeight="1">
      <x:c r="A497" s="10" t="str">
        <x:v>M9</x:v>
      </x:c>
      <x:c r="B497" s="10" t="str">
        <x:v>C</x:v>
      </x:c>
      <x:c r="C497" s="10" t="str">
        <x:v>plain_block</x:v>
      </x:c>
      <x:c r="D497" s="11" t="n">
        <x:v>711</x:v>
      </x:c>
      <x:c r="E497" s="11" t="n">
        <x:v>711</x:v>
      </x:c>
      <x:c r="F497" s="12" t="n">
        <x:f>E497/D497</x:f>
        <x:v>1</x:v>
      </x:c>
      <x:c r="G497" s="12" t="n">
        <x:f>IF(SUMIFS($E$6:$E$557,$A$6:$A$557,A497,$B$6:$B$557,B497)=0,"n.a.",E497/SUMIFS($E$6:$E$557,$A$6:$A$557,A497,$B$6:$B$557,B497))</x:f>
        <x:v>0.305019305019305</x:v>
      </x:c>
      <x:c r="H497" s="11" t="n">
        <x:v>6743959</x:v>
      </x:c>
    </x:row>
    <x:row r="498" ht="23" customHeight="1">
      <x:c r="A498" s="10" t="str">
        <x:v>M9</x:v>
      </x:c>
      <x:c r="B498" s="10" t="str">
        <x:v>C</x:v>
      </x:c>
      <x:c r="C498" s="10" t="str">
        <x:v>plain_shaft</x:v>
      </x:c>
      <x:c r="D498" s="11" t="n">
        <x:v>1</x:v>
      </x:c>
      <x:c r="E498" s="11" t="n">
        <x:v>1</x:v>
      </x:c>
      <x:c r="F498" s="12" t="n">
        <x:f>E498/D498</x:f>
        <x:v>1</x:v>
      </x:c>
      <x:c r="G498" s="12" t="n">
        <x:f>IF(SUMIFS($E$6:$E$557,$A$6:$A$557,A498,$B$6:$B$557,B498)=0,"n.a.",E498/SUMIFS($E$6:$E$557,$A$6:$A$557,A498,$B$6:$B$557,B498))</x:f>
        <x:v>0.000429000429000429</x:v>
      </x:c>
      <x:c r="H498" s="11" t="n">
        <x:v>27044</x:v>
      </x:c>
    </x:row>
    <x:row r="499" ht="23" customHeight="1">
      <x:c r="A499" s="10" t="str">
        <x:v>M9</x:v>
      </x:c>
      <x:c r="B499" s="10" t="str">
        <x:v>C</x:v>
      </x:c>
      <x:c r="C499" s="10" t="str">
        <x:v>proximity_sensor</x:v>
      </x:c>
      <x:c r="D499" s="11" t="n">
        <x:v>2</x:v>
      </x:c>
      <x:c r="E499" s="11" t="n">
        <x:v>2</x:v>
      </x:c>
      <x:c r="F499" s="12" t="n">
        <x:f>E499/D499</x:f>
        <x:v>1</x:v>
      </x:c>
      <x:c r="G499" s="12" t="n">
        <x:f>IF(SUMIFS($E$6:$E$557,$A$6:$A$557,A499,$B$6:$B$557,B499)=0,"n.a.",E499/SUMIFS($E$6:$E$557,$A$6:$A$557,A499,$B$6:$B$557,B499))</x:f>
        <x:v>0.000858000858000858</x:v>
      </x:c>
      <x:c r="H499" s="11" t="n">
        <x:v>5040</x:v>
      </x:c>
    </x:row>
    <x:row r="500" ht="23" customHeight="1">
      <x:c r="A500" s="10" t="str">
        <x:v>M9</x:v>
      </x:c>
      <x:c r="B500" s="10" t="str">
        <x:v>C</x:v>
      </x:c>
      <x:c r="C500" s="10" t="str">
        <x:v>punch_tool</x:v>
      </x:c>
      <x:c r="D500" s="11" t="n">
        <x:v>14</x:v>
      </x:c>
      <x:c r="E500" s="11" t="n">
        <x:v>14</x:v>
      </x:c>
      <x:c r="F500" s="12" t="n">
        <x:f>E500/D500</x:f>
        <x:v>1</x:v>
      </x:c>
      <x:c r="G500" s="12" t="n">
        <x:f>IF(SUMIFS($E$6:$E$557,$A$6:$A$557,A500,$B$6:$B$557,B500)=0,"n.a.",E500/SUMIFS($E$6:$E$557,$A$6:$A$557,A500,$B$6:$B$557,B500))</x:f>
        <x:v>0.006006006006006006</x:v>
      </x:c>
      <x:c r="H500" s="11" t="n">
        <x:v>15886</x:v>
      </x:c>
    </x:row>
    <x:row r="501" ht="23" customHeight="1">
      <x:c r="A501" s="10" t="str">
        <x:v>M9</x:v>
      </x:c>
      <x:c r="B501" s="10" t="str">
        <x:v>C</x:v>
      </x:c>
      <x:c r="C501" s="10" t="str">
        <x:v>retaining_ring</x:v>
      </x:c>
      <x:c r="D501" s="11" t="n">
        <x:v>72</x:v>
      </x:c>
      <x:c r="E501" s="11" t="n">
        <x:v>40</x:v>
      </x:c>
      <x:c r="F501" s="12" t="n">
        <x:f>E501/D501</x:f>
        <x:v>0.5555555555555556</x:v>
      </x:c>
      <x:c r="G501" s="12" t="n">
        <x:f>IF(SUMIFS($E$6:$E$557,$A$6:$A$557,A501,$B$6:$B$557,B501)=0,"n.a.",E501/SUMIFS($E$6:$E$557,$A$6:$A$557,A501,$B$6:$B$557,B501))</x:f>
        <x:v>0.01716001716001716</x:v>
      </x:c>
      <x:c r="H501" s="11" t="n">
        <x:v>683892</x:v>
      </x:c>
    </x:row>
    <x:row r="502" ht="23" customHeight="1">
      <x:c r="A502" s="10" t="str">
        <x:v>M9</x:v>
      </x:c>
      <x:c r="B502" s="10" t="str">
        <x:v>C</x:v>
      </x:c>
      <x:c r="C502" s="10" t="str">
        <x:v>seal_ring</x:v>
      </x:c>
      <x:c r="D502" s="11" t="n">
        <x:v>1</x:v>
      </x:c>
      <x:c r="E502" s="11" t="n">
        <x:v>1</x:v>
      </x:c>
      <x:c r="F502" s="12" t="n">
        <x:f>E502/D502</x:f>
        <x:v>1</x:v>
      </x:c>
      <x:c r="G502" s="12" t="n">
        <x:f>IF(SUMIFS($E$6:$E$557,$A$6:$A$557,A502,$B$6:$B$557,B502)=0,"n.a.",E502/SUMIFS($E$6:$E$557,$A$6:$A$557,A502,$B$6:$B$557,B502))</x:f>
        <x:v>0.000429000429000429</x:v>
      </x:c>
      <x:c r="H502" s="11" t="n">
        <x:v>11816</x:v>
      </x:c>
    </x:row>
    <x:row r="503" ht="23" customHeight="1">
      <x:c r="A503" s="10" t="str">
        <x:v>M9</x:v>
      </x:c>
      <x:c r="B503" s="10" t="str">
        <x:v>C</x:v>
      </x:c>
      <x:c r="C503" s="10" t="str">
        <x:v>shaft_key</x:v>
      </x:c>
      <x:c r="D503" s="11" t="n">
        <x:v>618</x:v>
      </x:c>
      <x:c r="E503" s="11" t="n">
        <x:v>357</x:v>
      </x:c>
      <x:c r="F503" s="12" t="n">
        <x:f>E503/D503</x:f>
        <x:v>0.5776699029126213</x:v>
      </x:c>
      <x:c r="G503" s="12" t="n">
        <x:f>IF(SUMIFS($E$6:$E$557,$A$6:$A$557,A503,$B$6:$B$557,B503)=0,"n.a.",E503/SUMIFS($E$6:$E$557,$A$6:$A$557,A503,$B$6:$B$557,B503))</x:f>
        <x:v>0.15315315315315314</x:v>
      </x:c>
      <x:c r="H503" s="11" t="n">
        <x:v>3723590</x:v>
      </x:c>
    </x:row>
    <x:row r="504" ht="23" customHeight="1">
      <x:c r="A504" s="10" t="str">
        <x:v>M9</x:v>
      </x:c>
      <x:c r="B504" s="10" t="str">
        <x:v>C</x:v>
      </x:c>
      <x:c r="C504" s="10" t="str">
        <x:v>slotted_nut</x:v>
      </x:c>
      <x:c r="D504" s="11" t="n">
        <x:v>232</x:v>
      </x:c>
      <x:c r="E504" s="11" t="n">
        <x:v>228</x:v>
      </x:c>
      <x:c r="F504" s="12" t="n">
        <x:f>E504/D504</x:f>
        <x:v>0.9827586206896551</x:v>
      </x:c>
      <x:c r="G504" s="12" t="n">
        <x:f>IF(SUMIFS($E$6:$E$557,$A$6:$A$557,A504,$B$6:$B$557,B504)=0,"n.a.",E504/SUMIFS($E$6:$E$557,$A$6:$A$557,A504,$B$6:$B$557,B504))</x:f>
        <x:v>0.0978120978120978</x:v>
      </x:c>
      <x:c r="H504" s="11" t="n">
        <x:v>1484474</x:v>
      </x:c>
    </x:row>
    <x:row r="505" ht="23" customHeight="1">
      <x:c r="A505" s="10" t="str">
        <x:v>M9</x:v>
      </x:c>
      <x:c r="B505" s="10" t="str">
        <x:v>C</x:v>
      </x:c>
      <x:c r="C505" s="10" t="str">
        <x:v>sprocket</x:v>
      </x:c>
      <x:c r="D505" s="11" t="n">
        <x:v>11</x:v>
      </x:c>
      <x:c r="E505" s="11" t="n">
        <x:v>11</x:v>
      </x:c>
      <x:c r="F505" s="12" t="n">
        <x:f>E505/D505</x:f>
        <x:v>1</x:v>
      </x:c>
      <x:c r="G505" s="12" t="n">
        <x:f>IF(SUMIFS($E$6:$E$557,$A$6:$A$557,A505,$B$6:$B$557,B505)=0,"n.a.",E505/SUMIFS($E$6:$E$557,$A$6:$A$557,A505,$B$6:$B$557,B505))</x:f>
        <x:v>0.004719004719004719</x:v>
      </x:c>
      <x:c r="H505" s="11" t="n">
        <x:v>278278</x:v>
      </x:c>
    </x:row>
    <x:row r="506" ht="23" customHeight="1">
      <x:c r="A506" s="10" t="str">
        <x:v>M9</x:v>
      </x:c>
      <x:c r="B506" s="10" t="str">
        <x:v>C</x:v>
      </x:c>
      <x:c r="C506" s="10" t="str">
        <x:v>suction_cup</x:v>
      </x:c>
      <x:c r="D506" s="11" t="n">
        <x:v>18</x:v>
      </x:c>
      <x:c r="E506" s="11" t="n">
        <x:v>18</x:v>
      </x:c>
      <x:c r="F506" s="12" t="n">
        <x:f>E506/D506</x:f>
        <x:v>1</x:v>
      </x:c>
      <x:c r="G506" s="12" t="n">
        <x:f>IF(SUMIFS($E$6:$E$557,$A$6:$A$557,A506,$B$6:$B$557,B506)=0,"n.a.",E506/SUMIFS($E$6:$E$557,$A$6:$A$557,A506,$B$6:$B$557,B506))</x:f>
        <x:v>0.007722007722007722</x:v>
      </x:c>
      <x:c r="H506" s="11" t="n">
        <x:v>204816</x:v>
      </x:c>
    </x:row>
    <x:row r="507" ht="23" customHeight="1">
      <x:c r="A507" s="10" t="str">
        <x:v>M9</x:v>
      </x:c>
      <x:c r="B507" s="10" t="str">
        <x:v>C</x:v>
      </x:c>
      <x:c r="C507" s="10" t="str">
        <x:v>threaded_stud</x:v>
      </x:c>
      <x:c r="D507" s="11" t="n">
        <x:v>42</x:v>
      </x:c>
      <x:c r="E507" s="11" t="n">
        <x:v>28</x:v>
      </x:c>
      <x:c r="F507" s="12" t="n">
        <x:f>E507/D507</x:f>
        <x:v>0.6666666666666666</x:v>
      </x:c>
      <x:c r="G507" s="12" t="n">
        <x:f>IF(SUMIFS($E$6:$E$557,$A$6:$A$557,A507,$B$6:$B$557,B507)=0,"n.a.",E507/SUMIFS($E$6:$E$557,$A$6:$A$557,A507,$B$6:$B$557,B507))</x:f>
        <x:v>0.012012012012012012</x:v>
      </x:c>
      <x:c r="H507" s="11" t="n">
        <x:v>86512</x:v>
      </x:c>
    </x:row>
    <x:row r="508" ht="23" customHeight="1">
      <x:c r="A508" s="10" t="str">
        <x:v>M9</x:v>
      </x:c>
      <x:c r="B508" s="10" t="str">
        <x:v>C</x:v>
      </x:c>
      <x:c r="C508" s="10" t="str">
        <x:v>vacuum_chamber</x:v>
      </x:c>
      <x:c r="D508" s="11" t="n">
        <x:v>3</x:v>
      </x:c>
      <x:c r="E508" s="11" t="n">
        <x:v>3</x:v>
      </x:c>
      <x:c r="F508" s="12" t="n">
        <x:f>E508/D508</x:f>
        <x:v>1</x:v>
      </x:c>
      <x:c r="G508" s="12" t="n">
        <x:f>IF(SUMIFS($E$6:$E$557,$A$6:$A$557,A508,$B$6:$B$557,B508)=0,"n.a.",E508/SUMIFS($E$6:$E$557,$A$6:$A$557,A508,$B$6:$B$557,B508))</x:f>
        <x:v>0.001287001287001287</x:v>
      </x:c>
      <x:c r="H508" s="11" t="n">
        <x:v>46890</x:v>
      </x:c>
    </x:row>
    <x:row r="509" ht="23" customHeight="1">
      <x:c r="A509" s="10" t="str">
        <x:v>ALL</x:v>
      </x:c>
      <x:c r="B509" s="10" t="str">
        <x:v>N</x:v>
      </x:c>
      <x:c r="C509" s="10" t="str">
        <x:v>bearings_bushings_guides</x:v>
      </x:c>
      <x:c r="D509" s="11" t="n">
        <x:v>6529</x:v>
      </x:c>
      <x:c r="E509" s="11" t="n">
        <x:v>4177</x:v>
      </x:c>
      <x:c r="F509" s="12" t="n">
        <x:f>E509/D509</x:f>
        <x:v>0.639761066013172</x:v>
      </x:c>
      <x:c r="G509" s="12" t="n">
        <x:f>IF(SUMIFS($E$6:$E$557,$A$6:$A$557,A509,$B$6:$B$557,B509)=0,"n.a.",E509/SUMIFS($E$6:$E$557,$A$6:$A$557,A509,$B$6:$B$557,B509))</x:f>
        <x:v>0.10037969816399116</x:v>
      </x:c>
      <x:c r="H509" s="11" t="n">
        <x:v>13470278</x:v>
      </x:c>
    </x:row>
    <x:row r="510" ht="23" customHeight="1">
      <x:c r="A510" s="10" t="str">
        <x:v>ALL</x:v>
      </x:c>
      <x:c r="B510" s="10" t="str">
        <x:v>N</x:v>
      </x:c>
      <x:c r="C510" s="10" t="str">
        <x:v>gears_pulleys_chains</x:v>
      </x:c>
      <x:c r="D510" s="11" t="n">
        <x:v>563</x:v>
      </x:c>
      <x:c r="E510" s="11" t="n">
        <x:v>252</x:v>
      </x:c>
      <x:c r="F510" s="12" t="n">
        <x:f>E510/D510</x:f>
        <x:v>0.44760213143872113</x:v>
      </x:c>
      <x:c r="G510" s="12" t="n">
        <x:f>IF(SUMIFS($E$6:$E$557,$A$6:$A$557,A510,$B$6:$B$557,B510)=0,"n.a.",E510/SUMIFS($E$6:$E$557,$A$6:$A$557,A510,$B$6:$B$557,B510))</x:f>
        <x:v>0.006055945400365279</x:v>
      </x:c>
      <x:c r="H510" s="11" t="n">
        <x:v>664536</x:v>
      </x:c>
    </x:row>
    <x:row r="511" ht="23" customHeight="1">
      <x:c r="A511" s="10" t="str">
        <x:v>ALL</x:v>
      </x:c>
      <x:c r="B511" s="10" t="str">
        <x:v>N</x:v>
      </x:c>
      <x:c r="C511" s="10" t="str">
        <x:v>handles_controls</x:v>
      </x:c>
      <x:c r="D511" s="11" t="n">
        <x:v>7520</x:v>
      </x:c>
      <x:c r="E511" s="11" t="n">
        <x:v>6471</x:v>
      </x:c>
      <x:c r="F511" s="12" t="n">
        <x:f>E511/D511</x:f>
        <x:v>0.8605053191489361</x:v>
      </x:c>
      <x:c r="G511" s="12" t="n">
        <x:f>IF(SUMIFS($E$6:$E$557,$A$6:$A$557,A511,$B$6:$B$557,B511)=0,"n.a.",E511/SUMIFS($E$6:$E$557,$A$6:$A$557,A511,$B$6:$B$557,B511))</x:f>
        <x:v>0.15550802653080842</x:v>
      </x:c>
      <x:c r="H511" s="11" t="n">
        <x:v>18594413</x:v>
      </x:c>
    </x:row>
    <x:row r="512" ht="23" customHeight="1">
      <x:c r="A512" s="10" t="str">
        <x:v>ALL</x:v>
      </x:c>
      <x:c r="B512" s="10" t="str">
        <x:v>N</x:v>
      </x:c>
      <x:c r="C512" s="10" t="str">
        <x:v>joints_clamps_structural_connectors</x:v>
      </x:c>
      <x:c r="D512" s="11" t="n">
        <x:v>8340</x:v>
      </x:c>
      <x:c r="E512" s="11" t="n">
        <x:v>5682</x:v>
      </x:c>
      <x:c r="F512" s="12" t="n">
        <x:f>E512/D512</x:f>
        <x:v>0.681294964028777</x:v>
      </x:c>
      <x:c r="G512" s="12" t="n">
        <x:f>IF(SUMIFS($E$6:$E$557,$A$6:$A$557,A512,$B$6:$B$557,B512)=0,"n.a.",E512/SUMIFS($E$6:$E$557,$A$6:$A$557,A512,$B$6:$B$557,B512))</x:f>
        <x:v>0.13654714986061714</x:v>
      </x:c>
      <x:c r="H512" s="11" t="n">
        <x:v>20295817</x:v>
      </x:c>
    </x:row>
    <x:row r="513" ht="23" customHeight="1">
      <x:c r="A513" s="10" t="str">
        <x:v>ALL</x:v>
      </x:c>
      <x:c r="B513" s="10" t="str">
        <x:v>N</x:v>
      </x:c>
      <x:c r="C513" s="10" t="str">
        <x:v>motors_gearmotors</x:v>
      </x:c>
      <x:c r="D513" s="11" t="n">
        <x:v>1296</x:v>
      </x:c>
      <x:c r="E513" s="11" t="n">
        <x:v>752</x:v>
      </x:c>
      <x:c r="F513" s="12" t="n">
        <x:f>E513/D513</x:f>
        <x:v>0.5802469135802469</x:v>
      </x:c>
      <x:c r="G513" s="12" t="n">
        <x:f>IF(SUMIFS($E$6:$E$557,$A$6:$A$557,A513,$B$6:$B$557,B513)=0,"n.a.",E513/SUMIFS($E$6:$E$557,$A$6:$A$557,A513,$B$6:$B$557,B513))</x:f>
        <x:v>0.018071710083629722</x:v>
      </x:c>
      <x:c r="H513" s="11" t="n">
        <x:v>21214105</x:v>
      </x:c>
    </x:row>
    <x:row r="514" ht="23" customHeight="1">
      <x:c r="A514" s="10" t="str">
        <x:v>ALL</x:v>
      </x:c>
      <x:c r="B514" s="10" t="str">
        <x:v>N</x:v>
      </x:c>
      <x:c r="C514" s="10" t="str">
        <x:v>nuts</x:v>
      </x:c>
      <x:c r="D514" s="11" t="n">
        <x:v>2660</x:v>
      </x:c>
      <x:c r="E514" s="11" t="n">
        <x:v>1211</x:v>
      </x:c>
      <x:c r="F514" s="12" t="n">
        <x:f>E514/D514</x:f>
        <x:v>0.45526315789473687</x:v>
      </x:c>
      <x:c r="G514" s="12" t="n">
        <x:f>IF(SUMIFS($E$6:$E$557,$A$6:$A$557,A514,$B$6:$B$557,B514)=0,"n.a.",E514/SUMIFS($E$6:$E$557,$A$6:$A$557,A514,$B$6:$B$557,B514))</x:f>
        <x:v>0.02910218206286648</x:v>
      </x:c>
      <x:c r="H514" s="11" t="n">
        <x:v>1655347</x:v>
      </x:c>
    </x:row>
    <x:row r="515" ht="23" customHeight="1">
      <x:c r="A515" s="10" t="str">
        <x:v>ALL</x:v>
      </x:c>
      <x:c r="B515" s="10" t="str">
        <x:v>N</x:v>
      </x:c>
      <x:c r="C515" s="10" t="str">
        <x:v>pins_rivets_keys</x:v>
      </x:c>
      <x:c r="D515" s="11" t="n">
        <x:v>7804</x:v>
      </x:c>
      <x:c r="E515" s="11" t="n">
        <x:v>6277</x:v>
      </x:c>
      <x:c r="F515" s="12" t="n">
        <x:f>E515/D515</x:f>
        <x:v>0.8043311122501281</x:v>
      </x:c>
      <x:c r="G515" s="12" t="n">
        <x:f>IF(SUMIFS($E$6:$E$557,$A$6:$A$557,A515,$B$6:$B$557,B515)=0,"n.a.",E515/SUMIFS($E$6:$E$557,$A$6:$A$557,A515,$B$6:$B$557,B515))</x:f>
        <x:v>0.15084590983370183</x:v>
      </x:c>
      <x:c r="H515" s="11" t="n">
        <x:v>15102756</x:v>
      </x:c>
    </x:row>
    <x:row r="516" ht="23" customHeight="1">
      <x:c r="A516" s="10" t="str">
        <x:v>ALL</x:v>
      </x:c>
      <x:c r="B516" s="10" t="str">
        <x:v>N</x:v>
      </x:c>
      <x:c r="C516" s="10" t="str">
        <x:v>pipe_fittings_valves_nozzles</x:v>
      </x:c>
      <x:c r="D516" s="11" t="n">
        <x:v>3789</x:v>
      </x:c>
      <x:c r="E516" s="11" t="n">
        <x:v>2579</x:v>
      </x:c>
      <x:c r="F516" s="12" t="n">
        <x:f>E516/D516</x:f>
        <x:v>0.6806545262602269</x:v>
      </x:c>
      <x:c r="G516" s="12" t="n">
        <x:f>IF(SUMIFS($E$6:$E$557,$A$6:$A$557,A516,$B$6:$B$557,B516)=0,"n.a.",E516/SUMIFS($E$6:$E$557,$A$6:$A$557,A516,$B$6:$B$557,B516))</x:f>
        <x:v>0.061977314236277996</x:v>
      </x:c>
      <x:c r="H516" s="11" t="n">
        <x:v>11547161</x:v>
      </x:c>
    </x:row>
    <x:row r="517" ht="23" customHeight="1">
      <x:c r="A517" s="10" t="str">
        <x:v>ALL</x:v>
      </x:c>
      <x:c r="B517" s="10" t="str">
        <x:v>N</x:v>
      </x:c>
      <x:c r="C517" s="10" t="str">
        <x:v>plates_discs_shapes</x:v>
      </x:c>
      <x:c r="D517" s="11" t="n">
        <x:v>13163</x:v>
      </x:c>
      <x:c r="E517" s="11" t="n">
        <x:v>4044</x:v>
      </x:c>
      <x:c r="F517" s="12" t="n">
        <x:f>E517/D517</x:f>
        <x:v>0.3072247967788498</x:v>
      </x:c>
      <x:c r="G517" s="12" t="n">
        <x:f>IF(SUMIFS($E$6:$E$557,$A$6:$A$557,A517,$B$6:$B$557,B517)=0,"n.a.",E517/SUMIFS($E$6:$E$557,$A$6:$A$557,A517,$B$6:$B$557,B517))</x:f>
        <x:v>0.09718350475824282</x:v>
      </x:c>
      <x:c r="H517" s="11" t="n">
        <x:v>8113720</x:v>
      </x:c>
    </x:row>
    <x:row r="518" ht="23" customHeight="1">
      <x:c r="A518" s="10" t="str">
        <x:v>ALL</x:v>
      </x:c>
      <x:c r="B518" s="10" t="str">
        <x:v>N</x:v>
      </x:c>
      <x:c r="C518" s="10" t="str">
        <x:v>rotating_fluid_machinery</x:v>
      </x:c>
      <x:c r="D518" s="11" t="n">
        <x:v>4331</x:v>
      </x:c>
      <x:c r="E518" s="11" t="n">
        <x:v>2522</x:v>
      </x:c>
      <x:c r="F518" s="12" t="n">
        <x:f>E518/D518</x:f>
        <x:v>0.5823135534518586</x:v>
      </x:c>
      <x:c r="G518" s="12" t="n">
        <x:f>IF(SUMIFS($E$6:$E$557,$A$6:$A$557,A518,$B$6:$B$557,B518)=0,"n.a.",E518/SUMIFS($E$6:$E$557,$A$6:$A$557,A518,$B$6:$B$557,B518))</x:f>
        <x:v>0.06060751706238585</x:v>
      </x:c>
      <x:c r="H518" s="11" t="n">
        <x:v>31809608</x:v>
      </x:c>
    </x:row>
    <x:row r="519" ht="23" customHeight="1">
      <x:c r="A519" s="10" t="str">
        <x:v>ALL</x:v>
      </x:c>
      <x:c r="B519" s="10" t="str">
        <x:v>N</x:v>
      </x:c>
      <x:c r="C519" s="10" t="str">
        <x:v>screws_bolts_studs</x:v>
      </x:c>
      <x:c r="D519" s="11" t="n">
        <x:v>6973</x:v>
      </x:c>
      <x:c r="E519" s="11" t="n">
        <x:v>4238</x:v>
      </x:c>
      <x:c r="F519" s="12" t="n">
        <x:f>E519/D519</x:f>
        <x:v>0.6077728380897749</x:v>
      </x:c>
      <x:c r="G519" s="12" t="n">
        <x:f>IF(SUMIFS($E$6:$E$557,$A$6:$A$557,A519,$B$6:$B$557,B519)=0,"n.a.",E519/SUMIFS($E$6:$E$557,$A$6:$A$557,A519,$B$6:$B$557,B519))</x:f>
        <x:v>0.10184562145534942</x:v>
      </x:c>
      <x:c r="H519" s="11" t="n">
        <x:v>9496074</x:v>
      </x:c>
    </x:row>
    <x:row r="520" ht="23" customHeight="1">
      <x:c r="A520" s="10" t="str">
        <x:v>ALL</x:v>
      </x:c>
      <x:c r="B520" s="10" t="str">
        <x:v>N</x:v>
      </x:c>
      <x:c r="C520" s="10" t="str">
        <x:v>springs</x:v>
      </x:c>
      <x:c r="D520" s="11" t="n">
        <x:v>966</x:v>
      </x:c>
      <x:c r="E520" s="11" t="n">
        <x:v>656</x:v>
      </x:c>
      <x:c r="F520" s="12" t="n">
        <x:f>E520/D520</x:f>
        <x:v>0.6790890269151139</x:v>
      </x:c>
      <x:c r="G520" s="12" t="n">
        <x:f>IF(SUMIFS($E$6:$E$557,$A$6:$A$557,A520,$B$6:$B$557,B520)=0,"n.a.",E520/SUMIFS($E$6:$E$557,$A$6:$A$557,A520,$B$6:$B$557,B520))</x:f>
        <x:v>0.015764683264442948</x:v>
      </x:c>
      <x:c r="H520" s="11" t="n">
        <x:v>13304994</x:v>
      </x:c>
    </x:row>
    <x:row r="521" ht="23" customHeight="1">
      <x:c r="A521" s="10" t="str">
        <x:v>ALL</x:v>
      </x:c>
      <x:c r="B521" s="10" t="str">
        <x:v>N</x:v>
      </x:c>
      <x:c r="C521" s="10" t="str">
        <x:v>washers_rings_spacers</x:v>
      </x:c>
      <x:c r="D521" s="11" t="n">
        <x:v>3633</x:v>
      </x:c>
      <x:c r="E521" s="11" t="n">
        <x:v>1899</x:v>
      </x:c>
      <x:c r="F521" s="12" t="n">
        <x:f>E521/D521</x:f>
        <x:v>0.5227085053674649</x:v>
      </x:c>
      <x:c r="G521" s="12" t="n">
        <x:f>IF(SUMIFS($E$6:$E$557,$A$6:$A$557,A521,$B$6:$B$557,B521)=0,"n.a.",E521/SUMIFS($E$6:$E$557,$A$6:$A$557,A521,$B$6:$B$557,B521))</x:f>
        <x:v>0.04563587426703836</x:v>
      </x:c>
      <x:c r="H521" s="11" t="n">
        <x:v>4835588</x:v>
      </x:c>
    </x:row>
    <x:row r="522" ht="23" customHeight="1">
      <x:c r="A522" s="10" t="str">
        <x:v>ALL</x:v>
      </x:c>
      <x:c r="B522" s="10" t="str">
        <x:v>N</x:v>
      </x:c>
      <x:c r="C522" s="10" t="str">
        <x:v>wheels_castors</x:v>
      </x:c>
      <x:c r="D522" s="11" t="n">
        <x:v>1405</x:v>
      </x:c>
      <x:c r="E522" s="11" t="n">
        <x:v>852</x:v>
      </x:c>
      <x:c r="F522" s="12" t="n">
        <x:f>E522/D522</x:f>
        <x:v>0.606405693950178</x:v>
      </x:c>
      <x:c r="G522" s="12" t="n">
        <x:f>IF(SUMIFS($E$6:$E$557,$A$6:$A$557,A522,$B$6:$B$557,B522)=0,"n.a.",E522/SUMIFS($E$6:$E$557,$A$6:$A$557,A522,$B$6:$B$557,B522))</x:f>
        <x:v>0.020474863020282612</x:v>
      </x:c>
      <x:c r="H522" s="11" t="n">
        <x:v>5683753</x:v>
      </x:c>
    </x:row>
    <x:row r="523" ht="23" customHeight="1">
      <x:c r="A523" s="10" t="str">
        <x:v>ALL</x:v>
      </x:c>
      <x:c r="B523" s="10" t="str">
        <x:v>C</x:v>
      </x:c>
      <x:c r="C523" s="10" t="str">
        <x:v>adjustable_foot</x:v>
      </x:c>
      <x:c r="D523" s="11" t="n">
        <x:v>1</x:v>
      </x:c>
      <x:c r="E523" s="11" t="n">
        <x:v>1</x:v>
      </x:c>
      <x:c r="F523" s="12" t="n">
        <x:f>E523/D523</x:f>
        <x:v>1</x:v>
      </x:c>
      <x:c r="G523" s="12" t="n">
        <x:f>IF(SUMIFS($E$6:$E$557,$A$6:$A$557,A523,$B$6:$B$557,B523)=0,"n.a.",E523/SUMIFS($E$6:$E$557,$A$6:$A$557,A523,$B$6:$B$557,B523))</x:f>
        <x:v>0.000019659497503243818</x:v>
      </x:c>
      <x:c r="H523" s="11" t="n">
        <x:v>912</x:v>
      </x:c>
    </x:row>
    <x:row r="524" ht="23" customHeight="1">
      <x:c r="A524" s="10" t="str">
        <x:v>ALL</x:v>
      </x:c>
      <x:c r="B524" s="10" t="str">
        <x:v>C</x:v>
      </x:c>
      <x:c r="C524" s="10" t="str">
        <x:v>aluminum_extrusion</x:v>
      </x:c>
      <x:c r="D524" s="11" t="n">
        <x:v>414</x:v>
      </x:c>
      <x:c r="E524" s="11" t="n">
        <x:v>414</x:v>
      </x:c>
      <x:c r="F524" s="12" t="n">
        <x:f>E524/D524</x:f>
        <x:v>1</x:v>
      </x:c>
      <x:c r="G524" s="12" t="n">
        <x:f>IF(SUMIFS($E$6:$E$557,$A$6:$A$557,A524,$B$6:$B$557,B524)=0,"n.a.",E524/SUMIFS($E$6:$E$557,$A$6:$A$557,A524,$B$6:$B$557,B524))</x:f>
        <x:v>0.008139031966342941</x:v>
      </x:c>
      <x:c r="H524" s="11" t="n">
        <x:v>731754</x:v>
      </x:c>
    </x:row>
    <x:row r="525" ht="23" customHeight="1">
      <x:c r="A525" s="10" t="str">
        <x:v>ALL</x:v>
      </x:c>
      <x:c r="B525" s="10" t="str">
        <x:v>C</x:v>
      </x:c>
      <x:c r="C525" s="10" t="str">
        <x:v>camera_lens</x:v>
      </x:c>
      <x:c r="D525" s="11" t="n">
        <x:v>186</x:v>
      </x:c>
      <x:c r="E525" s="11" t="n">
        <x:v>186</x:v>
      </x:c>
      <x:c r="F525" s="12" t="n">
        <x:f>E525/D525</x:f>
        <x:v>1</x:v>
      </x:c>
      <x:c r="G525" s="12" t="n">
        <x:f>IF(SUMIFS($E$6:$E$557,$A$6:$A$557,A525,$B$6:$B$557,B525)=0,"n.a.",E525/SUMIFS($E$6:$E$557,$A$6:$A$557,A525,$B$6:$B$557,B525))</x:f>
        <x:v>0.00365666653560335</x:v>
      </x:c>
      <x:c r="H525" s="11" t="n">
        <x:v>741778</x:v>
      </x:c>
    </x:row>
    <x:row r="526" ht="23" customHeight="1">
      <x:c r="A526" s="10" t="str">
        <x:v>ALL</x:v>
      </x:c>
      <x:c r="B526" s="10" t="str">
        <x:v>C</x:v>
      </x:c>
      <x:c r="C526" s="10" t="str">
        <x:v>cap_nut</x:v>
      </x:c>
      <x:c r="D526" s="11" t="n">
        <x:v>4412</x:v>
      </x:c>
      <x:c r="E526" s="11" t="n">
        <x:v>3799</x:v>
      </x:c>
      <x:c r="F526" s="12" t="n">
        <x:f>E526/D526</x:f>
        <x:v>0.8610607434270172</x:v>
      </x:c>
      <x:c r="G526" s="12" t="n">
        <x:f>IF(SUMIFS($E$6:$E$557,$A$6:$A$557,A526,$B$6:$B$557,B526)=0,"n.a.",E526/SUMIFS($E$6:$E$557,$A$6:$A$557,A526,$B$6:$B$557,B526))</x:f>
        <x:v>0.07468643101482327</x:v>
      </x:c>
      <x:c r="H526" s="11" t="n">
        <x:v>14917915</x:v>
      </x:c>
    </x:row>
    <x:row r="527" ht="23" customHeight="1">
      <x:c r="A527" s="10" t="str">
        <x:v>ALL</x:v>
      </x:c>
      <x:c r="B527" s="10" t="str">
        <x:v>C</x:v>
      </x:c>
      <x:c r="C527" s="10" t="str">
        <x:v>coil_spring</x:v>
      </x:c>
      <x:c r="D527" s="11" t="n">
        <x:v>132</x:v>
      </x:c>
      <x:c r="E527" s="11" t="n">
        <x:v>132</x:v>
      </x:c>
      <x:c r="F527" s="12" t="n">
        <x:f>E527/D527</x:f>
        <x:v>1</x:v>
      </x:c>
      <x:c r="G527" s="12" t="n">
        <x:f>IF(SUMIFS($E$6:$E$557,$A$6:$A$557,A527,$B$6:$B$557,B527)=0,"n.a.",E527/SUMIFS($E$6:$E$557,$A$6:$A$557,A527,$B$6:$B$557,B527))</x:f>
        <x:v>0.002595053670428184</x:v>
      </x:c>
      <x:c r="H527" s="11" t="n">
        <x:v>5477086</x:v>
      </x:c>
    </x:row>
    <x:row r="528" ht="23" customHeight="1">
      <x:c r="A528" s="10" t="str">
        <x:v>ALL</x:v>
      </x:c>
      <x:c r="B528" s="10" t="str">
        <x:v>C</x:v>
      </x:c>
      <x:c r="C528" s="10" t="str">
        <x:v>cooling_fan</x:v>
      </x:c>
      <x:c r="D528" s="11" t="n">
        <x:v>7</x:v>
      </x:c>
      <x:c r="E528" s="11" t="n">
        <x:v>7</x:v>
      </x:c>
      <x:c r="F528" s="12" t="n">
        <x:f>E528/D528</x:f>
        <x:v>1</x:v>
      </x:c>
      <x:c r="G528" s="12" t="n">
        <x:f>IF(SUMIFS($E$6:$E$557,$A$6:$A$557,A528,$B$6:$B$557,B528)=0,"n.a.",E528/SUMIFS($E$6:$E$557,$A$6:$A$557,A528,$B$6:$B$557,B528))</x:f>
        <x:v>0.00013761648252270673</x:v>
      </x:c>
      <x:c r="H528" s="11" t="n">
        <x:v>26964</x:v>
      </x:c>
    </x:row>
    <x:row r="529" ht="23" customHeight="1">
      <x:c r="A529" s="10" t="str">
        <x:v>ALL</x:v>
      </x:c>
      <x:c r="B529" s="10" t="str">
        <x:v>C</x:v>
      </x:c>
      <x:c r="C529" s="10" t="str">
        <x:v>die_block</x:v>
      </x:c>
      <x:c r="D529" s="11" t="n">
        <x:v>1655</x:v>
      </x:c>
      <x:c r="E529" s="11" t="n">
        <x:v>1652</x:v>
      </x:c>
      <x:c r="F529" s="12" t="n">
        <x:f>E529/D529</x:f>
        <x:v>0.9981873111782478</x:v>
      </x:c>
      <x:c r="G529" s="12" t="n">
        <x:f>IF(SUMIFS($E$6:$E$557,$A$6:$A$557,A529,$B$6:$B$557,B529)=0,"n.a.",E529/SUMIFS($E$6:$E$557,$A$6:$A$557,A529,$B$6:$B$557,B529))</x:f>
        <x:v>0.032477489875358784</x:v>
      </x:c>
      <x:c r="H529" s="11" t="n">
        <x:v>2724826</x:v>
      </x:c>
    </x:row>
    <x:row r="530" ht="23" customHeight="1">
      <x:c r="A530" s="10" t="str">
        <x:v>ALL</x:v>
      </x:c>
      <x:c r="B530" s="10" t="str">
        <x:v>C</x:v>
      </x:c>
      <x:c r="C530" s="10" t="str">
        <x:v>dowel_pin</x:v>
      </x:c>
      <x:c r="D530" s="11" t="n">
        <x:v>13737</x:v>
      </x:c>
      <x:c r="E530" s="11" t="n">
        <x:v>3236</x:v>
      </x:c>
      <x:c r="F530" s="12" t="n">
        <x:f>E530/D530</x:f>
        <x:v>0.23556817354589793</x:v>
      </x:c>
      <x:c r="G530" s="12" t="n">
        <x:f>IF(SUMIFS($E$6:$E$557,$A$6:$A$557,A530,$B$6:$B$557,B530)=0,"n.a.",E530/SUMIFS($E$6:$E$557,$A$6:$A$557,A530,$B$6:$B$557,B530))</x:f>
        <x:v>0.06361813392049699</x:v>
      </x:c>
      <x:c r="H530" s="11" t="n">
        <x:v>7578329</x:v>
      </x:c>
    </x:row>
    <x:row r="531" ht="23" customHeight="1">
      <x:c r="A531" s="10" t="str">
        <x:v>ALL</x:v>
      </x:c>
      <x:c r="B531" s="10" t="str">
        <x:v>C</x:v>
      </x:c>
      <x:c r="C531" s="10" t="str">
        <x:v>feature_plate</x:v>
      </x:c>
      <x:c r="D531" s="11" t="n">
        <x:v>1132</x:v>
      </x:c>
      <x:c r="E531" s="11" t="n">
        <x:v>1132</x:v>
      </x:c>
      <x:c r="F531" s="12" t="n">
        <x:f>E531/D531</x:f>
        <x:v>1</x:v>
      </x:c>
      <x:c r="G531" s="12" t="n">
        <x:f>IF(SUMIFS($E$6:$E$557,$A$6:$A$557,A531,$B$6:$B$557,B531)=0,"n.a.",E531/SUMIFS($E$6:$E$557,$A$6:$A$557,A531,$B$6:$B$557,B531))</x:f>
        <x:v>0.022254551173672</x:v>
      </x:c>
      <x:c r="H531" s="11" t="n">
        <x:v>10078909</x:v>
      </x:c>
    </x:row>
    <x:row r="532" ht="23" customHeight="1">
      <x:c r="A532" s="10" t="str">
        <x:v>ALL</x:v>
      </x:c>
      <x:c r="B532" s="10" t="str">
        <x:v>C</x:v>
      </x:c>
      <x:c r="C532" s="10" t="str">
        <x:v>flat_washer</x:v>
      </x:c>
      <x:c r="D532" s="11" t="n">
        <x:v>3980</x:v>
      </x:c>
      <x:c r="E532" s="11" t="n">
        <x:v>3591</x:v>
      </x:c>
      <x:c r="F532" s="12" t="n">
        <x:f>E532/D532</x:f>
        <x:v>0.9022613065326633</x:v>
      </x:c>
      <x:c r="G532" s="12" t="n">
        <x:f>IF(SUMIFS($E$6:$E$557,$A$6:$A$557,A532,$B$6:$B$557,B532)=0,"n.a.",E532/SUMIFS($E$6:$E$557,$A$6:$A$557,A532,$B$6:$B$557,B532))</x:f>
        <x:v>0.07059725553414854</x:v>
      </x:c>
      <x:c r="H532" s="11" t="n">
        <x:v>12503852</x:v>
      </x:c>
    </x:row>
    <x:row r="533" ht="23" customHeight="1">
      <x:c r="A533" s="10" t="str">
        <x:v>ALL</x:v>
      </x:c>
      <x:c r="B533" s="10" t="str">
        <x:v>C</x:v>
      </x:c>
      <x:c r="C533" s="10" t="str">
        <x:v>flexible_hose</x:v>
      </x:c>
      <x:c r="D533" s="11" t="n">
        <x:v>65</x:v>
      </x:c>
      <x:c r="E533" s="11" t="n">
        <x:v>65</x:v>
      </x:c>
      <x:c r="F533" s="12" t="n">
        <x:f>E533/D533</x:f>
        <x:v>1</x:v>
      </x:c>
      <x:c r="G533" s="12" t="n">
        <x:f>IF(SUMIFS($E$6:$E$557,$A$6:$A$557,A533,$B$6:$B$557,B533)=0,"n.a.",E533/SUMIFS($E$6:$E$557,$A$6:$A$557,A533,$B$6:$B$557,B533))</x:f>
        <x:v>0.001277867337710848</x:v>
      </x:c>
      <x:c r="H533" s="11" t="n">
        <x:v>1207556</x:v>
      </x:c>
    </x:row>
    <x:row r="534" ht="23" customHeight="1">
      <x:c r="A534" s="10" t="str">
        <x:v>ALL</x:v>
      </x:c>
      <x:c r="B534" s="10" t="str">
        <x:v>C</x:v>
      </x:c>
      <x:c r="C534" s="10" t="str">
        <x:v>frame_beam</x:v>
      </x:c>
      <x:c r="D534" s="11" t="n">
        <x:v>48</x:v>
      </x:c>
      <x:c r="E534" s="11" t="n">
        <x:v>48</x:v>
      </x:c>
      <x:c r="F534" s="12" t="n">
        <x:f>E534/D534</x:f>
        <x:v>1</x:v>
      </x:c>
      <x:c r="G534" s="12" t="n">
        <x:f>IF(SUMIFS($E$6:$E$557,$A$6:$A$557,A534,$B$6:$B$557,B534)=0,"n.a.",E534/SUMIFS($E$6:$E$557,$A$6:$A$557,A534,$B$6:$B$557,B534))</x:f>
        <x:v>0.0009436558801557033</x:v>
      </x:c>
      <x:c r="H534" s="11" t="n">
        <x:v>441222</x:v>
      </x:c>
    </x:row>
    <x:row r="535" ht="23" customHeight="1">
      <x:c r="A535" s="10" t="str">
        <x:v>ALL</x:v>
      </x:c>
      <x:c r="B535" s="10" t="str">
        <x:v>C</x:v>
      </x:c>
      <x:c r="C535" s="10" t="str">
        <x:v>hex_bolt</x:v>
      </x:c>
      <x:c r="D535" s="11" t="n">
        <x:v>61</x:v>
      </x:c>
      <x:c r="E535" s="11" t="n">
        <x:v>48</x:v>
      </x:c>
      <x:c r="F535" s="12" t="n">
        <x:f>E535/D535</x:f>
        <x:v>0.7868852459016393</x:v>
      </x:c>
      <x:c r="G535" s="12" t="n">
        <x:f>IF(SUMIFS($E$6:$E$557,$A$6:$A$557,A535,$B$6:$B$557,B535)=0,"n.a.",E535/SUMIFS($E$6:$E$557,$A$6:$A$557,A535,$B$6:$B$557,B535))</x:f>
        <x:v>0.0009436558801557033</x:v>
      </x:c>
      <x:c r="H535" s="11" t="n">
        <x:v>74058</x:v>
      </x:c>
    </x:row>
    <x:row r="536" ht="23" customHeight="1">
      <x:c r="A536" s="10" t="str">
        <x:v>ALL</x:v>
      </x:c>
      <x:c r="B536" s="10" t="str">
        <x:v>C</x:v>
      </x:c>
      <x:c r="C536" s="10" t="str">
        <x:v>hex_nut</x:v>
      </x:c>
      <x:c r="D536" s="11" t="n">
        <x:v>2870</x:v>
      </x:c>
      <x:c r="E536" s="11" t="n">
        <x:v>1625</x:v>
      </x:c>
      <x:c r="F536" s="12" t="n">
        <x:f>E536/D536</x:f>
        <x:v>0.5662020905923345</x:v>
      </x:c>
      <x:c r="G536" s="12" t="n">
        <x:f>IF(SUMIFS($E$6:$E$557,$A$6:$A$557,A536,$B$6:$B$557,B536)=0,"n.a.",E536/SUMIFS($E$6:$E$557,$A$6:$A$557,A536,$B$6:$B$557,B536))</x:f>
        <x:v>0.031946683442771205</x:v>
      </x:c>
      <x:c r="H536" s="11" t="n">
        <x:v>4950956</x:v>
      </x:c>
    </x:row>
    <x:row r="537" ht="23" customHeight="1">
      <x:c r="A537" s="10" t="str">
        <x:v>ALL</x:v>
      </x:c>
      <x:c r="B537" s="10" t="str">
        <x:v>C</x:v>
      </x:c>
      <x:c r="C537" s="10" t="str">
        <x:v>lead_screw</x:v>
      </x:c>
      <x:c r="D537" s="11" t="n">
        <x:v>53</x:v>
      </x:c>
      <x:c r="E537" s="11" t="n">
        <x:v>53</x:v>
      </x:c>
      <x:c r="F537" s="12" t="n">
        <x:f>E537/D537</x:f>
        <x:v>1</x:v>
      </x:c>
      <x:c r="G537" s="12" t="n">
        <x:f>IF(SUMIFS($E$6:$E$557,$A$6:$A$557,A537,$B$6:$B$557,B537)=0,"n.a.",E537/SUMIFS($E$6:$E$557,$A$6:$A$557,A537,$B$6:$B$557,B537))</x:f>
        <x:v>0.0010419533676719224</x:v>
      </x:c>
      <x:c r="H537" s="11" t="n">
        <x:v>1082664</x:v>
      </x:c>
    </x:row>
    <x:row r="538" ht="23" customHeight="1">
      <x:c r="A538" s="10" t="str">
        <x:v>ALL</x:v>
      </x:c>
      <x:c r="B538" s="10" t="str">
        <x:v>C</x:v>
      </x:c>
      <x:c r="C538" s="10" t="str">
        <x:v>linear_rail</x:v>
      </x:c>
      <x:c r="D538" s="11" t="n">
        <x:v>22</x:v>
      </x:c>
      <x:c r="E538" s="11" t="n">
        <x:v>22</x:v>
      </x:c>
      <x:c r="F538" s="12" t="n">
        <x:f>E538/D538</x:f>
        <x:v>1</x:v>
      </x:c>
      <x:c r="G538" s="12" t="n">
        <x:f>IF(SUMIFS($E$6:$E$557,$A$6:$A$557,A538,$B$6:$B$557,B538)=0,"n.a.",E538/SUMIFS($E$6:$E$557,$A$6:$A$557,A538,$B$6:$B$557,B538))</x:f>
        <x:v>0.00043250894507136395</x:v>
      </x:c>
      <x:c r="H538" s="11" t="n">
        <x:v>52840</x:v>
      </x:c>
    </x:row>
    <x:row r="539" ht="23" customHeight="1">
      <x:c r="A539" s="10" t="str">
        <x:v>ALL</x:v>
      </x:c>
      <x:c r="B539" s="10" t="str">
        <x:v>C</x:v>
      </x:c>
      <x:c r="C539" s="10" t="str">
        <x:v>machine_base</x:v>
      </x:c>
      <x:c r="D539" s="11" t="n">
        <x:v>7</x:v>
      </x:c>
      <x:c r="E539" s="11" t="n">
        <x:v>7</x:v>
      </x:c>
      <x:c r="F539" s="12" t="n">
        <x:f>E539/D539</x:f>
        <x:v>1</x:v>
      </x:c>
      <x:c r="G539" s="12" t="n">
        <x:f>IF(SUMIFS($E$6:$E$557,$A$6:$A$557,A539,$B$6:$B$557,B539)=0,"n.a.",E539/SUMIFS($E$6:$E$557,$A$6:$A$557,A539,$B$6:$B$557,B539))</x:f>
        <x:v>0.00013761648252270673</x:v>
      </x:c>
      <x:c r="H539" s="11" t="n">
        <x:v>2161540</x:v>
      </x:c>
    </x:row>
    <x:row r="540" ht="23" customHeight="1">
      <x:c r="A540" s="10" t="str">
        <x:v>ALL</x:v>
      </x:c>
      <x:c r="B540" s="10" t="str">
        <x:v>C</x:v>
      </x:c>
      <x:c r="C540" s="10" t="str">
        <x:v>mounting_bracket</x:v>
      </x:c>
      <x:c r="D540" s="11" t="n">
        <x:v>709</x:v>
      </x:c>
      <x:c r="E540" s="11" t="n">
        <x:v>709</x:v>
      </x:c>
      <x:c r="F540" s="12" t="n">
        <x:f>E540/D540</x:f>
        <x:v>1</x:v>
      </x:c>
      <x:c r="G540" s="12" t="n">
        <x:f>IF(SUMIFS($E$6:$E$557,$A$6:$A$557,A540,$B$6:$B$557,B540)=0,"n.a.",E540/SUMIFS($E$6:$E$557,$A$6:$A$557,A540,$B$6:$B$557,B540))</x:f>
        <x:v>0.013938583729799866</x:v>
      </x:c>
      <x:c r="H540" s="11" t="n">
        <x:v>5468480</x:v>
      </x:c>
    </x:row>
    <x:row r="541" ht="23" customHeight="1">
      <x:c r="A541" s="10" t="str">
        <x:v>ALL</x:v>
      </x:c>
      <x:c r="B541" s="10" t="str">
        <x:v>C</x:v>
      </x:c>
      <x:c r="C541" s="10" t="str">
        <x:v>mounting_plate</x:v>
      </x:c>
      <x:c r="D541" s="11" t="n">
        <x:v>2073</x:v>
      </x:c>
      <x:c r="E541" s="11" t="n">
        <x:v>2051</x:v>
      </x:c>
      <x:c r="F541" s="12" t="n">
        <x:f>E541/D541</x:f>
        <x:v>0.989387361312108</x:v>
      </x:c>
      <x:c r="G541" s="12" t="n">
        <x:f>IF(SUMIFS($E$6:$E$557,$A$6:$A$557,A541,$B$6:$B$557,B541)=0,"n.a.",E541/SUMIFS($E$6:$E$557,$A$6:$A$557,A541,$B$6:$B$557,B541))</x:f>
        <x:v>0.04032162937915307</x:v>
      </x:c>
      <x:c r="H541" s="11" t="n">
        <x:v>4384850</x:v>
      </x:c>
    </x:row>
    <x:row r="542" ht="23" customHeight="1">
      <x:c r="A542" s="10" t="str">
        <x:v>ALL</x:v>
      </x:c>
      <x:c r="B542" s="10" t="str">
        <x:v>C</x:v>
      </x:c>
      <x:c r="C542" s="10" t="str">
        <x:v>nozzle</x:v>
      </x:c>
      <x:c r="D542" s="11" t="n">
        <x:v>868</x:v>
      </x:c>
      <x:c r="E542" s="11" t="n">
        <x:v>844</x:v>
      </x:c>
      <x:c r="F542" s="12" t="n">
        <x:f>E542/D542</x:f>
        <x:v>0.9723502304147466</x:v>
      </x:c>
      <x:c r="G542" s="12" t="n">
        <x:f>IF(SUMIFS($E$6:$E$557,$A$6:$A$557,A542,$B$6:$B$557,B542)=0,"n.a.",E542/SUMIFS($E$6:$E$557,$A$6:$A$557,A542,$B$6:$B$557,B542))</x:f>
        <x:v>0.01659261589273778</x:v>
      </x:c>
      <x:c r="H542" s="11" t="n">
        <x:v>7665496</x:v>
      </x:c>
    </x:row>
    <x:row r="543" ht="23" customHeight="1">
      <x:c r="A543" s="10" t="str">
        <x:v>ALL</x:v>
      </x:c>
      <x:c r="B543" s="10" t="str">
        <x:v>C</x:v>
      </x:c>
      <x:c r="C543" s="10" t="str">
        <x:v>pipe_fitting</x:v>
      </x:c>
      <x:c r="D543" s="11" t="n">
        <x:v>45</x:v>
      </x:c>
      <x:c r="E543" s="11" t="n">
        <x:v>45</x:v>
      </x:c>
      <x:c r="F543" s="12" t="n">
        <x:f>E543/D543</x:f>
        <x:v>1</x:v>
      </x:c>
      <x:c r="G543" s="12" t="n">
        <x:f>IF(SUMIFS($E$6:$E$557,$A$6:$A$557,A543,$B$6:$B$557,B543)=0,"n.a.",E543/SUMIFS($E$6:$E$557,$A$6:$A$557,A543,$B$6:$B$557,B543))</x:f>
        <x:v>0.0008846773876459718</x:v>
      </x:c>
      <x:c r="H543" s="11" t="n">
        <x:v>226968</x:v>
      </x:c>
    </x:row>
    <x:row r="544" ht="23" customHeight="1">
      <x:c r="A544" s="10" t="str">
        <x:v>ALL</x:v>
      </x:c>
      <x:c r="B544" s="10" t="str">
        <x:v>C</x:v>
      </x:c>
      <x:c r="C544" s="10" t="str">
        <x:v>plain_block</x:v>
      </x:c>
      <x:c r="D544" s="11" t="n">
        <x:v>13607</x:v>
      </x:c>
      <x:c r="E544" s="11" t="n">
        <x:v>13607</x:v>
      </x:c>
      <x:c r="F544" s="12" t="n">
        <x:f>E544/D544</x:f>
        <x:v>1</x:v>
      </x:c>
      <x:c r="G544" s="12" t="n">
        <x:f>IF(SUMIFS($E$6:$E$557,$A$6:$A$557,A544,$B$6:$B$557,B544)=0,"n.a.",E544/SUMIFS($E$6:$E$557,$A$6:$A$557,A544,$B$6:$B$557,B544))</x:f>
        <x:v>0.2675067825266386</x:v>
      </x:c>
      <x:c r="H544" s="11" t="n">
        <x:v>103278712</x:v>
      </x:c>
    </x:row>
    <x:row r="545" ht="23" customHeight="1">
      <x:c r="A545" s="10" t="str">
        <x:v>ALL</x:v>
      </x:c>
      <x:c r="B545" s="10" t="str">
        <x:v>C</x:v>
      </x:c>
      <x:c r="C545" s="10" t="str">
        <x:v>plain_shaft</x:v>
      </x:c>
      <x:c r="D545" s="11" t="n">
        <x:v>240</x:v>
      </x:c>
      <x:c r="E545" s="11" t="n">
        <x:v>240</x:v>
      </x:c>
      <x:c r="F545" s="12" t="n">
        <x:f>E545/D545</x:f>
        <x:v>1</x:v>
      </x:c>
      <x:c r="G545" s="12" t="n">
        <x:f>IF(SUMIFS($E$6:$E$557,$A$6:$A$557,A545,$B$6:$B$557,B545)=0,"n.a.",E545/SUMIFS($E$6:$E$557,$A$6:$A$557,A545,$B$6:$B$557,B545))</x:f>
        <x:v>0.004718279400778516</x:v>
      </x:c>
      <x:c r="H545" s="11" t="n">
        <x:v>367766</x:v>
      </x:c>
    </x:row>
    <x:row r="546" ht="23" customHeight="1">
      <x:c r="A546" s="10" t="str">
        <x:v>ALL</x:v>
      </x:c>
      <x:c r="B546" s="10" t="str">
        <x:v>C</x:v>
      </x:c>
      <x:c r="C546" s="10" t="str">
        <x:v>proximity_sensor</x:v>
      </x:c>
      <x:c r="D546" s="11" t="n">
        <x:v>121</x:v>
      </x:c>
      <x:c r="E546" s="11" t="n">
        <x:v>121</x:v>
      </x:c>
      <x:c r="F546" s="12" t="n">
        <x:f>E546/D546</x:f>
        <x:v>1</x:v>
      </x:c>
      <x:c r="G546" s="12" t="n">
        <x:f>IF(SUMIFS($E$6:$E$557,$A$6:$A$557,A546,$B$6:$B$557,B546)=0,"n.a.",E546/SUMIFS($E$6:$E$557,$A$6:$A$557,A546,$B$6:$B$557,B546))</x:f>
        <x:v>0.002378799197892502</x:v>
      </x:c>
      <x:c r="H546" s="11" t="n">
        <x:v>252428</x:v>
      </x:c>
    </x:row>
    <x:row r="547" ht="23" customHeight="1">
      <x:c r="A547" s="10" t="str">
        <x:v>ALL</x:v>
      </x:c>
      <x:c r="B547" s="10" t="str">
        <x:v>C</x:v>
      </x:c>
      <x:c r="C547" s="10" t="str">
        <x:v>punch_tool</x:v>
      </x:c>
      <x:c r="D547" s="11" t="n">
        <x:v>1504</x:v>
      </x:c>
      <x:c r="E547" s="11" t="n">
        <x:v>1504</x:v>
      </x:c>
      <x:c r="F547" s="12" t="n">
        <x:f>E547/D547</x:f>
        <x:v>1</x:v>
      </x:c>
      <x:c r="G547" s="12" t="n">
        <x:f>IF(SUMIFS($E$6:$E$557,$A$6:$A$557,A547,$B$6:$B$557,B547)=0,"n.a.",E547/SUMIFS($E$6:$E$557,$A$6:$A$557,A547,$B$6:$B$557,B547))</x:f>
        <x:v>0.0295678842448787</x:v>
      </x:c>
      <x:c r="H547" s="11" t="n">
        <x:v>4247802</x:v>
      </x:c>
    </x:row>
    <x:row r="548" ht="23" customHeight="1">
      <x:c r="A548" s="10" t="str">
        <x:v>ALL</x:v>
      </x:c>
      <x:c r="B548" s="10" t="str">
        <x:v>C</x:v>
      </x:c>
      <x:c r="C548" s="10" t="str">
        <x:v>retaining_ring</x:v>
      </x:c>
      <x:c r="D548" s="11" t="n">
        <x:v>2165</x:v>
      </x:c>
      <x:c r="E548" s="11" t="n">
        <x:v>1672</x:v>
      </x:c>
      <x:c r="F548" s="12" t="n">
        <x:f>E548/D548</x:f>
        <x:v>0.7722863741339492</x:v>
      </x:c>
      <x:c r="G548" s="12" t="n">
        <x:f>IF(SUMIFS($E$6:$E$557,$A$6:$A$557,A548,$B$6:$B$557,B548)=0,"n.a.",E548/SUMIFS($E$6:$E$557,$A$6:$A$557,A548,$B$6:$B$557,B548))</x:f>
        <x:v>0.03287067982542366</x:v>
      </x:c>
      <x:c r="H548" s="11" t="n">
        <x:v>5581678</x:v>
      </x:c>
    </x:row>
    <x:row r="549" ht="23" customHeight="1">
      <x:c r="A549" s="10" t="str">
        <x:v>ALL</x:v>
      </x:c>
      <x:c r="B549" s="10" t="str">
        <x:v>C</x:v>
      </x:c>
      <x:c r="C549" s="10" t="str">
        <x:v>seal_ring</x:v>
      </x:c>
      <x:c r="D549" s="11" t="n">
        <x:v>576</x:v>
      </x:c>
      <x:c r="E549" s="11" t="n">
        <x:v>575</x:v>
      </x:c>
      <x:c r="F549" s="12" t="n">
        <x:f>E549/D549</x:f>
        <x:v>0.9982638888888888</x:v>
      </x:c>
      <x:c r="G549" s="12" t="n">
        <x:f>IF(SUMIFS($E$6:$E$557,$A$6:$A$557,A549,$B$6:$B$557,B549)=0,"n.a.",E549/SUMIFS($E$6:$E$557,$A$6:$A$557,A549,$B$6:$B$557,B549))</x:f>
        <x:v>0.011304211064365195</x:v>
      </x:c>
      <x:c r="H549" s="11" t="n">
        <x:v>776938</x:v>
      </x:c>
    </x:row>
    <x:row r="550" ht="23" customHeight="1">
      <x:c r="A550" s="10" t="str">
        <x:v>ALL</x:v>
      </x:c>
      <x:c r="B550" s="10" t="str">
        <x:v>C</x:v>
      </x:c>
      <x:c r="C550" s="10" t="str">
        <x:v>shaft_key</x:v>
      </x:c>
      <x:c r="D550" s="11" t="n">
        <x:v>12944</x:v>
      </x:c>
      <x:c r="E550" s="11" t="n">
        <x:v>8555</x:v>
      </x:c>
      <x:c r="F550" s="12" t="n">
        <x:f>E550/D550</x:f>
        <x:v>0.6609239802224969</x:v>
      </x:c>
      <x:c r="G550" s="12" t="n">
        <x:f>IF(SUMIFS($E$6:$E$557,$A$6:$A$557,A550,$B$6:$B$557,B550)=0,"n.a.",E550/SUMIFS($E$6:$E$557,$A$6:$A$557,A550,$B$6:$B$557,B550))</x:f>
        <x:v>0.16818700114025084</x:v>
      </x:c>
      <x:c r="H550" s="11" t="n">
        <x:v>33446488</x:v>
      </x:c>
    </x:row>
    <x:row r="551" ht="23" customHeight="1">
      <x:c r="A551" s="10" t="str">
        <x:v>ALL</x:v>
      </x:c>
      <x:c r="B551" s="10" t="str">
        <x:v>C</x:v>
      </x:c>
      <x:c r="C551" s="10" t="str">
        <x:v>slotted_nut</x:v>
      </x:c>
      <x:c r="D551" s="11" t="n">
        <x:v>1638</x:v>
      </x:c>
      <x:c r="E551" s="11" t="n">
        <x:v>1604</x:v>
      </x:c>
      <x:c r="F551" s="12" t="n">
        <x:f>E551/D551</x:f>
        <x:v>0.9792429792429792</x:v>
      </x:c>
      <x:c r="G551" s="12" t="n">
        <x:f>IF(SUMIFS($E$6:$E$557,$A$6:$A$557,A551,$B$6:$B$557,B551)=0,"n.a.",E551/SUMIFS($E$6:$E$557,$A$6:$A$557,A551,$B$6:$B$557,B551))</x:f>
        <x:v>0.031533833995203084</x:v>
      </x:c>
      <x:c r="H551" s="11" t="n">
        <x:v>4985650</x:v>
      </x:c>
    </x:row>
    <x:row r="552" ht="23" customHeight="1">
      <x:c r="A552" s="10" t="str">
        <x:v>ALL</x:v>
      </x:c>
      <x:c r="B552" s="10" t="str">
        <x:v>C</x:v>
      </x:c>
      <x:c r="C552" s="10" t="str">
        <x:v>socket_screw</x:v>
      </x:c>
      <x:c r="D552" s="11" t="n">
        <x:v>5</x:v>
      </x:c>
      <x:c r="E552" s="11" t="n">
        <x:v>5</x:v>
      </x:c>
      <x:c r="F552" s="12" t="n">
        <x:f>E552/D552</x:f>
        <x:v>1</x:v>
      </x:c>
      <x:c r="G552" s="12" t="n">
        <x:f>IF(SUMIFS($E$6:$E$557,$A$6:$A$557,A552,$B$6:$B$557,B552)=0,"n.a.",E552/SUMIFS($E$6:$E$557,$A$6:$A$557,A552,$B$6:$B$557,B552))</x:f>
        <x:v>0.00009829748751621908</x:v>
      </x:c>
      <x:c r="H552" s="11" t="n">
        <x:v>40954</x:v>
      </x:c>
    </x:row>
    <x:row r="553" ht="23" customHeight="1">
      <x:c r="A553" s="10" t="str">
        <x:v>ALL</x:v>
      </x:c>
      <x:c r="B553" s="10" t="str">
        <x:v>C</x:v>
      </x:c>
      <x:c r="C553" s="10" t="str">
        <x:v>sprocket</x:v>
      </x:c>
      <x:c r="D553" s="11" t="n">
        <x:v>1181</x:v>
      </x:c>
      <x:c r="E553" s="11" t="n">
        <x:v>1167</x:v>
      </x:c>
      <x:c r="F553" s="12" t="n">
        <x:f>E553/D553</x:f>
        <x:v>0.9881456392887383</x:v>
      </x:c>
      <x:c r="G553" s="12" t="n">
        <x:f>IF(SUMIFS($E$6:$E$557,$A$6:$A$557,A553,$B$6:$B$557,B553)=0,"n.a.",E553/SUMIFS($E$6:$E$557,$A$6:$A$557,A553,$B$6:$B$557,B553))</x:f>
        <x:v>0.022942633586285534</x:v>
      </x:c>
      <x:c r="H553" s="11" t="n">
        <x:v>6581271</x:v>
      </x:c>
    </x:row>
    <x:row r="554" ht="23" customHeight="1">
      <x:c r="A554" s="10" t="str">
        <x:v>ALL</x:v>
      </x:c>
      <x:c r="B554" s="10" t="str">
        <x:v>C</x:v>
      </x:c>
      <x:c r="C554" s="10" t="str">
        <x:v>suction_cup</x:v>
      </x:c>
      <x:c r="D554" s="11" t="n">
        <x:v>222</x:v>
      </x:c>
      <x:c r="E554" s="11" t="n">
        <x:v>214</x:v>
      </x:c>
      <x:c r="F554" s="12" t="n">
        <x:f>E554/D554</x:f>
        <x:v>0.963963963963964</x:v>
      </x:c>
      <x:c r="G554" s="12" t="n">
        <x:f>IF(SUMIFS($E$6:$E$557,$A$6:$A$557,A554,$B$6:$B$557,B554)=0,"n.a.",E554/SUMIFS($E$6:$E$557,$A$6:$A$557,A554,$B$6:$B$557,B554))</x:f>
        <x:v>0.0042071324656941765</x:v>
      </x:c>
      <x:c r="H554" s="11" t="n">
        <x:v>852291</x:v>
      </x:c>
    </x:row>
    <x:row r="555" ht="23" customHeight="1">
      <x:c r="A555" s="10" t="str">
        <x:v>ALL</x:v>
      </x:c>
      <x:c r="B555" s="10" t="str">
        <x:v>C</x:v>
      </x:c>
      <x:c r="C555" s="10" t="str">
        <x:v>threaded_stud</x:v>
      </x:c>
      <x:c r="D555" s="11" t="n">
        <x:v>2286</x:v>
      </x:c>
      <x:c r="E555" s="11" t="n">
        <x:v>1929</x:v>
      </x:c>
      <x:c r="F555" s="12" t="n">
        <x:f>E555/D555</x:f>
        <x:v>0.8438320209973753</x:v>
      </x:c>
      <x:c r="G555" s="12" t="n">
        <x:f>IF(SUMIFS($E$6:$E$557,$A$6:$A$557,A555,$B$6:$B$557,B555)=0,"n.a.",E555/SUMIFS($E$6:$E$557,$A$6:$A$557,A555,$B$6:$B$557,B555))</x:f>
        <x:v>0.03792317068375732</x:v>
      </x:c>
      <x:c r="H555" s="11" t="n">
        <x:v>16554039</x:v>
      </x:c>
    </x:row>
    <x:row r="556" ht="23" customHeight="1">
      <x:c r="A556" s="10" t="str">
        <x:v>ALL</x:v>
      </x:c>
      <x:c r="B556" s="10" t="str">
        <x:v>C</x:v>
      </x:c>
      <x:c r="C556" s="10" t="str">
        <x:v>timing_belt</x:v>
      </x:c>
      <x:c r="D556" s="11" t="n">
        <x:v>3</x:v>
      </x:c>
      <x:c r="E556" s="11" t="n">
        <x:v>3</x:v>
      </x:c>
      <x:c r="F556" s="12" t="n">
        <x:f>E556/D556</x:f>
        <x:v>1</x:v>
      </x:c>
      <x:c r="G556" s="12" t="n">
        <x:f>IF(SUMIFS($E$6:$E$557,$A$6:$A$557,A556,$B$6:$B$557,B556)=0,"n.a.",E556/SUMIFS($E$6:$E$557,$A$6:$A$557,A556,$B$6:$B$557,B556))</x:f>
        <x:v>0.000058978492509731454</x:v>
      </x:c>
      <x:c r="H556" s="11" t="n">
        <x:v>5560</x:v>
      </x:c>
    </x:row>
    <x:row r="557" ht="23" customHeight="1">
      <x:c r="A557" s="10" t="str">
        <x:v>ALL</x:v>
      </x:c>
      <x:c r="B557" s="10" t="str">
        <x:v>C</x:v>
      </x:c>
      <x:c r="C557" s="10" t="str">
        <x:v>vacuum_chamber</x:v>
      </x:c>
      <x:c r="D557" s="11" t="n">
        <x:v>3</x:v>
      </x:c>
      <x:c r="E557" s="11" t="n">
        <x:v>3</x:v>
      </x:c>
      <x:c r="F557" s="12" t="n">
        <x:f>E557/D557</x:f>
        <x:v>1</x:v>
      </x:c>
      <x:c r="G557" s="12" t="n">
        <x:f>IF(SUMIFS($E$6:$E$557,$A$6:$A$557,A557,$B$6:$B$557,B557)=0,"n.a.",E557/SUMIFS($E$6:$E$557,$A$6:$A$557,A557,$B$6:$B$557,B557))</x:f>
        <x:v>0.000058978492509731454</x:v>
      </x:c>
      <x:c r="H557" s="11" t="n">
        <x:v>46890</x:v>
      </x:c>
    </x:row>
  </x:sheetData>
  <x:pageMargins left="0.7" right="0.7" top="0.75" bottom="0.75" header="0.3" footer="0.3"/>
  <x:tableParts count="1">
    <x:tablePart xmlns:r="http://schemas.openxmlformats.org/officeDocument/2006/relationships" r:id="R88c1a1ebfeaf4bf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21" hidden="0" customWidth="1"/>
    <x:col min="3" max="3" width="20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  <x:col min="10" max="10" width="22" hidden="0" customWidth="1"/>
    <x:col min="11" max="11" width="19" hidden="0" customWidth="1"/>
    <x:col min="12" max="12" width="19" hidden="0" customWidth="1"/>
    <x:col min="13" max="13" width="17" hidden="0" customWidth="1"/>
    <x:col min="14" max="14" width="19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</x:row>
    <x:row r="2" ht="23" customHeight="1">
      <x:c r="A2" s="3" t="str">
        <x:v>13个场景的完整组合统计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</x:row>
    <x:row r="3" ht="23" customHeight="1">
      <x:c r="A3" s="4" t="str">
        <x:v>来源：all_conditions_summary.csv；原始实例计数保留，ALL由各场景计数求和。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</x:row>
    <x:row r="5" ht="36" customHeight="1">
      <x:c r="A5" s="8" t="str">
        <x:v>模型</x:v>
      </x:c>
      <x:c r="B5" s="8" t="str">
        <x:v>配置</x:v>
      </x:c>
      <x:c r="C5" s="8" t="str">
        <x:v>条件组</x:v>
      </x:c>
      <x:c r="D5" s="8" t="str">
        <x:v>节点数</x:v>
      </x:c>
      <x:c r="E5" s="8" t="str">
        <x:v>对象未决数</x:v>
      </x:c>
      <x:c r="F5" s="8" t="str">
        <x:v>功能未知数</x:v>
      </x:c>
      <x:c r="G5" s="8" t="str">
        <x:v>N/C分歧数</x:v>
      </x:c>
      <x:c r="H5" s="8" t="str">
        <x:v>需复核数</x:v>
      </x:c>
      <x:c r="I5" s="8" t="str">
        <x:v>源三角形数</x:v>
      </x:c>
      <x:c r="J5" s="8" t="str">
        <x:v>请求远档面数</x:v>
      </x:c>
      <x:c r="K5" s="8" t="str">
        <x:v>对象未决比例</x:v>
      </x:c>
      <x:c r="L5" s="8" t="str">
        <x:v>功能未知比例</x:v>
      </x:c>
      <x:c r="M5" s="8" t="str">
        <x:v>分歧比例</x:v>
      </x:c>
      <x:c r="N5" s="8" t="str">
        <x:v>请求面数比例</x:v>
      </x:c>
      <x:c r="O5" s="8" t="str">
        <x:v>P1节点</x:v>
      </x:c>
      <x:c r="P5" s="8" t="str">
        <x:v>P2节点</x:v>
      </x:c>
      <x:c r="Q5" s="8" t="str">
        <x:v>P3节点</x:v>
      </x:c>
      <x:c r="R5" s="8" t="str">
        <x:v>P4节点</x:v>
      </x:c>
      <x:c r="S5" s="8" t="str">
        <x:v>P5节点</x:v>
      </x:c>
      <x:c r="T5" s="8" t="str">
        <x:v>P6节点</x:v>
      </x:c>
      <x:c r="U5" s="8" t="str">
        <x:v>P7节点</x:v>
      </x:c>
      <x:c r="V5" s="8" t="str">
        <x:v>P8节点</x:v>
      </x:c>
      <x:c r="W5" s="8" t="str">
        <x:v>P9节点</x:v>
      </x:c>
      <x:c r="X5" s="8" t="str">
        <x:v>P10节点</x:v>
      </x:c>
      <x:c r="Y5" s="8" t="str">
        <x:v>P1源三角形</x:v>
      </x:c>
      <x:c r="Z5" s="8" t="str">
        <x:v>P2源三角形</x:v>
      </x:c>
      <x:c r="AA5" s="8" t="str">
        <x:v>P3源三角形</x:v>
      </x:c>
      <x:c r="AB5" s="8" t="str">
        <x:v>P4源三角形</x:v>
      </x:c>
      <x:c r="AC5" s="8" t="str">
        <x:v>P5源三角形</x:v>
      </x:c>
      <x:c r="AD5" s="8" t="str">
        <x:v>P6源三角形</x:v>
      </x:c>
      <x:c r="AE5" s="8" t="str">
        <x:v>P7源三角形</x:v>
      </x:c>
      <x:c r="AF5" s="8" t="str">
        <x:v>P8源三角形</x:v>
      </x:c>
      <x:c r="AG5" s="8" t="str">
        <x:v>P9源三角形</x:v>
      </x:c>
      <x:c r="AH5" s="8" t="str">
        <x:v>P10源三角形</x:v>
      </x:c>
    </x:row>
    <x:row r="6" ht="23" customHeight="1">
      <x:c r="A6" s="10" t="str">
        <x:v>M1</x:v>
      </x:c>
      <x:c r="B6" s="10" t="str">
        <x:v>N_H0</x:v>
      </x:c>
      <x:c r="C6" s="9" t="str">
        <x:v>主对照</x:v>
      </x:c>
      <x:c r="D6" s="11" t="n">
        <x:v>1167</x:v>
      </x:c>
      <x:c r="E6" s="11" t="n">
        <x:v>725</x:v>
      </x:c>
      <x:c r="F6" s="11" t="n">
        <x:v>925</x:v>
      </x:c>
      <x:c r="G6" s="11" t="n">
        <x:v>0</x:v>
      </x:c>
      <x:c r="H6" s="11" t="n">
        <x:v>725</x:v>
      </x:c>
      <x:c r="I6" s="11" t="n">
        <x:v>1723934</x:v>
      </x:c>
      <x:c r="J6" s="11" t="n">
        <x:v>360289.640000001</x:v>
      </x:c>
      <x:c r="K6" s="12" t="n">
        <x:f>E6/D6</x:f>
        <x:v>0.6212510711225364</x:v>
      </x:c>
      <x:c r="L6" s="12" t="n">
        <x:f>F6/D6</x:f>
        <x:v>0.792630676949443</x:v>
      </x:c>
      <x:c r="M6" s="12" t="n">
        <x:f>G6/D6</x:f>
        <x:v>0</x:v>
      </x:c>
      <x:c r="N6" s="12" t="n">
        <x:f>J6/I6</x:f>
        <x:v>0.20899271085784085</x:v>
      </x:c>
      <x:c r="O6" s="11" t="n">
        <x:v>0</x:v>
      </x:c>
      <x:c r="P6" s="11" t="n">
        <x:v>156</x:v>
      </x:c>
      <x:c r="Q6" s="11" t="n">
        <x:v>62</x:v>
      </x:c>
      <x:c r="R6" s="11" t="n">
        <x:v>0</x:v>
      </x:c>
      <x:c r="S6" s="11" t="n">
        <x:v>925</x:v>
      </x:c>
      <x:c r="T6" s="11" t="n">
        <x:v>0</x:v>
      </x:c>
      <x:c r="U6" s="11" t="n">
        <x:v>4</x:v>
      </x:c>
      <x:c r="V6" s="11" t="n">
        <x:v>12</x:v>
      </x:c>
      <x:c r="W6" s="11" t="n">
        <x:v>8</x:v>
      </x:c>
      <x:c r="X6" s="11" t="n">
        <x:v>0</x:v>
      </x:c>
      <x:c r="Y6" s="11" t="n">
        <x:v>0</x:v>
      </x:c>
      <x:c r="Z6" s="11" t="n">
        <x:v>113092</x:v>
      </x:c>
      <x:c r="AA6" s="11" t="n">
        <x:v>135032</x:v>
      </x:c>
      <x:c r="AB6" s="11" t="n">
        <x:v>0</x:v>
      </x:c>
      <x:c r="AC6" s="11" t="n">
        <x:v>1412628</x:v>
      </x:c>
      <x:c r="AD6" s="11" t="n">
        <x:v>0</x:v>
      </x:c>
      <x:c r="AE6" s="11" t="n">
        <x:v>6112</x:v>
      </x:c>
      <x:c r="AF6" s="11" t="n">
        <x:v>44386</x:v>
      </x:c>
      <x:c r="AG6" s="11" t="n">
        <x:v>12684</x:v>
      </x:c>
      <x:c r="AH6" s="11" t="n">
        <x:v>0</x:v>
      </x:c>
    </x:row>
    <x:row r="7" ht="23" customHeight="1">
      <x:c r="A7" s="10" t="str">
        <x:v>M1</x:v>
      </x:c>
      <x:c r="B7" s="10" t="str">
        <x:v>N_HT</x:v>
      </x:c>
      <x:c r="C7" s="9" t="str">
        <x:v>仅拓扑与尺度</x:v>
      </x:c>
      <x:c r="D7" s="11" t="n">
        <x:v>1167</x:v>
      </x:c>
      <x:c r="E7" s="11" t="n">
        <x:v>725</x:v>
      </x:c>
      <x:c r="F7" s="11" t="n">
        <x:v>925</x:v>
      </x:c>
      <x:c r="G7" s="11" t="n">
        <x:v>0</x:v>
      </x:c>
      <x:c r="H7" s="11" t="n">
        <x:v>725</x:v>
      </x:c>
      <x:c r="I7" s="11" t="n">
        <x:v>1723934</x:v>
      </x:c>
      <x:c r="J7" s="11" t="n">
        <x:v>360289.640000001</x:v>
      </x:c>
      <x:c r="K7" s="12" t="n">
        <x:f>E7/D7</x:f>
        <x:v>0.6212510711225364</x:v>
      </x:c>
      <x:c r="L7" s="12" t="n">
        <x:f>F7/D7</x:f>
        <x:v>0.792630676949443</x:v>
      </x:c>
      <x:c r="M7" s="12" t="n">
        <x:f>G7/D7</x:f>
        <x:v>0</x:v>
      </x:c>
      <x:c r="N7" s="12" t="n">
        <x:f>J7/I7</x:f>
        <x:v>0.20899271085784085</x:v>
      </x:c>
      <x:c r="O7" s="11" t="n">
        <x:v>0</x:v>
      </x:c>
      <x:c r="P7" s="11" t="n">
        <x:v>156</x:v>
      </x:c>
      <x:c r="Q7" s="11" t="n">
        <x:v>62</x:v>
      </x:c>
      <x:c r="R7" s="11" t="n">
        <x:v>0</x:v>
      </x:c>
      <x:c r="S7" s="11" t="n">
        <x:v>925</x:v>
      </x:c>
      <x:c r="T7" s="11" t="n">
        <x:v>0</x:v>
      </x:c>
      <x:c r="U7" s="11" t="n">
        <x:v>4</x:v>
      </x:c>
      <x:c r="V7" s="11" t="n">
        <x:v>12</x:v>
      </x:c>
      <x:c r="W7" s="11" t="n">
        <x:v>8</x:v>
      </x:c>
      <x:c r="X7" s="11" t="n">
        <x:v>0</x:v>
      </x:c>
      <x:c r="Y7" s="11" t="n">
        <x:v>0</x:v>
      </x:c>
      <x:c r="Z7" s="11" t="n">
        <x:v>113092</x:v>
      </x:c>
      <x:c r="AA7" s="11" t="n">
        <x:v>135032</x:v>
      </x:c>
      <x:c r="AB7" s="11" t="n">
        <x:v>0</x:v>
      </x:c>
      <x:c r="AC7" s="11" t="n">
        <x:v>1412628</x:v>
      </x:c>
      <x:c r="AD7" s="11" t="n">
        <x:v>0</x:v>
      </x:c>
      <x:c r="AE7" s="11" t="n">
        <x:v>6112</x:v>
      </x:c>
      <x:c r="AF7" s="11" t="n">
        <x:v>44386</x:v>
      </x:c>
      <x:c r="AG7" s="11" t="n">
        <x:v>12684</x:v>
      </x:c>
      <x:c r="AH7" s="11" t="n">
        <x:v>0</x:v>
      </x:c>
    </x:row>
    <x:row r="8" ht="23" customHeight="1">
      <x:c r="A8" s="10" t="str">
        <x:v>M1</x:v>
      </x:c>
      <x:c r="B8" s="10" t="str">
        <x:v>N_H1</x:v>
      </x:c>
      <x:c r="C8" s="9" t="str">
        <x:v>主对照</x:v>
      </x:c>
      <x:c r="D8" s="11" t="n">
        <x:v>1167</x:v>
      </x:c>
      <x:c r="E8" s="11" t="n">
        <x:v>725</x:v>
      </x:c>
      <x:c r="F8" s="11" t="n">
        <x:v>925</x:v>
      </x:c>
      <x:c r="G8" s="11" t="n">
        <x:v>0</x:v>
      </x:c>
      <x:c r="H8" s="11" t="n">
        <x:v>740</x:v>
      </x:c>
      <x:c r="I8" s="11" t="n">
        <x:v>1723934</x:v>
      </x:c>
      <x:c r="J8" s="11" t="n">
        <x:v>361228.32000000094</x:v>
      </x:c>
      <x:c r="K8" s="12" t="n">
        <x:f>E8/D8</x:f>
        <x:v>0.6212510711225364</x:v>
      </x:c>
      <x:c r="L8" s="12" t="n">
        <x:f>F8/D8</x:f>
        <x:v>0.792630676949443</x:v>
      </x:c>
      <x:c r="M8" s="12" t="n">
        <x:f>G8/D8</x:f>
        <x:v>0</x:v>
      </x:c>
      <x:c r="N8" s="12" t="n">
        <x:f>J8/I8</x:f>
        <x:v>0.20953720966115927</x:v>
      </x:c>
      <x:c r="O8" s="11" t="n">
        <x:v>0</x:v>
      </x:c>
      <x:c r="P8" s="11" t="n">
        <x:v>156</x:v>
      </x:c>
      <x:c r="Q8" s="11" t="n">
        <x:v>50</x:v>
      </x:c>
      <x:c r="R8" s="11" t="n">
        <x:v>0</x:v>
      </x:c>
      <x:c r="S8" s="11" t="n">
        <x:v>925</x:v>
      </x:c>
      <x:c r="T8" s="11" t="n">
        <x:v>11</x:v>
      </x:c>
      <x:c r="U8" s="11" t="n">
        <x:v>5</x:v>
      </x:c>
      <x:c r="V8" s="11" t="n">
        <x:v>12</x:v>
      </x:c>
      <x:c r="W8" s="11" t="n">
        <x:v>8</x:v>
      </x:c>
      <x:c r="X8" s="11" t="n">
        <x:v>0</x:v>
      </x:c>
      <x:c r="Y8" s="11" t="n">
        <x:v>0</x:v>
      </x:c>
      <x:c r="Z8" s="11" t="n">
        <x:v>113092</x:v>
      </x:c>
      <x:c r="AA8" s="11" t="n">
        <x:v>128582</x:v>
      </x:c>
      <x:c r="AB8" s="11" t="n">
        <x:v>0</x:v>
      </x:c>
      <x:c r="AC8" s="11" t="n">
        <x:v>1412628</x:v>
      </x:c>
      <x:c r="AD8" s="11" t="n">
        <x:v>5558</x:v>
      </x:c>
      <x:c r="AE8" s="11" t="n">
        <x:v>7004</x:v>
      </x:c>
      <x:c r="AF8" s="11" t="n">
        <x:v>44386</x:v>
      </x:c>
      <x:c r="AG8" s="11" t="n">
        <x:v>12684</x:v>
      </x:c>
      <x:c r="AH8" s="11" t="n">
        <x:v>0</x:v>
      </x:c>
    </x:row>
    <x:row r="9" ht="23" customHeight="1">
      <x:c r="A9" s="10" t="str">
        <x:v>M1</x:v>
      </x:c>
      <x:c r="B9" s="10" t="str">
        <x:v>C_H0</x:v>
      </x:c>
      <x:c r="C9" s="9" t="str">
        <x:v>主对照</x:v>
      </x:c>
      <x:c r="D9" s="11" t="n">
        <x:v>1167</x:v>
      </x:c>
      <x:c r="E9" s="11" t="n">
        <x:v>861</x:v>
      </x:c>
      <x:c r="F9" s="11" t="n">
        <x:v>866</x:v>
      </x:c>
      <x:c r="G9" s="11" t="n">
        <x:v>0</x:v>
      </x:c>
      <x:c r="H9" s="11" t="n">
        <x:v>720</x:v>
      </x:c>
      <x:c r="I9" s="11" t="n">
        <x:v>1723934</x:v>
      </x:c>
      <x:c r="J9" s="11" t="n">
        <x:v>347963.4800000013</x:v>
      </x:c>
      <x:c r="K9" s="12" t="n">
        <x:f>E9/D9</x:f>
        <x:v>0.7377892030848329</x:v>
      </x:c>
      <x:c r="L9" s="12" t="n">
        <x:f>F9/D9</x:f>
        <x:v>0.7420736932305055</x:v>
      </x:c>
      <x:c r="M9" s="12" t="n">
        <x:f>G9/D9</x:f>
        <x:v>0</x:v>
      </x:c>
      <x:c r="N9" s="12" t="n">
        <x:f>J9/I9</x:f>
        <x:v>0.20184269235365235</x:v>
      </x:c>
      <x:c r="O9" s="11" t="n">
        <x:v>0</x:v>
      </x:c>
      <x:c r="P9" s="11" t="n">
        <x:v>301</x:v>
      </x:c>
      <x:c r="Q9" s="11" t="n">
        <x:v>0</x:v>
      </x:c>
      <x:c r="R9" s="11" t="n">
        <x:v>0</x:v>
      </x:c>
      <x:c r="S9" s="11" t="n">
        <x:v>866</x:v>
      </x:c>
      <x:c r="T9" s="11" t="n">
        <x:v>0</x:v>
      </x:c>
      <x:c r="U9" s="11" t="n">
        <x:v>0</x:v>
      </x:c>
      <x:c r="V9" s="11" t="n">
        <x:v>0</x:v>
      </x:c>
      <x:c r="W9" s="11" t="n">
        <x:v>0</x:v>
      </x:c>
      <x:c r="X9" s="11" t="n">
        <x:v>0</x:v>
      </x:c>
      <x:c r="Y9" s="11" t="n">
        <x:v>0</x:v>
      </x:c>
      <x:c r="Z9" s="11" t="n">
        <x:v>260850</x:v>
      </x:c>
      <x:c r="AA9" s="11" t="n">
        <x:v>0</x:v>
      </x:c>
      <x:c r="AB9" s="11" t="n">
        <x:v>0</x:v>
      </x:c>
      <x:c r="AC9" s="11" t="n">
        <x:v>1463084</x:v>
      </x:c>
      <x:c r="AD9" s="11" t="n">
        <x:v>0</x:v>
      </x:c>
      <x:c r="AE9" s="11" t="n">
        <x:v>0</x:v>
      </x:c>
      <x:c r="AF9" s="11" t="n">
        <x:v>0</x:v>
      </x:c>
      <x:c r="AG9" s="11" t="n">
        <x:v>0</x:v>
      </x:c>
      <x:c r="AH9" s="11" t="n">
        <x:v>0</x:v>
      </x:c>
    </x:row>
    <x:row r="10" ht="23" customHeight="1">
      <x:c r="A10" s="10" t="str">
        <x:v>M1</x:v>
      </x:c>
      <x:c r="B10" s="10" t="str">
        <x:v>C_HT</x:v>
      </x:c>
      <x:c r="C10" s="9" t="str">
        <x:v>仅拓扑与尺度</x:v>
      </x:c>
      <x:c r="D10" s="11" t="n">
        <x:v>1167</x:v>
      </x:c>
      <x:c r="E10" s="11" t="n">
        <x:v>861</x:v>
      </x:c>
      <x:c r="F10" s="11" t="n">
        <x:v>866</x:v>
      </x:c>
      <x:c r="G10" s="11" t="n">
        <x:v>0</x:v>
      </x:c>
      <x:c r="H10" s="11" t="n">
        <x:v>720</x:v>
      </x:c>
      <x:c r="I10" s="11" t="n">
        <x:v>1723934</x:v>
      </x:c>
      <x:c r="J10" s="11" t="n">
        <x:v>347963.4800000013</x:v>
      </x:c>
      <x:c r="K10" s="12" t="n">
        <x:f>E10/D10</x:f>
        <x:v>0.7377892030848329</x:v>
      </x:c>
      <x:c r="L10" s="12" t="n">
        <x:f>F10/D10</x:f>
        <x:v>0.7420736932305055</x:v>
      </x:c>
      <x:c r="M10" s="12" t="n">
        <x:f>G10/D10</x:f>
        <x:v>0</x:v>
      </x:c>
      <x:c r="N10" s="12" t="n">
        <x:f>J10/I10</x:f>
        <x:v>0.20184269235365235</x:v>
      </x:c>
      <x:c r="O10" s="11" t="n">
        <x:v>0</x:v>
      </x:c>
      <x:c r="P10" s="11" t="n">
        <x:v>301</x:v>
      </x:c>
      <x:c r="Q10" s="11" t="n">
        <x:v>0</x:v>
      </x:c>
      <x:c r="R10" s="11" t="n">
        <x:v>0</x:v>
      </x:c>
      <x:c r="S10" s="11" t="n">
        <x:v>866</x:v>
      </x:c>
      <x:c r="T10" s="11" t="n">
        <x:v>0</x:v>
      </x:c>
      <x:c r="U10" s="11" t="n">
        <x:v>0</x:v>
      </x:c>
      <x:c r="V10" s="11" t="n">
        <x:v>0</x:v>
      </x:c>
      <x:c r="W10" s="11" t="n">
        <x:v>0</x:v>
      </x:c>
      <x:c r="X10" s="11" t="n">
        <x:v>0</x:v>
      </x:c>
      <x:c r="Y10" s="11" t="n">
        <x:v>0</x:v>
      </x:c>
      <x:c r="Z10" s="11" t="n">
        <x:v>260850</x:v>
      </x:c>
      <x:c r="AA10" s="11" t="n">
        <x:v>0</x:v>
      </x:c>
      <x:c r="AB10" s="11" t="n">
        <x:v>0</x:v>
      </x:c>
      <x:c r="AC10" s="11" t="n">
        <x:v>1463084</x:v>
      </x:c>
      <x:c r="AD10" s="11" t="n">
        <x:v>0</x:v>
      </x:c>
      <x:c r="AE10" s="11" t="n">
        <x:v>0</x:v>
      </x:c>
      <x:c r="AF10" s="11" t="n">
        <x:v>0</x:v>
      </x:c>
      <x:c r="AG10" s="11" t="n">
        <x:v>0</x:v>
      </x:c>
      <x:c r="AH10" s="11" t="n">
        <x:v>0</x:v>
      </x:c>
    </x:row>
    <x:row r="11" ht="23" customHeight="1">
      <x:c r="A11" s="10" t="str">
        <x:v>M1</x:v>
      </x:c>
      <x:c r="B11" s="10" t="str">
        <x:v>C_H1</x:v>
      </x:c>
      <x:c r="C11" s="9" t="str">
        <x:v>主对照</x:v>
      </x:c>
      <x:c r="D11" s="11" t="n">
        <x:v>1167</x:v>
      </x:c>
      <x:c r="E11" s="11" t="n">
        <x:v>861</x:v>
      </x:c>
      <x:c r="F11" s="11" t="n">
        <x:v>866</x:v>
      </x:c>
      <x:c r="G11" s="11" t="n">
        <x:v>0</x:v>
      </x:c>
      <x:c r="H11" s="11" t="n">
        <x:v>720</x:v>
      </x:c>
      <x:c r="I11" s="11" t="n">
        <x:v>1723934</x:v>
      </x:c>
      <x:c r="J11" s="11" t="n">
        <x:v>347963.4800000013</x:v>
      </x:c>
      <x:c r="K11" s="12" t="n">
        <x:f>E11/D11</x:f>
        <x:v>0.7377892030848329</x:v>
      </x:c>
      <x:c r="L11" s="12" t="n">
        <x:f>F11/D11</x:f>
        <x:v>0.7420736932305055</x:v>
      </x:c>
      <x:c r="M11" s="12" t="n">
        <x:f>G11/D11</x:f>
        <x:v>0</x:v>
      </x:c>
      <x:c r="N11" s="12" t="n">
        <x:f>J11/I11</x:f>
        <x:v>0.20184269235365235</x:v>
      </x:c>
      <x:c r="O11" s="11" t="n">
        <x:v>0</x:v>
      </x:c>
      <x:c r="P11" s="11" t="n">
        <x:v>301</x:v>
      </x:c>
      <x:c r="Q11" s="11" t="n">
        <x:v>0</x:v>
      </x:c>
      <x:c r="R11" s="11" t="n">
        <x:v>0</x:v>
      </x:c>
      <x:c r="S11" s="11" t="n">
        <x:v>866</x:v>
      </x:c>
      <x:c r="T11" s="11" t="n">
        <x:v>0</x:v>
      </x:c>
      <x:c r="U11" s="11" t="n">
        <x:v>0</x:v>
      </x:c>
      <x:c r="V11" s="11" t="n">
        <x:v>0</x:v>
      </x:c>
      <x:c r="W11" s="11" t="n">
        <x:v>0</x:v>
      </x:c>
      <x:c r="X11" s="11" t="n">
        <x:v>0</x:v>
      </x:c>
      <x:c r="Y11" s="11" t="n">
        <x:v>0</x:v>
      </x:c>
      <x:c r="Z11" s="11" t="n">
        <x:v>260850</x:v>
      </x:c>
      <x:c r="AA11" s="11" t="n">
        <x:v>0</x:v>
      </x:c>
      <x:c r="AB11" s="11" t="n">
        <x:v>0</x:v>
      </x:c>
      <x:c r="AC11" s="11" t="n">
        <x:v>1463084</x:v>
      </x:c>
      <x:c r="AD11" s="11" t="n">
        <x:v>0</x:v>
      </x:c>
      <x:c r="AE11" s="11" t="n">
        <x:v>0</x:v>
      </x:c>
      <x:c r="AF11" s="11" t="n">
        <x:v>0</x:v>
      </x:c>
      <x:c r="AG11" s="11" t="n">
        <x:v>0</x:v>
      </x:c>
      <x:c r="AH11" s="11" t="n">
        <x:v>0</x:v>
      </x:c>
    </x:row>
    <x:row r="12" ht="23" customHeight="1">
      <x:c r="A12" s="10" t="str">
        <x:v>M1</x:v>
      </x:c>
      <x:c r="B12" s="10" t="str">
        <x:v>G_H0</x:v>
      </x:c>
      <x:c r="C12" s="9" t="str">
        <x:v>主对照</x:v>
      </x:c>
      <x:c r="D12" s="11" t="n">
        <x:v>1167</x:v>
      </x:c>
      <x:c r="E12" s="11" t="n">
        <x:v>1167</x:v>
      </x:c>
      <x:c r="F12" s="11" t="n">
        <x:v>1167</x:v>
      </x:c>
      <x:c r="G12" s="11" t="n">
        <x:v>0</x:v>
      </x:c>
      <x:c r="H12" s="11" t="n">
        <x:v>1167</x:v>
      </x:c>
      <x:c r="I12" s="11" t="n">
        <x:v>1723934</x:v>
      </x:c>
      <x:c r="J12" s="11" t="n">
        <x:v>330819.97535612667</x:v>
      </x:c>
      <x:c r="K12" s="12" t="n">
        <x:f>E12/D12</x:f>
        <x:v>1</x:v>
      </x:c>
      <x:c r="L12" s="12" t="n">
        <x:f>F12/D12</x:f>
        <x:v>1</x:v>
      </x:c>
      <x:c r="M12" s="12" t="n">
        <x:f>G12/D12</x:f>
        <x:v>0</x:v>
      </x:c>
      <x:c r="N12" s="12" t="n">
        <x:f>J12/I12</x:f>
        <x:v>0.19189828343551824</x:v>
      </x:c>
      <x:c r="O12" s="11" t="n">
        <x:v>0</x:v>
      </x:c>
      <x:c r="P12" s="11" t="n">
        <x:v>89</x:v>
      </x:c>
      <x:c r="Q12" s="11" t="n">
        <x:v>542</x:v>
      </x:c>
      <x:c r="R12" s="11" t="n">
        <x:v>255</x:v>
      </x:c>
      <x:c r="S12" s="11" t="n">
        <x:v>209</x:v>
      </x:c>
      <x:c r="T12" s="11" t="n">
        <x:v>72</x:v>
      </x:c>
      <x:c r="U12" s="11" t="n">
        <x:v>0</x:v>
      </x:c>
      <x:c r="V12" s="11" t="n">
        <x:v>0</x:v>
      </x:c>
      <x:c r="W12" s="11" t="n">
        <x:v>0</x:v>
      </x:c>
      <x:c r="X12" s="11" t="n">
        <x:v>0</x:v>
      </x:c>
      <x:c r="Y12" s="11" t="n">
        <x:v>0</x:v>
      </x:c>
      <x:c r="Z12" s="11" t="n">
        <x:v>42346</x:v>
      </x:c>
      <x:c r="AA12" s="11" t="n">
        <x:v>619256</x:v>
      </x:c>
      <x:c r="AB12" s="11" t="n">
        <x:v>530982</x:v>
      </x:c>
      <x:c r="AC12" s="11" t="n">
        <x:v>392830</x:v>
      </x:c>
      <x:c r="AD12" s="11" t="n">
        <x:v>138520</x:v>
      </x:c>
      <x:c r="AE12" s="11" t="n">
        <x:v>0</x:v>
      </x:c>
      <x:c r="AF12" s="11" t="n">
        <x:v>0</x:v>
      </x:c>
      <x:c r="AG12" s="11" t="n">
        <x:v>0</x:v>
      </x:c>
      <x:c r="AH12" s="11" t="n">
        <x:v>0</x:v>
      </x:c>
    </x:row>
    <x:row r="13" ht="23" customHeight="1">
      <x:c r="A13" s="10" t="str">
        <x:v>M1</x:v>
      </x:c>
      <x:c r="B13" s="10" t="str">
        <x:v>G_HT</x:v>
      </x:c>
      <x:c r="C13" s="9" t="str">
        <x:v>仅拓扑与尺度</x:v>
      </x:c>
      <x:c r="D13" s="11" t="n">
        <x:v>1167</x:v>
      </x:c>
      <x:c r="E13" s="11" t="n">
        <x:v>1167</x:v>
      </x:c>
      <x:c r="F13" s="11" t="n">
        <x:v>1167</x:v>
      </x:c>
      <x:c r="G13" s="11" t="n">
        <x:v>0</x:v>
      </x:c>
      <x:c r="H13" s="11" t="n">
        <x:v>1167</x:v>
      </x:c>
      <x:c r="I13" s="11" t="n">
        <x:v>1723934</x:v>
      </x:c>
      <x:c r="J13" s="11" t="n">
        <x:v>334662.0553561268</x:v>
      </x:c>
      <x:c r="K13" s="12" t="n">
        <x:f>E13/D13</x:f>
        <x:v>1</x:v>
      </x:c>
      <x:c r="L13" s="12" t="n">
        <x:f>F13/D13</x:f>
        <x:v>1</x:v>
      </x:c>
      <x:c r="M13" s="12" t="n">
        <x:f>G13/D13</x:f>
        <x:v>0</x:v>
      </x:c>
      <x:c r="N13" s="12" t="n">
        <x:f>J13/I13</x:f>
        <x:v>0.19412695344260675</x:v>
      </x:c>
      <x:c r="O13" s="11" t="n">
        <x:v>0</x:v>
      </x:c>
      <x:c r="P13" s="11" t="n">
        <x:v>89</x:v>
      </x:c>
      <x:c r="Q13" s="11" t="n">
        <x:v>465</x:v>
      </x:c>
      <x:c r="R13" s="11" t="n">
        <x:v>328</x:v>
      </x:c>
      <x:c r="S13" s="11" t="n">
        <x:v>213</x:v>
      </x:c>
      <x:c r="T13" s="11" t="n">
        <x:v>72</x:v>
      </x:c>
      <x:c r="U13" s="11" t="n">
        <x:v>0</x:v>
      </x:c>
      <x:c r="V13" s="11" t="n">
        <x:v>0</x:v>
      </x:c>
      <x:c r="W13" s="11" t="n">
        <x:v>0</x:v>
      </x:c>
      <x:c r="X13" s="11" t="n">
        <x:v>0</x:v>
      </x:c>
      <x:c r="Y13" s="11" t="n">
        <x:v>0</x:v>
      </x:c>
      <x:c r="Z13" s="11" t="n">
        <x:v>42346</x:v>
      </x:c>
      <x:c r="AA13" s="11" t="n">
        <x:v>529960</x:v>
      </x:c>
      <x:c r="AB13" s="11" t="n">
        <x:v>615774</x:v>
      </x:c>
      <x:c r="AC13" s="11" t="n">
        <x:v>397334</x:v>
      </x:c>
      <x:c r="AD13" s="11" t="n">
        <x:v>138520</x:v>
      </x:c>
      <x:c r="AE13" s="11" t="n">
        <x:v>0</x:v>
      </x:c>
      <x:c r="AF13" s="11" t="n">
        <x:v>0</x:v>
      </x:c>
      <x:c r="AG13" s="11" t="n">
        <x:v>0</x:v>
      </x:c>
      <x:c r="AH13" s="11" t="n">
        <x:v>0</x:v>
      </x:c>
    </x:row>
    <x:row r="14" ht="23" customHeight="1">
      <x:c r="A14" s="10" t="str">
        <x:v>M1</x:v>
      </x:c>
      <x:c r="B14" s="10" t="str">
        <x:v>G_H1</x:v>
      </x:c>
      <x:c r="C14" s="9" t="str">
        <x:v>主对照</x:v>
      </x:c>
      <x:c r="D14" s="11" t="n">
        <x:v>1167</x:v>
      </x:c>
      <x:c r="E14" s="11" t="n">
        <x:v>1167</x:v>
      </x:c>
      <x:c r="F14" s="11" t="n">
        <x:v>1167</x:v>
      </x:c>
      <x:c r="G14" s="11" t="n">
        <x:v>0</x:v>
      </x:c>
      <x:c r="H14" s="11" t="n">
        <x:v>1167</x:v>
      </x:c>
      <x:c r="I14" s="11" t="n">
        <x:v>1723934</x:v>
      </x:c>
      <x:c r="J14" s="11" t="n">
        <x:v>334662.0553561268</x:v>
      </x:c>
      <x:c r="K14" s="12" t="n">
        <x:f>E14/D14</x:f>
        <x:v>1</x:v>
      </x:c>
      <x:c r="L14" s="12" t="n">
        <x:f>F14/D14</x:f>
        <x:v>1</x:v>
      </x:c>
      <x:c r="M14" s="12" t="n">
        <x:f>G14/D14</x:f>
        <x:v>0</x:v>
      </x:c>
      <x:c r="N14" s="12" t="n">
        <x:f>J14/I14</x:f>
        <x:v>0.19412695344260675</x:v>
      </x:c>
      <x:c r="O14" s="11" t="n">
        <x:v>0</x:v>
      </x:c>
      <x:c r="P14" s="11" t="n">
        <x:v>89</x:v>
      </x:c>
      <x:c r="Q14" s="11" t="n">
        <x:v>465</x:v>
      </x:c>
      <x:c r="R14" s="11" t="n">
        <x:v>328</x:v>
      </x:c>
      <x:c r="S14" s="11" t="n">
        <x:v>213</x:v>
      </x:c>
      <x:c r="T14" s="11" t="n">
        <x:v>72</x:v>
      </x:c>
      <x:c r="U14" s="11" t="n">
        <x:v>0</x:v>
      </x:c>
      <x:c r="V14" s="11" t="n">
        <x:v>0</x:v>
      </x:c>
      <x:c r="W14" s="11" t="n">
        <x:v>0</x:v>
      </x:c>
      <x:c r="X14" s="11" t="n">
        <x:v>0</x:v>
      </x:c>
      <x:c r="Y14" s="11" t="n">
        <x:v>0</x:v>
      </x:c>
      <x:c r="Z14" s="11" t="n">
        <x:v>42346</x:v>
      </x:c>
      <x:c r="AA14" s="11" t="n">
        <x:v>529960</x:v>
      </x:c>
      <x:c r="AB14" s="11" t="n">
        <x:v>615774</x:v>
      </x:c>
      <x:c r="AC14" s="11" t="n">
        <x:v>397334</x:v>
      </x:c>
      <x:c r="AD14" s="11" t="n">
        <x:v>138520</x:v>
      </x:c>
      <x:c r="AE14" s="11" t="n">
        <x:v>0</x:v>
      </x:c>
      <x:c r="AF14" s="11" t="n">
        <x:v>0</x:v>
      </x:c>
      <x:c r="AG14" s="11" t="n">
        <x:v>0</x:v>
      </x:c>
      <x:c r="AH14" s="11" t="n">
        <x:v>0</x:v>
      </x:c>
    </x:row>
    <x:row r="15" ht="23" customHeight="1">
      <x:c r="A15" s="10" t="str">
        <x:v>M1</x:v>
      </x:c>
      <x:c r="B15" s="10" t="str">
        <x:v>NC_H0</x:v>
      </x:c>
      <x:c r="C15" s="9" t="str">
        <x:v>主对照</x:v>
      </x:c>
      <x:c r="D15" s="11" t="n">
        <x:v>1167</x:v>
      </x:c>
      <x:c r="E15" s="11" t="n">
        <x:v>576</x:v>
      </x:c>
      <x:c r="F15" s="11" t="n">
        <x:v>757</x:v>
      </x:c>
      <x:c r="G15" s="11" t="n">
        <x:v>94</x:v>
      </x:c>
      <x:c r="H15" s="11" t="n">
        <x:v>489</x:v>
      </x:c>
      <x:c r="I15" s="11" t="n">
        <x:v>1723934</x:v>
      </x:c>
      <x:c r="J15" s="11" t="n">
        <x:v>339922.960000001</x:v>
      </x:c>
      <x:c r="K15" s="12" t="n">
        <x:f>E15/D15</x:f>
        <x:v>0.493573264781491</x:v>
      </x:c>
      <x:c r="L15" s="12" t="n">
        <x:f>F15/D15</x:f>
        <x:v>0.6486718080548415</x:v>
      </x:c>
      <x:c r="M15" s="12" t="n">
        <x:f>G15/D15</x:f>
        <x:v>0.0805484147386461</x:v>
      </x:c>
      <x:c r="N15" s="12" t="n">
        <x:f>J15/I15</x:f>
        <x:v>0.1971786390894321</x:v>
      </x:c>
      <x:c r="O15" s="11" t="n">
        <x:v>0</x:v>
      </x:c>
      <x:c r="P15" s="11" t="n">
        <x:v>330</x:v>
      </x:c>
      <x:c r="Q15" s="11" t="n">
        <x:v>56</x:v>
      </x:c>
      <x:c r="R15" s="11" t="n">
        <x:v>0</x:v>
      </x:c>
      <x:c r="S15" s="11" t="n">
        <x:v>757</x:v>
      </x:c>
      <x:c r="T15" s="11" t="n">
        <x:v>0</x:v>
      </x:c>
      <x:c r="U15" s="11" t="n">
        <x:v>4</x:v>
      </x:c>
      <x:c r="V15" s="11" t="n">
        <x:v>12</x:v>
      </x:c>
      <x:c r="W15" s="11" t="n">
        <x:v>8</x:v>
      </x:c>
      <x:c r="X15" s="11" t="n">
        <x:v>0</x:v>
      </x:c>
      <x:c r="Y15" s="11" t="n">
        <x:v>0</x:v>
      </x:c>
      <x:c r="Z15" s="11" t="n">
        <x:v>285916</x:v>
      </x:c>
      <x:c r="AA15" s="11" t="n">
        <x:v>131310</x:v>
      </x:c>
      <x:c r="AB15" s="11" t="n">
        <x:v>0</x:v>
      </x:c>
      <x:c r="AC15" s="11" t="n">
        <x:v>1243526</x:v>
      </x:c>
      <x:c r="AD15" s="11" t="n">
        <x:v>0</x:v>
      </x:c>
      <x:c r="AE15" s="11" t="n">
        <x:v>6112</x:v>
      </x:c>
      <x:c r="AF15" s="11" t="n">
        <x:v>44386</x:v>
      </x:c>
      <x:c r="AG15" s="11" t="n">
        <x:v>12684</x:v>
      </x:c>
      <x:c r="AH15" s="11" t="n">
        <x:v>0</x:v>
      </x:c>
    </x:row>
    <x:row r="16" ht="23" customHeight="1">
      <x:c r="A16" s="10" t="str">
        <x:v>M1</x:v>
      </x:c>
      <x:c r="B16" s="10" t="str">
        <x:v>NC_HT</x:v>
      </x:c>
      <x:c r="C16" s="9" t="str">
        <x:v>仅拓扑与尺度</x:v>
      </x:c>
      <x:c r="D16" s="11" t="n">
        <x:v>1167</x:v>
      </x:c>
      <x:c r="E16" s="11" t="n">
        <x:v>576</x:v>
      </x:c>
      <x:c r="F16" s="11" t="n">
        <x:v>757</x:v>
      </x:c>
      <x:c r="G16" s="11" t="n">
        <x:v>94</x:v>
      </x:c>
      <x:c r="H16" s="11" t="n">
        <x:v>489</x:v>
      </x:c>
      <x:c r="I16" s="11" t="n">
        <x:v>1723934</x:v>
      </x:c>
      <x:c r="J16" s="11" t="n">
        <x:v>339922.960000001</x:v>
      </x:c>
      <x:c r="K16" s="12" t="n">
        <x:f>E16/D16</x:f>
        <x:v>0.493573264781491</x:v>
      </x:c>
      <x:c r="L16" s="12" t="n">
        <x:f>F16/D16</x:f>
        <x:v>0.6486718080548415</x:v>
      </x:c>
      <x:c r="M16" s="12" t="n">
        <x:f>G16/D16</x:f>
        <x:v>0.0805484147386461</x:v>
      </x:c>
      <x:c r="N16" s="12" t="n">
        <x:f>J16/I16</x:f>
        <x:v>0.1971786390894321</x:v>
      </x:c>
      <x:c r="O16" s="11" t="n">
        <x:v>0</x:v>
      </x:c>
      <x:c r="P16" s="11" t="n">
        <x:v>330</x:v>
      </x:c>
      <x:c r="Q16" s="11" t="n">
        <x:v>56</x:v>
      </x:c>
      <x:c r="R16" s="11" t="n">
        <x:v>0</x:v>
      </x:c>
      <x:c r="S16" s="11" t="n">
        <x:v>757</x:v>
      </x:c>
      <x:c r="T16" s="11" t="n">
        <x:v>0</x:v>
      </x:c>
      <x:c r="U16" s="11" t="n">
        <x:v>4</x:v>
      </x:c>
      <x:c r="V16" s="11" t="n">
        <x:v>12</x:v>
      </x:c>
      <x:c r="W16" s="11" t="n">
        <x:v>8</x:v>
      </x:c>
      <x:c r="X16" s="11" t="n">
        <x:v>0</x:v>
      </x:c>
      <x:c r="Y16" s="11" t="n">
        <x:v>0</x:v>
      </x:c>
      <x:c r="Z16" s="11" t="n">
        <x:v>285916</x:v>
      </x:c>
      <x:c r="AA16" s="11" t="n">
        <x:v>131310</x:v>
      </x:c>
      <x:c r="AB16" s="11" t="n">
        <x:v>0</x:v>
      </x:c>
      <x:c r="AC16" s="11" t="n">
        <x:v>1243526</x:v>
      </x:c>
      <x:c r="AD16" s="11" t="n">
        <x:v>0</x:v>
      </x:c>
      <x:c r="AE16" s="11" t="n">
        <x:v>6112</x:v>
      </x:c>
      <x:c r="AF16" s="11" t="n">
        <x:v>44386</x:v>
      </x:c>
      <x:c r="AG16" s="11" t="n">
        <x:v>12684</x:v>
      </x:c>
      <x:c r="AH16" s="11" t="n">
        <x:v>0</x:v>
      </x:c>
    </x:row>
    <x:row r="17" ht="23" customHeight="1">
      <x:c r="A17" s="10" t="str">
        <x:v>M1</x:v>
      </x:c>
      <x:c r="B17" s="10" t="str">
        <x:v>NC_H1</x:v>
      </x:c>
      <x:c r="C17" s="9" t="str">
        <x:v>主对照</x:v>
      </x:c>
      <x:c r="D17" s="11" t="n">
        <x:v>1167</x:v>
      </x:c>
      <x:c r="E17" s="11" t="n">
        <x:v>576</x:v>
      </x:c>
      <x:c r="F17" s="11" t="n">
        <x:v>757</x:v>
      </x:c>
      <x:c r="G17" s="11" t="n">
        <x:v>94</x:v>
      </x:c>
      <x:c r="H17" s="11" t="n">
        <x:v>498</x:v>
      </x:c>
      <x:c r="I17" s="11" t="n">
        <x:v>1723934</x:v>
      </x:c>
      <x:c r="J17" s="11" t="n">
        <x:v>340340.560000001</x:v>
      </x:c>
      <x:c r="K17" s="12" t="n">
        <x:f>E17/D17</x:f>
        <x:v>0.493573264781491</x:v>
      </x:c>
      <x:c r="L17" s="12" t="n">
        <x:f>F17/D17</x:f>
        <x:v>0.6486718080548415</x:v>
      </x:c>
      <x:c r="M17" s="12" t="n">
        <x:f>G17/D17</x:f>
        <x:v>0.0805484147386461</x:v>
      </x:c>
      <x:c r="N17" s="12" t="n">
        <x:f>J17/I17</x:f>
        <x:v>0.19742087574118325</x:v>
      </x:c>
      <x:c r="O17" s="11" t="n">
        <x:v>0</x:v>
      </x:c>
      <x:c r="P17" s="11" t="n">
        <x:v>330</x:v>
      </x:c>
      <x:c r="Q17" s="11" t="n">
        <x:v>50</x:v>
      </x:c>
      <x:c r="R17" s="11" t="n">
        <x:v>0</x:v>
      </x:c>
      <x:c r="S17" s="11" t="n">
        <x:v>757</x:v>
      </x:c>
      <x:c r="T17" s="11" t="n">
        <x:v>5</x:v>
      </x:c>
      <x:c r="U17" s="11" t="n">
        <x:v>5</x:v>
      </x:c>
      <x:c r="V17" s="11" t="n">
        <x:v>12</x:v>
      </x:c>
      <x:c r="W17" s="11" t="n">
        <x:v>8</x:v>
      </x:c>
      <x:c r="X17" s="11" t="n">
        <x:v>0</x:v>
      </x:c>
      <x:c r="Y17" s="11" t="n">
        <x:v>0</x:v>
      </x:c>
      <x:c r="Z17" s="11" t="n">
        <x:v>285916</x:v>
      </x:c>
      <x:c r="AA17" s="11" t="n">
        <x:v>128582</x:v>
      </x:c>
      <x:c r="AB17" s="11" t="n">
        <x:v>0</x:v>
      </x:c>
      <x:c r="AC17" s="11" t="n">
        <x:v>1243526</x:v>
      </x:c>
      <x:c r="AD17" s="11" t="n">
        <x:v>1836</x:v>
      </x:c>
      <x:c r="AE17" s="11" t="n">
        <x:v>7004</x:v>
      </x:c>
      <x:c r="AF17" s="11" t="n">
        <x:v>44386</x:v>
      </x:c>
      <x:c r="AG17" s="11" t="n">
        <x:v>12684</x:v>
      </x:c>
      <x:c r="AH17" s="11" t="n">
        <x:v>0</x:v>
      </x:c>
    </x:row>
    <x:row r="18" ht="23" customHeight="1">
      <x:c r="A18" s="10" t="str">
        <x:v>M1</x:v>
      </x:c>
      <x:c r="B18" s="10" t="str">
        <x:v>NG_H0</x:v>
      </x:c>
      <x:c r="C18" s="9" t="str">
        <x:v>主对照</x:v>
      </x:c>
      <x:c r="D18" s="11" t="n">
        <x:v>1167</x:v>
      </x:c>
      <x:c r="E18" s="11" t="n">
        <x:v>725</x:v>
      </x:c>
      <x:c r="F18" s="11" t="n">
        <x:v>925</x:v>
      </x:c>
      <x:c r="G18" s="11" t="n">
        <x:v>0</x:v>
      </x:c>
      <x:c r="H18" s="11" t="n">
        <x:v>725</x:v>
      </x:c>
      <x:c r="I18" s="11" t="n">
        <x:v>1723934</x:v>
      </x:c>
      <x:c r="J18" s="11" t="n">
        <x:v>343504.2153561267</x:v>
      </x:c>
      <x:c r="K18" s="12" t="n">
        <x:f>E18/D18</x:f>
        <x:v>0.6212510711225364</x:v>
      </x:c>
      <x:c r="L18" s="12" t="n">
        <x:f>F18/D18</x:f>
        <x:v>0.792630676949443</x:v>
      </x:c>
      <x:c r="M18" s="12" t="n">
        <x:f>G18/D18</x:f>
        <x:v>0</x:v>
      </x:c>
      <x:c r="N18" s="12" t="n">
        <x:f>J18/I18</x:f>
        <x:v>0.19925601290776024</x:v>
      </x:c>
      <x:c r="O18" s="11" t="n">
        <x:v>0</x:v>
      </x:c>
      <x:c r="P18" s="11" t="n">
        <x:v>111</x:v>
      </x:c>
      <x:c r="Q18" s="11" t="n">
        <x:v>503</x:v>
      </x:c>
      <x:c r="R18" s="11" t="n">
        <x:v>248</x:v>
      </x:c>
      <x:c r="S18" s="11" t="n">
        <x:v>209</x:v>
      </x:c>
      <x:c r="T18" s="11" t="n">
        <x:v>72</x:v>
      </x:c>
      <x:c r="U18" s="11" t="n">
        <x:v>4</x:v>
      </x:c>
      <x:c r="V18" s="11" t="n">
        <x:v>12</x:v>
      </x:c>
      <x:c r="W18" s="11" t="n">
        <x:v>8</x:v>
      </x:c>
      <x:c r="X18" s="11" t="n">
        <x:v>0</x:v>
      </x:c>
      <x:c r="Y18" s="11" t="n">
        <x:v>0</x:v>
      </x:c>
      <x:c r="Z18" s="11" t="n">
        <x:v>60752</x:v>
      </x:c>
      <x:c r="AA18" s="11" t="n">
        <x:v>571774</x:v>
      </x:c>
      <x:c r="AB18" s="11" t="n">
        <x:v>496876</x:v>
      </x:c>
      <x:c r="AC18" s="11" t="n">
        <x:v>392830</x:v>
      </x:c>
      <x:c r="AD18" s="11" t="n">
        <x:v>138520</x:v>
      </x:c>
      <x:c r="AE18" s="11" t="n">
        <x:v>6112</x:v>
      </x:c>
      <x:c r="AF18" s="11" t="n">
        <x:v>44386</x:v>
      </x:c>
      <x:c r="AG18" s="11" t="n">
        <x:v>12684</x:v>
      </x:c>
      <x:c r="AH18" s="11" t="n">
        <x:v>0</x:v>
      </x:c>
    </x:row>
    <x:row r="19" ht="23" customHeight="1">
      <x:c r="A19" s="10" t="str">
        <x:v>M1</x:v>
      </x:c>
      <x:c r="B19" s="10" t="str">
        <x:v>NG_HT</x:v>
      </x:c>
      <x:c r="C19" s="9" t="str">
        <x:v>仅拓扑与尺度</x:v>
      </x:c>
      <x:c r="D19" s="11" t="n">
        <x:v>1167</x:v>
      </x:c>
      <x:c r="E19" s="11" t="n">
        <x:v>725</x:v>
      </x:c>
      <x:c r="F19" s="11" t="n">
        <x:v>925</x:v>
      </x:c>
      <x:c r="G19" s="11" t="n">
        <x:v>0</x:v>
      </x:c>
      <x:c r="H19" s="11" t="n">
        <x:v>725</x:v>
      </x:c>
      <x:c r="I19" s="11" t="n">
        <x:v>1723934</x:v>
      </x:c>
      <x:c r="J19" s="11" t="n">
        <x:v>347346.2953561268</x:v>
      </x:c>
      <x:c r="K19" s="12" t="n">
        <x:f>E19/D19</x:f>
        <x:v>0.6212510711225364</x:v>
      </x:c>
      <x:c r="L19" s="12" t="n">
        <x:f>F19/D19</x:f>
        <x:v>0.792630676949443</x:v>
      </x:c>
      <x:c r="M19" s="12" t="n">
        <x:f>G19/D19</x:f>
        <x:v>0</x:v>
      </x:c>
      <x:c r="N19" s="12" t="n">
        <x:f>J19/I19</x:f>
        <x:v>0.2014846829148487</x:v>
      </x:c>
      <x:c r="O19" s="11" t="n">
        <x:v>0</x:v>
      </x:c>
      <x:c r="P19" s="11" t="n">
        <x:v>111</x:v>
      </x:c>
      <x:c r="Q19" s="11" t="n">
        <x:v>426</x:v>
      </x:c>
      <x:c r="R19" s="11" t="n">
        <x:v>321</x:v>
      </x:c>
      <x:c r="S19" s="11" t="n">
        <x:v>213</x:v>
      </x:c>
      <x:c r="T19" s="11" t="n">
        <x:v>72</x:v>
      </x:c>
      <x:c r="U19" s="11" t="n">
        <x:v>4</x:v>
      </x:c>
      <x:c r="V19" s="11" t="n">
        <x:v>12</x:v>
      </x:c>
      <x:c r="W19" s="11" t="n">
        <x:v>8</x:v>
      </x:c>
      <x:c r="X19" s="11" t="n">
        <x:v>0</x:v>
      </x:c>
      <x:c r="Y19" s="11" t="n">
        <x:v>0</x:v>
      </x:c>
      <x:c r="Z19" s="11" t="n">
        <x:v>60752</x:v>
      </x:c>
      <x:c r="AA19" s="11" t="n">
        <x:v>482478</x:v>
      </x:c>
      <x:c r="AB19" s="11" t="n">
        <x:v>581668</x:v>
      </x:c>
      <x:c r="AC19" s="11" t="n">
        <x:v>397334</x:v>
      </x:c>
      <x:c r="AD19" s="11" t="n">
        <x:v>138520</x:v>
      </x:c>
      <x:c r="AE19" s="11" t="n">
        <x:v>6112</x:v>
      </x:c>
      <x:c r="AF19" s="11" t="n">
        <x:v>44386</x:v>
      </x:c>
      <x:c r="AG19" s="11" t="n">
        <x:v>12684</x:v>
      </x:c>
      <x:c r="AH19" s="11" t="n">
        <x:v>0</x:v>
      </x:c>
    </x:row>
    <x:row r="20" ht="23" customHeight="1">
      <x:c r="A20" s="10" t="str">
        <x:v>M1</x:v>
      </x:c>
      <x:c r="B20" s="10" t="str">
        <x:v>NG_H1</x:v>
      </x:c>
      <x:c r="C20" s="9" t="str">
        <x:v>主对照</x:v>
      </x:c>
      <x:c r="D20" s="11" t="n">
        <x:v>1167</x:v>
      </x:c>
      <x:c r="E20" s="11" t="n">
        <x:v>725</x:v>
      </x:c>
      <x:c r="F20" s="11" t="n">
        <x:v>925</x:v>
      </x:c>
      <x:c r="G20" s="11" t="n">
        <x:v>0</x:v>
      </x:c>
      <x:c r="H20" s="11" t="n">
        <x:v>740</x:v>
      </x:c>
      <x:c r="I20" s="11" t="n">
        <x:v>1723934</x:v>
      </x:c>
      <x:c r="J20" s="11" t="n">
        <x:v>348284.9753561268</x:v>
      </x:c>
      <x:c r="K20" s="12" t="n">
        <x:f>E20/D20</x:f>
        <x:v>0.6212510711225364</x:v>
      </x:c>
      <x:c r="L20" s="12" t="n">
        <x:f>F20/D20</x:f>
        <x:v>0.792630676949443</x:v>
      </x:c>
      <x:c r="M20" s="12" t="n">
        <x:f>G20/D20</x:f>
        <x:v>0</x:v>
      </x:c>
      <x:c r="N20" s="12" t="n">
        <x:f>J20/I20</x:f>
        <x:v>0.20202918171816717</x:v>
      </x:c>
      <x:c r="O20" s="11" t="n">
        <x:v>0</x:v>
      </x:c>
      <x:c r="P20" s="11" t="n">
        <x:v>111</x:v>
      </x:c>
      <x:c r="Q20" s="11" t="n">
        <x:v>414</x:v>
      </x:c>
      <x:c r="R20" s="11" t="n">
        <x:v>321</x:v>
      </x:c>
      <x:c r="S20" s="11" t="n">
        <x:v>213</x:v>
      </x:c>
      <x:c r="T20" s="11" t="n">
        <x:v>83</x:v>
      </x:c>
      <x:c r="U20" s="11" t="n">
        <x:v>5</x:v>
      </x:c>
      <x:c r="V20" s="11" t="n">
        <x:v>12</x:v>
      </x:c>
      <x:c r="W20" s="11" t="n">
        <x:v>8</x:v>
      </x:c>
      <x:c r="X20" s="11" t="n">
        <x:v>0</x:v>
      </x:c>
      <x:c r="Y20" s="11" t="n">
        <x:v>0</x:v>
      </x:c>
      <x:c r="Z20" s="11" t="n">
        <x:v>60752</x:v>
      </x:c>
      <x:c r="AA20" s="11" t="n">
        <x:v>476028</x:v>
      </x:c>
      <x:c r="AB20" s="11" t="n">
        <x:v>581668</x:v>
      </x:c>
      <x:c r="AC20" s="11" t="n">
        <x:v>397334</x:v>
      </x:c>
      <x:c r="AD20" s="11" t="n">
        <x:v>144078</x:v>
      </x:c>
      <x:c r="AE20" s="11" t="n">
        <x:v>7004</x:v>
      </x:c>
      <x:c r="AF20" s="11" t="n">
        <x:v>44386</x:v>
      </x:c>
      <x:c r="AG20" s="11" t="n">
        <x:v>12684</x:v>
      </x:c>
      <x:c r="AH20" s="11" t="n">
        <x:v>0</x:v>
      </x:c>
    </x:row>
    <x:row r="21" ht="23" customHeight="1">
      <x:c r="A21" s="10" t="str">
        <x:v>M1</x:v>
      </x:c>
      <x:c r="B21" s="10" t="str">
        <x:v>CG_H0</x:v>
      </x:c>
      <x:c r="C21" s="9" t="str">
        <x:v>主对照</x:v>
      </x:c>
      <x:c r="D21" s="11" t="n">
        <x:v>1167</x:v>
      </x:c>
      <x:c r="E21" s="11" t="n">
        <x:v>861</x:v>
      </x:c>
      <x:c r="F21" s="11" t="n">
        <x:v>866</x:v>
      </x:c>
      <x:c r="G21" s="11" t="n">
        <x:v>0</x:v>
      </x:c>
      <x:c r="H21" s="11" t="n">
        <x:v>720</x:v>
      </x:c>
      <x:c r="I21" s="11" t="n">
        <x:v>1723934</x:v>
      </x:c>
      <x:c r="J21" s="11" t="n">
        <x:v>330540.1753561266</x:v>
      </x:c>
      <x:c r="K21" s="12" t="n">
        <x:f>E21/D21</x:f>
        <x:v>0.7377892030848329</x:v>
      </x:c>
      <x:c r="L21" s="12" t="n">
        <x:f>F21/D21</x:f>
        <x:v>0.7420736932305055</x:v>
      </x:c>
      <x:c r="M21" s="12" t="n">
        <x:f>G21/D21</x:f>
        <x:v>0</x:v>
      </x:c>
      <x:c r="N21" s="12" t="n">
        <x:f>J21/I21</x:f>
        <x:v>0.19173598023829602</x:v>
      </x:c>
      <x:c r="O21" s="11" t="n">
        <x:v>0</x:v>
      </x:c>
      <x:c r="P21" s="11" t="n">
        <x:v>128</x:v>
      </x:c>
      <x:c r="Q21" s="11" t="n">
        <x:v>503</x:v>
      </x:c>
      <x:c r="R21" s="11" t="n">
        <x:v>255</x:v>
      </x:c>
      <x:c r="S21" s="11" t="n">
        <x:v>209</x:v>
      </x:c>
      <x:c r="T21" s="11" t="n">
        <x:v>72</x:v>
      </x:c>
      <x:c r="U21" s="11" t="n">
        <x:v>0</x:v>
      </x:c>
      <x:c r="V21" s="11" t="n">
        <x:v>0</x:v>
      </x:c>
      <x:c r="W21" s="11" t="n">
        <x:v>0</x:v>
      </x:c>
      <x:c r="X21" s="11" t="n">
        <x:v>0</x:v>
      </x:c>
      <x:c r="Y21" s="11" t="n">
        <x:v>0</x:v>
      </x:c>
      <x:c r="Z21" s="11" t="n">
        <x:v>56336</x:v>
      </x:c>
      <x:c r="AA21" s="11" t="n">
        <x:v>605266</x:v>
      </x:c>
      <x:c r="AB21" s="11" t="n">
        <x:v>530982</x:v>
      </x:c>
      <x:c r="AC21" s="11" t="n">
        <x:v>392830</x:v>
      </x:c>
      <x:c r="AD21" s="11" t="n">
        <x:v>138520</x:v>
      </x:c>
      <x:c r="AE21" s="11" t="n">
        <x:v>0</x:v>
      </x:c>
      <x:c r="AF21" s="11" t="n">
        <x:v>0</x:v>
      </x:c>
      <x:c r="AG21" s="11" t="n">
        <x:v>0</x:v>
      </x:c>
      <x:c r="AH21" s="11" t="n">
        <x:v>0</x:v>
      </x:c>
    </x:row>
    <x:row r="22" ht="23" customHeight="1">
      <x:c r="A22" s="10" t="str">
        <x:v>M1</x:v>
      </x:c>
      <x:c r="B22" s="10" t="str">
        <x:v>CG_HT</x:v>
      </x:c>
      <x:c r="C22" s="9" t="str">
        <x:v>仅拓扑与尺度</x:v>
      </x:c>
      <x:c r="D22" s="11" t="n">
        <x:v>1167</x:v>
      </x:c>
      <x:c r="E22" s="11" t="n">
        <x:v>890</x:v>
      </x:c>
      <x:c r="F22" s="11" t="n">
        <x:v>895</x:v>
      </x:c>
      <x:c r="G22" s="11" t="n">
        <x:v>0</x:v>
      </x:c>
      <x:c r="H22" s="11" t="n">
        <x:v>749</x:v>
      </x:c>
      <x:c r="I22" s="11" t="n">
        <x:v>1723934</x:v>
      </x:c>
      <x:c r="J22" s="11" t="n">
        <x:v>334532.9753561268</x:v>
      </x:c>
      <x:c r="K22" s="12" t="n">
        <x:f>E22/D22</x:f>
        <x:v>0.7626392459297343</x:v>
      </x:c>
      <x:c r="L22" s="12" t="n">
        <x:f>F22/D22</x:f>
        <x:v>0.766923736075407</x:v>
      </x:c>
      <x:c r="M22" s="12" t="n">
        <x:f>G22/D22</x:f>
        <x:v>0</x:v>
      </x:c>
      <x:c r="N22" s="12" t="n">
        <x:f>J22/I22</x:f>
        <x:v>0.19405207818636142</x:v>
      </x:c>
      <x:c r="O22" s="11" t="n">
        <x:v>0</x:v>
      </x:c>
      <x:c r="P22" s="11" t="n">
        <x:v>128</x:v>
      </x:c>
      <x:c r="Q22" s="11" t="n">
        <x:v>426</x:v>
      </x:c>
      <x:c r="R22" s="11" t="n">
        <x:v>328</x:v>
      </x:c>
      <x:c r="S22" s="11" t="n">
        <x:v>209</x:v>
      </x:c>
      <x:c r="T22" s="11" t="n">
        <x:v>76</x:v>
      </x:c>
      <x:c r="U22" s="11" t="n">
        <x:v>0</x:v>
      </x:c>
      <x:c r="V22" s="11" t="n">
        <x:v>0</x:v>
      </x:c>
      <x:c r="W22" s="11" t="n">
        <x:v>0</x:v>
      </x:c>
      <x:c r="X22" s="11" t="n">
        <x:v>0</x:v>
      </x:c>
      <x:c r="Y22" s="11" t="n">
        <x:v>0</x:v>
      </x:c>
      <x:c r="Z22" s="11" t="n">
        <x:v>56336</x:v>
      </x:c>
      <x:c r="AA22" s="11" t="n">
        <x:v>515970</x:v>
      </x:c>
      <x:c r="AB22" s="11" t="n">
        <x:v>615774</x:v>
      </x:c>
      <x:c r="AC22" s="11" t="n">
        <x:v>393566</x:v>
      </x:c>
      <x:c r="AD22" s="11" t="n">
        <x:v>142288</x:v>
      </x:c>
      <x:c r="AE22" s="11" t="n">
        <x:v>0</x:v>
      </x:c>
      <x:c r="AF22" s="11" t="n">
        <x:v>0</x:v>
      </x:c>
      <x:c r="AG22" s="11" t="n">
        <x:v>0</x:v>
      </x:c>
      <x:c r="AH22" s="11" t="n">
        <x:v>0</x:v>
      </x:c>
    </x:row>
    <x:row r="23" ht="23" customHeight="1">
      <x:c r="A23" s="10" t="str">
        <x:v>M1</x:v>
      </x:c>
      <x:c r="B23" s="10" t="str">
        <x:v>CG_H1</x:v>
      </x:c>
      <x:c r="C23" s="9" t="str">
        <x:v>主对照</x:v>
      </x:c>
      <x:c r="D23" s="11" t="n">
        <x:v>1167</x:v>
      </x:c>
      <x:c r="E23" s="11" t="n">
        <x:v>890</x:v>
      </x:c>
      <x:c r="F23" s="11" t="n">
        <x:v>895</x:v>
      </x:c>
      <x:c r="G23" s="11" t="n">
        <x:v>0</x:v>
      </x:c>
      <x:c r="H23" s="11" t="n">
        <x:v>749</x:v>
      </x:c>
      <x:c r="I23" s="11" t="n">
        <x:v>1723934</x:v>
      </x:c>
      <x:c r="J23" s="11" t="n">
        <x:v>334532.9753561268</x:v>
      </x:c>
      <x:c r="K23" s="12" t="n">
        <x:f>E23/D23</x:f>
        <x:v>0.7626392459297343</x:v>
      </x:c>
      <x:c r="L23" s="12" t="n">
        <x:f>F23/D23</x:f>
        <x:v>0.766923736075407</x:v>
      </x:c>
      <x:c r="M23" s="12" t="n">
        <x:f>G23/D23</x:f>
        <x:v>0</x:v>
      </x:c>
      <x:c r="N23" s="12" t="n">
        <x:f>J23/I23</x:f>
        <x:v>0.19405207818636142</x:v>
      </x:c>
      <x:c r="O23" s="11" t="n">
        <x:v>0</x:v>
      </x:c>
      <x:c r="P23" s="11" t="n">
        <x:v>128</x:v>
      </x:c>
      <x:c r="Q23" s="11" t="n">
        <x:v>426</x:v>
      </x:c>
      <x:c r="R23" s="11" t="n">
        <x:v>328</x:v>
      </x:c>
      <x:c r="S23" s="11" t="n">
        <x:v>209</x:v>
      </x:c>
      <x:c r="T23" s="11" t="n">
        <x:v>76</x:v>
      </x:c>
      <x:c r="U23" s="11" t="n">
        <x:v>0</x:v>
      </x:c>
      <x:c r="V23" s="11" t="n">
        <x:v>0</x:v>
      </x:c>
      <x:c r="W23" s="11" t="n">
        <x:v>0</x:v>
      </x:c>
      <x:c r="X23" s="11" t="n">
        <x:v>0</x:v>
      </x:c>
      <x:c r="Y23" s="11" t="n">
        <x:v>0</x:v>
      </x:c>
      <x:c r="Z23" s="11" t="n">
        <x:v>56336</x:v>
      </x:c>
      <x:c r="AA23" s="11" t="n">
        <x:v>515970</x:v>
      </x:c>
      <x:c r="AB23" s="11" t="n">
        <x:v>615774</x:v>
      </x:c>
      <x:c r="AC23" s="11" t="n">
        <x:v>393566</x:v>
      </x:c>
      <x:c r="AD23" s="11" t="n">
        <x:v>142288</x:v>
      </x:c>
      <x:c r="AE23" s="11" t="n">
        <x:v>0</x:v>
      </x:c>
      <x:c r="AF23" s="11" t="n">
        <x:v>0</x:v>
      </x:c>
      <x:c r="AG23" s="11" t="n">
        <x:v>0</x:v>
      </x:c>
      <x:c r="AH23" s="11" t="n">
        <x:v>0</x:v>
      </x:c>
    </x:row>
    <x:row r="24" ht="23" customHeight="1">
      <x:c r="A24" s="10" t="str">
        <x:v>M1</x:v>
      </x:c>
      <x:c r="B24" s="10" t="str">
        <x:v>NCG_H0</x:v>
      </x:c>
      <x:c r="C24" s="9" t="str">
        <x:v>主对照</x:v>
      </x:c>
      <x:c r="D24" s="11" t="n">
        <x:v>1167</x:v>
      </x:c>
      <x:c r="E24" s="11" t="n">
        <x:v>576</x:v>
      </x:c>
      <x:c r="F24" s="11" t="n">
        <x:v>757</x:v>
      </x:c>
      <x:c r="G24" s="11" t="n">
        <x:v>94</x:v>
      </x:c>
      <x:c r="H24" s="11" t="n">
        <x:v>489</x:v>
      </x:c>
      <x:c r="I24" s="11" t="n">
        <x:v>1723934</x:v>
      </x:c>
      <x:c r="J24" s="11" t="n">
        <x:v>345483.5353561267</x:v>
      </x:c>
      <x:c r="K24" s="12" t="n">
        <x:f>E24/D24</x:f>
        <x:v>0.493573264781491</x:v>
      </x:c>
      <x:c r="L24" s="12" t="n">
        <x:f>F24/D24</x:f>
        <x:v>0.6486718080548415</x:v>
      </x:c>
      <x:c r="M24" s="12" t="n">
        <x:f>G24/D24</x:f>
        <x:v>0.0805484147386461</x:v>
      </x:c>
      <x:c r="N24" s="12" t="n">
        <x:f>J24/I24</x:f>
        <x:v>0.20040415430992528</x:v>
      </x:c>
      <x:c r="O24" s="11" t="n">
        <x:v>0</x:v>
      </x:c>
      <x:c r="P24" s="11" t="n">
        <x:v>95</x:v>
      </x:c>
      <x:c r="Q24" s="11" t="n">
        <x:v>486</x:v>
      </x:c>
      <x:c r="R24" s="11" t="n">
        <x:v>277</x:v>
      </x:c>
      <x:c r="S24" s="11" t="n">
        <x:v>207</x:v>
      </x:c>
      <x:c r="T24" s="11" t="n">
        <x:v>78</x:v>
      </x:c>
      <x:c r="U24" s="11" t="n">
        <x:v>4</x:v>
      </x:c>
      <x:c r="V24" s="11" t="n">
        <x:v>12</x:v>
      </x:c>
      <x:c r="W24" s="11" t="n">
        <x:v>8</x:v>
      </x:c>
      <x:c r="X24" s="11" t="n">
        <x:v>0</x:v>
      </x:c>
      <x:c r="Y24" s="11" t="n">
        <x:v>0</x:v>
      </x:c>
      <x:c r="Z24" s="11" t="n">
        <x:v>49086</x:v>
      </x:c>
      <x:c r="AA24" s="11" t="n">
        <x:v>552608</x:v>
      </x:c>
      <x:c r="AB24" s="11" t="n">
        <x:v>520848</x:v>
      </x:c>
      <x:c r="AC24" s="11" t="n">
        <x:v>397162</x:v>
      </x:c>
      <x:c r="AD24" s="11" t="n">
        <x:v>141048</x:v>
      </x:c>
      <x:c r="AE24" s="11" t="n">
        <x:v>6112</x:v>
      </x:c>
      <x:c r="AF24" s="11" t="n">
        <x:v>44386</x:v>
      </x:c>
      <x:c r="AG24" s="11" t="n">
        <x:v>12684</x:v>
      </x:c>
      <x:c r="AH24" s="11" t="n">
        <x:v>0</x:v>
      </x:c>
    </x:row>
    <x:row r="25" ht="23" customHeight="1">
      <x:c r="A25" s="10" t="str">
        <x:v>M1</x:v>
      </x:c>
      <x:c r="B25" s="10" t="str">
        <x:v>NCG_HT</x:v>
      </x:c>
      <x:c r="C25" s="9" t="str">
        <x:v>仅拓扑与尺度</x:v>
      </x:c>
      <x:c r="D25" s="11" t="n">
        <x:v>1167</x:v>
      </x:c>
      <x:c r="E25" s="11" t="n">
        <x:v>602</x:v>
      </x:c>
      <x:c r="F25" s="11" t="n">
        <x:v>783</x:v>
      </x:c>
      <x:c r="G25" s="11" t="n">
        <x:v>94</x:v>
      </x:c>
      <x:c r="H25" s="11" t="n">
        <x:v>513</x:v>
      </x:c>
      <x:c r="I25" s="11" t="n">
        <x:v>1723934</x:v>
      </x:c>
      <x:c r="J25" s="11" t="n">
        <x:v>349060.3353561267</x:v>
      </x:c>
      <x:c r="K25" s="12" t="n">
        <x:f>E25/D25</x:f>
        <x:v>0.5158526135389888</x:v>
      </x:c>
      <x:c r="L25" s="12" t="n">
        <x:f>F25/D25</x:f>
        <x:v>0.6709511568123393</x:v>
      </x:c>
      <x:c r="M25" s="12" t="n">
        <x:f>G25/D25</x:f>
        <x:v>0.0805484147386461</x:v>
      </x:c>
      <x:c r="N25" s="12" t="n">
        <x:f>J25/I25</x:f>
        <x:v>0.2024789437160162</x:v>
      </x:c>
      <x:c r="O25" s="11" t="n">
        <x:v>0</x:v>
      </x:c>
      <x:c r="P25" s="11" t="n">
        <x:v>95</x:v>
      </x:c>
      <x:c r="Q25" s="11" t="n">
        <x:v>419</x:v>
      </x:c>
      <x:c r="R25" s="11" t="n">
        <x:v>341</x:v>
      </x:c>
      <x:c r="S25" s="11" t="n">
        <x:v>207</x:v>
      </x:c>
      <x:c r="T25" s="11" t="n">
        <x:v>81</x:v>
      </x:c>
      <x:c r="U25" s="11" t="n">
        <x:v>4</x:v>
      </x:c>
      <x:c r="V25" s="11" t="n">
        <x:v>12</x:v>
      </x:c>
      <x:c r="W25" s="11" t="n">
        <x:v>8</x:v>
      </x:c>
      <x:c r="X25" s="11" t="n">
        <x:v>0</x:v>
      </x:c>
      <x:c r="Y25" s="11" t="n">
        <x:v>0</x:v>
      </x:c>
      <x:c r="Z25" s="11" t="n">
        <x:v>49086</x:v>
      </x:c>
      <x:c r="AA25" s="11" t="n">
        <x:v>471978</x:v>
      </x:c>
      <x:c r="AB25" s="11" t="n">
        <x:v>597954</x:v>
      </x:c>
      <x:c r="AC25" s="11" t="n">
        <x:v>397182</x:v>
      </x:c>
      <x:c r="AD25" s="11" t="n">
        <x:v>144552</x:v>
      </x:c>
      <x:c r="AE25" s="11" t="n">
        <x:v>6112</x:v>
      </x:c>
      <x:c r="AF25" s="11" t="n">
        <x:v>44386</x:v>
      </x:c>
      <x:c r="AG25" s="11" t="n">
        <x:v>12684</x:v>
      </x:c>
      <x:c r="AH25" s="11" t="n">
        <x:v>0</x:v>
      </x:c>
    </x:row>
    <x:row r="26" ht="23" customHeight="1">
      <x:c r="A26" s="10" t="str">
        <x:v>M1</x:v>
      </x:c>
      <x:c r="B26" s="10" t="str">
        <x:v>NCG_H1</x:v>
      </x:c>
      <x:c r="C26" s="9" t="str">
        <x:v>主对照</x:v>
      </x:c>
      <x:c r="D26" s="11" t="n">
        <x:v>1167</x:v>
      </x:c>
      <x:c r="E26" s="11" t="n">
        <x:v>602</x:v>
      </x:c>
      <x:c r="F26" s="11" t="n">
        <x:v>783</x:v>
      </x:c>
      <x:c r="G26" s="11" t="n">
        <x:v>94</x:v>
      </x:c>
      <x:c r="H26" s="11" t="n">
        <x:v>522</x:v>
      </x:c>
      <x:c r="I26" s="11" t="n">
        <x:v>1723934</x:v>
      </x:c>
      <x:c r="J26" s="11" t="n">
        <x:v>349477.9353561267</x:v>
      </x:c>
      <x:c r="K26" s="12" t="n">
        <x:f>E26/D26</x:f>
        <x:v>0.5158526135389888</x:v>
      </x:c>
      <x:c r="L26" s="12" t="n">
        <x:f>F26/D26</x:f>
        <x:v>0.6709511568123393</x:v>
      </x:c>
      <x:c r="M26" s="12" t="n">
        <x:f>G26/D26</x:f>
        <x:v>0.0805484147386461</x:v>
      </x:c>
      <x:c r="N26" s="12" t="n">
        <x:f>J26/I26</x:f>
        <x:v>0.20272118036776737</x:v>
      </x:c>
      <x:c r="O26" s="11" t="n">
        <x:v>0</x:v>
      </x:c>
      <x:c r="P26" s="11" t="n">
        <x:v>95</x:v>
      </x:c>
      <x:c r="Q26" s="11" t="n">
        <x:v>413</x:v>
      </x:c>
      <x:c r="R26" s="11" t="n">
        <x:v>341</x:v>
      </x:c>
      <x:c r="S26" s="11" t="n">
        <x:v>207</x:v>
      </x:c>
      <x:c r="T26" s="11" t="n">
        <x:v>86</x:v>
      </x:c>
      <x:c r="U26" s="11" t="n">
        <x:v>5</x:v>
      </x:c>
      <x:c r="V26" s="11" t="n">
        <x:v>12</x:v>
      </x:c>
      <x:c r="W26" s="11" t="n">
        <x:v>8</x:v>
      </x:c>
      <x:c r="X26" s="11" t="n">
        <x:v>0</x:v>
      </x:c>
      <x:c r="Y26" s="11" t="n">
        <x:v>0</x:v>
      </x:c>
      <x:c r="Z26" s="11" t="n">
        <x:v>49086</x:v>
      </x:c>
      <x:c r="AA26" s="11" t="n">
        <x:v>469250</x:v>
      </x:c>
      <x:c r="AB26" s="11" t="n">
        <x:v>597954</x:v>
      </x:c>
      <x:c r="AC26" s="11" t="n">
        <x:v>397182</x:v>
      </x:c>
      <x:c r="AD26" s="11" t="n">
        <x:v>146388</x:v>
      </x:c>
      <x:c r="AE26" s="11" t="n">
        <x:v>7004</x:v>
      </x:c>
      <x:c r="AF26" s="11" t="n">
        <x:v>44386</x:v>
      </x:c>
      <x:c r="AG26" s="11" t="n">
        <x:v>12684</x:v>
      </x:c>
      <x:c r="AH26" s="11" t="n">
        <x:v>0</x:v>
      </x:c>
    </x:row>
    <x:row r="27" ht="23" customHeight="1">
      <x:c r="A27" s="10" t="str">
        <x:v>M1</x:v>
      </x:c>
      <x:c r="B27" s="10" t="str">
        <x:v>NCG_H0_M1</x:v>
      </x:c>
      <x:c r="C27" s="9" t="str">
        <x:v>叶名称辅助</x:v>
      </x:c>
      <x:c r="D27" s="11" t="n">
        <x:v>1167</x:v>
      </x:c>
      <x:c r="E27" s="11" t="n">
        <x:v>444</x:v>
      </x:c>
      <x:c r="F27" s="11" t="n">
        <x:v>575</x:v>
      </x:c>
      <x:c r="G27" s="11" t="n">
        <x:v>94</x:v>
      </x:c>
      <x:c r="H27" s="11" t="n">
        <x:v>713</x:v>
      </x:c>
      <x:c r="I27" s="11" t="n">
        <x:v>1723934</x:v>
      </x:c>
      <x:c r="J27" s="11" t="n">
        <x:v>372189.69535612693</x:v>
      </x:c>
      <x:c r="K27" s="12" t="n">
        <x:f>E27/D27</x:f>
        <x:v>0.38046272493573263</x:v>
      </x:c>
      <x:c r="L27" s="12" t="n">
        <x:f>F27/D27</x:f>
        <x:v>0.49271636675235647</x:v>
      </x:c>
      <x:c r="M27" s="12" t="n">
        <x:f>G27/D27</x:f>
        <x:v>0.0805484147386461</x:v>
      </x:c>
      <x:c r="N27" s="12" t="n">
        <x:f>J27/I27</x:f>
        <x:v>0.2158955594333234</x:v>
      </x:c>
      <x:c r="O27" s="11" t="n">
        <x:v>0</x:v>
      </x:c>
      <x:c r="P27" s="11" t="n">
        <x:v>91</x:v>
      </x:c>
      <x:c r="Q27" s="11" t="n">
        <x:v>440</x:v>
      </x:c>
      <x:c r="R27" s="11" t="n">
        <x:v>272</x:v>
      </x:c>
      <x:c r="S27" s="11" t="n">
        <x:v>202</x:v>
      </x:c>
      <x:c r="T27" s="11" t="n">
        <x:v>75</x:v>
      </x:c>
      <x:c r="U27" s="11" t="n">
        <x:v>8</x:v>
      </x:c>
      <x:c r="V27" s="11" t="n">
        <x:v>26</x:v>
      </x:c>
      <x:c r="W27" s="11" t="n">
        <x:v>49</x:v>
      </x:c>
      <x:c r="X27" s="11" t="n">
        <x:v>4</x:v>
      </x:c>
      <x:c r="Y27" s="11" t="n">
        <x:v>0</x:v>
      </x:c>
      <x:c r="Z27" s="11" t="n">
        <x:v>46678</x:v>
      </x:c>
      <x:c r="AA27" s="11" t="n">
        <x:v>465948</x:v>
      </x:c>
      <x:c r="AB27" s="11" t="n">
        <x:v>516292</x:v>
      </x:c>
      <x:c r="AC27" s="11" t="n">
        <x:v>393406</x:v>
      </x:c>
      <x:c r="AD27" s="11" t="n">
        <x:v>134672</x:v>
      </x:c>
      <x:c r="AE27" s="11" t="n">
        <x:v>9312</x:v>
      </x:c>
      <x:c r="AF27" s="11" t="n">
        <x:v>63626</x:v>
      </x:c>
      <x:c r="AG27" s="11" t="n">
        <x:v>87360</x:v>
      </x:c>
      <x:c r="AH27" s="11" t="n">
        <x:v>6640</x:v>
      </x:c>
    </x:row>
    <x:row r="28" ht="23" customHeight="1">
      <x:c r="A28" s="10" t="str">
        <x:v>M1</x:v>
      </x:c>
      <x:c r="B28" s="10" t="str">
        <x:v>NCG_H1_M1</x:v>
      </x:c>
      <x:c r="C28" s="9" t="str">
        <x:v>叶名称辅助</x:v>
      </x:c>
      <x:c r="D28" s="11" t="n">
        <x:v>1167</x:v>
      </x:c>
      <x:c r="E28" s="11" t="n">
        <x:v>464</x:v>
      </x:c>
      <x:c r="F28" s="11" t="n">
        <x:v>595</x:v>
      </x:c>
      <x:c r="G28" s="11" t="n">
        <x:v>94</x:v>
      </x:c>
      <x:c r="H28" s="11" t="n">
        <x:v>737</x:v>
      </x:c>
      <x:c r="I28" s="11" t="n">
        <x:v>1723934</x:v>
      </x:c>
      <x:c r="J28" s="11" t="n">
        <x:v>379233.21535612724</x:v>
      </x:c>
      <x:c r="K28" s="12" t="n">
        <x:f>E28/D28</x:f>
        <x:v>0.3976006855184233</x:v>
      </x:c>
      <x:c r="L28" s="12" t="n">
        <x:f>F28/D28</x:f>
        <x:v>0.5098543273350471</x:v>
      </x:c>
      <x:c r="M28" s="12" t="n">
        <x:f>G28/D28</x:f>
        <x:v>0.0805484147386461</x:v>
      </x:c>
      <x:c r="N28" s="12" t="n">
        <x:f>J28/I28</x:f>
        <x:v>0.21998128429285996</x:v>
      </x:c>
      <x:c r="O28" s="11" t="n">
        <x:v>0</x:v>
      </x:c>
      <x:c r="P28" s="11" t="n">
        <x:v>91</x:v>
      </x:c>
      <x:c r="Q28" s="11" t="n">
        <x:v>362</x:v>
      </x:c>
      <x:c r="R28" s="11" t="n">
        <x:v>316</x:v>
      </x:c>
      <x:c r="S28" s="11" t="n">
        <x:v>205</x:v>
      </x:c>
      <x:c r="T28" s="11" t="n">
        <x:v>102</x:v>
      </x:c>
      <x:c r="U28" s="11" t="n">
        <x:v>12</x:v>
      </x:c>
      <x:c r="V28" s="11" t="n">
        <x:v>26</x:v>
      </x:c>
      <x:c r="W28" s="11" t="n">
        <x:v>49</x:v>
      </x:c>
      <x:c r="X28" s="11" t="n">
        <x:v>4</x:v>
      </x:c>
      <x:c r="Y28" s="11" t="n">
        <x:v>0</x:v>
      </x:c>
      <x:c r="Z28" s="11" t="n">
        <x:v>46678</x:v>
      </x:c>
      <x:c r="AA28" s="11" t="n">
        <x:v>377518</x:v>
      </x:c>
      <x:c r="AB28" s="11" t="n">
        <x:v>569566</x:v>
      </x:c>
      <x:c r="AC28" s="11" t="n">
        <x:v>396930</x:v>
      </x:c>
      <x:c r="AD28" s="11" t="n">
        <x:v>163012</x:v>
      </x:c>
      <x:c r="AE28" s="11" t="n">
        <x:v>12604</x:v>
      </x:c>
      <x:c r="AF28" s="11" t="n">
        <x:v>63626</x:v>
      </x:c>
      <x:c r="AG28" s="11" t="n">
        <x:v>87360</x:v>
      </x:c>
      <x:c r="AH28" s="11" t="n">
        <x:v>6640</x:v>
      </x:c>
    </x:row>
    <x:row r="29" ht="23" customHeight="1">
      <x:c r="A29" s="10" t="str">
        <x:v>M2</x:v>
      </x:c>
      <x:c r="B29" s="10" t="str">
        <x:v>N_H0</x:v>
      </x:c>
      <x:c r="C29" s="9" t="str">
        <x:v>主对照</x:v>
      </x:c>
      <x:c r="D29" s="11" t="n">
        <x:v>1480</x:v>
      </x:c>
      <x:c r="E29" s="11" t="n">
        <x:v>928</x:v>
      </x:c>
      <x:c r="F29" s="11" t="n">
        <x:v>1037</x:v>
      </x:c>
      <x:c r="G29" s="11" t="n">
        <x:v>0</x:v>
      </x:c>
      <x:c r="H29" s="11" t="n">
        <x:v>928</x:v>
      </x:c>
      <x:c r="I29" s="11" t="n">
        <x:v>2911273</x:v>
      </x:c>
      <x:c r="J29" s="11" t="n">
        <x:v>1010290.2000000036</x:v>
      </x:c>
      <x:c r="K29" s="12" t="n">
        <x:f>E29/D29</x:f>
        <x:v>0.6270270270270271</x:v>
      </x:c>
      <x:c r="L29" s="12" t="n">
        <x:f>F29/D29</x:f>
        <x:v>0.7006756756756757</x:v>
      </x:c>
      <x:c r="M29" s="12" t="n">
        <x:f>G29/D29</x:f>
        <x:v>0</x:v>
      </x:c>
      <x:c r="N29" s="12" t="n">
        <x:f>J29/I29</x:f>
        <x:v>0.3470269535010985</x:v>
      </x:c>
      <x:c r="O29" s="11" t="n">
        <x:v>0</x:v>
      </x:c>
      <x:c r="P29" s="11" t="n">
        <x:v>260</x:v>
      </x:c>
      <x:c r="Q29" s="11" t="n">
        <x:v>64</x:v>
      </x:c>
      <x:c r="R29" s="11" t="n">
        <x:v>0</x:v>
      </x:c>
      <x:c r="S29" s="11" t="n">
        <x:v>1037</x:v>
      </x:c>
      <x:c r="T29" s="11" t="n">
        <x:v>0</x:v>
      </x:c>
      <x:c r="U29" s="11" t="n">
        <x:v>6</x:v>
      </x:c>
      <x:c r="V29" s="11" t="n">
        <x:v>12</x:v>
      </x:c>
      <x:c r="W29" s="11" t="n">
        <x:v>101</x:v>
      </x:c>
      <x:c r="X29" s="11" t="n">
        <x:v>0</x:v>
      </x:c>
      <x:c r="Y29" s="11" t="n">
        <x:v>0</x:v>
      </x:c>
      <x:c r="Z29" s="11" t="n">
        <x:v>76748</x:v>
      </x:c>
      <x:c r="AA29" s="11" t="n">
        <x:v>46527</x:v>
      </x:c>
      <x:c r="AB29" s="11" t="n">
        <x:v>0</x:v>
      </x:c>
      <x:c r="AC29" s="11" t="n">
        <x:v>651014</x:v>
      </x:c>
      <x:c r="AD29" s="11" t="n">
        <x:v>0</x:v>
      </x:c>
      <x:c r="AE29" s="11" t="n">
        <x:v>5326</x:v>
      </x:c>
      <x:c r="AF29" s="11" t="n">
        <x:v>7532</x:v>
      </x:c>
      <x:c r="AG29" s="11" t="n">
        <x:v>2124126</x:v>
      </x:c>
      <x:c r="AH29" s="11" t="n">
        <x:v>0</x:v>
      </x:c>
    </x:row>
    <x:row r="30" ht="23" customHeight="1">
      <x:c r="A30" s="10" t="str">
        <x:v>M2</x:v>
      </x:c>
      <x:c r="B30" s="10" t="str">
        <x:v>N_HT</x:v>
      </x:c>
      <x:c r="C30" s="9" t="str">
        <x:v>仅拓扑与尺度</x:v>
      </x:c>
      <x:c r="D30" s="11" t="n">
        <x:v>1480</x:v>
      </x:c>
      <x:c r="E30" s="11" t="n">
        <x:v>928</x:v>
      </x:c>
      <x:c r="F30" s="11" t="n">
        <x:v>1037</x:v>
      </x:c>
      <x:c r="G30" s="11" t="n">
        <x:v>0</x:v>
      </x:c>
      <x:c r="H30" s="11" t="n">
        <x:v>928</x:v>
      </x:c>
      <x:c r="I30" s="11" t="n">
        <x:v>2911273</x:v>
      </x:c>
      <x:c r="J30" s="11" t="n">
        <x:v>1010290.2000000036</x:v>
      </x:c>
      <x:c r="K30" s="12" t="n">
        <x:f>E30/D30</x:f>
        <x:v>0.6270270270270271</x:v>
      </x:c>
      <x:c r="L30" s="12" t="n">
        <x:f>F30/D30</x:f>
        <x:v>0.7006756756756757</x:v>
      </x:c>
      <x:c r="M30" s="12" t="n">
        <x:f>G30/D30</x:f>
        <x:v>0</x:v>
      </x:c>
      <x:c r="N30" s="12" t="n">
        <x:f>J30/I30</x:f>
        <x:v>0.3470269535010985</x:v>
      </x:c>
      <x:c r="O30" s="11" t="n">
        <x:v>0</x:v>
      </x:c>
      <x:c r="P30" s="11" t="n">
        <x:v>260</x:v>
      </x:c>
      <x:c r="Q30" s="11" t="n">
        <x:v>64</x:v>
      </x:c>
      <x:c r="R30" s="11" t="n">
        <x:v>0</x:v>
      </x:c>
      <x:c r="S30" s="11" t="n">
        <x:v>1037</x:v>
      </x:c>
      <x:c r="T30" s="11" t="n">
        <x:v>0</x:v>
      </x:c>
      <x:c r="U30" s="11" t="n">
        <x:v>6</x:v>
      </x:c>
      <x:c r="V30" s="11" t="n">
        <x:v>12</x:v>
      </x:c>
      <x:c r="W30" s="11" t="n">
        <x:v>101</x:v>
      </x:c>
      <x:c r="X30" s="11" t="n">
        <x:v>0</x:v>
      </x:c>
      <x:c r="Y30" s="11" t="n">
        <x:v>0</x:v>
      </x:c>
      <x:c r="Z30" s="11" t="n">
        <x:v>76748</x:v>
      </x:c>
      <x:c r="AA30" s="11" t="n">
        <x:v>46527</x:v>
      </x:c>
      <x:c r="AB30" s="11" t="n">
        <x:v>0</x:v>
      </x:c>
      <x:c r="AC30" s="11" t="n">
        <x:v>651014</x:v>
      </x:c>
      <x:c r="AD30" s="11" t="n">
        <x:v>0</x:v>
      </x:c>
      <x:c r="AE30" s="11" t="n">
        <x:v>5326</x:v>
      </x:c>
      <x:c r="AF30" s="11" t="n">
        <x:v>7532</x:v>
      </x:c>
      <x:c r="AG30" s="11" t="n">
        <x:v>2124126</x:v>
      </x:c>
      <x:c r="AH30" s="11" t="n">
        <x:v>0</x:v>
      </x:c>
    </x:row>
    <x:row r="31" ht="23" customHeight="1">
      <x:c r="A31" s="10" t="str">
        <x:v>M2</x:v>
      </x:c>
      <x:c r="B31" s="10" t="str">
        <x:v>N_H1</x:v>
      </x:c>
      <x:c r="C31" s="9" t="str">
        <x:v>主对照</x:v>
      </x:c>
      <x:c r="D31" s="11" t="n">
        <x:v>1480</x:v>
      </x:c>
      <x:c r="E31" s="11" t="n">
        <x:v>928</x:v>
      </x:c>
      <x:c r="F31" s="11" t="n">
        <x:v>1037</x:v>
      </x:c>
      <x:c r="G31" s="11" t="n">
        <x:v>0</x:v>
      </x:c>
      <x:c r="H31" s="11" t="n">
        <x:v>1115</x:v>
      </x:c>
      <x:c r="I31" s="11" t="n">
        <x:v>2911273</x:v>
      </x:c>
      <x:c r="J31" s="11" t="n">
        <x:v>1017881.0800000043</x:v>
      </x:c>
      <x:c r="K31" s="12" t="n">
        <x:f>E31/D31</x:f>
        <x:v>0.6270270270270271</x:v>
      </x:c>
      <x:c r="L31" s="12" t="n">
        <x:f>F31/D31</x:f>
        <x:v>0.7006756756756757</x:v>
      </x:c>
      <x:c r="M31" s="12" t="n">
        <x:f>G31/D31</x:f>
        <x:v>0</x:v>
      </x:c>
      <x:c r="N31" s="12" t="n">
        <x:f>J31/I31</x:f>
        <x:v>0.3496343626997551</x:v>
      </x:c>
      <x:c r="O31" s="11" t="n">
        <x:v>0</x:v>
      </x:c>
      <x:c r="P31" s="11" t="n">
        <x:v>193</x:v>
      </x:c>
      <x:c r="Q31" s="11" t="n">
        <x:v>14</x:v>
      </x:c>
      <x:c r="R31" s="11" t="n">
        <x:v>0</x:v>
      </x:c>
      <x:c r="S31" s="11" t="n">
        <x:v>1037</x:v>
      </x:c>
      <x:c r="T31" s="11" t="n">
        <x:v>47</x:v>
      </x:c>
      <x:c r="U31" s="11" t="n">
        <x:v>76</x:v>
      </x:c>
      <x:c r="V31" s="11" t="n">
        <x:v>12</x:v>
      </x:c>
      <x:c r="W31" s="11" t="n">
        <x:v>101</x:v>
      </x:c>
      <x:c r="X31" s="11" t="n">
        <x:v>0</x:v>
      </x:c>
      <x:c r="Y31" s="11" t="n">
        <x:v>0</x:v>
      </x:c>
      <x:c r="Z31" s="11" t="n">
        <x:v>65164</x:v>
      </x:c>
      <x:c r="AA31" s="11" t="n">
        <x:v>9631</x:v>
      </x:c>
      <x:c r="AB31" s="11" t="n">
        <x:v>0</x:v>
      </x:c>
      <x:c r="AC31" s="11" t="n">
        <x:v>651014</x:v>
      </x:c>
      <x:c r="AD31" s="11" t="n">
        <x:v>34180</x:v>
      </x:c>
      <x:c r="AE31" s="11" t="n">
        <x:v>19626</x:v>
      </x:c>
      <x:c r="AF31" s="11" t="n">
        <x:v>7532</x:v>
      </x:c>
      <x:c r="AG31" s="11" t="n">
        <x:v>2124126</x:v>
      </x:c>
      <x:c r="AH31" s="11" t="n">
        <x:v>0</x:v>
      </x:c>
    </x:row>
    <x:row r="32" ht="23" customHeight="1">
      <x:c r="A32" s="10" t="str">
        <x:v>M2</x:v>
      </x:c>
      <x:c r="B32" s="10" t="str">
        <x:v>C_H0</x:v>
      </x:c>
      <x:c r="C32" s="9" t="str">
        <x:v>主对照</x:v>
      </x:c>
      <x:c r="D32" s="11" t="n">
        <x:v>1480</x:v>
      </x:c>
      <x:c r="E32" s="11" t="n">
        <x:v>923</x:v>
      </x:c>
      <x:c r="F32" s="11" t="n">
        <x:v>923</x:v>
      </x:c>
      <x:c r="G32" s="11" t="n">
        <x:v>0</x:v>
      </x:c>
      <x:c r="H32" s="11" t="n">
        <x:v>698</x:v>
      </x:c>
      <x:c r="I32" s="11" t="n">
        <x:v>2911273</x:v>
      </x:c>
      <x:c r="J32" s="11" t="n">
        <x:v>370599.5799999992</x:v>
      </x:c>
      <x:c r="K32" s="12" t="n">
        <x:f>E32/D32</x:f>
        <x:v>0.6236486486486487</x:v>
      </x:c>
      <x:c r="L32" s="12" t="n">
        <x:f>F32/D32</x:f>
        <x:v>0.6236486486486487</x:v>
      </x:c>
      <x:c r="M32" s="12" t="n">
        <x:f>G32/D32</x:f>
        <x:v>0</x:v>
      </x:c>
      <x:c r="N32" s="12" t="n">
        <x:f>J32/I32</x:f>
        <x:v>0.12729812010072541</x:v>
      </x:c>
      <x:c r="O32" s="11" t="n">
        <x:v>0</x:v>
      </x:c>
      <x:c r="P32" s="11" t="n">
        <x:v>556</x:v>
      </x:c>
      <x:c r="Q32" s="11" t="n">
        <x:v>0</x:v>
      </x:c>
      <x:c r="R32" s="11" t="n">
        <x:v>0</x:v>
      </x:c>
      <x:c r="S32" s="11" t="n">
        <x:v>923</x:v>
      </x:c>
      <x:c r="T32" s="11" t="n">
        <x:v>0</x:v>
      </x:c>
      <x:c r="U32" s="11" t="n">
        <x:v>0</x:v>
      </x:c>
      <x:c r="V32" s="11" t="n">
        <x:v>0</x:v>
      </x:c>
      <x:c r="W32" s="11" t="n">
        <x:v>1</x:v>
      </x:c>
      <x:c r="X32" s="11" t="n">
        <x:v>0</x:v>
      </x:c>
      <x:c r="Y32" s="11" t="n">
        <x:v>0</x:v>
      </x:c>
      <x:c r="Z32" s="11" t="n">
        <x:v>2250252</x:v>
      </x:c>
      <x:c r="AA32" s="11" t="n">
        <x:v>0</x:v>
      </x:c>
      <x:c r="AB32" s="11" t="n">
        <x:v>0</x:v>
      </x:c>
      <x:c r="AC32" s="11" t="n">
        <x:v>660189</x:v>
      </x:c>
      <x:c r="AD32" s="11" t="n">
        <x:v>0</x:v>
      </x:c>
      <x:c r="AE32" s="11" t="n">
        <x:v>0</x:v>
      </x:c>
      <x:c r="AF32" s="11" t="n">
        <x:v>0</x:v>
      </x:c>
      <x:c r="AG32" s="11" t="n">
        <x:v>832</x:v>
      </x:c>
      <x:c r="AH32" s="11" t="n">
        <x:v>0</x:v>
      </x:c>
    </x:row>
    <x:row r="33" ht="23" customHeight="1">
      <x:c r="A33" s="10" t="str">
        <x:v>M2</x:v>
      </x:c>
      <x:c r="B33" s="10" t="str">
        <x:v>C_HT</x:v>
      </x:c>
      <x:c r="C33" s="9" t="str">
        <x:v>仅拓扑与尺度</x:v>
      </x:c>
      <x:c r="D33" s="11" t="n">
        <x:v>1480</x:v>
      </x:c>
      <x:c r="E33" s="11" t="n">
        <x:v>923</x:v>
      </x:c>
      <x:c r="F33" s="11" t="n">
        <x:v>923</x:v>
      </x:c>
      <x:c r="G33" s="11" t="n">
        <x:v>0</x:v>
      </x:c>
      <x:c r="H33" s="11" t="n">
        <x:v>698</x:v>
      </x:c>
      <x:c r="I33" s="11" t="n">
        <x:v>2911273</x:v>
      </x:c>
      <x:c r="J33" s="11" t="n">
        <x:v>370599.5799999992</x:v>
      </x:c>
      <x:c r="K33" s="12" t="n">
        <x:f>E33/D33</x:f>
        <x:v>0.6236486486486487</x:v>
      </x:c>
      <x:c r="L33" s="12" t="n">
        <x:f>F33/D33</x:f>
        <x:v>0.6236486486486487</x:v>
      </x:c>
      <x:c r="M33" s="12" t="n">
        <x:f>G33/D33</x:f>
        <x:v>0</x:v>
      </x:c>
      <x:c r="N33" s="12" t="n">
        <x:f>J33/I33</x:f>
        <x:v>0.12729812010072541</x:v>
      </x:c>
      <x:c r="O33" s="11" t="n">
        <x:v>0</x:v>
      </x:c>
      <x:c r="P33" s="11" t="n">
        <x:v>556</x:v>
      </x:c>
      <x:c r="Q33" s="11" t="n">
        <x:v>0</x:v>
      </x:c>
      <x:c r="R33" s="11" t="n">
        <x:v>0</x:v>
      </x:c>
      <x:c r="S33" s="11" t="n">
        <x:v>923</x:v>
      </x:c>
      <x:c r="T33" s="11" t="n">
        <x:v>0</x:v>
      </x:c>
      <x:c r="U33" s="11" t="n">
        <x:v>0</x:v>
      </x:c>
      <x:c r="V33" s="11" t="n">
        <x:v>0</x:v>
      </x:c>
      <x:c r="W33" s="11" t="n">
        <x:v>1</x:v>
      </x:c>
      <x:c r="X33" s="11" t="n">
        <x:v>0</x:v>
      </x:c>
      <x:c r="Y33" s="11" t="n">
        <x:v>0</x:v>
      </x:c>
      <x:c r="Z33" s="11" t="n">
        <x:v>2250252</x:v>
      </x:c>
      <x:c r="AA33" s="11" t="n">
        <x:v>0</x:v>
      </x:c>
      <x:c r="AB33" s="11" t="n">
        <x:v>0</x:v>
      </x:c>
      <x:c r="AC33" s="11" t="n">
        <x:v>660189</x:v>
      </x:c>
      <x:c r="AD33" s="11" t="n">
        <x:v>0</x:v>
      </x:c>
      <x:c r="AE33" s="11" t="n">
        <x:v>0</x:v>
      </x:c>
      <x:c r="AF33" s="11" t="n">
        <x:v>0</x:v>
      </x:c>
      <x:c r="AG33" s="11" t="n">
        <x:v>832</x:v>
      </x:c>
      <x:c r="AH33" s="11" t="n">
        <x:v>0</x:v>
      </x:c>
    </x:row>
    <x:row r="34" ht="23" customHeight="1">
      <x:c r="A34" s="10" t="str">
        <x:v>M2</x:v>
      </x:c>
      <x:c r="B34" s="10" t="str">
        <x:v>C_H1</x:v>
      </x:c>
      <x:c r="C34" s="9" t="str">
        <x:v>主对照</x:v>
      </x:c>
      <x:c r="D34" s="11" t="n">
        <x:v>1480</x:v>
      </x:c>
      <x:c r="E34" s="11" t="n">
        <x:v>923</x:v>
      </x:c>
      <x:c r="F34" s="11" t="n">
        <x:v>923</x:v>
      </x:c>
      <x:c r="G34" s="11" t="n">
        <x:v>0</x:v>
      </x:c>
      <x:c r="H34" s="11" t="n">
        <x:v>803</x:v>
      </x:c>
      <x:c r="I34" s="11" t="n">
        <x:v>2911273</x:v>
      </x:c>
      <x:c r="J34" s="11" t="n">
        <x:v>375998.3799999987</x:v>
      </x:c>
      <x:c r="K34" s="12" t="n">
        <x:f>E34/D34</x:f>
        <x:v>0.6236486486486487</x:v>
      </x:c>
      <x:c r="L34" s="12" t="n">
        <x:f>F34/D34</x:f>
        <x:v>0.6236486486486487</x:v>
      </x:c>
      <x:c r="M34" s="12" t="n">
        <x:f>G34/D34</x:f>
        <x:v>0</x:v>
      </x:c>
      <x:c r="N34" s="12" t="n">
        <x:f>J34/I34</x:f>
        <x:v>0.12915256659200244</x:v>
      </x:c>
      <x:c r="O34" s="11" t="n">
        <x:v>0</x:v>
      </x:c>
      <x:c r="P34" s="11" t="n">
        <x:v>452</x:v>
      </x:c>
      <x:c r="Q34" s="11" t="n">
        <x:v>0</x:v>
      </x:c>
      <x:c r="R34" s="11" t="n">
        <x:v>0</x:v>
      </x:c>
      <x:c r="S34" s="11" t="n">
        <x:v>923</x:v>
      </x:c>
      <x:c r="T34" s="11" t="n">
        <x:v>0</x:v>
      </x:c>
      <x:c r="U34" s="11" t="n">
        <x:v>104</x:v>
      </x:c>
      <x:c r="V34" s="11" t="n">
        <x:v>0</x:v>
      </x:c>
      <x:c r="W34" s="11" t="n">
        <x:v>1</x:v>
      </x:c>
      <x:c r="X34" s="11" t="n">
        <x:v>0</x:v>
      </x:c>
      <x:c r="Y34" s="11" t="n">
        <x:v>0</x:v>
      </x:c>
      <x:c r="Z34" s="11" t="n">
        <x:v>2223258</x:v>
      </x:c>
      <x:c r="AA34" s="11" t="n">
        <x:v>0</x:v>
      </x:c>
      <x:c r="AB34" s="11" t="n">
        <x:v>0</x:v>
      </x:c>
      <x:c r="AC34" s="11" t="n">
        <x:v>660189</x:v>
      </x:c>
      <x:c r="AD34" s="11" t="n">
        <x:v>0</x:v>
      </x:c>
      <x:c r="AE34" s="11" t="n">
        <x:v>26994</x:v>
      </x:c>
      <x:c r="AF34" s="11" t="n">
        <x:v>0</x:v>
      </x:c>
      <x:c r="AG34" s="11" t="n">
        <x:v>832</x:v>
      </x:c>
      <x:c r="AH34" s="11" t="n">
        <x:v>0</x:v>
      </x:c>
    </x:row>
    <x:row r="35" ht="23" customHeight="1">
      <x:c r="A35" s="10" t="str">
        <x:v>M2</x:v>
      </x:c>
      <x:c r="B35" s="10" t="str">
        <x:v>G_H0</x:v>
      </x:c>
      <x:c r="C35" s="9" t="str">
        <x:v>主对照</x:v>
      </x:c>
      <x:c r="D35" s="11" t="n">
        <x:v>1480</x:v>
      </x:c>
      <x:c r="E35" s="11" t="n">
        <x:v>1480</x:v>
      </x:c>
      <x:c r="F35" s="11" t="n">
        <x:v>1480</x:v>
      </x:c>
      <x:c r="G35" s="11" t="n">
        <x:v>0</x:v>
      </x:c>
      <x:c r="H35" s="11" t="n">
        <x:v>1480</x:v>
      </x:c>
      <x:c r="I35" s="11" t="n">
        <x:v>2911273</x:v>
      </x:c>
      <x:c r="J35" s="11" t="n">
        <x:v>525712.7660401696</x:v>
      </x:c>
      <x:c r="K35" s="12" t="n">
        <x:f>E35/D35</x:f>
        <x:v>1</x:v>
      </x:c>
      <x:c r="L35" s="12" t="n">
        <x:f>F35/D35</x:f>
        <x:v>1</x:v>
      </x:c>
      <x:c r="M35" s="12" t="n">
        <x:f>G35/D35</x:f>
        <x:v>0</x:v>
      </x:c>
      <x:c r="N35" s="12" t="n">
        <x:f>J35/I35</x:f>
        <x:v>0.18057831266259455</x:v>
      </x:c>
      <x:c r="O35" s="11" t="n">
        <x:v>0</x:v>
      </x:c>
      <x:c r="P35" s="11" t="n">
        <x:v>85</x:v>
      </x:c>
      <x:c r="Q35" s="11" t="n">
        <x:v>849</x:v>
      </x:c>
      <x:c r="R35" s="11" t="n">
        <x:v>431</x:v>
      </x:c>
      <x:c r="S35" s="11" t="n">
        <x:v>96</x:v>
      </x:c>
      <x:c r="T35" s="11" t="n">
        <x:v>19</x:v>
      </x:c>
      <x:c r="U35" s="11" t="n">
        <x:v>0</x:v>
      </x:c>
      <x:c r="V35" s="11" t="n">
        <x:v>0</x:v>
      </x:c>
      <x:c r="W35" s="11" t="n">
        <x:v>0</x:v>
      </x:c>
      <x:c r="X35" s="11" t="n">
        <x:v>0</x:v>
      </x:c>
      <x:c r="Y35" s="11" t="n">
        <x:v>0</x:v>
      </x:c>
      <x:c r="Z35" s="11" t="n">
        <x:v>18736</x:v>
      </x:c>
      <x:c r="AA35" s="11" t="n">
        <x:v>382764</x:v>
      </x:c>
      <x:c r="AB35" s="11" t="n">
        <x:v>2381867</x:v>
      </x:c>
      <x:c r="AC35" s="11" t="n">
        <x:v>103590</x:v>
      </x:c>
      <x:c r="AD35" s="11" t="n">
        <x:v>24316</x:v>
      </x:c>
      <x:c r="AE35" s="11" t="n">
        <x:v>0</x:v>
      </x:c>
      <x:c r="AF35" s="11" t="n">
        <x:v>0</x:v>
      </x:c>
      <x:c r="AG35" s="11" t="n">
        <x:v>0</x:v>
      </x:c>
      <x:c r="AH35" s="11" t="n">
        <x:v>0</x:v>
      </x:c>
    </x:row>
    <x:row r="36" ht="23" customHeight="1">
      <x:c r="A36" s="10" t="str">
        <x:v>M2</x:v>
      </x:c>
      <x:c r="B36" s="10" t="str">
        <x:v>G_HT</x:v>
      </x:c>
      <x:c r="C36" s="9" t="str">
        <x:v>仅拓扑与尺度</x:v>
      </x:c>
      <x:c r="D36" s="11" t="n">
        <x:v>1480</x:v>
      </x:c>
      <x:c r="E36" s="11" t="n">
        <x:v>1480</x:v>
      </x:c>
      <x:c r="F36" s="11" t="n">
        <x:v>1480</x:v>
      </x:c>
      <x:c r="G36" s="11" t="n">
        <x:v>0</x:v>
      </x:c>
      <x:c r="H36" s="11" t="n">
        <x:v>1480</x:v>
      </x:c>
      <x:c r="I36" s="11" t="n">
        <x:v>2911273</x:v>
      </x:c>
      <x:c r="J36" s="11" t="n">
        <x:v>559396.7660401674</x:v>
      </x:c>
      <x:c r="K36" s="12" t="n">
        <x:f>E36/D36</x:f>
        <x:v>1</x:v>
      </x:c>
      <x:c r="L36" s="12" t="n">
        <x:f>F36/D36</x:f>
        <x:v>1</x:v>
      </x:c>
      <x:c r="M36" s="12" t="n">
        <x:f>G36/D36</x:f>
        <x:v>0</x:v>
      </x:c>
      <x:c r="N36" s="12" t="n">
        <x:f>J36/I36</x:f>
        <x:v>0.19214850893068683</x:v>
      </x:c>
      <x:c r="O36" s="11" t="n">
        <x:v>0</x:v>
      </x:c>
      <x:c r="P36" s="11" t="n">
        <x:v>30</x:v>
      </x:c>
      <x:c r="Q36" s="11" t="n">
        <x:v>830</x:v>
      </x:c>
      <x:c r="R36" s="11" t="n">
        <x:v>477</x:v>
      </x:c>
      <x:c r="S36" s="11" t="n">
        <x:v>124</x:v>
      </x:c>
      <x:c r="T36" s="11" t="n">
        <x:v>19</x:v>
      </x:c>
      <x:c r="U36" s="11" t="n">
        <x:v>0</x:v>
      </x:c>
      <x:c r="V36" s="11" t="n">
        <x:v>0</x:v>
      </x:c>
      <x:c r="W36" s="11" t="n">
        <x:v>0</x:v>
      </x:c>
      <x:c r="X36" s="11" t="n">
        <x:v>0</x:v>
      </x:c>
      <x:c r="Y36" s="11" t="n">
        <x:v>0</x:v>
      </x:c>
      <x:c r="Z36" s="11" t="n">
        <x:v>6652</x:v>
      </x:c>
      <x:c r="AA36" s="11" t="n">
        <x:v>352998</x:v>
      </x:c>
      <x:c r="AB36" s="11" t="n">
        <x:v>1894245</x:v>
      </x:c>
      <x:c r="AC36" s="11" t="n">
        <x:v>633062</x:v>
      </x:c>
      <x:c r="AD36" s="11" t="n">
        <x:v>24316</x:v>
      </x:c>
      <x:c r="AE36" s="11" t="n">
        <x:v>0</x:v>
      </x:c>
      <x:c r="AF36" s="11" t="n">
        <x:v>0</x:v>
      </x:c>
      <x:c r="AG36" s="11" t="n">
        <x:v>0</x:v>
      </x:c>
      <x:c r="AH36" s="11" t="n">
        <x:v>0</x:v>
      </x:c>
    </x:row>
    <x:row r="37" ht="23" customHeight="1">
      <x:c r="A37" s="10" t="str">
        <x:v>M2</x:v>
      </x:c>
      <x:c r="B37" s="10" t="str">
        <x:v>G_H1</x:v>
      </x:c>
      <x:c r="C37" s="9" t="str">
        <x:v>主对照</x:v>
      </x:c>
      <x:c r="D37" s="11" t="n">
        <x:v>1480</x:v>
      </x:c>
      <x:c r="E37" s="11" t="n">
        <x:v>1480</x:v>
      </x:c>
      <x:c r="F37" s="11" t="n">
        <x:v>1480</x:v>
      </x:c>
      <x:c r="G37" s="11" t="n">
        <x:v>0</x:v>
      </x:c>
      <x:c r="H37" s="11" t="n">
        <x:v>1480</x:v>
      </x:c>
      <x:c r="I37" s="11" t="n">
        <x:v>2911273</x:v>
      </x:c>
      <x:c r="J37" s="11" t="n">
        <x:v>559396.7660401674</x:v>
      </x:c>
      <x:c r="K37" s="12" t="n">
        <x:f>E37/D37</x:f>
        <x:v>1</x:v>
      </x:c>
      <x:c r="L37" s="12" t="n">
        <x:f>F37/D37</x:f>
        <x:v>1</x:v>
      </x:c>
      <x:c r="M37" s="12" t="n">
        <x:f>G37/D37</x:f>
        <x:v>0</x:v>
      </x:c>
      <x:c r="N37" s="12" t="n">
        <x:f>J37/I37</x:f>
        <x:v>0.19214850893068683</x:v>
      </x:c>
      <x:c r="O37" s="11" t="n">
        <x:v>0</x:v>
      </x:c>
      <x:c r="P37" s="11" t="n">
        <x:v>30</x:v>
      </x:c>
      <x:c r="Q37" s="11" t="n">
        <x:v>830</x:v>
      </x:c>
      <x:c r="R37" s="11" t="n">
        <x:v>477</x:v>
      </x:c>
      <x:c r="S37" s="11" t="n">
        <x:v>124</x:v>
      </x:c>
      <x:c r="T37" s="11" t="n">
        <x:v>19</x:v>
      </x:c>
      <x:c r="U37" s="11" t="n">
        <x:v>0</x:v>
      </x:c>
      <x:c r="V37" s="11" t="n">
        <x:v>0</x:v>
      </x:c>
      <x:c r="W37" s="11" t="n">
        <x:v>0</x:v>
      </x:c>
      <x:c r="X37" s="11" t="n">
        <x:v>0</x:v>
      </x:c>
      <x:c r="Y37" s="11" t="n">
        <x:v>0</x:v>
      </x:c>
      <x:c r="Z37" s="11" t="n">
        <x:v>6652</x:v>
      </x:c>
      <x:c r="AA37" s="11" t="n">
        <x:v>352998</x:v>
      </x:c>
      <x:c r="AB37" s="11" t="n">
        <x:v>1894245</x:v>
      </x:c>
      <x:c r="AC37" s="11" t="n">
        <x:v>633062</x:v>
      </x:c>
      <x:c r="AD37" s="11" t="n">
        <x:v>24316</x:v>
      </x:c>
      <x:c r="AE37" s="11" t="n">
        <x:v>0</x:v>
      </x:c>
      <x:c r="AF37" s="11" t="n">
        <x:v>0</x:v>
      </x:c>
      <x:c r="AG37" s="11" t="n">
        <x:v>0</x:v>
      </x:c>
      <x:c r="AH37" s="11" t="n">
        <x:v>0</x:v>
      </x:c>
    </x:row>
    <x:row r="38" ht="23" customHeight="1">
      <x:c r="A38" s="10" t="str">
        <x:v>M2</x:v>
      </x:c>
      <x:c r="B38" s="10" t="str">
        <x:v>NC_H0</x:v>
      </x:c>
      <x:c r="C38" s="9" t="str">
        <x:v>主对照</x:v>
      </x:c>
      <x:c r="D38" s="11" t="n">
        <x:v>1480</x:v>
      </x:c>
      <x:c r="E38" s="11" t="n">
        <x:v>808</x:v>
      </x:c>
      <x:c r="F38" s="11" t="n">
        <x:v>901</x:v>
      </x:c>
      <x:c r="G38" s="11" t="n">
        <x:v>296</x:v>
      </x:c>
      <x:c r="H38" s="11" t="n">
        <x:v>766</x:v>
      </x:c>
      <x:c r="I38" s="11" t="n">
        <x:v>2911273</x:v>
      </x:c>
      <x:c r="J38" s="11" t="n">
        <x:v>628691.2399999981</x:v>
      </x:c>
      <x:c r="K38" s="12" t="n">
        <x:f>E38/D38</x:f>
        <x:v>0.5459459459459459</x:v>
      </x:c>
      <x:c r="L38" s="12" t="n">
        <x:f>F38/D38</x:f>
        <x:v>0.6087837837837838</x:v>
      </x:c>
      <x:c r="M38" s="12" t="n">
        <x:f>G38/D38</x:f>
        <x:v>0.2</x:v>
      </x:c>
      <x:c r="N38" s="12" t="n">
        <x:f>J38/I38</x:f>
        <x:v>0.21595063053172894</x:v>
      </x:c>
      <x:c r="O38" s="11" t="n">
        <x:v>0</x:v>
      </x:c>
      <x:c r="P38" s="11" t="n">
        <x:v>448</x:v>
      </x:c>
      <x:c r="Q38" s="11" t="n">
        <x:v>63</x:v>
      </x:c>
      <x:c r="R38" s="11" t="n">
        <x:v>0</x:v>
      </x:c>
      <x:c r="S38" s="11" t="n">
        <x:v>901</x:v>
      </x:c>
      <x:c r="T38" s="11" t="n">
        <x:v>0</x:v>
      </x:c>
      <x:c r="U38" s="11" t="n">
        <x:v>6</x:v>
      </x:c>
      <x:c r="V38" s="11" t="n">
        <x:v>10</x:v>
      </x:c>
      <x:c r="W38" s="11" t="n">
        <x:v>52</x:v>
      </x:c>
      <x:c r="X38" s="11" t="n">
        <x:v>0</x:v>
      </x:c>
      <x:c r="Y38" s="11" t="n">
        <x:v>0</x:v>
      </x:c>
      <x:c r="Z38" s="11" t="n">
        <x:v>216490</x:v>
      </x:c>
      <x:c r="AA38" s="11" t="n">
        <x:v>44731</x:v>
      </x:c>
      <x:c r="AB38" s="11" t="n">
        <x:v>0</x:v>
      </x:c>
      <x:c r="AC38" s="11" t="n">
        <x:v>2541112</x:v>
      </x:c>
      <x:c r="AD38" s="11" t="n">
        <x:v>0</x:v>
      </x:c>
      <x:c r="AE38" s="11" t="n">
        <x:v>5326</x:v>
      </x:c>
      <x:c r="AF38" s="11" t="n">
        <x:v>6892</x:v>
      </x:c>
      <x:c r="AG38" s="11" t="n">
        <x:v>96722</x:v>
      </x:c>
      <x:c r="AH38" s="11" t="n">
        <x:v>0</x:v>
      </x:c>
    </x:row>
    <x:row r="39" ht="23" customHeight="1">
      <x:c r="A39" s="10" t="str">
        <x:v>M2</x:v>
      </x:c>
      <x:c r="B39" s="10" t="str">
        <x:v>NC_HT</x:v>
      </x:c>
      <x:c r="C39" s="9" t="str">
        <x:v>仅拓扑与尺度</x:v>
      </x:c>
      <x:c r="D39" s="11" t="n">
        <x:v>1480</x:v>
      </x:c>
      <x:c r="E39" s="11" t="n">
        <x:v>808</x:v>
      </x:c>
      <x:c r="F39" s="11" t="n">
        <x:v>901</x:v>
      </x:c>
      <x:c r="G39" s="11" t="n">
        <x:v>296</x:v>
      </x:c>
      <x:c r="H39" s="11" t="n">
        <x:v>766</x:v>
      </x:c>
      <x:c r="I39" s="11" t="n">
        <x:v>2911273</x:v>
      </x:c>
      <x:c r="J39" s="11" t="n">
        <x:v>628691.2399999981</x:v>
      </x:c>
      <x:c r="K39" s="12" t="n">
        <x:f>E39/D39</x:f>
        <x:v>0.5459459459459459</x:v>
      </x:c>
      <x:c r="L39" s="12" t="n">
        <x:f>F39/D39</x:f>
        <x:v>0.6087837837837838</x:v>
      </x:c>
      <x:c r="M39" s="12" t="n">
        <x:f>G39/D39</x:f>
        <x:v>0.2</x:v>
      </x:c>
      <x:c r="N39" s="12" t="n">
        <x:f>J39/I39</x:f>
        <x:v>0.21595063053172894</x:v>
      </x:c>
      <x:c r="O39" s="11" t="n">
        <x:v>0</x:v>
      </x:c>
      <x:c r="P39" s="11" t="n">
        <x:v>448</x:v>
      </x:c>
      <x:c r="Q39" s="11" t="n">
        <x:v>63</x:v>
      </x:c>
      <x:c r="R39" s="11" t="n">
        <x:v>0</x:v>
      </x:c>
      <x:c r="S39" s="11" t="n">
        <x:v>901</x:v>
      </x:c>
      <x:c r="T39" s="11" t="n">
        <x:v>0</x:v>
      </x:c>
      <x:c r="U39" s="11" t="n">
        <x:v>6</x:v>
      </x:c>
      <x:c r="V39" s="11" t="n">
        <x:v>10</x:v>
      </x:c>
      <x:c r="W39" s="11" t="n">
        <x:v>52</x:v>
      </x:c>
      <x:c r="X39" s="11" t="n">
        <x:v>0</x:v>
      </x:c>
      <x:c r="Y39" s="11" t="n">
        <x:v>0</x:v>
      </x:c>
      <x:c r="Z39" s="11" t="n">
        <x:v>216490</x:v>
      </x:c>
      <x:c r="AA39" s="11" t="n">
        <x:v>44731</x:v>
      </x:c>
      <x:c r="AB39" s="11" t="n">
        <x:v>0</x:v>
      </x:c>
      <x:c r="AC39" s="11" t="n">
        <x:v>2541112</x:v>
      </x:c>
      <x:c r="AD39" s="11" t="n">
        <x:v>0</x:v>
      </x:c>
      <x:c r="AE39" s="11" t="n">
        <x:v>5326</x:v>
      </x:c>
      <x:c r="AF39" s="11" t="n">
        <x:v>6892</x:v>
      </x:c>
      <x:c r="AG39" s="11" t="n">
        <x:v>96722</x:v>
      </x:c>
      <x:c r="AH39" s="11" t="n">
        <x:v>0</x:v>
      </x:c>
    </x:row>
    <x:row r="40" ht="23" customHeight="1">
      <x:c r="A40" s="10" t="str">
        <x:v>M2</x:v>
      </x:c>
      <x:c r="B40" s="10" t="str">
        <x:v>NC_H1</x:v>
      </x:c>
      <x:c r="C40" s="9" t="str">
        <x:v>主对照</x:v>
      </x:c>
      <x:c r="D40" s="11" t="n">
        <x:v>1480</x:v>
      </x:c>
      <x:c r="E40" s="11" t="n">
        <x:v>808</x:v>
      </x:c>
      <x:c r="F40" s="11" t="n">
        <x:v>901</x:v>
      </x:c>
      <x:c r="G40" s="11" t="n">
        <x:v>296</x:v>
      </x:c>
      <x:c r="H40" s="11" t="n">
        <x:v>899</x:v>
      </x:c>
      <x:c r="I40" s="11" t="n">
        <x:v>2911273</x:v>
      </x:c>
      <x:c r="J40" s="11" t="n">
        <x:v>638242.4399999981</x:v>
      </x:c>
      <x:c r="K40" s="12" t="n">
        <x:f>E40/D40</x:f>
        <x:v>0.5459459459459459</x:v>
      </x:c>
      <x:c r="L40" s="12" t="n">
        <x:f>F40/D40</x:f>
        <x:v>0.6087837837837838</x:v>
      </x:c>
      <x:c r="M40" s="12" t="n">
        <x:f>G40/D40</x:f>
        <x:v>0.2</x:v>
      </x:c>
      <x:c r="N40" s="12" t="n">
        <x:f>J40/I40</x:f>
        <x:v>0.21923139465106778</x:v>
      </x:c>
      <x:c r="O40" s="11" t="n">
        <x:v>0</x:v>
      </x:c>
      <x:c r="P40" s="11" t="n">
        <x:v>377</x:v>
      </x:c>
      <x:c r="Q40" s="11" t="n">
        <x:v>14</x:v>
      </x:c>
      <x:c r="R40" s="11" t="n">
        <x:v>0</x:v>
      </x:c>
      <x:c r="S40" s="11" t="n">
        <x:v>901</x:v>
      </x:c>
      <x:c r="T40" s="11" t="n">
        <x:v>47</x:v>
      </x:c>
      <x:c r="U40" s="11" t="n">
        <x:v>79</x:v>
      </x:c>
      <x:c r="V40" s="11" t="n">
        <x:v>10</x:v>
      </x:c>
      <x:c r="W40" s="11" t="n">
        <x:v>52</x:v>
      </x:c>
      <x:c r="X40" s="11" t="n">
        <x:v>0</x:v>
      </x:c>
      <x:c r="Y40" s="11" t="n">
        <x:v>0</x:v>
      </x:c>
      <x:c r="Z40" s="11" t="n">
        <x:v>193488</x:v>
      </x:c>
      <x:c r="AA40" s="11" t="n">
        <x:v>9631</x:v>
      </x:c>
      <x:c r="AB40" s="11" t="n">
        <x:v>0</x:v>
      </x:c>
      <x:c r="AC40" s="11" t="n">
        <x:v>2541112</x:v>
      </x:c>
      <x:c r="AD40" s="11" t="n">
        <x:v>34180</x:v>
      </x:c>
      <x:c r="AE40" s="11" t="n">
        <x:v>29248</x:v>
      </x:c>
      <x:c r="AF40" s="11" t="n">
        <x:v>6892</x:v>
      </x:c>
      <x:c r="AG40" s="11" t="n">
        <x:v>96722</x:v>
      </x:c>
      <x:c r="AH40" s="11" t="n">
        <x:v>0</x:v>
      </x:c>
    </x:row>
    <x:row r="41" ht="23" customHeight="1">
      <x:c r="A41" s="10" t="str">
        <x:v>M2</x:v>
      </x:c>
      <x:c r="B41" s="10" t="str">
        <x:v>NG_H0</x:v>
      </x:c>
      <x:c r="C41" s="9" t="str">
        <x:v>主对照</x:v>
      </x:c>
      <x:c r="D41" s="11" t="n">
        <x:v>1480</x:v>
      </x:c>
      <x:c r="E41" s="11" t="n">
        <x:v>928</x:v>
      </x:c>
      <x:c r="F41" s="11" t="n">
        <x:v>1037</x:v>
      </x:c>
      <x:c r="G41" s="11" t="n">
        <x:v>0</x:v>
      </x:c>
      <x:c r="H41" s="11" t="n">
        <x:v>928</x:v>
      </x:c>
      <x:c r="I41" s="11" t="n">
        <x:v>2911273</x:v>
      </x:c>
      <x:c r="J41" s="11" t="n">
        <x:v>1039420.2460401689</x:v>
      </x:c>
      <x:c r="K41" s="12" t="n">
        <x:f>E41/D41</x:f>
        <x:v>0.6270270270270271</x:v>
      </x:c>
      <x:c r="L41" s="12" t="n">
        <x:f>F41/D41</x:f>
        <x:v>0.7006756756756757</x:v>
      </x:c>
      <x:c r="M41" s="12" t="n">
        <x:f>G41/D41</x:f>
        <x:v>0</x:v>
      </x:c>
      <x:c r="N41" s="12" t="n">
        <x:f>J41/I41</x:f>
        <x:v>0.35703290142840227</x:v>
      </x:c>
      <x:c r="O41" s="11" t="n">
        <x:v>0</x:v>
      </x:c>
      <x:c r="P41" s="11" t="n">
        <x:v>173</x:v>
      </x:c>
      <x:c r="Q41" s="11" t="n">
        <x:v>688</x:v>
      </x:c>
      <x:c r="R41" s="11" t="n">
        <x:v>385</x:v>
      </x:c>
      <x:c r="S41" s="11" t="n">
        <x:v>96</x:v>
      </x:c>
      <x:c r="T41" s="11" t="n">
        <x:v>19</x:v>
      </x:c>
      <x:c r="U41" s="11" t="n">
        <x:v>6</x:v>
      </x:c>
      <x:c r="V41" s="11" t="n">
        <x:v>12</x:v>
      </x:c>
      <x:c r="W41" s="11" t="n">
        <x:v>101</x:v>
      </x:c>
      <x:c r="X41" s="11" t="n">
        <x:v>0</x:v>
      </x:c>
      <x:c r="Y41" s="11" t="n">
        <x:v>0</x:v>
      </x:c>
      <x:c r="Z41" s="11" t="n">
        <x:v>37040</x:v>
      </x:c>
      <x:c r="AA41" s="11" t="n">
        <x:v>309912</x:v>
      </x:c>
      <x:c r="AB41" s="11" t="n">
        <x:v>299431</x:v>
      </x:c>
      <x:c r="AC41" s="11" t="n">
        <x:v>103590</x:v>
      </x:c>
      <x:c r="AD41" s="11" t="n">
        <x:v>24316</x:v>
      </x:c>
      <x:c r="AE41" s="11" t="n">
        <x:v>5326</x:v>
      </x:c>
      <x:c r="AF41" s="11" t="n">
        <x:v>7532</x:v>
      </x:c>
      <x:c r="AG41" s="11" t="n">
        <x:v>2124126</x:v>
      </x:c>
      <x:c r="AH41" s="11" t="n">
        <x:v>0</x:v>
      </x:c>
    </x:row>
    <x:row r="42" ht="23" customHeight="1">
      <x:c r="A42" s="10" t="str">
        <x:v>M2</x:v>
      </x:c>
      <x:c r="B42" s="10" t="str">
        <x:v>NG_HT</x:v>
      </x:c>
      <x:c r="C42" s="9" t="str">
        <x:v>仅拓扑与尺度</x:v>
      </x:c>
      <x:c r="D42" s="11" t="n">
        <x:v>1480</x:v>
      </x:c>
      <x:c r="E42" s="11" t="n">
        <x:v>928</x:v>
      </x:c>
      <x:c r="F42" s="11" t="n">
        <x:v>1037</x:v>
      </x:c>
      <x:c r="G42" s="11" t="n">
        <x:v>0</x:v>
      </x:c>
      <x:c r="H42" s="11" t="n">
        <x:v>928</x:v>
      </x:c>
      <x:c r="I42" s="11" t="n">
        <x:v>2911273</x:v>
      </x:c>
      <x:c r="J42" s="11" t="n">
        <x:v>1041812.5660401684</x:v>
      </x:c>
      <x:c r="K42" s="12" t="n">
        <x:f>E42/D42</x:f>
        <x:v>0.6270270270270271</x:v>
      </x:c>
      <x:c r="L42" s="12" t="n">
        <x:f>F42/D42</x:f>
        <x:v>0.7006756756756757</x:v>
      </x:c>
      <x:c r="M42" s="12" t="n">
        <x:f>G42/D42</x:f>
        <x:v>0</x:v>
      </x:c>
      <x:c r="N42" s="12" t="n">
        <x:f>J42/I42</x:f>
        <x:v>0.35785464504365216</x:v>
      </x:c>
      <x:c r="O42" s="11" t="n">
        <x:v>0</x:v>
      </x:c>
      <x:c r="P42" s="11" t="n">
        <x:v>168</x:v>
      </x:c>
      <x:c r="Q42" s="11" t="n">
        <x:v>620</x:v>
      </x:c>
      <x:c r="R42" s="11" t="n">
        <x:v>438</x:v>
      </x:c>
      <x:c r="S42" s="11" t="n">
        <x:v>116</x:v>
      </x:c>
      <x:c r="T42" s="11" t="n">
        <x:v>19</x:v>
      </x:c>
      <x:c r="U42" s="11" t="n">
        <x:v>6</x:v>
      </x:c>
      <x:c r="V42" s="11" t="n">
        <x:v>12</x:v>
      </x:c>
      <x:c r="W42" s="11" t="n">
        <x:v>101</x:v>
      </x:c>
      <x:c r="X42" s="11" t="n">
        <x:v>0</x:v>
      </x:c>
      <x:c r="Y42" s="11" t="n">
        <x:v>0</x:v>
      </x:c>
      <x:c r="Z42" s="11" t="n">
        <x:v>36064</x:v>
      </x:c>
      <x:c r="AA42" s="11" t="n">
        <x:v>269652</x:v>
      </x:c>
      <x:c r="AB42" s="11" t="n">
        <x:v>328611</x:v>
      </x:c>
      <x:c r="AC42" s="11" t="n">
        <x:v>115646</x:v>
      </x:c>
      <x:c r="AD42" s="11" t="n">
        <x:v>24316</x:v>
      </x:c>
      <x:c r="AE42" s="11" t="n">
        <x:v>5326</x:v>
      </x:c>
      <x:c r="AF42" s="11" t="n">
        <x:v>7532</x:v>
      </x:c>
      <x:c r="AG42" s="11" t="n">
        <x:v>2124126</x:v>
      </x:c>
      <x:c r="AH42" s="11" t="n">
        <x:v>0</x:v>
      </x:c>
    </x:row>
    <x:row r="43" ht="23" customHeight="1">
      <x:c r="A43" s="10" t="str">
        <x:v>M2</x:v>
      </x:c>
      <x:c r="B43" s="10" t="str">
        <x:v>NG_H1</x:v>
      </x:c>
      <x:c r="C43" s="9" t="str">
        <x:v>主对照</x:v>
      </x:c>
      <x:c r="D43" s="11" t="n">
        <x:v>1480</x:v>
      </x:c>
      <x:c r="E43" s="11" t="n">
        <x:v>928</x:v>
      </x:c>
      <x:c r="F43" s="11" t="n">
        <x:v>1037</x:v>
      </x:c>
      <x:c r="G43" s="11" t="n">
        <x:v>0</x:v>
      </x:c>
      <x:c r="H43" s="11" t="n">
        <x:v>1115</x:v>
      </x:c>
      <x:c r="I43" s="11" t="n">
        <x:v>2911273</x:v>
      </x:c>
      <x:c r="J43" s="11" t="n">
        <x:v>1048528.1660401683</x:v>
      </x:c>
      <x:c r="K43" s="12" t="n">
        <x:f>E43/D43</x:f>
        <x:v>0.6270270270270271</x:v>
      </x:c>
      <x:c r="L43" s="12" t="n">
        <x:f>F43/D43</x:f>
        <x:v>0.7006756756756757</x:v>
      </x:c>
      <x:c r="M43" s="12" t="n">
        <x:f>G43/D43</x:f>
        <x:v>0</x:v>
      </x:c>
      <x:c r="N43" s="12" t="n">
        <x:f>J43/I43</x:f>
        <x:v>0.3601614022594818</x:v>
      </x:c>
      <x:c r="O43" s="11" t="n">
        <x:v>0</x:v>
      </x:c>
      <x:c r="P43" s="11" t="n">
        <x:v>104</x:v>
      </x:c>
      <x:c r="Q43" s="11" t="n">
        <x:v>585</x:v>
      </x:c>
      <x:c r="R43" s="11" t="n">
        <x:v>420</x:v>
      </x:c>
      <x:c r="S43" s="11" t="n">
        <x:v>116</x:v>
      </x:c>
      <x:c r="T43" s="11" t="n">
        <x:v>66</x:v>
      </x:c>
      <x:c r="U43" s="11" t="n">
        <x:v>76</x:v>
      </x:c>
      <x:c r="V43" s="11" t="n">
        <x:v>12</x:v>
      </x:c>
      <x:c r="W43" s="11" t="n">
        <x:v>101</x:v>
      </x:c>
      <x:c r="X43" s="11" t="n">
        <x:v>0</x:v>
      </x:c>
      <x:c r="Y43" s="11" t="n">
        <x:v>0</x:v>
      </x:c>
      <x:c r="Z43" s="11" t="n">
        <x:v>25572</x:v>
      </x:c>
      <x:c r="AA43" s="11" t="n">
        <x:v>253000</x:v>
      </x:c>
      <x:c r="AB43" s="11" t="n">
        <x:v>307275</x:v>
      </x:c>
      <x:c r="AC43" s="11" t="n">
        <x:v>115646</x:v>
      </x:c>
      <x:c r="AD43" s="11" t="n">
        <x:v>58496</x:v>
      </x:c>
      <x:c r="AE43" s="11" t="n">
        <x:v>19626</x:v>
      </x:c>
      <x:c r="AF43" s="11" t="n">
        <x:v>7532</x:v>
      </x:c>
      <x:c r="AG43" s="11" t="n">
        <x:v>2124126</x:v>
      </x:c>
      <x:c r="AH43" s="11" t="n">
        <x:v>0</x:v>
      </x:c>
    </x:row>
    <x:row r="44" ht="23" customHeight="1">
      <x:c r="A44" s="10" t="str">
        <x:v>M2</x:v>
      </x:c>
      <x:c r="B44" s="10" t="str">
        <x:v>CG_H0</x:v>
      </x:c>
      <x:c r="C44" s="9" t="str">
        <x:v>主对照</x:v>
      </x:c>
      <x:c r="D44" s="11" t="n">
        <x:v>1480</x:v>
      </x:c>
      <x:c r="E44" s="11" t="n">
        <x:v>923</x:v>
      </x:c>
      <x:c r="F44" s="11" t="n">
        <x:v>923</x:v>
      </x:c>
      <x:c r="G44" s="11" t="n">
        <x:v>0</x:v>
      </x:c>
      <x:c r="H44" s="11" t="n">
        <x:v>698</x:v>
      </x:c>
      <x:c r="I44" s="11" t="n">
        <x:v>2911273</x:v>
      </x:c>
      <x:c r="J44" s="11" t="n">
        <x:v>525422.5260401698</x:v>
      </x:c>
      <x:c r="K44" s="12" t="n">
        <x:f>E44/D44</x:f>
        <x:v>0.6236486486486487</x:v>
      </x:c>
      <x:c r="L44" s="12" t="n">
        <x:f>F44/D44</x:f>
        <x:v>0.6236486486486487</x:v>
      </x:c>
      <x:c r="M44" s="12" t="n">
        <x:f>G44/D44</x:f>
        <x:v>0</x:v>
      </x:c>
      <x:c r="N44" s="12" t="n">
        <x:f>J44/I44</x:f>
        <x:v>0.18047861744335544</x:v>
      </x:c>
      <x:c r="O44" s="11" t="n">
        <x:v>0</x:v>
      </x:c>
      <x:c r="P44" s="11" t="n">
        <x:v>174</x:v>
      </x:c>
      <x:c r="Q44" s="11" t="n">
        <x:v>761</x:v>
      </x:c>
      <x:c r="R44" s="11" t="n">
        <x:v>429</x:v>
      </x:c>
      <x:c r="S44" s="11" t="n">
        <x:v>96</x:v>
      </x:c>
      <x:c r="T44" s="11" t="n">
        <x:v>19</x:v>
      </x:c>
      <x:c r="U44" s="11" t="n">
        <x:v>0</x:v>
      </x:c>
      <x:c r="V44" s="11" t="n">
        <x:v>0</x:v>
      </x:c>
      <x:c r="W44" s="11" t="n">
        <x:v>1</x:v>
      </x:c>
      <x:c r="X44" s="11" t="n">
        <x:v>0</x:v>
      </x:c>
      <x:c r="Y44" s="11" t="n">
        <x:v>0</x:v>
      </x:c>
      <x:c r="Z44" s="11" t="n">
        <x:v>42672</x:v>
      </x:c>
      <x:c r="AA44" s="11" t="n">
        <x:v>359108</x:v>
      </x:c>
      <x:c r="AB44" s="11" t="n">
        <x:v>2380755</x:v>
      </x:c>
      <x:c r="AC44" s="11" t="n">
        <x:v>103590</x:v>
      </x:c>
      <x:c r="AD44" s="11" t="n">
        <x:v>24316</x:v>
      </x:c>
      <x:c r="AE44" s="11" t="n">
        <x:v>0</x:v>
      </x:c>
      <x:c r="AF44" s="11" t="n">
        <x:v>0</x:v>
      </x:c>
      <x:c r="AG44" s="11" t="n">
        <x:v>832</x:v>
      </x:c>
      <x:c r="AH44" s="11" t="n">
        <x:v>0</x:v>
      </x:c>
    </x:row>
    <x:row r="45" ht="23" customHeight="1">
      <x:c r="A45" s="10" t="str">
        <x:v>M2</x:v>
      </x:c>
      <x:c r="B45" s="10" t="str">
        <x:v>CG_HT</x:v>
      </x:c>
      <x:c r="C45" s="9" t="str">
        <x:v>仅拓扑与尺度</x:v>
      </x:c>
      <x:c r="D45" s="11" t="n">
        <x:v>1480</x:v>
      </x:c>
      <x:c r="E45" s="11" t="n">
        <x:v>935</x:v>
      </x:c>
      <x:c r="F45" s="11" t="n">
        <x:v>935</x:v>
      </x:c>
      <x:c r="G45" s="11" t="n">
        <x:v>0</x:v>
      </x:c>
      <x:c r="H45" s="11" t="n">
        <x:v>710</x:v>
      </x:c>
      <x:c r="I45" s="11" t="n">
        <x:v>2911273</x:v>
      </x:c>
      <x:c r="J45" s="11" t="n">
        <x:v>559265.5660401677</x:v>
      </x:c>
      <x:c r="K45" s="12" t="n">
        <x:f>E45/D45</x:f>
        <x:v>0.6317567567567568</x:v>
      </x:c>
      <x:c r="L45" s="12" t="n">
        <x:f>F45/D45</x:f>
        <x:v>0.6317567567567568</x:v>
      </x:c>
      <x:c r="M45" s="12" t="n">
        <x:f>G45/D45</x:f>
        <x:v>0</x:v>
      </x:c>
      <x:c r="N45" s="12" t="n">
        <x:f>J45/I45</x:f>
        <x:v>0.19210344273455898</x:v>
      </x:c>
      <x:c r="O45" s="11" t="n">
        <x:v>0</x:v>
      </x:c>
      <x:c r="P45" s="11" t="n">
        <x:v>126</x:v>
      </x:c>
      <x:c r="Q45" s="11" t="n">
        <x:v>735</x:v>
      </x:c>
      <x:c r="R45" s="11" t="n">
        <x:v>475</x:v>
      </x:c>
      <x:c r="S45" s="11" t="n">
        <x:v>115</x:v>
      </x:c>
      <x:c r="T45" s="11" t="n">
        <x:v>28</x:v>
      </x:c>
      <x:c r="U45" s="11" t="n">
        <x:v>0</x:v>
      </x:c>
      <x:c r="V45" s="11" t="n">
        <x:v>0</x:v>
      </x:c>
      <x:c r="W45" s="11" t="n">
        <x:v>1</x:v>
      </x:c>
      <x:c r="X45" s="11" t="n">
        <x:v>0</x:v>
      </x:c>
      <x:c r="Y45" s="11" t="n">
        <x:v>0</x:v>
      </x:c>
      <x:c r="Z45" s="11" t="n">
        <x:v>32204</x:v>
      </x:c>
      <x:c r="AA45" s="11" t="n">
        <x:v>327726</x:v>
      </x:c>
      <x:c r="AB45" s="11" t="n">
        <x:v>1893133</x:v>
      </x:c>
      <x:c r="AC45" s="11" t="n">
        <x:v>628278</x:v>
      </x:c>
      <x:c r="AD45" s="11" t="n">
        <x:v>29100</x:v>
      </x:c>
      <x:c r="AE45" s="11" t="n">
        <x:v>0</x:v>
      </x:c>
      <x:c r="AF45" s="11" t="n">
        <x:v>0</x:v>
      </x:c>
      <x:c r="AG45" s="11" t="n">
        <x:v>832</x:v>
      </x:c>
      <x:c r="AH45" s="11" t="n">
        <x:v>0</x:v>
      </x:c>
    </x:row>
    <x:row r="46" ht="23" customHeight="1">
      <x:c r="A46" s="10" t="str">
        <x:v>M2</x:v>
      </x:c>
      <x:c r="B46" s="10" t="str">
        <x:v>CG_H1</x:v>
      </x:c>
      <x:c r="C46" s="9" t="str">
        <x:v>主对照</x:v>
      </x:c>
      <x:c r="D46" s="11" t="n">
        <x:v>1480</x:v>
      </x:c>
      <x:c r="E46" s="11" t="n">
        <x:v>935</x:v>
      </x:c>
      <x:c r="F46" s="11" t="n">
        <x:v>935</x:v>
      </x:c>
      <x:c r="G46" s="11" t="n">
        <x:v>0</x:v>
      </x:c>
      <x:c r="H46" s="11" t="n">
        <x:v>815</x:v>
      </x:c>
      <x:c r="I46" s="11" t="n">
        <x:v>2911273</x:v>
      </x:c>
      <x:c r="J46" s="11" t="n">
        <x:v>563858.0060401676</x:v>
      </x:c>
      <x:c r="K46" s="12" t="n">
        <x:f>E46/D46</x:f>
        <x:v>0.6317567567567568</x:v>
      </x:c>
      <x:c r="L46" s="12" t="n">
        <x:f>F46/D46</x:f>
        <x:v>0.6317567567567568</x:v>
      </x:c>
      <x:c r="M46" s="12" t="n">
        <x:f>G46/D46</x:f>
        <x:v>0</x:v>
      </x:c>
      <x:c r="N46" s="12" t="n">
        <x:f>J46/I46</x:f>
        <x:v>0.19368091073567048</x:v>
      </x:c>
      <x:c r="O46" s="11" t="n">
        <x:v>0</x:v>
      </x:c>
      <x:c r="P46" s="11" t="n">
        <x:v>61</x:v>
      </x:c>
      <x:c r="Q46" s="11" t="n">
        <x:v>728</x:v>
      </x:c>
      <x:c r="R46" s="11" t="n">
        <x:v>443</x:v>
      </x:c>
      <x:c r="S46" s="11" t="n">
        <x:v>115</x:v>
      </x:c>
      <x:c r="T46" s="11" t="n">
        <x:v>28</x:v>
      </x:c>
      <x:c r="U46" s="11" t="n">
        <x:v>104</x:v>
      </x:c>
      <x:c r="V46" s="11" t="n">
        <x:v>0</x:v>
      </x:c>
      <x:c r="W46" s="11" t="n">
        <x:v>1</x:v>
      </x:c>
      <x:c r="X46" s="11" t="n">
        <x:v>0</x:v>
      </x:c>
      <x:c r="Y46" s="11" t="n">
        <x:v>0</x:v>
      </x:c>
      <x:c r="Z46" s="11" t="n">
        <x:v>19672</x:v>
      </x:c>
      <x:c r="AA46" s="11" t="n">
        <x:v>326192</x:v>
      </x:c>
      <x:c r="AB46" s="11" t="n">
        <x:v>1880205</x:v>
      </x:c>
      <x:c r="AC46" s="11" t="n">
        <x:v>628278</x:v>
      </x:c>
      <x:c r="AD46" s="11" t="n">
        <x:v>29100</x:v>
      </x:c>
      <x:c r="AE46" s="11" t="n">
        <x:v>26994</x:v>
      </x:c>
      <x:c r="AF46" s="11" t="n">
        <x:v>0</x:v>
      </x:c>
      <x:c r="AG46" s="11" t="n">
        <x:v>832</x:v>
      </x:c>
      <x:c r="AH46" s="11" t="n">
        <x:v>0</x:v>
      </x:c>
    </x:row>
    <x:row r="47" ht="23" customHeight="1">
      <x:c r="A47" s="10" t="str">
        <x:v>M2</x:v>
      </x:c>
      <x:c r="B47" s="10" t="str">
        <x:v>NCG_H0</x:v>
      </x:c>
      <x:c r="C47" s="9" t="str">
        <x:v>主对照</x:v>
      </x:c>
      <x:c r="D47" s="11" t="n">
        <x:v>1480</x:v>
      </x:c>
      <x:c r="E47" s="11" t="n">
        <x:v>808</x:v>
      </x:c>
      <x:c r="F47" s="11" t="n">
        <x:v>901</x:v>
      </x:c>
      <x:c r="G47" s="11" t="n">
        <x:v>296</x:v>
      </x:c>
      <x:c r="H47" s="11" t="n">
        <x:v>766</x:v>
      </x:c>
      <x:c r="I47" s="11" t="n">
        <x:v>2911273</x:v>
      </x:c>
      <x:c r="J47" s="11" t="n">
        <x:v>584506.8460401677</x:v>
      </x:c>
      <x:c r="K47" s="12" t="n">
        <x:f>E47/D47</x:f>
        <x:v>0.5459459459459459</x:v>
      </x:c>
      <x:c r="L47" s="12" t="n">
        <x:f>F47/D47</x:f>
        <x:v>0.6087837837837838</x:v>
      </x:c>
      <x:c r="M47" s="12" t="n">
        <x:f>G47/D47</x:f>
        <x:v>0.2</x:v>
      </x:c>
      <x:c r="N47" s="12" t="n">
        <x:f>J47/I47</x:f>
        <x:v>0.20077362928181855</x:v>
      </x:c>
      <x:c r="O47" s="11" t="n">
        <x:v>0</x:v>
      </x:c>
      <x:c r="P47" s="11" t="n">
        <x:v>97</x:v>
      </x:c>
      <x:c r="Q47" s="11" t="n">
        <x:v>738</x:v>
      </x:c>
      <x:c r="R47" s="11" t="n">
        <x:v>443</x:v>
      </x:c>
      <x:c r="S47" s="11" t="n">
        <x:v>115</x:v>
      </x:c>
      <x:c r="T47" s="11" t="n">
        <x:v>19</x:v>
      </x:c>
      <x:c r="U47" s="11" t="n">
        <x:v>6</x:v>
      </x:c>
      <x:c r="V47" s="11" t="n">
        <x:v>10</x:v>
      </x:c>
      <x:c r="W47" s="11" t="n">
        <x:v>52</x:v>
      </x:c>
      <x:c r="X47" s="11" t="n">
        <x:v>0</x:v>
      </x:c>
      <x:c r="Y47" s="11" t="n">
        <x:v>0</x:v>
      </x:c>
      <x:c r="Z47" s="11" t="n">
        <x:v>27296</x:v>
      </x:c>
      <x:c r="AA47" s="11" t="n">
        <x:v>314364</x:v>
      </x:c>
      <x:c r="AB47" s="11" t="n">
        <x:v>1809897</x:v>
      </x:c>
      <x:c r="AC47" s="11" t="n">
        <x:v>626460</x:v>
      </x:c>
      <x:c r="AD47" s="11" t="n">
        <x:v>24316</x:v>
      </x:c>
      <x:c r="AE47" s="11" t="n">
        <x:v>5326</x:v>
      </x:c>
      <x:c r="AF47" s="11" t="n">
        <x:v>6892</x:v>
      </x:c>
      <x:c r="AG47" s="11" t="n">
        <x:v>96722</x:v>
      </x:c>
      <x:c r="AH47" s="11" t="n">
        <x:v>0</x:v>
      </x:c>
    </x:row>
    <x:row r="48" ht="23" customHeight="1">
      <x:c r="A48" s="10" t="str">
        <x:v>M2</x:v>
      </x:c>
      <x:c r="B48" s="10" t="str">
        <x:v>NCG_HT</x:v>
      </x:c>
      <x:c r="C48" s="9" t="str">
        <x:v>仅拓扑与尺度</x:v>
      </x:c>
      <x:c r="D48" s="11" t="n">
        <x:v>1480</x:v>
      </x:c>
      <x:c r="E48" s="11" t="n">
        <x:v>820</x:v>
      </x:c>
      <x:c r="F48" s="11" t="n">
        <x:v>913</x:v>
      </x:c>
      <x:c r="G48" s="11" t="n">
        <x:v>296</x:v>
      </x:c>
      <x:c r="H48" s="11" t="n">
        <x:v>776</x:v>
      </x:c>
      <x:c r="I48" s="11" t="n">
        <x:v>2911273</x:v>
      </x:c>
      <x:c r="J48" s="11" t="n">
        <x:v>587353.4860401675</x:v>
      </x:c>
      <x:c r="K48" s="12" t="n">
        <x:f>E48/D48</x:f>
        <x:v>0.5540540540540541</x:v>
      </x:c>
      <x:c r="L48" s="12" t="n">
        <x:f>F48/D48</x:f>
        <x:v>0.6168918918918919</x:v>
      </x:c>
      <x:c r="M48" s="12" t="n">
        <x:f>G48/D48</x:f>
        <x:v>0.2</x:v>
      </x:c>
      <x:c r="N48" s="12" t="n">
        <x:f>J48/I48</x:f>
        <x:v>0.20175142834085552</x:v>
      </x:c>
      <x:c r="O48" s="11" t="n">
        <x:v>0</x:v>
      </x:c>
      <x:c r="P48" s="11" t="n">
        <x:v>64</x:v>
      </x:c>
      <x:c r="Q48" s="11" t="n">
        <x:v>664</x:v>
      </x:c>
      <x:c r="R48" s="11" t="n">
        <x:v>528</x:v>
      </x:c>
      <x:c r="S48" s="11" t="n">
        <x:v>128</x:v>
      </x:c>
      <x:c r="T48" s="11" t="n">
        <x:v>28</x:v>
      </x:c>
      <x:c r="U48" s="11" t="n">
        <x:v>6</x:v>
      </x:c>
      <x:c r="V48" s="11" t="n">
        <x:v>10</x:v>
      </x:c>
      <x:c r="W48" s="11" t="n">
        <x:v>52</x:v>
      </x:c>
      <x:c r="X48" s="11" t="n">
        <x:v>0</x:v>
      </x:c>
      <x:c r="Y48" s="11" t="n">
        <x:v>0</x:v>
      </x:c>
      <x:c r="Z48" s="11" t="n">
        <x:v>20188</x:v>
      </x:c>
      <x:c r="AA48" s="11" t="n">
        <x:v>276992</x:v>
      </x:c>
      <x:c r="AB48" s="11" t="n">
        <x:v>1842145</x:v>
      </x:c>
      <x:c r="AC48" s="11" t="n">
        <x:v>633908</x:v>
      </x:c>
      <x:c r="AD48" s="11" t="n">
        <x:v>29100</x:v>
      </x:c>
      <x:c r="AE48" s="11" t="n">
        <x:v>5326</x:v>
      </x:c>
      <x:c r="AF48" s="11" t="n">
        <x:v>6892</x:v>
      </x:c>
      <x:c r="AG48" s="11" t="n">
        <x:v>96722</x:v>
      </x:c>
      <x:c r="AH48" s="11" t="n">
        <x:v>0</x:v>
      </x:c>
    </x:row>
    <x:row r="49" ht="23" customHeight="1">
      <x:c r="A49" s="10" t="str">
        <x:v>M2</x:v>
      </x:c>
      <x:c r="B49" s="10" t="str">
        <x:v>NCG_H1</x:v>
      </x:c>
      <x:c r="C49" s="9" t="str">
        <x:v>主对照</x:v>
      </x:c>
      <x:c r="D49" s="11" t="n">
        <x:v>1480</x:v>
      </x:c>
      <x:c r="E49" s="11" t="n">
        <x:v>820</x:v>
      </x:c>
      <x:c r="F49" s="11" t="n">
        <x:v>913</x:v>
      </x:c>
      <x:c r="G49" s="11" t="n">
        <x:v>296</x:v>
      </x:c>
      <x:c r="H49" s="11" t="n">
        <x:v>909</x:v>
      </x:c>
      <x:c r="I49" s="11" t="n">
        <x:v>2911273</x:v>
      </x:c>
      <x:c r="J49" s="11" t="n">
        <x:v>595129.1260401671</x:v>
      </x:c>
      <x:c r="K49" s="12" t="n">
        <x:f>E49/D49</x:f>
        <x:v>0.5540540540540541</x:v>
      </x:c>
      <x:c r="L49" s="12" t="n">
        <x:f>F49/D49</x:f>
        <x:v>0.6168918918918919</x:v>
      </x:c>
      <x:c r="M49" s="12" t="n">
        <x:f>G49/D49</x:f>
        <x:v>0.2</x:v>
      </x:c>
      <x:c r="N49" s="12" t="n">
        <x:f>J49/I49</x:f>
        <x:v>0.20442230118582733</x:v>
      </x:c>
      <x:c r="O49" s="11" t="n">
        <x:v>0</x:v>
      </x:c>
      <x:c r="P49" s="11" t="n">
        <x:v>48</x:v>
      </x:c>
      <x:c r="Q49" s="11" t="n">
        <x:v>612</x:v>
      </x:c>
      <x:c r="R49" s="11" t="n">
        <x:v>476</x:v>
      </x:c>
      <x:c r="S49" s="11" t="n">
        <x:v>128</x:v>
      </x:c>
      <x:c r="T49" s="11" t="n">
        <x:v>75</x:v>
      </x:c>
      <x:c r="U49" s="11" t="n">
        <x:v>79</x:v>
      </x:c>
      <x:c r="V49" s="11" t="n">
        <x:v>10</x:v>
      </x:c>
      <x:c r="W49" s="11" t="n">
        <x:v>52</x:v>
      </x:c>
      <x:c r="X49" s="11" t="n">
        <x:v>0</x:v>
      </x:c>
      <x:c r="Y49" s="11" t="n">
        <x:v>0</x:v>
      </x:c>
      <x:c r="Z49" s="11" t="n">
        <x:v>16604</x:v>
      </x:c>
      <x:c r="AA49" s="11" t="n">
        <x:v>257154</x:v>
      </x:c>
      <x:c r="AB49" s="11" t="n">
        <x:v>1807465</x:v>
      </x:c>
      <x:c r="AC49" s="11" t="n">
        <x:v>633908</x:v>
      </x:c>
      <x:c r="AD49" s="11" t="n">
        <x:v>63280</x:v>
      </x:c>
      <x:c r="AE49" s="11" t="n">
        <x:v>29248</x:v>
      </x:c>
      <x:c r="AF49" s="11" t="n">
        <x:v>6892</x:v>
      </x:c>
      <x:c r="AG49" s="11" t="n">
        <x:v>96722</x:v>
      </x:c>
      <x:c r="AH49" s="11" t="n">
        <x:v>0</x:v>
      </x:c>
    </x:row>
    <x:row r="50" ht="23" customHeight="1">
      <x:c r="A50" s="10" t="str">
        <x:v>M2</x:v>
      </x:c>
      <x:c r="B50" s="10" t="str">
        <x:v>NCG_H0_M1</x:v>
      </x:c>
      <x:c r="C50" s="9" t="str">
        <x:v>叶名称辅助</x:v>
      </x:c>
      <x:c r="D50" s="11" t="n">
        <x:v>1480</x:v>
      </x:c>
      <x:c r="E50" s="11" t="n">
        <x:v>570</x:v>
      </x:c>
      <x:c r="F50" s="11" t="n">
        <x:v>629</x:v>
      </x:c>
      <x:c r="G50" s="11" t="n">
        <x:v>296</x:v>
      </x:c>
      <x:c r="H50" s="11" t="n">
        <x:v>941</x:v>
      </x:c>
      <x:c r="I50" s="11" t="n">
        <x:v>2911273</x:v>
      </x:c>
      <x:c r="J50" s="11" t="n">
        <x:v>1050337.3260401692</x:v>
      </x:c>
      <x:c r="K50" s="12" t="n">
        <x:f>E50/D50</x:f>
        <x:v>0.38513513513513514</x:v>
      </x:c>
      <x:c r="L50" s="12" t="n">
        <x:f>F50/D50</x:f>
        <x:v>0.425</x:v>
      </x:c>
      <x:c r="M50" s="12" t="n">
        <x:f>G50/D50</x:f>
        <x:v>0.2</x:v>
      </x:c>
      <x:c r="N50" s="12" t="n">
        <x:f>J50/I50</x:f>
        <x:v>0.36078283487675983</x:v>
      </x:c>
      <x:c r="O50" s="11" t="n">
        <x:v>0</x:v>
      </x:c>
      <x:c r="P50" s="11" t="n">
        <x:v>99</x:v>
      </x:c>
      <x:c r="Q50" s="11" t="n">
        <x:v>602</x:v>
      </x:c>
      <x:c r="R50" s="11" t="n">
        <x:v>379</x:v>
      </x:c>
      <x:c r="S50" s="11" t="n">
        <x:v>105</x:v>
      </x:c>
      <x:c r="T50" s="11" t="n">
        <x:v>19</x:v>
      </x:c>
      <x:c r="U50" s="11" t="n">
        <x:v>10</x:v>
      </x:c>
      <x:c r="V50" s="11" t="n">
        <x:v>30</x:v>
      </x:c>
      <x:c r="W50" s="11" t="n">
        <x:v>235</x:v>
      </x:c>
      <x:c r="X50" s="11" t="n">
        <x:v>1</x:v>
      </x:c>
      <x:c r="Y50" s="11" t="n">
        <x:v>0</x:v>
      </x:c>
      <x:c r="Z50" s="11" t="n">
        <x:v>27968</x:v>
      </x:c>
      <x:c r="AA50" s="11" t="n">
        <x:v>268982</x:v>
      </x:c>
      <x:c r="AB50" s="11" t="n">
        <x:v>308199</x:v>
      </x:c>
      <x:c r="AC50" s="11" t="n">
        <x:v>108608</x:v>
      </x:c>
      <x:c r="AD50" s="11" t="n">
        <x:v>24316</x:v>
      </x:c>
      <x:c r="AE50" s="11" t="n">
        <x:v>6804</x:v>
      </x:c>
      <x:c r="AF50" s="11" t="n">
        <x:v>9646</x:v>
      </x:c>
      <x:c r="AG50" s="11" t="n">
        <x:v>2156534</x:v>
      </x:c>
      <x:c r="AH50" s="11" t="n">
        <x:v>216</x:v>
      </x:c>
    </x:row>
    <x:row r="51" ht="23" customHeight="1">
      <x:c r="A51" s="10" t="str">
        <x:v>M2</x:v>
      </x:c>
      <x:c r="B51" s="10" t="str">
        <x:v>NCG_H1_M1</x:v>
      </x:c>
      <x:c r="C51" s="9" t="str">
        <x:v>叶名称辅助</x:v>
      </x:c>
      <x:c r="D51" s="11" t="n">
        <x:v>1480</x:v>
      </x:c>
      <x:c r="E51" s="11" t="n">
        <x:v>581</x:v>
      </x:c>
      <x:c r="F51" s="11" t="n">
        <x:v>640</x:v>
      </x:c>
      <x:c r="G51" s="11" t="n">
        <x:v>296</x:v>
      </x:c>
      <x:c r="H51" s="11" t="n">
        <x:v>1031</x:v>
      </x:c>
      <x:c r="I51" s="11" t="n">
        <x:v>2911273</x:v>
      </x:c>
      <x:c r="J51" s="11" t="n">
        <x:v>1063292.1660401726</x:v>
      </x:c>
      <x:c r="K51" s="12" t="n">
        <x:f>E51/D51</x:f>
        <x:v>0.39256756756756755</x:v>
      </x:c>
      <x:c r="L51" s="12" t="n">
        <x:f>F51/D51</x:f>
        <x:v>0.43243243243243246</x:v>
      </x:c>
      <x:c r="M51" s="12" t="n">
        <x:f>G51/D51</x:f>
        <x:v>0.2</x:v>
      </x:c>
      <x:c r="N51" s="12" t="n">
        <x:f>J51/I51</x:f>
        <x:v>0.36523272329327156</x:v>
      </x:c>
      <x:c r="O51" s="11" t="n">
        <x:v>0</x:v>
      </x:c>
      <x:c r="P51" s="11" t="n">
        <x:v>51</x:v>
      </x:c>
      <x:c r="Q51" s="11" t="n">
        <x:v>485</x:v>
      </x:c>
      <x:c r="R51" s="11" t="n">
        <x:v>374</x:v>
      </x:c>
      <x:c r="S51" s="11" t="n">
        <x:v>116</x:v>
      </x:c>
      <x:c r="T51" s="11" t="n">
        <x:v>102</x:v>
      </x:c>
      <x:c r="U51" s="11" t="n">
        <x:v>86</x:v>
      </x:c>
      <x:c r="V51" s="11" t="n">
        <x:v>30</x:v>
      </x:c>
      <x:c r="W51" s="11" t="n">
        <x:v>235</x:v>
      </x:c>
      <x:c r="X51" s="11" t="n">
        <x:v>1</x:v>
      </x:c>
      <x:c r="Y51" s="11" t="n">
        <x:v>0</x:v>
      </x:c>
      <x:c r="Z51" s="11" t="n">
        <x:v>17476</x:v>
      </x:c>
      <x:c r="AA51" s="11" t="n">
        <x:v>213822</x:v>
      </x:c>
      <x:c r="AB51" s="11" t="n">
        <x:v>280917</x:v>
      </x:c>
      <x:c r="AC51" s="11" t="n">
        <x:v>114192</x:v>
      </x:c>
      <x:c r="AD51" s="11" t="n">
        <x:v>85444</x:v>
      </x:c>
      <x:c r="AE51" s="11" t="n">
        <x:v>33026</x:v>
      </x:c>
      <x:c r="AF51" s="11" t="n">
        <x:v>9646</x:v>
      </x:c>
      <x:c r="AG51" s="11" t="n">
        <x:v>2156534</x:v>
      </x:c>
      <x:c r="AH51" s="11" t="n">
        <x:v>216</x:v>
      </x:c>
    </x:row>
    <x:row r="52" ht="23" customHeight="1">
      <x:c r="A52" s="10" t="str">
        <x:v>M3</x:v>
      </x:c>
      <x:c r="B52" s="10" t="str">
        <x:v>N_H0</x:v>
      </x:c>
      <x:c r="C52" s="9" t="str">
        <x:v>主对照</x:v>
      </x:c>
      <x:c r="D52" s="11" t="n">
        <x:v>1481</x:v>
      </x:c>
      <x:c r="E52" s="11" t="n">
        <x:v>1006</x:v>
      </x:c>
      <x:c r="F52" s="11" t="n">
        <x:v>1174</x:v>
      </x:c>
      <x:c r="G52" s="11" t="n">
        <x:v>0</x:v>
      </x:c>
      <x:c r="H52" s="11" t="n">
        <x:v>1006</x:v>
      </x:c>
      <x:c r="I52" s="11" t="n">
        <x:v>3433060</x:v>
      </x:c>
      <x:c r="J52" s="11" t="n">
        <x:v>886111.1600000001</x:v>
      </x:c>
      <x:c r="K52" s="12" t="n">
        <x:f>E52/D52</x:f>
        <x:v>0.6792707629979743</x:v>
      </x:c>
      <x:c r="L52" s="12" t="n">
        <x:f>F52/D52</x:f>
        <x:v>0.7927076299797434</x:v>
      </x:c>
      <x:c r="M52" s="12" t="n">
        <x:f>G52/D52</x:f>
        <x:v>0</x:v>
      </x:c>
      <x:c r="N52" s="12" t="n">
        <x:f>J52/I52</x:f>
        <x:v>0.2581111777830857</x:v>
      </x:c>
      <x:c r="O52" s="11" t="n">
        <x:v>0</x:v>
      </x:c>
      <x:c r="P52" s="11" t="n">
        <x:v>123</x:v>
      </x:c>
      <x:c r="Q52" s="11" t="n">
        <x:v>25</x:v>
      </x:c>
      <x:c r="R52" s="11" t="n">
        <x:v>0</x:v>
      </x:c>
      <x:c r="S52" s="11" t="n">
        <x:v>1174</x:v>
      </x:c>
      <x:c r="T52" s="11" t="n">
        <x:v>6</x:v>
      </x:c>
      <x:c r="U52" s="11" t="n">
        <x:v>6</x:v>
      </x:c>
      <x:c r="V52" s="11" t="n">
        <x:v>41</x:v>
      </x:c>
      <x:c r="W52" s="11" t="n">
        <x:v>106</x:v>
      </x:c>
      <x:c r="X52" s="11" t="n">
        <x:v>0</x:v>
      </x:c>
      <x:c r="Y52" s="11" t="n">
        <x:v>0</x:v>
      </x:c>
      <x:c r="Z52" s="11" t="n">
        <x:v>80292</x:v>
      </x:c>
      <x:c r="AA52" s="11" t="n">
        <x:v>28964</x:v>
      </x:c>
      <x:c r="AB52" s="11" t="n">
        <x:v>0</x:v>
      </x:c>
      <x:c r="AC52" s="11" t="n">
        <x:v>2373856</x:v>
      </x:c>
      <x:c r="AD52" s="11" t="n">
        <x:v>66678</x:v>
      </x:c>
      <x:c r="AE52" s="11" t="n">
        <x:v>33516</x:v>
      </x:c>
      <x:c r="AF52" s="11" t="n">
        <x:v>248912</x:v>
      </x:c>
      <x:c r="AG52" s="11" t="n">
        <x:v>600842</x:v>
      </x:c>
      <x:c r="AH52" s="11" t="n">
        <x:v>0</x:v>
      </x:c>
    </x:row>
    <x:row r="53" ht="23" customHeight="1">
      <x:c r="A53" s="10" t="str">
        <x:v>M3</x:v>
      </x:c>
      <x:c r="B53" s="10" t="str">
        <x:v>N_HT</x:v>
      </x:c>
      <x:c r="C53" s="9" t="str">
        <x:v>仅拓扑与尺度</x:v>
      </x:c>
      <x:c r="D53" s="11" t="n">
        <x:v>1481</x:v>
      </x:c>
      <x:c r="E53" s="11" t="n">
        <x:v>1006</x:v>
      </x:c>
      <x:c r="F53" s="11" t="n">
        <x:v>1174</x:v>
      </x:c>
      <x:c r="G53" s="11" t="n">
        <x:v>0</x:v>
      </x:c>
      <x:c r="H53" s="11" t="n">
        <x:v>1006</x:v>
      </x:c>
      <x:c r="I53" s="11" t="n">
        <x:v>3433060</x:v>
      </x:c>
      <x:c r="J53" s="11" t="n">
        <x:v>886111.1600000001</x:v>
      </x:c>
      <x:c r="K53" s="12" t="n">
        <x:f>E53/D53</x:f>
        <x:v>0.6792707629979743</x:v>
      </x:c>
      <x:c r="L53" s="12" t="n">
        <x:f>F53/D53</x:f>
        <x:v>0.7927076299797434</x:v>
      </x:c>
      <x:c r="M53" s="12" t="n">
        <x:f>G53/D53</x:f>
        <x:v>0</x:v>
      </x:c>
      <x:c r="N53" s="12" t="n">
        <x:f>J53/I53</x:f>
        <x:v>0.2581111777830857</x:v>
      </x:c>
      <x:c r="O53" s="11" t="n">
        <x:v>0</x:v>
      </x:c>
      <x:c r="P53" s="11" t="n">
        <x:v>123</x:v>
      </x:c>
      <x:c r="Q53" s="11" t="n">
        <x:v>25</x:v>
      </x:c>
      <x:c r="R53" s="11" t="n">
        <x:v>0</x:v>
      </x:c>
      <x:c r="S53" s="11" t="n">
        <x:v>1174</x:v>
      </x:c>
      <x:c r="T53" s="11" t="n">
        <x:v>6</x:v>
      </x:c>
      <x:c r="U53" s="11" t="n">
        <x:v>6</x:v>
      </x:c>
      <x:c r="V53" s="11" t="n">
        <x:v>41</x:v>
      </x:c>
      <x:c r="W53" s="11" t="n">
        <x:v>106</x:v>
      </x:c>
      <x:c r="X53" s="11" t="n">
        <x:v>0</x:v>
      </x:c>
      <x:c r="Y53" s="11" t="n">
        <x:v>0</x:v>
      </x:c>
      <x:c r="Z53" s="11" t="n">
        <x:v>80292</x:v>
      </x:c>
      <x:c r="AA53" s="11" t="n">
        <x:v>28964</x:v>
      </x:c>
      <x:c r="AB53" s="11" t="n">
        <x:v>0</x:v>
      </x:c>
      <x:c r="AC53" s="11" t="n">
        <x:v>2373856</x:v>
      </x:c>
      <x:c r="AD53" s="11" t="n">
        <x:v>66678</x:v>
      </x:c>
      <x:c r="AE53" s="11" t="n">
        <x:v>33516</x:v>
      </x:c>
      <x:c r="AF53" s="11" t="n">
        <x:v>248912</x:v>
      </x:c>
      <x:c r="AG53" s="11" t="n">
        <x:v>600842</x:v>
      </x:c>
      <x:c r="AH53" s="11" t="n">
        <x:v>0</x:v>
      </x:c>
    </x:row>
    <x:row r="54" ht="23" customHeight="1">
      <x:c r="A54" s="10" t="str">
        <x:v>M3</x:v>
      </x:c>
      <x:c r="B54" s="10" t="str">
        <x:v>N_H1</x:v>
      </x:c>
      <x:c r="C54" s="9" t="str">
        <x:v>主对照</x:v>
      </x:c>
      <x:c r="D54" s="11" t="n">
        <x:v>1481</x:v>
      </x:c>
      <x:c r="E54" s="11" t="n">
        <x:v>1006</x:v>
      </x:c>
      <x:c r="F54" s="11" t="n">
        <x:v>1174</x:v>
      </x:c>
      <x:c r="G54" s="11" t="n">
        <x:v>0</x:v>
      </x:c>
      <x:c r="H54" s="11" t="n">
        <x:v>1129</x:v>
      </x:c>
      <x:c r="I54" s="11" t="n">
        <x:v>3433060</x:v>
      </x:c>
      <x:c r="J54" s="11" t="n">
        <x:v>889042.7600000007</x:v>
      </x:c>
      <x:c r="K54" s="12" t="n">
        <x:f>E54/D54</x:f>
        <x:v>0.6792707629979743</x:v>
      </x:c>
      <x:c r="L54" s="12" t="n">
        <x:f>F54/D54</x:f>
        <x:v>0.7927076299797434</x:v>
      </x:c>
      <x:c r="M54" s="12" t="n">
        <x:f>G54/D54</x:f>
        <x:v>0</x:v>
      </x:c>
      <x:c r="N54" s="12" t="n">
        <x:f>J54/I54</x:f>
        <x:v>0.25896510984369653</x:v>
      </x:c>
      <x:c r="O54" s="11" t="n">
        <x:v>0</x:v>
      </x:c>
      <x:c r="P54" s="11" t="n">
        <x:v>113</x:v>
      </x:c>
      <x:c r="Q54" s="11" t="n">
        <x:v>11</x:v>
      </x:c>
      <x:c r="R54" s="11" t="n">
        <x:v>0</x:v>
      </x:c>
      <x:c r="S54" s="11" t="n">
        <x:v>1174</x:v>
      </x:c>
      <x:c r="T54" s="11" t="n">
        <x:v>20</x:v>
      </x:c>
      <x:c r="U54" s="11" t="n">
        <x:v>16</x:v>
      </x:c>
      <x:c r="V54" s="11" t="n">
        <x:v>41</x:v>
      </x:c>
      <x:c r="W54" s="11" t="n">
        <x:v>106</x:v>
      </x:c>
      <x:c r="X54" s="11" t="n">
        <x:v>0</x:v>
      </x:c>
      <x:c r="Y54" s="11" t="n">
        <x:v>0</x:v>
      </x:c>
      <x:c r="Z54" s="11" t="n">
        <x:v>75588</x:v>
      </x:c>
      <x:c r="AA54" s="11" t="n">
        <x:v>14744</x:v>
      </x:c>
      <x:c r="AB54" s="11" t="n">
        <x:v>0</x:v>
      </x:c>
      <x:c r="AC54" s="11" t="n">
        <x:v>2373856</x:v>
      </x:c>
      <x:c r="AD54" s="11" t="n">
        <x:v>80898</x:v>
      </x:c>
      <x:c r="AE54" s="11" t="n">
        <x:v>38220</x:v>
      </x:c>
      <x:c r="AF54" s="11" t="n">
        <x:v>248912</x:v>
      </x:c>
      <x:c r="AG54" s="11" t="n">
        <x:v>600842</x:v>
      </x:c>
      <x:c r="AH54" s="11" t="n">
        <x:v>0</x:v>
      </x:c>
    </x:row>
    <x:row r="55" ht="23" customHeight="1">
      <x:c r="A55" s="10" t="str">
        <x:v>M3</x:v>
      </x:c>
      <x:c r="B55" s="10" t="str">
        <x:v>C_H0</x:v>
      </x:c>
      <x:c r="C55" s="9" t="str">
        <x:v>主对照</x:v>
      </x:c>
      <x:c r="D55" s="11" t="n">
        <x:v>1481</x:v>
      </x:c>
      <x:c r="E55" s="11" t="n">
        <x:v>1128</x:v>
      </x:c>
      <x:c r="F55" s="11" t="n">
        <x:v>1128</x:v>
      </x:c>
      <x:c r="G55" s="11" t="n">
        <x:v>0</x:v>
      </x:c>
      <x:c r="H55" s="11" t="n">
        <x:v>976</x:v>
      </x:c>
      <x:c r="I55" s="11" t="n">
        <x:v>3433060</x:v>
      </x:c>
      <x:c r="J55" s="11" t="n">
        <x:v>666306.3999999978</x:v>
      </x:c>
      <x:c r="K55" s="12" t="n">
        <x:f>E55/D55</x:f>
        <x:v>0.761647535449021</x:v>
      </x:c>
      <x:c r="L55" s="12" t="n">
        <x:f>F55/D55</x:f>
        <x:v>0.761647535449021</x:v>
      </x:c>
      <x:c r="M55" s="12" t="n">
        <x:f>G55/D55</x:f>
        <x:v>0</x:v>
      </x:c>
      <x:c r="N55" s="12" t="n">
        <x:f>J55/I55</x:f>
        <x:v>0.19408527669193018</x:v>
      </x:c>
      <x:c r="O55" s="11" t="n">
        <x:v>0</x:v>
      </x:c>
      <x:c r="P55" s="11" t="n">
        <x:v>353</x:v>
      </x:c>
      <x:c r="Q55" s="11" t="n">
        <x:v>0</x:v>
      </x:c>
      <x:c r="R55" s="11" t="n">
        <x:v>0</x:v>
      </x:c>
      <x:c r="S55" s="11" t="n">
        <x:v>1128</x:v>
      </x:c>
      <x:c r="T55" s="11" t="n">
        <x:v>0</x:v>
      </x:c>
      <x:c r="U55" s="11" t="n">
        <x:v>0</x:v>
      </x:c>
      <x:c r="V55" s="11" t="n">
        <x:v>0</x:v>
      </x:c>
      <x:c r="W55" s="11" t="n">
        <x:v>0</x:v>
      </x:c>
      <x:c r="X55" s="11" t="n">
        <x:v>0</x:v>
      </x:c>
      <x:c r="Y55" s="11" t="n">
        <x:v>0</x:v>
      </x:c>
      <x:c r="Z55" s="11" t="n">
        <x:v>741390</x:v>
      </x:c>
      <x:c r="AA55" s="11" t="n">
        <x:v>0</x:v>
      </x:c>
      <x:c r="AB55" s="11" t="n">
        <x:v>0</x:v>
      </x:c>
      <x:c r="AC55" s="11" t="n">
        <x:v>2691670</x:v>
      </x:c>
      <x:c r="AD55" s="11" t="n">
        <x:v>0</x:v>
      </x:c>
      <x:c r="AE55" s="11" t="n">
        <x:v>0</x:v>
      </x:c>
      <x:c r="AF55" s="11" t="n">
        <x:v>0</x:v>
      </x:c>
      <x:c r="AG55" s="11" t="n">
        <x:v>0</x:v>
      </x:c>
      <x:c r="AH55" s="11" t="n">
        <x:v>0</x:v>
      </x:c>
    </x:row>
    <x:row r="56" ht="23" customHeight="1">
      <x:c r="A56" s="10" t="str">
        <x:v>M3</x:v>
      </x:c>
      <x:c r="B56" s="10" t="str">
        <x:v>C_HT</x:v>
      </x:c>
      <x:c r="C56" s="9" t="str">
        <x:v>仅拓扑与尺度</x:v>
      </x:c>
      <x:c r="D56" s="11" t="n">
        <x:v>1481</x:v>
      </x:c>
      <x:c r="E56" s="11" t="n">
        <x:v>1128</x:v>
      </x:c>
      <x:c r="F56" s="11" t="n">
        <x:v>1128</x:v>
      </x:c>
      <x:c r="G56" s="11" t="n">
        <x:v>0</x:v>
      </x:c>
      <x:c r="H56" s="11" t="n">
        <x:v>976</x:v>
      </x:c>
      <x:c r="I56" s="11" t="n">
        <x:v>3433060</x:v>
      </x:c>
      <x:c r="J56" s="11" t="n">
        <x:v>666306.3999999978</x:v>
      </x:c>
      <x:c r="K56" s="12" t="n">
        <x:f>E56/D56</x:f>
        <x:v>0.761647535449021</x:v>
      </x:c>
      <x:c r="L56" s="12" t="n">
        <x:f>F56/D56</x:f>
        <x:v>0.761647535449021</x:v>
      </x:c>
      <x:c r="M56" s="12" t="n">
        <x:f>G56/D56</x:f>
        <x:v>0</x:v>
      </x:c>
      <x:c r="N56" s="12" t="n">
        <x:f>J56/I56</x:f>
        <x:v>0.19408527669193018</x:v>
      </x:c>
      <x:c r="O56" s="11" t="n">
        <x:v>0</x:v>
      </x:c>
      <x:c r="P56" s="11" t="n">
        <x:v>353</x:v>
      </x:c>
      <x:c r="Q56" s="11" t="n">
        <x:v>0</x:v>
      </x:c>
      <x:c r="R56" s="11" t="n">
        <x:v>0</x:v>
      </x:c>
      <x:c r="S56" s="11" t="n">
        <x:v>1128</x:v>
      </x:c>
      <x:c r="T56" s="11" t="n">
        <x:v>0</x:v>
      </x:c>
      <x:c r="U56" s="11" t="n">
        <x:v>0</x:v>
      </x:c>
      <x:c r="V56" s="11" t="n">
        <x:v>0</x:v>
      </x:c>
      <x:c r="W56" s="11" t="n">
        <x:v>0</x:v>
      </x:c>
      <x:c r="X56" s="11" t="n">
        <x:v>0</x:v>
      </x:c>
      <x:c r="Y56" s="11" t="n">
        <x:v>0</x:v>
      </x:c>
      <x:c r="Z56" s="11" t="n">
        <x:v>741390</x:v>
      </x:c>
      <x:c r="AA56" s="11" t="n">
        <x:v>0</x:v>
      </x:c>
      <x:c r="AB56" s="11" t="n">
        <x:v>0</x:v>
      </x:c>
      <x:c r="AC56" s="11" t="n">
        <x:v>2691670</x:v>
      </x:c>
      <x:c r="AD56" s="11" t="n">
        <x:v>0</x:v>
      </x:c>
      <x:c r="AE56" s="11" t="n">
        <x:v>0</x:v>
      </x:c>
      <x:c r="AF56" s="11" t="n">
        <x:v>0</x:v>
      </x:c>
      <x:c r="AG56" s="11" t="n">
        <x:v>0</x:v>
      </x:c>
      <x:c r="AH56" s="11" t="n">
        <x:v>0</x:v>
      </x:c>
    </x:row>
    <x:row r="57" ht="23" customHeight="1">
      <x:c r="A57" s="10" t="str">
        <x:v>M3</x:v>
      </x:c>
      <x:c r="B57" s="10" t="str">
        <x:v>C_H1</x:v>
      </x:c>
      <x:c r="C57" s="9" t="str">
        <x:v>主对照</x:v>
      </x:c>
      <x:c r="D57" s="11" t="n">
        <x:v>1481</x:v>
      </x:c>
      <x:c r="E57" s="11" t="n">
        <x:v>1128</x:v>
      </x:c>
      <x:c r="F57" s="11" t="n">
        <x:v>1128</x:v>
      </x:c>
      <x:c r="G57" s="11" t="n">
        <x:v>0</x:v>
      </x:c>
      <x:c r="H57" s="11" t="n">
        <x:v>1006</x:v>
      </x:c>
      <x:c r="I57" s="11" t="n">
        <x:v>3433060</x:v>
      </x:c>
      <x:c r="J57" s="11" t="n">
        <x:v>669678.3999999978</x:v>
      </x:c>
      <x:c r="K57" s="12" t="n">
        <x:f>E57/D57</x:f>
        <x:v>0.761647535449021</x:v>
      </x:c>
      <x:c r="L57" s="12" t="n">
        <x:f>F57/D57</x:f>
        <x:v>0.761647535449021</x:v>
      </x:c>
      <x:c r="M57" s="12" t="n">
        <x:f>G57/D57</x:f>
        <x:v>0</x:v>
      </x:c>
      <x:c r="N57" s="12" t="n">
        <x:f>J57/I57</x:f>
        <x:v>0.19506749080994734</x:v>
      </x:c>
      <x:c r="O57" s="11" t="n">
        <x:v>0</x:v>
      </x:c>
      <x:c r="P57" s="11" t="n">
        <x:v>323</x:v>
      </x:c>
      <x:c r="Q57" s="11" t="n">
        <x:v>0</x:v>
      </x:c>
      <x:c r="R57" s="11" t="n">
        <x:v>0</x:v>
      </x:c>
      <x:c r="S57" s="11" t="n">
        <x:v>1128</x:v>
      </x:c>
      <x:c r="T57" s="11" t="n">
        <x:v>0</x:v>
      </x:c>
      <x:c r="U57" s="11" t="n">
        <x:v>30</x:v>
      </x:c>
      <x:c r="V57" s="11" t="n">
        <x:v>0</x:v>
      </x:c>
      <x:c r="W57" s="11" t="n">
        <x:v>0</x:v>
      </x:c>
      <x:c r="X57" s="11" t="n">
        <x:v>0</x:v>
      </x:c>
      <x:c r="Y57" s="11" t="n">
        <x:v>0</x:v>
      </x:c>
      <x:c r="Z57" s="11" t="n">
        <x:v>724530</x:v>
      </x:c>
      <x:c r="AA57" s="11" t="n">
        <x:v>0</x:v>
      </x:c>
      <x:c r="AB57" s="11" t="n">
        <x:v>0</x:v>
      </x:c>
      <x:c r="AC57" s="11" t="n">
        <x:v>2691670</x:v>
      </x:c>
      <x:c r="AD57" s="11" t="n">
        <x:v>0</x:v>
      </x:c>
      <x:c r="AE57" s="11" t="n">
        <x:v>16860</x:v>
      </x:c>
      <x:c r="AF57" s="11" t="n">
        <x:v>0</x:v>
      </x:c>
      <x:c r="AG57" s="11" t="n">
        <x:v>0</x:v>
      </x:c>
      <x:c r="AH57" s="11" t="n">
        <x:v>0</x:v>
      </x:c>
    </x:row>
    <x:row r="58" ht="23" customHeight="1">
      <x:c r="A58" s="10" t="str">
        <x:v>M3</x:v>
      </x:c>
      <x:c r="B58" s="10" t="str">
        <x:v>G_H0</x:v>
      </x:c>
      <x:c r="C58" s="9" t="str">
        <x:v>主对照</x:v>
      </x:c>
      <x:c r="D58" s="11" t="n">
        <x:v>1481</x:v>
      </x:c>
      <x:c r="E58" s="11" t="n">
        <x:v>1481</x:v>
      </x:c>
      <x:c r="F58" s="11" t="n">
        <x:v>1481</x:v>
      </x:c>
      <x:c r="G58" s="11" t="n">
        <x:v>0</x:v>
      </x:c>
      <x:c r="H58" s="11" t="n">
        <x:v>1481</x:v>
      </x:c>
      <x:c r="I58" s="11" t="n">
        <x:v>3433060</x:v>
      </x:c>
      <x:c r="J58" s="11" t="n">
        <x:v>588215.38364774</x:v>
      </x:c>
      <x:c r="K58" s="12" t="n">
        <x:f>E58/D58</x:f>
        <x:v>1</x:v>
      </x:c>
      <x:c r="L58" s="12" t="n">
        <x:f>F58/D58</x:f>
        <x:v>1</x:v>
      </x:c>
      <x:c r="M58" s="12" t="n">
        <x:f>G58/D58</x:f>
        <x:v>0</x:v>
      </x:c>
      <x:c r="N58" s="12" t="n">
        <x:f>J58/I58</x:f>
        <x:v>0.1713385095651518</x:v>
      </x:c>
      <x:c r="O58" s="11" t="n">
        <x:v>0</x:v>
      </x:c>
      <x:c r="P58" s="11" t="n">
        <x:v>223</x:v>
      </x:c>
      <x:c r="Q58" s="11" t="n">
        <x:v>729</x:v>
      </x:c>
      <x:c r="R58" s="11" t="n">
        <x:v>428</x:v>
      </x:c>
      <x:c r="S58" s="11" t="n">
        <x:v>95</x:v>
      </x:c>
      <x:c r="T58" s="11" t="n">
        <x:v>6</x:v>
      </x:c>
      <x:c r="U58" s="11" t="n">
        <x:v>0</x:v>
      </x:c>
      <x:c r="V58" s="11" t="n">
        <x:v>0</x:v>
      </x:c>
      <x:c r="W58" s="11" t="n">
        <x:v>0</x:v>
      </x:c>
      <x:c r="X58" s="11" t="n">
        <x:v>0</x:v>
      </x:c>
      <x:c r="Y58" s="11" t="n">
        <x:v>0</x:v>
      </x:c>
      <x:c r="Z58" s="11" t="n">
        <x:v>437826</x:v>
      </x:c>
      <x:c r="AA58" s="11" t="n">
        <x:v>1331722</x:v>
      </x:c>
      <x:c r="AB58" s="11" t="n">
        <x:v>1028442</x:v>
      </x:c>
      <x:c r="AC58" s="11" t="n">
        <x:v>521438</x:v>
      </x:c>
      <x:c r="AD58" s="11" t="n">
        <x:v>113632</x:v>
      </x:c>
      <x:c r="AE58" s="11" t="n">
        <x:v>0</x:v>
      </x:c>
      <x:c r="AF58" s="11" t="n">
        <x:v>0</x:v>
      </x:c>
      <x:c r="AG58" s="11" t="n">
        <x:v>0</x:v>
      </x:c>
      <x:c r="AH58" s="11" t="n">
        <x:v>0</x:v>
      </x:c>
    </x:row>
    <x:row r="59" ht="23" customHeight="1">
      <x:c r="A59" s="10" t="str">
        <x:v>M3</x:v>
      </x:c>
      <x:c r="B59" s="10" t="str">
        <x:v>G_HT</x:v>
      </x:c>
      <x:c r="C59" s="9" t="str">
        <x:v>仅拓扑与尺度</x:v>
      </x:c>
      <x:c r="D59" s="11" t="n">
        <x:v>1481</x:v>
      </x:c>
      <x:c r="E59" s="11" t="n">
        <x:v>1481</x:v>
      </x:c>
      <x:c r="F59" s="11" t="n">
        <x:v>1481</x:v>
      </x:c>
      <x:c r="G59" s="11" t="n">
        <x:v>0</x:v>
      </x:c>
      <x:c r="H59" s="11" t="n">
        <x:v>1481</x:v>
      </x:c>
      <x:c r="I59" s="11" t="n">
        <x:v>3433060</x:v>
      </x:c>
      <x:c r="J59" s="11" t="n">
        <x:v>603741.0636477402</x:v>
      </x:c>
      <x:c r="K59" s="12" t="n">
        <x:f>E59/D59</x:f>
        <x:v>1</x:v>
      </x:c>
      <x:c r="L59" s="12" t="n">
        <x:f>F59/D59</x:f>
        <x:v>1</x:v>
      </x:c>
      <x:c r="M59" s="12" t="n">
        <x:f>G59/D59</x:f>
        <x:v>0</x:v>
      </x:c>
      <x:c r="N59" s="12" t="n">
        <x:f>J59/I59</x:f>
        <x:v>0.17586091231954587</x:v>
      </x:c>
      <x:c r="O59" s="11" t="n">
        <x:v>0</x:v>
      </x:c>
      <x:c r="P59" s="11" t="n">
        <x:v>167</x:v>
      </x:c>
      <x:c r="Q59" s="11" t="n">
        <x:v>691</x:v>
      </x:c>
      <x:c r="R59" s="11" t="n">
        <x:v>507</x:v>
      </x:c>
      <x:c r="S59" s="11" t="n">
        <x:v>108</x:v>
      </x:c>
      <x:c r="T59" s="11" t="n">
        <x:v>8</x:v>
      </x:c>
      <x:c r="U59" s="11" t="n">
        <x:v>0</x:v>
      </x:c>
      <x:c r="V59" s="11" t="n">
        <x:v>0</x:v>
      </x:c>
      <x:c r="W59" s="11" t="n">
        <x:v>0</x:v>
      </x:c>
      <x:c r="X59" s="11" t="n">
        <x:v>0</x:v>
      </x:c>
      <x:c r="Y59" s="11" t="n">
        <x:v>0</x:v>
      </x:c>
      <x:c r="Z59" s="11" t="n">
        <x:v>409122</x:v>
      </x:c>
      <x:c r="AA59" s="11" t="n">
        <x:v>1146342</x:v>
      </x:c>
      <x:c r="AB59" s="11" t="n">
        <x:v>1140066</x:v>
      </x:c>
      <x:c r="AC59" s="11" t="n">
        <x:v>617882</x:v>
      </x:c>
      <x:c r="AD59" s="11" t="n">
        <x:v>119648</x:v>
      </x:c>
      <x:c r="AE59" s="11" t="n">
        <x:v>0</x:v>
      </x:c>
      <x:c r="AF59" s="11" t="n">
        <x:v>0</x:v>
      </x:c>
      <x:c r="AG59" s="11" t="n">
        <x:v>0</x:v>
      </x:c>
      <x:c r="AH59" s="11" t="n">
        <x:v>0</x:v>
      </x:c>
    </x:row>
    <x:row r="60" ht="23" customHeight="1">
      <x:c r="A60" s="10" t="str">
        <x:v>M3</x:v>
      </x:c>
      <x:c r="B60" s="10" t="str">
        <x:v>G_H1</x:v>
      </x:c>
      <x:c r="C60" s="9" t="str">
        <x:v>主对照</x:v>
      </x:c>
      <x:c r="D60" s="11" t="n">
        <x:v>1481</x:v>
      </x:c>
      <x:c r="E60" s="11" t="n">
        <x:v>1481</x:v>
      </x:c>
      <x:c r="F60" s="11" t="n">
        <x:v>1481</x:v>
      </x:c>
      <x:c r="G60" s="11" t="n">
        <x:v>0</x:v>
      </x:c>
      <x:c r="H60" s="11" t="n">
        <x:v>1481</x:v>
      </x:c>
      <x:c r="I60" s="11" t="n">
        <x:v>3433060</x:v>
      </x:c>
      <x:c r="J60" s="11" t="n">
        <x:v>603741.0636477402</x:v>
      </x:c>
      <x:c r="K60" s="12" t="n">
        <x:f>E60/D60</x:f>
        <x:v>1</x:v>
      </x:c>
      <x:c r="L60" s="12" t="n">
        <x:f>F60/D60</x:f>
        <x:v>1</x:v>
      </x:c>
      <x:c r="M60" s="12" t="n">
        <x:f>G60/D60</x:f>
        <x:v>0</x:v>
      </x:c>
      <x:c r="N60" s="12" t="n">
        <x:f>J60/I60</x:f>
        <x:v>0.17586091231954587</x:v>
      </x:c>
      <x:c r="O60" s="11" t="n">
        <x:v>0</x:v>
      </x:c>
      <x:c r="P60" s="11" t="n">
        <x:v>167</x:v>
      </x:c>
      <x:c r="Q60" s="11" t="n">
        <x:v>691</x:v>
      </x:c>
      <x:c r="R60" s="11" t="n">
        <x:v>507</x:v>
      </x:c>
      <x:c r="S60" s="11" t="n">
        <x:v>108</x:v>
      </x:c>
      <x:c r="T60" s="11" t="n">
        <x:v>8</x:v>
      </x:c>
      <x:c r="U60" s="11" t="n">
        <x:v>0</x:v>
      </x:c>
      <x:c r="V60" s="11" t="n">
        <x:v>0</x:v>
      </x:c>
      <x:c r="W60" s="11" t="n">
        <x:v>0</x:v>
      </x:c>
      <x:c r="X60" s="11" t="n">
        <x:v>0</x:v>
      </x:c>
      <x:c r="Y60" s="11" t="n">
        <x:v>0</x:v>
      </x:c>
      <x:c r="Z60" s="11" t="n">
        <x:v>409122</x:v>
      </x:c>
      <x:c r="AA60" s="11" t="n">
        <x:v>1146342</x:v>
      </x:c>
      <x:c r="AB60" s="11" t="n">
        <x:v>1140066</x:v>
      </x:c>
      <x:c r="AC60" s="11" t="n">
        <x:v>617882</x:v>
      </x:c>
      <x:c r="AD60" s="11" t="n">
        <x:v>119648</x:v>
      </x:c>
      <x:c r="AE60" s="11" t="n">
        <x:v>0</x:v>
      </x:c>
      <x:c r="AF60" s="11" t="n">
        <x:v>0</x:v>
      </x:c>
      <x:c r="AG60" s="11" t="n">
        <x:v>0</x:v>
      </x:c>
      <x:c r="AH60" s="11" t="n">
        <x:v>0</x:v>
      </x:c>
    </x:row>
    <x:row r="61" ht="23" customHeight="1">
      <x:c r="A61" s="10" t="str">
        <x:v>M3</x:v>
      </x:c>
      <x:c r="B61" s="10" t="str">
        <x:v>NC_H0</x:v>
      </x:c>
      <x:c r="C61" s="9" t="str">
        <x:v>主对照</x:v>
      </x:c>
      <x:c r="D61" s="11" t="n">
        <x:v>1481</x:v>
      </x:c>
      <x:c r="E61" s="11" t="n">
        <x:v>899</x:v>
      </x:c>
      <x:c r="F61" s="11" t="n">
        <x:v>1060</x:v>
      </x:c>
      <x:c r="G61" s="11" t="n">
        <x:v>135</x:v>
      </x:c>
      <x:c r="H61" s="11" t="n">
        <x:v>804</x:v>
      </x:c>
      <x:c r="I61" s="11" t="n">
        <x:v>3433060</x:v>
      </x:c>
      <x:c r="J61" s="11" t="n">
        <x:v>779713.8799999976</x:v>
      </x:c>
      <x:c r="K61" s="12" t="n">
        <x:f>E61/D61</x:f>
        <x:v>0.6070222822417286</x:v>
      </x:c>
      <x:c r="L61" s="12" t="n">
        <x:f>F61/D61</x:f>
        <x:v>0.7157326130992573</x:v>
      </x:c>
      <x:c r="M61" s="12" t="n">
        <x:f>G61/D61</x:f>
        <x:v>0.09115462525320729</x:v>
      </x:c>
      <x:c r="N61" s="12" t="n">
        <x:f>J61/I61</x:f>
        <x:v>0.22711921143236574</x:v>
      </x:c>
      <x:c r="O61" s="11" t="n">
        <x:v>0</x:v>
      </x:c>
      <x:c r="P61" s="11" t="n">
        <x:v>315</x:v>
      </x:c>
      <x:c r="Q61" s="11" t="n">
        <x:v>20</x:v>
      </x:c>
      <x:c r="R61" s="11" t="n">
        <x:v>0</x:v>
      </x:c>
      <x:c r="S61" s="11" t="n">
        <x:v>1060</x:v>
      </x:c>
      <x:c r="T61" s="11" t="n">
        <x:v>6</x:v>
      </x:c>
      <x:c r="U61" s="11" t="n">
        <x:v>6</x:v>
      </x:c>
      <x:c r="V61" s="11" t="n">
        <x:v>35</x:v>
      </x:c>
      <x:c r="W61" s="11" t="n">
        <x:v>39</x:v>
      </x:c>
      <x:c r="X61" s="11" t="n">
        <x:v>0</x:v>
      </x:c>
      <x:c r="Y61" s="11" t="n">
        <x:v>0</x:v>
      </x:c>
      <x:c r="Z61" s="11" t="n">
        <x:v>586152</x:v>
      </x:c>
      <x:c r="AA61" s="11" t="n">
        <x:v>24446</x:v>
      </x:c>
      <x:c r="AB61" s="11" t="n">
        <x:v>0</x:v>
      </x:c>
      <x:c r="AC61" s="11" t="n">
        <x:v>2144842</x:v>
      </x:c>
      <x:c r="AD61" s="11" t="n">
        <x:v>66678</x:v>
      </x:c>
      <x:c r="AE61" s="11" t="n">
        <x:v>33516</x:v>
      </x:c>
      <x:c r="AF61" s="11" t="n">
        <x:v>201026</x:v>
      </x:c>
      <x:c r="AG61" s="11" t="n">
        <x:v>376400</x:v>
      </x:c>
      <x:c r="AH61" s="11" t="n">
        <x:v>0</x:v>
      </x:c>
    </x:row>
    <x:row r="62" ht="23" customHeight="1">
      <x:c r="A62" s="10" t="str">
        <x:v>M3</x:v>
      </x:c>
      <x:c r="B62" s="10" t="str">
        <x:v>NC_HT</x:v>
      </x:c>
      <x:c r="C62" s="9" t="str">
        <x:v>仅拓扑与尺度</x:v>
      </x:c>
      <x:c r="D62" s="11" t="n">
        <x:v>1481</x:v>
      </x:c>
      <x:c r="E62" s="11" t="n">
        <x:v>899</x:v>
      </x:c>
      <x:c r="F62" s="11" t="n">
        <x:v>1060</x:v>
      </x:c>
      <x:c r="G62" s="11" t="n">
        <x:v>135</x:v>
      </x:c>
      <x:c r="H62" s="11" t="n">
        <x:v>804</x:v>
      </x:c>
      <x:c r="I62" s="11" t="n">
        <x:v>3433060</x:v>
      </x:c>
      <x:c r="J62" s="11" t="n">
        <x:v>779713.8799999976</x:v>
      </x:c>
      <x:c r="K62" s="12" t="n">
        <x:f>E62/D62</x:f>
        <x:v>0.6070222822417286</x:v>
      </x:c>
      <x:c r="L62" s="12" t="n">
        <x:f>F62/D62</x:f>
        <x:v>0.7157326130992573</x:v>
      </x:c>
      <x:c r="M62" s="12" t="n">
        <x:f>G62/D62</x:f>
        <x:v>0.09115462525320729</x:v>
      </x:c>
      <x:c r="N62" s="12" t="n">
        <x:f>J62/I62</x:f>
        <x:v>0.22711921143236574</x:v>
      </x:c>
      <x:c r="O62" s="11" t="n">
        <x:v>0</x:v>
      </x:c>
      <x:c r="P62" s="11" t="n">
        <x:v>315</x:v>
      </x:c>
      <x:c r="Q62" s="11" t="n">
        <x:v>20</x:v>
      </x:c>
      <x:c r="R62" s="11" t="n">
        <x:v>0</x:v>
      </x:c>
      <x:c r="S62" s="11" t="n">
        <x:v>1060</x:v>
      </x:c>
      <x:c r="T62" s="11" t="n">
        <x:v>6</x:v>
      </x:c>
      <x:c r="U62" s="11" t="n">
        <x:v>6</x:v>
      </x:c>
      <x:c r="V62" s="11" t="n">
        <x:v>35</x:v>
      </x:c>
      <x:c r="W62" s="11" t="n">
        <x:v>39</x:v>
      </x:c>
      <x:c r="X62" s="11" t="n">
        <x:v>0</x:v>
      </x:c>
      <x:c r="Y62" s="11" t="n">
        <x:v>0</x:v>
      </x:c>
      <x:c r="Z62" s="11" t="n">
        <x:v>586152</x:v>
      </x:c>
      <x:c r="AA62" s="11" t="n">
        <x:v>24446</x:v>
      </x:c>
      <x:c r="AB62" s="11" t="n">
        <x:v>0</x:v>
      </x:c>
      <x:c r="AC62" s="11" t="n">
        <x:v>2144842</x:v>
      </x:c>
      <x:c r="AD62" s="11" t="n">
        <x:v>66678</x:v>
      </x:c>
      <x:c r="AE62" s="11" t="n">
        <x:v>33516</x:v>
      </x:c>
      <x:c r="AF62" s="11" t="n">
        <x:v>201026</x:v>
      </x:c>
      <x:c r="AG62" s="11" t="n">
        <x:v>376400</x:v>
      </x:c>
      <x:c r="AH62" s="11" t="n">
        <x:v>0</x:v>
      </x:c>
    </x:row>
    <x:row r="63" ht="23" customHeight="1">
      <x:c r="A63" s="10" t="str">
        <x:v>M3</x:v>
      </x:c>
      <x:c r="B63" s="10" t="str">
        <x:v>NC_H1</x:v>
      </x:c>
      <x:c r="C63" s="9" t="str">
        <x:v>主对照</x:v>
      </x:c>
      <x:c r="D63" s="11" t="n">
        <x:v>1481</x:v>
      </x:c>
      <x:c r="E63" s="11" t="n">
        <x:v>899</x:v>
      </x:c>
      <x:c r="F63" s="11" t="n">
        <x:v>1060</x:v>
      </x:c>
      <x:c r="G63" s="11" t="n">
        <x:v>135</x:v>
      </x:c>
      <x:c r="H63" s="11" t="n">
        <x:v>879</x:v>
      </x:c>
      <x:c r="I63" s="11" t="n">
        <x:v>3433060</x:v>
      </x:c>
      <x:c r="J63" s="11" t="n">
        <x:v>784060.9599999979</x:v>
      </x:c>
      <x:c r="K63" s="12" t="n">
        <x:f>E63/D63</x:f>
        <x:v>0.6070222822417286</x:v>
      </x:c>
      <x:c r="L63" s="12" t="n">
        <x:f>F63/D63</x:f>
        <x:v>0.7157326130992573</x:v>
      </x:c>
      <x:c r="M63" s="12" t="n">
        <x:f>G63/D63</x:f>
        <x:v>0.09115462525320729</x:v>
      </x:c>
      <x:c r="N63" s="12" t="n">
        <x:f>J63/I63</x:f>
        <x:v>0.2283854520456962</x:v>
      </x:c>
      <x:c r="O63" s="11" t="n">
        <x:v>0</x:v>
      </x:c>
      <x:c r="P63" s="11" t="n">
        <x:v>289</x:v>
      </x:c>
      <x:c r="Q63" s="11" t="n">
        <x:v>11</x:v>
      </x:c>
      <x:c r="R63" s="11" t="n">
        <x:v>0</x:v>
      </x:c>
      <x:c r="S63" s="11" t="n">
        <x:v>1060</x:v>
      </x:c>
      <x:c r="T63" s="11" t="n">
        <x:v>15</x:v>
      </x:c>
      <x:c r="U63" s="11" t="n">
        <x:v>32</x:v>
      </x:c>
      <x:c r="V63" s="11" t="n">
        <x:v>35</x:v>
      </x:c>
      <x:c r="W63" s="11" t="n">
        <x:v>39</x:v>
      </x:c>
      <x:c r="X63" s="11" t="n">
        <x:v>0</x:v>
      </x:c>
      <x:c r="Y63" s="11" t="n">
        <x:v>0</x:v>
      </x:c>
      <x:c r="Z63" s="11" t="n">
        <x:v>571208</x:v>
      </x:c>
      <x:c r="AA63" s="11" t="n">
        <x:v>14744</x:v>
      </x:c>
      <x:c r="AB63" s="11" t="n">
        <x:v>0</x:v>
      </x:c>
      <x:c r="AC63" s="11" t="n">
        <x:v>2144842</x:v>
      </x:c>
      <x:c r="AD63" s="11" t="n">
        <x:v>76380</x:v>
      </x:c>
      <x:c r="AE63" s="11" t="n">
        <x:v>48460</x:v>
      </x:c>
      <x:c r="AF63" s="11" t="n">
        <x:v>201026</x:v>
      </x:c>
      <x:c r="AG63" s="11" t="n">
        <x:v>376400</x:v>
      </x:c>
      <x:c r="AH63" s="11" t="n">
        <x:v>0</x:v>
      </x:c>
    </x:row>
    <x:row r="64" ht="23" customHeight="1">
      <x:c r="A64" s="10" t="str">
        <x:v>M3</x:v>
      </x:c>
      <x:c r="B64" s="10" t="str">
        <x:v>NG_H0</x:v>
      </x:c>
      <x:c r="C64" s="9" t="str">
        <x:v>主对照</x:v>
      </x:c>
      <x:c r="D64" s="11" t="n">
        <x:v>1481</x:v>
      </x:c>
      <x:c r="E64" s="11" t="n">
        <x:v>1006</x:v>
      </x:c>
      <x:c r="F64" s="11" t="n">
        <x:v>1174</x:v>
      </x:c>
      <x:c r="G64" s="11" t="n">
        <x:v>0</x:v>
      </x:c>
      <x:c r="H64" s="11" t="n">
        <x:v>1006</x:v>
      </x:c>
      <x:c r="I64" s="11" t="n">
        <x:v>3433060</x:v>
      </x:c>
      <x:c r="J64" s="11" t="n">
        <x:v>814115.5436477441</x:v>
      </x:c>
      <x:c r="K64" s="12" t="n">
        <x:f>E64/D64</x:f>
        <x:v>0.6792707629979743</x:v>
      </x:c>
      <x:c r="L64" s="12" t="n">
        <x:f>F64/D64</x:f>
        <x:v>0.7927076299797434</x:v>
      </x:c>
      <x:c r="M64" s="12" t="n">
        <x:f>G64/D64</x:f>
        <x:v>0</x:v>
      </x:c>
      <x:c r="N64" s="12" t="n">
        <x:f>J64/I64</x:f>
        <x:v>0.23713991123013992</x:v>
      </x:c>
      <x:c r="O64" s="11" t="n">
        <x:v>0</x:v>
      </x:c>
      <x:c r="P64" s="11" t="n">
        <x:v>190</x:v>
      </x:c>
      <x:c r="Q64" s="11" t="n">
        <x:v>648</x:v>
      </x:c>
      <x:c r="R64" s="11" t="n">
        <x:v>390</x:v>
      </x:c>
      <x:c r="S64" s="11" t="n">
        <x:v>88</x:v>
      </x:c>
      <x:c r="T64" s="11" t="n">
        <x:v>12</x:v>
      </x:c>
      <x:c r="U64" s="11" t="n">
        <x:v>6</x:v>
      </x:c>
      <x:c r="V64" s="11" t="n">
        <x:v>41</x:v>
      </x:c>
      <x:c r="W64" s="11" t="n">
        <x:v>106</x:v>
      </x:c>
      <x:c r="X64" s="11" t="n">
        <x:v>0</x:v>
      </x:c>
      <x:c r="Y64" s="11" t="n">
        <x:v>0</x:v>
      </x:c>
      <x:c r="Z64" s="11" t="n">
        <x:v>291808</x:v>
      </x:c>
      <x:c r="AA64" s="11" t="n">
        <x:v>836526</x:v>
      </x:c>
      <x:c r="AB64" s="11" t="n">
        <x:v>770292</x:v>
      </x:c>
      <x:c r="AC64" s="11" t="n">
        <x:v>470854</x:v>
      </x:c>
      <x:c r="AD64" s="11" t="n">
        <x:v>180310</x:v>
      </x:c>
      <x:c r="AE64" s="11" t="n">
        <x:v>33516</x:v>
      </x:c>
      <x:c r="AF64" s="11" t="n">
        <x:v>248912</x:v>
      </x:c>
      <x:c r="AG64" s="11" t="n">
        <x:v>600842</x:v>
      </x:c>
      <x:c r="AH64" s="11" t="n">
        <x:v>0</x:v>
      </x:c>
    </x:row>
    <x:row r="65" ht="23" customHeight="1">
      <x:c r="A65" s="10" t="str">
        <x:v>M3</x:v>
      </x:c>
      <x:c r="B65" s="10" t="str">
        <x:v>NG_HT</x:v>
      </x:c>
      <x:c r="C65" s="9" t="str">
        <x:v>仅拓扑与尺度</x:v>
      </x:c>
      <x:c r="D65" s="11" t="n">
        <x:v>1481</x:v>
      </x:c>
      <x:c r="E65" s="11" t="n">
        <x:v>1006</x:v>
      </x:c>
      <x:c r="F65" s="11" t="n">
        <x:v>1174</x:v>
      </x:c>
      <x:c r="G65" s="11" t="n">
        <x:v>0</x:v>
      </x:c>
      <x:c r="H65" s="11" t="n">
        <x:v>1006</x:v>
      </x:c>
      <x:c r="I65" s="11" t="n">
        <x:v>3433060</x:v>
      </x:c>
      <x:c r="J65" s="11" t="n">
        <x:v>824190.2236477439</x:v>
      </x:c>
      <x:c r="K65" s="12" t="n">
        <x:f>E65/D65</x:f>
        <x:v>0.6792707629979743</x:v>
      </x:c>
      <x:c r="L65" s="12" t="n">
        <x:f>F65/D65</x:f>
        <x:v>0.7927076299797434</x:v>
      </x:c>
      <x:c r="M65" s="12" t="n">
        <x:f>G65/D65</x:f>
        <x:v>0</x:v>
      </x:c>
      <x:c r="N65" s="12" t="n">
        <x:f>J65/I65</x:f>
        <x:v>0.2400745176745364</x:v>
      </x:c>
      <x:c r="O65" s="11" t="n">
        <x:v>0</x:v>
      </x:c>
      <x:c r="P65" s="11" t="n">
        <x:v>160</x:v>
      </x:c>
      <x:c r="Q65" s="11" t="n">
        <x:v>585</x:v>
      </x:c>
      <x:c r="R65" s="11" t="n">
        <x:v>476</x:v>
      </x:c>
      <x:c r="S65" s="11" t="n">
        <x:v>93</x:v>
      </x:c>
      <x:c r="T65" s="11" t="n">
        <x:v>14</x:v>
      </x:c>
      <x:c r="U65" s="11" t="n">
        <x:v>6</x:v>
      </x:c>
      <x:c r="V65" s="11" t="n">
        <x:v>41</x:v>
      </x:c>
      <x:c r="W65" s="11" t="n">
        <x:v>106</x:v>
      </x:c>
      <x:c r="X65" s="11" t="n">
        <x:v>0</x:v>
      </x:c>
      <x:c r="Y65" s="11" t="n">
        <x:v>0</x:v>
      </x:c>
      <x:c r="Z65" s="11" t="n">
        <x:v>279568</x:v>
      </x:c>
      <x:c r="AA65" s="11" t="n">
        <x:v>637256</x:v>
      </x:c>
      <x:c r="AB65" s="11" t="n">
        <x:v>962988</x:v>
      </x:c>
      <x:c r="AC65" s="11" t="n">
        <x:v>483652</x:v>
      </x:c>
      <x:c r="AD65" s="11" t="n">
        <x:v>186326</x:v>
      </x:c>
      <x:c r="AE65" s="11" t="n">
        <x:v>33516</x:v>
      </x:c>
      <x:c r="AF65" s="11" t="n">
        <x:v>248912</x:v>
      </x:c>
      <x:c r="AG65" s="11" t="n">
        <x:v>600842</x:v>
      </x:c>
      <x:c r="AH65" s="11" t="n">
        <x:v>0</x:v>
      </x:c>
    </x:row>
    <x:row r="66" ht="23" customHeight="1">
      <x:c r="A66" s="10" t="str">
        <x:v>M3</x:v>
      </x:c>
      <x:c r="B66" s="10" t="str">
        <x:v>NG_H1</x:v>
      </x:c>
      <x:c r="C66" s="9" t="str">
        <x:v>主对照</x:v>
      </x:c>
      <x:c r="D66" s="11" t="n">
        <x:v>1481</x:v>
      </x:c>
      <x:c r="E66" s="11" t="n">
        <x:v>1006</x:v>
      </x:c>
      <x:c r="F66" s="11" t="n">
        <x:v>1174</x:v>
      </x:c>
      <x:c r="G66" s="11" t="n">
        <x:v>0</x:v>
      </x:c>
      <x:c r="H66" s="11" t="n">
        <x:v>1129</x:v>
      </x:c>
      <x:c r="I66" s="11" t="n">
        <x:v>3433060</x:v>
      </x:c>
      <x:c r="J66" s="11" t="n">
        <x:v>826853.6636477435</x:v>
      </x:c>
      <x:c r="K66" s="12" t="n">
        <x:f>E66/D66</x:f>
        <x:v>0.6792707629979743</x:v>
      </x:c>
      <x:c r="L66" s="12" t="n">
        <x:f>F66/D66</x:f>
        <x:v>0.7927076299797434</x:v>
      </x:c>
      <x:c r="M66" s="12" t="n">
        <x:f>G66/D66</x:f>
        <x:v>0</x:v>
      </x:c>
      <x:c r="N66" s="12" t="n">
        <x:f>J66/I66</x:f>
        <x:v>0.24085033866222658</x:v>
      </x:c>
      <x:c r="O66" s="11" t="n">
        <x:v>0</x:v>
      </x:c>
      <x:c r="P66" s="11" t="n">
        <x:v>154</x:v>
      </x:c>
      <x:c r="Q66" s="11" t="n">
        <x:v>572</x:v>
      </x:c>
      <x:c r="R66" s="11" t="n">
        <x:v>471</x:v>
      </x:c>
      <x:c r="S66" s="11" t="n">
        <x:v>93</x:v>
      </x:c>
      <x:c r="T66" s="11" t="n">
        <x:v>28</x:v>
      </x:c>
      <x:c r="U66" s="11" t="n">
        <x:v>16</x:v>
      </x:c>
      <x:c r="V66" s="11" t="n">
        <x:v>41</x:v>
      </x:c>
      <x:c r="W66" s="11" t="n">
        <x:v>106</x:v>
      </x:c>
      <x:c r="X66" s="11" t="n">
        <x:v>0</x:v>
      </x:c>
      <x:c r="Y66" s="11" t="n">
        <x:v>0</x:v>
      </x:c>
      <x:c r="Z66" s="11" t="n">
        <x:v>277868</x:v>
      </x:c>
      <x:c r="AA66" s="11" t="n">
        <x:v>625234</x:v>
      </x:c>
      <x:c r="AB66" s="11" t="n">
        <x:v>957786</x:v>
      </x:c>
      <x:c r="AC66" s="11" t="n">
        <x:v>483652</x:v>
      </x:c>
      <x:c r="AD66" s="11" t="n">
        <x:v>200546</x:v>
      </x:c>
      <x:c r="AE66" s="11" t="n">
        <x:v>38220</x:v>
      </x:c>
      <x:c r="AF66" s="11" t="n">
        <x:v>248912</x:v>
      </x:c>
      <x:c r="AG66" s="11" t="n">
        <x:v>600842</x:v>
      </x:c>
      <x:c r="AH66" s="11" t="n">
        <x:v>0</x:v>
      </x:c>
    </x:row>
    <x:row r="67" ht="23" customHeight="1">
      <x:c r="A67" s="10" t="str">
        <x:v>M3</x:v>
      </x:c>
      <x:c r="B67" s="10" t="str">
        <x:v>CG_H0</x:v>
      </x:c>
      <x:c r="C67" s="9" t="str">
        <x:v>主对照</x:v>
      </x:c>
      <x:c r="D67" s="11" t="n">
        <x:v>1481</x:v>
      </x:c>
      <x:c r="E67" s="11" t="n">
        <x:v>1128</x:v>
      </x:c>
      <x:c r="F67" s="11" t="n">
        <x:v>1128</x:v>
      </x:c>
      <x:c r="G67" s="11" t="n">
        <x:v>0</x:v>
      </x:c>
      <x:c r="H67" s="11" t="n">
        <x:v>976</x:v>
      </x:c>
      <x:c r="I67" s="11" t="n">
        <x:v>3433060</x:v>
      </x:c>
      <x:c r="J67" s="11" t="n">
        <x:v>587872.1836477398</x:v>
      </x:c>
      <x:c r="K67" s="12" t="n">
        <x:f>E67/D67</x:f>
        <x:v>0.761647535449021</x:v>
      </x:c>
      <x:c r="L67" s="12" t="n">
        <x:f>F67/D67</x:f>
        <x:v>0.761647535449021</x:v>
      </x:c>
      <x:c r="M67" s="12" t="n">
        <x:f>G67/D67</x:f>
        <x:v>0</x:v>
      </x:c>
      <x:c r="N67" s="12" t="n">
        <x:f>J67/I67</x:f>
        <x:v>0.17123854044139625</x:v>
      </x:c>
      <x:c r="O67" s="11" t="n">
        <x:v>0</x:v>
      </x:c>
      <x:c r="P67" s="11" t="n">
        <x:v>254</x:v>
      </x:c>
      <x:c r="Q67" s="11" t="n">
        <x:v>698</x:v>
      </x:c>
      <x:c r="R67" s="11" t="n">
        <x:v>428</x:v>
      </x:c>
      <x:c r="S67" s="11" t="n">
        <x:v>95</x:v>
      </x:c>
      <x:c r="T67" s="11" t="n">
        <x:v>6</x:v>
      </x:c>
      <x:c r="U67" s="11" t="n">
        <x:v>0</x:v>
      </x:c>
      <x:c r="V67" s="11" t="n">
        <x:v>0</x:v>
      </x:c>
      <x:c r="W67" s="11" t="n">
        <x:v>0</x:v>
      </x:c>
      <x:c r="X67" s="11" t="n">
        <x:v>0</x:v>
      </x:c>
      <x:c r="Y67" s="11" t="n">
        <x:v>0</x:v>
      </x:c>
      <x:c r="Z67" s="11" t="n">
        <x:v>454986</x:v>
      </x:c>
      <x:c r="AA67" s="11" t="n">
        <x:v>1314562</x:v>
      </x:c>
      <x:c r="AB67" s="11" t="n">
        <x:v>1028442</x:v>
      </x:c>
      <x:c r="AC67" s="11" t="n">
        <x:v>521438</x:v>
      </x:c>
      <x:c r="AD67" s="11" t="n">
        <x:v>113632</x:v>
      </x:c>
      <x:c r="AE67" s="11" t="n">
        <x:v>0</x:v>
      </x:c>
      <x:c r="AF67" s="11" t="n">
        <x:v>0</x:v>
      </x:c>
      <x:c r="AG67" s="11" t="n">
        <x:v>0</x:v>
      </x:c>
      <x:c r="AH67" s="11" t="n">
        <x:v>0</x:v>
      </x:c>
    </x:row>
    <x:row r="68" ht="23" customHeight="1">
      <x:c r="A68" s="10" t="str">
        <x:v>M3</x:v>
      </x:c>
      <x:c r="B68" s="10" t="str">
        <x:v>CG_HT</x:v>
      </x:c>
      <x:c r="C68" s="9" t="str">
        <x:v>仅拓扑与尺度</x:v>
      </x:c>
      <x:c r="D68" s="11" t="n">
        <x:v>1481</x:v>
      </x:c>
      <x:c r="E68" s="11" t="n">
        <x:v>1130</x:v>
      </x:c>
      <x:c r="F68" s="11" t="n">
        <x:v>1130</x:v>
      </x:c>
      <x:c r="G68" s="11" t="n">
        <x:v>0</x:v>
      </x:c>
      <x:c r="H68" s="11" t="n">
        <x:v>978</x:v>
      </x:c>
      <x:c r="I68" s="11" t="n">
        <x:v>3433060</x:v>
      </x:c>
      <x:c r="J68" s="11" t="n">
        <x:v>603481.86364774</x:v>
      </x:c>
      <x:c r="K68" s="12" t="n">
        <x:f>E68/D68</x:f>
        <x:v>0.7629979743416611</x:v>
      </x:c>
      <x:c r="L68" s="12" t="n">
        <x:f>F68/D68</x:f>
        <x:v>0.7629979743416611</x:v>
      </x:c>
      <x:c r="M68" s="12" t="n">
        <x:f>G68/D68</x:f>
        <x:v>0</x:v>
      </x:c>
      <x:c r="N68" s="12" t="n">
        <x:f>J68/I68</x:f>
        <x:v>0.17578541116314308</x:v>
      </x:c>
      <x:c r="O68" s="11" t="n">
        <x:v>0</x:v>
      </x:c>
      <x:c r="P68" s="11" t="n">
        <x:v>200</x:v>
      </x:c>
      <x:c r="Q68" s="11" t="n">
        <x:v>658</x:v>
      </x:c>
      <x:c r="R68" s="11" t="n">
        <x:v>506</x:v>
      </x:c>
      <x:c r="S68" s="11" t="n">
        <x:v>108</x:v>
      </x:c>
      <x:c r="T68" s="11" t="n">
        <x:v>9</x:v>
      </x:c>
      <x:c r="U68" s="11" t="n">
        <x:v>0</x:v>
      </x:c>
      <x:c r="V68" s="11" t="n">
        <x:v>0</x:v>
      </x:c>
      <x:c r="W68" s="11" t="n">
        <x:v>0</x:v>
      </x:c>
      <x:c r="X68" s="11" t="n">
        <x:v>0</x:v>
      </x:c>
      <x:c r="Y68" s="11" t="n">
        <x:v>0</x:v>
      </x:c>
      <x:c r="Z68" s="11" t="n">
        <x:v>428562</x:v>
      </x:c>
      <x:c r="AA68" s="11" t="n">
        <x:v>1126902</x:v>
      </x:c>
      <x:c r="AB68" s="11" t="n">
        <x:v>1139602</x:v>
      </x:c>
      <x:c r="AC68" s="11" t="n">
        <x:v>615802</x:v>
      </x:c>
      <x:c r="AD68" s="11" t="n">
        <x:v>122192</x:v>
      </x:c>
      <x:c r="AE68" s="11" t="n">
        <x:v>0</x:v>
      </x:c>
      <x:c r="AF68" s="11" t="n">
        <x:v>0</x:v>
      </x:c>
      <x:c r="AG68" s="11" t="n">
        <x:v>0</x:v>
      </x:c>
      <x:c r="AH68" s="11" t="n">
        <x:v>0</x:v>
      </x:c>
    </x:row>
    <x:row r="69" ht="23" customHeight="1">
      <x:c r="A69" s="10" t="str">
        <x:v>M3</x:v>
      </x:c>
      <x:c r="B69" s="10" t="str">
        <x:v>CG_H1</x:v>
      </x:c>
      <x:c r="C69" s="9" t="str">
        <x:v>主对照</x:v>
      </x:c>
      <x:c r="D69" s="11" t="n">
        <x:v>1481</x:v>
      </x:c>
      <x:c r="E69" s="11" t="n">
        <x:v>1130</x:v>
      </x:c>
      <x:c r="F69" s="11" t="n">
        <x:v>1130</x:v>
      </x:c>
      <x:c r="G69" s="11" t="n">
        <x:v>0</x:v>
      </x:c>
      <x:c r="H69" s="11" t="n">
        <x:v>1008</x:v>
      </x:c>
      <x:c r="I69" s="11" t="n">
        <x:v>3433060</x:v>
      </x:c>
      <x:c r="J69" s="11" t="n">
        <x:v>605866.98364774</x:v>
      </x:c>
      <x:c r="K69" s="12" t="n">
        <x:f>E69/D69</x:f>
        <x:v>0.7629979743416611</x:v>
      </x:c>
      <x:c r="L69" s="12" t="n">
        <x:f>F69/D69</x:f>
        <x:v>0.7629979743416611</x:v>
      </x:c>
      <x:c r="M69" s="12" t="n">
        <x:f>G69/D69</x:f>
        <x:v>0</x:v>
      </x:c>
      <x:c r="N69" s="12" t="n">
        <x:f>J69/I69</x:f>
        <x:v>0.17648016161900462</x:v>
      </x:c>
      <x:c r="O69" s="11" t="n">
        <x:v>0</x:v>
      </x:c>
      <x:c r="P69" s="11" t="n">
        <x:v>188</x:v>
      </x:c>
      <x:c r="Q69" s="11" t="n">
        <x:v>658</x:v>
      </x:c>
      <x:c r="R69" s="11" t="n">
        <x:v>490</x:v>
      </x:c>
      <x:c r="S69" s="11" t="n">
        <x:v>106</x:v>
      </x:c>
      <x:c r="T69" s="11" t="n">
        <x:v>9</x:v>
      </x:c>
      <x:c r="U69" s="11" t="n">
        <x:v>30</x:v>
      </x:c>
      <x:c r="V69" s="11" t="n">
        <x:v>0</x:v>
      </x:c>
      <x:c r="W69" s="11" t="n">
        <x:v>0</x:v>
      </x:c>
      <x:c r="X69" s="11" t="n">
        <x:v>0</x:v>
      </x:c>
      <x:c r="Y69" s="11" t="n">
        <x:v>0</x:v>
      </x:c>
      <x:c r="Z69" s="11" t="n">
        <x:v>424034</x:v>
      </x:c>
      <x:c r="AA69" s="11" t="n">
        <x:v>1126902</x:v>
      </x:c>
      <x:c r="AB69" s="11" t="n">
        <x:v>1131386</x:v>
      </x:c>
      <x:c r="AC69" s="11" t="n">
        <x:v>611686</x:v>
      </x:c>
      <x:c r="AD69" s="11" t="n">
        <x:v>122192</x:v>
      </x:c>
      <x:c r="AE69" s="11" t="n">
        <x:v>16860</x:v>
      </x:c>
      <x:c r="AF69" s="11" t="n">
        <x:v>0</x:v>
      </x:c>
      <x:c r="AG69" s="11" t="n">
        <x:v>0</x:v>
      </x:c>
      <x:c r="AH69" s="11" t="n">
        <x:v>0</x:v>
      </x:c>
    </x:row>
    <x:row r="70" ht="23" customHeight="1">
      <x:c r="A70" s="10" t="str">
        <x:v>M3</x:v>
      </x:c>
      <x:c r="B70" s="10" t="str">
        <x:v>NCG_H0</x:v>
      </x:c>
      <x:c r="C70" s="9" t="str">
        <x:v>主对照</x:v>
      </x:c>
      <x:c r="D70" s="11" t="n">
        <x:v>1481</x:v>
      </x:c>
      <x:c r="E70" s="11" t="n">
        <x:v>899</x:v>
      </x:c>
      <x:c r="F70" s="11" t="n">
        <x:v>1060</x:v>
      </x:c>
      <x:c r="G70" s="11" t="n">
        <x:v>135</x:v>
      </x:c>
      <x:c r="H70" s="11" t="n">
        <x:v>804</x:v>
      </x:c>
      <x:c r="I70" s="11" t="n">
        <x:v>3433060</x:v>
      </x:c>
      <x:c r="J70" s="11" t="n">
        <x:v>750207.543647743</x:v>
      </x:c>
      <x:c r="K70" s="12" t="n">
        <x:f>E70/D70</x:f>
        <x:v>0.6070222822417286</x:v>
      </x:c>
      <x:c r="L70" s="12" t="n">
        <x:f>F70/D70</x:f>
        <x:v>0.7157326130992573</x:v>
      </x:c>
      <x:c r="M70" s="12" t="n">
        <x:f>G70/D70</x:f>
        <x:v>0.09115462525320729</x:v>
      </x:c>
      <x:c r="N70" s="12" t="n">
        <x:f>J70/I70</x:f>
        <x:v>0.21852444863991394</x:v>
      </x:c>
      <x:c r="O70" s="11" t="n">
        <x:v>0</x:v>
      </x:c>
      <x:c r="P70" s="11" t="n">
        <x:v>204</x:v>
      </x:c>
      <x:c r="Q70" s="11" t="n">
        <x:v>695</x:v>
      </x:c>
      <x:c r="R70" s="11" t="n">
        <x:v>384</x:v>
      </x:c>
      <x:c r="S70" s="11" t="n">
        <x:v>102</x:v>
      </x:c>
      <x:c r="T70" s="11" t="n">
        <x:v>16</x:v>
      </x:c>
      <x:c r="U70" s="11" t="n">
        <x:v>6</x:v>
      </x:c>
      <x:c r="V70" s="11" t="n">
        <x:v>35</x:v>
      </x:c>
      <x:c r="W70" s="11" t="n">
        <x:v>39</x:v>
      </x:c>
      <x:c r="X70" s="11" t="n">
        <x:v>0</x:v>
      </x:c>
      <x:c r="Y70" s="11" t="n">
        <x:v>0</x:v>
      </x:c>
      <x:c r="Z70" s="11" t="n">
        <x:v>290304</x:v>
      </x:c>
      <x:c r="AA70" s="11" t="n">
        <x:v>995056</x:v>
      </x:c>
      <x:c r="AB70" s="11" t="n">
        <x:v>819028</x:v>
      </x:c>
      <x:c r="AC70" s="11" t="n">
        <x:v>516556</x:v>
      </x:c>
      <x:c r="AD70" s="11" t="n">
        <x:v>201174</x:v>
      </x:c>
      <x:c r="AE70" s="11" t="n">
        <x:v>33516</x:v>
      </x:c>
      <x:c r="AF70" s="11" t="n">
        <x:v>201026</x:v>
      </x:c>
      <x:c r="AG70" s="11" t="n">
        <x:v>376400</x:v>
      </x:c>
      <x:c r="AH70" s="11" t="n">
        <x:v>0</x:v>
      </x:c>
    </x:row>
    <x:row r="71" ht="23" customHeight="1">
      <x:c r="A71" s="10" t="str">
        <x:v>M3</x:v>
      </x:c>
      <x:c r="B71" s="10" t="str">
        <x:v>NCG_HT</x:v>
      </x:c>
      <x:c r="C71" s="9" t="str">
        <x:v>仅拓扑与尺度</x:v>
      </x:c>
      <x:c r="D71" s="11" t="n">
        <x:v>1481</x:v>
      </x:c>
      <x:c r="E71" s="11" t="n">
        <x:v>900</x:v>
      </x:c>
      <x:c r="F71" s="11" t="n">
        <x:v>1061</x:v>
      </x:c>
      <x:c r="G71" s="11" t="n">
        <x:v>135</x:v>
      </x:c>
      <x:c r="H71" s="11" t="n">
        <x:v>805</x:v>
      </x:c>
      <x:c r="I71" s="11" t="n">
        <x:v>3433060</x:v>
      </x:c>
      <x:c r="J71" s="11" t="n">
        <x:v>760633.9836477437</x:v>
      </x:c>
      <x:c r="K71" s="12" t="n">
        <x:f>E71/D71</x:f>
        <x:v>0.6076975016880486</x:v>
      </x:c>
      <x:c r="L71" s="12" t="n">
        <x:f>F71/D71</x:f>
        <x:v>0.7164078325455773</x:v>
      </x:c>
      <x:c r="M71" s="12" t="n">
        <x:f>G71/D71</x:f>
        <x:v>0.09115462525320729</x:v>
      </x:c>
      <x:c r="N71" s="12" t="n">
        <x:f>J71/I71</x:f>
        <x:v>0.22156151761045356</x:v>
      </x:c>
      <x:c r="O71" s="11" t="n">
        <x:v>0</x:v>
      </x:c>
      <x:c r="P71" s="11" t="n">
        <x:v>151</x:v>
      </x:c>
      <x:c r="Q71" s="11" t="n">
        <x:v>652</x:v>
      </x:c>
      <x:c r="R71" s="11" t="n">
        <x:v>473</x:v>
      </x:c>
      <x:c r="S71" s="11" t="n">
        <x:v>106</x:v>
      </x:c>
      <x:c r="T71" s="11" t="n">
        <x:v>19</x:v>
      </x:c>
      <x:c r="U71" s="11" t="n">
        <x:v>6</x:v>
      </x:c>
      <x:c r="V71" s="11" t="n">
        <x:v>35</x:v>
      </x:c>
      <x:c r="W71" s="11" t="n">
        <x:v>39</x:v>
      </x:c>
      <x:c r="X71" s="11" t="n">
        <x:v>0</x:v>
      </x:c>
      <x:c r="Y71" s="11" t="n">
        <x:v>0</x:v>
      </x:c>
      <x:c r="Z71" s="11" t="n">
        <x:v>265020</x:v>
      </x:c>
      <x:c r="AA71" s="11" t="n">
        <x:v>809102</x:v>
      </x:c>
      <x:c r="AB71" s="11" t="n">
        <x:v>1011452</x:v>
      </x:c>
      <x:c r="AC71" s="11" t="n">
        <x:v>526810</x:v>
      </x:c>
      <x:c r="AD71" s="11" t="n">
        <x:v>209734</x:v>
      </x:c>
      <x:c r="AE71" s="11" t="n">
        <x:v>33516</x:v>
      </x:c>
      <x:c r="AF71" s="11" t="n">
        <x:v>201026</x:v>
      </x:c>
      <x:c r="AG71" s="11" t="n">
        <x:v>376400</x:v>
      </x:c>
      <x:c r="AH71" s="11" t="n">
        <x:v>0</x:v>
      </x:c>
    </x:row>
    <x:row r="72" ht="23" customHeight="1">
      <x:c r="A72" s="10" t="str">
        <x:v>M3</x:v>
      </x:c>
      <x:c r="B72" s="10" t="str">
        <x:v>NCG_H1</x:v>
      </x:c>
      <x:c r="C72" s="9" t="str">
        <x:v>主对照</x:v>
      </x:c>
      <x:c r="D72" s="11" t="n">
        <x:v>1481</x:v>
      </x:c>
      <x:c r="E72" s="11" t="n">
        <x:v>900</x:v>
      </x:c>
      <x:c r="F72" s="11" t="n">
        <x:v>1061</x:v>
      </x:c>
      <x:c r="G72" s="11" t="n">
        <x:v>135</x:v>
      </x:c>
      <x:c r="H72" s="11" t="n">
        <x:v>880</x:v>
      </x:c>
      <x:c r="I72" s="11" t="n">
        <x:v>3433060</x:v>
      </x:c>
      <x:c r="J72" s="11" t="n">
        <x:v>763981.2236477436</x:v>
      </x:c>
      <x:c r="K72" s="12" t="n">
        <x:f>E72/D72</x:f>
        <x:v>0.6076975016880486</x:v>
      </x:c>
      <x:c r="L72" s="12" t="n">
        <x:f>F72/D72</x:f>
        <x:v>0.7164078325455773</x:v>
      </x:c>
      <x:c r="M72" s="12" t="n">
        <x:f>G72/D72</x:f>
        <x:v>0.09115462525320729</x:v>
      </x:c>
      <x:c r="N72" s="12" t="n">
        <x:f>J72/I72</x:f>
        <x:v>0.22253651950380815</x:v>
      </x:c>
      <x:c r="O72" s="11" t="n">
        <x:v>0</x:v>
      </x:c>
      <x:c r="P72" s="11" t="n">
        <x:v>144</x:v>
      </x:c>
      <x:c r="Q72" s="11" t="n">
        <x:v>643</x:v>
      </x:c>
      <x:c r="R72" s="11" t="n">
        <x:v>456</x:v>
      </x:c>
      <x:c r="S72" s="11" t="n">
        <x:v>104</x:v>
      </x:c>
      <x:c r="T72" s="11" t="n">
        <x:v>28</x:v>
      </x:c>
      <x:c r="U72" s="11" t="n">
        <x:v>32</x:v>
      </x:c>
      <x:c r="V72" s="11" t="n">
        <x:v>35</x:v>
      </x:c>
      <x:c r="W72" s="11" t="n">
        <x:v>39</x:v>
      </x:c>
      <x:c r="X72" s="11" t="n">
        <x:v>0</x:v>
      </x:c>
      <x:c r="Y72" s="11" t="n">
        <x:v>0</x:v>
      </x:c>
      <x:c r="Z72" s="11" t="n">
        <x:v>262624</x:v>
      </x:c>
      <x:c r="AA72" s="11" t="n">
        <x:v>799400</x:v>
      </x:c>
      <x:c r="AB72" s="11" t="n">
        <x:v>1003020</x:v>
      </x:c>
      <x:c r="AC72" s="11" t="n">
        <x:v>522694</x:v>
      </x:c>
      <x:c r="AD72" s="11" t="n">
        <x:v>219436</x:v>
      </x:c>
      <x:c r="AE72" s="11" t="n">
        <x:v>48460</x:v>
      </x:c>
      <x:c r="AF72" s="11" t="n">
        <x:v>201026</x:v>
      </x:c>
      <x:c r="AG72" s="11" t="n">
        <x:v>376400</x:v>
      </x:c>
      <x:c r="AH72" s="11" t="n">
        <x:v>0</x:v>
      </x:c>
    </x:row>
    <x:row r="73" ht="23" customHeight="1">
      <x:c r="A73" s="10" t="str">
        <x:v>M3</x:v>
      </x:c>
      <x:c r="B73" s="10" t="str">
        <x:v>NCG_H0_M1</x:v>
      </x:c>
      <x:c r="C73" s="9" t="str">
        <x:v>叶名称辅助</x:v>
      </x:c>
      <x:c r="D73" s="11" t="n">
        <x:v>1481</x:v>
      </x:c>
      <x:c r="E73" s="11" t="n">
        <x:v>738</x:v>
      </x:c>
      <x:c r="F73" s="11" t="n">
        <x:v>887</x:v>
      </x:c>
      <x:c r="G73" s="11" t="n">
        <x:v>135</x:v>
      </x:c>
      <x:c r="H73" s="11" t="n">
        <x:v>903</x:v>
      </x:c>
      <x:c r="I73" s="11" t="n">
        <x:v>3433060</x:v>
      </x:c>
      <x:c r="J73" s="11" t="n">
        <x:v>889407.8636477446</x:v>
      </x:c>
      <x:c r="K73" s="12" t="n">
        <x:f>E73/D73</x:f>
        <x:v>0.49831195138419987</x:v>
      </x:c>
      <x:c r="L73" s="12" t="n">
        <x:f>F73/D73</x:f>
        <x:v>0.5989196488858879</x:v>
      </x:c>
      <x:c r="M73" s="12" t="n">
        <x:f>G73/D73</x:f>
        <x:v>0.09115462525320729</x:v>
      </x:c>
      <x:c r="N73" s="12" t="n">
        <x:f>J73/I73</x:f>
        <x:v>0.2590714591786175</x:v>
      </x:c>
      <x:c r="O73" s="11" t="n">
        <x:v>0</x:v>
      </x:c>
      <x:c r="P73" s="11" t="n">
        <x:v>204</x:v>
      </x:c>
      <x:c r="Q73" s="11" t="n">
        <x:v>620</x:v>
      </x:c>
      <x:c r="R73" s="11" t="n">
        <x:v>355</x:v>
      </x:c>
      <x:c r="S73" s="11" t="n">
        <x:v>77</x:v>
      </x:c>
      <x:c r="T73" s="11" t="n">
        <x:v>11</x:v>
      </x:c>
      <x:c r="U73" s="11" t="n">
        <x:v>6</x:v>
      </x:c>
      <x:c r="V73" s="11" t="n">
        <x:v>72</x:v>
      </x:c>
      <x:c r="W73" s="11" t="n">
        <x:v>129</x:v>
      </x:c>
      <x:c r="X73" s="11" t="n">
        <x:v>7</x:v>
      </x:c>
      <x:c r="Y73" s="11" t="n">
        <x:v>0</x:v>
      </x:c>
      <x:c r="Z73" s="11" t="n">
        <x:v>290304</x:v>
      </x:c>
      <x:c r="AA73" s="11" t="n">
        <x:v>706532</x:v>
      </x:c>
      <x:c r="AB73" s="11" t="n">
        <x:v>617888</x:v>
      </x:c>
      <x:c r="AC73" s="11" t="n">
        <x:v>391970</x:v>
      </x:c>
      <x:c r="AD73" s="11" t="n">
        <x:v>175810</x:v>
      </x:c>
      <x:c r="AE73" s="11" t="n">
        <x:v>33516</x:v>
      </x:c>
      <x:c r="AF73" s="11" t="n">
        <x:v>487628</x:v>
      </x:c>
      <x:c r="AG73" s="11" t="n">
        <x:v>712416</x:v>
      </x:c>
      <x:c r="AH73" s="11" t="n">
        <x:v>16996</x:v>
      </x:c>
    </x:row>
    <x:row r="74" ht="23" customHeight="1">
      <x:c r="A74" s="10" t="str">
        <x:v>M3</x:v>
      </x:c>
      <x:c r="B74" s="10" t="str">
        <x:v>NCG_H1_M1</x:v>
      </x:c>
      <x:c r="C74" s="9" t="str">
        <x:v>叶名称辅助</x:v>
      </x:c>
      <x:c r="D74" s="11" t="n">
        <x:v>1481</x:v>
      </x:c>
      <x:c r="E74" s="11" t="n">
        <x:v>739</x:v>
      </x:c>
      <x:c r="F74" s="11" t="n">
        <x:v>888</x:v>
      </x:c>
      <x:c r="G74" s="11" t="n">
        <x:v>135</x:v>
      </x:c>
      <x:c r="H74" s="11" t="n">
        <x:v>943</x:v>
      </x:c>
      <x:c r="I74" s="11" t="n">
        <x:v>3433060</x:v>
      </x:c>
      <x:c r="J74" s="11" t="n">
        <x:v>924382.0636477448</x:v>
      </x:c>
      <x:c r="K74" s="12" t="n">
        <x:f>E74/D74</x:f>
        <x:v>0.4989871708305199</x:v>
      </x:c>
      <x:c r="L74" s="12" t="n">
        <x:f>F74/D74</x:f>
        <x:v>0.599594868332208</x:v>
      </x:c>
      <x:c r="M74" s="12" t="n">
        <x:f>G74/D74</x:f>
        <x:v>0.09115462525320729</x:v>
      </x:c>
      <x:c r="N74" s="12" t="n">
        <x:f>J74/I74</x:f>
        <x:v>0.2692589304141917</x:v>
      </x:c>
      <x:c r="O74" s="11" t="n">
        <x:v>0</x:v>
      </x:c>
      <x:c r="P74" s="11" t="n">
        <x:v>144</x:v>
      </x:c>
      <x:c r="Q74" s="11" t="n">
        <x:v>526</x:v>
      </x:c>
      <x:c r="R74" s="11" t="n">
        <x:v>416</x:v>
      </x:c>
      <x:c r="S74" s="11" t="n">
        <x:v>80</x:v>
      </x:c>
      <x:c r="T74" s="11" t="n">
        <x:v>21</x:v>
      </x:c>
      <x:c r="U74" s="11" t="n">
        <x:v>86</x:v>
      </x:c>
      <x:c r="V74" s="11" t="n">
        <x:v>72</x:v>
      </x:c>
      <x:c r="W74" s="11" t="n">
        <x:v>129</x:v>
      </x:c>
      <x:c r="X74" s="11" t="n">
        <x:v>7</x:v>
      </x:c>
      <x:c r="Y74" s="11" t="n">
        <x:v>0</x:v>
      </x:c>
      <x:c r="Z74" s="11" t="n">
        <x:v>262624</x:v>
      </x:c>
      <x:c r="AA74" s="11" t="n">
        <x:v>428044</x:v>
      </x:c>
      <x:c r="AB74" s="11" t="n">
        <x:v>759386</x:v>
      </x:c>
      <x:c r="AC74" s="11" t="n">
        <x:v>396846</x:v>
      </x:c>
      <x:c r="AD74" s="11" t="n">
        <x:v>188056</x:v>
      </x:c>
      <x:c r="AE74" s="11" t="n">
        <x:v>181064</x:v>
      </x:c>
      <x:c r="AF74" s="11" t="n">
        <x:v>487628</x:v>
      </x:c>
      <x:c r="AG74" s="11" t="n">
        <x:v>712416</x:v>
      </x:c>
      <x:c r="AH74" s="11" t="n">
        <x:v>16996</x:v>
      </x:c>
    </x:row>
    <x:row r="75" ht="23" customHeight="1">
      <x:c r="A75" s="10" t="str">
        <x:v>M4</x:v>
      </x:c>
      <x:c r="B75" s="10" t="str">
        <x:v>N_H0</x:v>
      </x:c>
      <x:c r="C75" s="9" t="str">
        <x:v>主对照</x:v>
      </x:c>
      <x:c r="D75" s="11" t="n">
        <x:v>5451</x:v>
      </x:c>
      <x:c r="E75" s="11" t="n">
        <x:v>2126</x:v>
      </x:c>
      <x:c r="F75" s="11" t="n">
        <x:v>4449</x:v>
      </x:c>
      <x:c r="G75" s="11" t="n">
        <x:v>0</x:v>
      </x:c>
      <x:c r="H75" s="11" t="n">
        <x:v>2126</x:v>
      </x:c>
      <x:c r="I75" s="11" t="n">
        <x:v>10553614</x:v>
      </x:c>
      <x:c r="J75" s="11" t="n">
        <x:v>2571465.619999984</x:v>
      </x:c>
      <x:c r="K75" s="12" t="n">
        <x:f>E75/D75</x:f>
        <x:v>0.39002017978352593</x:v>
      </x:c>
      <x:c r="L75" s="12" t="n">
        <x:f>F75/D75</x:f>
        <x:v>0.8161805173362686</x:v>
      </x:c>
      <x:c r="M75" s="12" t="n">
        <x:f>G75/D75</x:f>
        <x:v>0</x:v>
      </x:c>
      <x:c r="N75" s="12" t="n">
        <x:f>J75/I75</x:f>
        <x:v>0.24365734998456298</x:v>
      </x:c>
      <x:c r="O75" s="11" t="n">
        <x:v>0</x:v>
      </x:c>
      <x:c r="P75" s="11" t="n">
        <x:v>632</x:v>
      </x:c>
      <x:c r="Q75" s="11" t="n">
        <x:v>69</x:v>
      </x:c>
      <x:c r="R75" s="11" t="n">
        <x:v>0</x:v>
      </x:c>
      <x:c r="S75" s="11" t="n">
        <x:v>4449</x:v>
      </x:c>
      <x:c r="T75" s="11" t="n">
        <x:v>0</x:v>
      </x:c>
      <x:c r="U75" s="11" t="n">
        <x:v>31</x:v>
      </x:c>
      <x:c r="V75" s="11" t="n">
        <x:v>59</x:v>
      </x:c>
      <x:c r="W75" s="11" t="n">
        <x:v>211</x:v>
      </x:c>
      <x:c r="X75" s="11" t="n">
        <x:v>0</x:v>
      </x:c>
      <x:c r="Y75" s="11" t="n">
        <x:v>0</x:v>
      </x:c>
      <x:c r="Z75" s="11" t="n">
        <x:v>991602</x:v>
      </x:c>
      <x:c r="AA75" s="11" t="n">
        <x:v>105960</x:v>
      </x:c>
      <x:c r="AB75" s="11" t="n">
        <x:v>0</x:v>
      </x:c>
      <x:c r="AC75" s="11" t="n">
        <x:v>6926351</x:v>
      </x:c>
      <x:c r="AD75" s="11" t="n">
        <x:v>0</x:v>
      </x:c>
      <x:c r="AE75" s="11" t="n">
        <x:v>83078</x:v>
      </x:c>
      <x:c r="AF75" s="11" t="n">
        <x:v>1129660</x:v>
      </x:c>
      <x:c r="AG75" s="11" t="n">
        <x:v>1316963</x:v>
      </x:c>
      <x:c r="AH75" s="11" t="n">
        <x:v>0</x:v>
      </x:c>
    </x:row>
    <x:row r="76" ht="23" customHeight="1">
      <x:c r="A76" s="10" t="str">
        <x:v>M4</x:v>
      </x:c>
      <x:c r="B76" s="10" t="str">
        <x:v>N_HT</x:v>
      </x:c>
      <x:c r="C76" s="9" t="str">
        <x:v>仅拓扑与尺度</x:v>
      </x:c>
      <x:c r="D76" s="11" t="n">
        <x:v>5451</x:v>
      </x:c>
      <x:c r="E76" s="11" t="n">
        <x:v>2126</x:v>
      </x:c>
      <x:c r="F76" s="11" t="n">
        <x:v>4449</x:v>
      </x:c>
      <x:c r="G76" s="11" t="n">
        <x:v>0</x:v>
      </x:c>
      <x:c r="H76" s="11" t="n">
        <x:v>2126</x:v>
      </x:c>
      <x:c r="I76" s="11" t="n">
        <x:v>10553614</x:v>
      </x:c>
      <x:c r="J76" s="11" t="n">
        <x:v>2571465.619999984</x:v>
      </x:c>
      <x:c r="K76" s="12" t="n">
        <x:f>E76/D76</x:f>
        <x:v>0.39002017978352593</x:v>
      </x:c>
      <x:c r="L76" s="12" t="n">
        <x:f>F76/D76</x:f>
        <x:v>0.8161805173362686</x:v>
      </x:c>
      <x:c r="M76" s="12" t="n">
        <x:f>G76/D76</x:f>
        <x:v>0</x:v>
      </x:c>
      <x:c r="N76" s="12" t="n">
        <x:f>J76/I76</x:f>
        <x:v>0.24365734998456298</x:v>
      </x:c>
      <x:c r="O76" s="11" t="n">
        <x:v>0</x:v>
      </x:c>
      <x:c r="P76" s="11" t="n">
        <x:v>632</x:v>
      </x:c>
      <x:c r="Q76" s="11" t="n">
        <x:v>69</x:v>
      </x:c>
      <x:c r="R76" s="11" t="n">
        <x:v>0</x:v>
      </x:c>
      <x:c r="S76" s="11" t="n">
        <x:v>4449</x:v>
      </x:c>
      <x:c r="T76" s="11" t="n">
        <x:v>0</x:v>
      </x:c>
      <x:c r="U76" s="11" t="n">
        <x:v>31</x:v>
      </x:c>
      <x:c r="V76" s="11" t="n">
        <x:v>59</x:v>
      </x:c>
      <x:c r="W76" s="11" t="n">
        <x:v>211</x:v>
      </x:c>
      <x:c r="X76" s="11" t="n">
        <x:v>0</x:v>
      </x:c>
      <x:c r="Y76" s="11" t="n">
        <x:v>0</x:v>
      </x:c>
      <x:c r="Z76" s="11" t="n">
        <x:v>991602</x:v>
      </x:c>
      <x:c r="AA76" s="11" t="n">
        <x:v>105960</x:v>
      </x:c>
      <x:c r="AB76" s="11" t="n">
        <x:v>0</x:v>
      </x:c>
      <x:c r="AC76" s="11" t="n">
        <x:v>6926351</x:v>
      </x:c>
      <x:c r="AD76" s="11" t="n">
        <x:v>0</x:v>
      </x:c>
      <x:c r="AE76" s="11" t="n">
        <x:v>83078</x:v>
      </x:c>
      <x:c r="AF76" s="11" t="n">
        <x:v>1129660</x:v>
      </x:c>
      <x:c r="AG76" s="11" t="n">
        <x:v>1316963</x:v>
      </x:c>
      <x:c r="AH76" s="11" t="n">
        <x:v>0</x:v>
      </x:c>
    </x:row>
    <x:row r="77" ht="23" customHeight="1">
      <x:c r="A77" s="10" t="str">
        <x:v>M4</x:v>
      </x:c>
      <x:c r="B77" s="10" t="str">
        <x:v>N_H1</x:v>
      </x:c>
      <x:c r="C77" s="9" t="str">
        <x:v>主对照</x:v>
      </x:c>
      <x:c r="D77" s="11" t="n">
        <x:v>5451</x:v>
      </x:c>
      <x:c r="E77" s="11" t="n">
        <x:v>2126</x:v>
      </x:c>
      <x:c r="F77" s="11" t="n">
        <x:v>4449</x:v>
      </x:c>
      <x:c r="G77" s="11" t="n">
        <x:v>0</x:v>
      </x:c>
      <x:c r="H77" s="11" t="n">
        <x:v>2127</x:v>
      </x:c>
      <x:c r="I77" s="11" t="n">
        <x:v>10553614</x:v>
      </x:c>
      <x:c r="J77" s="11" t="n">
        <x:v>2571465.619999984</x:v>
      </x:c>
      <x:c r="K77" s="12" t="n">
        <x:f>E77/D77</x:f>
        <x:v>0.39002017978352593</x:v>
      </x:c>
      <x:c r="L77" s="12" t="n">
        <x:f>F77/D77</x:f>
        <x:v>0.8161805173362686</x:v>
      </x:c>
      <x:c r="M77" s="12" t="n">
        <x:f>G77/D77</x:f>
        <x:v>0</x:v>
      </x:c>
      <x:c r="N77" s="12" t="n">
        <x:f>J77/I77</x:f>
        <x:v>0.24365734998456298</x:v>
      </x:c>
      <x:c r="O77" s="11" t="n">
        <x:v>0</x:v>
      </x:c>
      <x:c r="P77" s="11" t="n">
        <x:v>632</x:v>
      </x:c>
      <x:c r="Q77" s="11" t="n">
        <x:v>69</x:v>
      </x:c>
      <x:c r="R77" s="11" t="n">
        <x:v>0</x:v>
      </x:c>
      <x:c r="S77" s="11" t="n">
        <x:v>4449</x:v>
      </x:c>
      <x:c r="T77" s="11" t="n">
        <x:v>0</x:v>
      </x:c>
      <x:c r="U77" s="11" t="n">
        <x:v>31</x:v>
      </x:c>
      <x:c r="V77" s="11" t="n">
        <x:v>59</x:v>
      </x:c>
      <x:c r="W77" s="11" t="n">
        <x:v>211</x:v>
      </x:c>
      <x:c r="X77" s="11" t="n">
        <x:v>0</x:v>
      </x:c>
      <x:c r="Y77" s="11" t="n">
        <x:v>0</x:v>
      </x:c>
      <x:c r="Z77" s="11" t="n">
        <x:v>991602</x:v>
      </x:c>
      <x:c r="AA77" s="11" t="n">
        <x:v>105960</x:v>
      </x:c>
      <x:c r="AB77" s="11" t="n">
        <x:v>0</x:v>
      </x:c>
      <x:c r="AC77" s="11" t="n">
        <x:v>6926351</x:v>
      </x:c>
      <x:c r="AD77" s="11" t="n">
        <x:v>0</x:v>
      </x:c>
      <x:c r="AE77" s="11" t="n">
        <x:v>83078</x:v>
      </x:c>
      <x:c r="AF77" s="11" t="n">
        <x:v>1129660</x:v>
      </x:c>
      <x:c r="AG77" s="11" t="n">
        <x:v>1316963</x:v>
      </x:c>
      <x:c r="AH77" s="11" t="n">
        <x:v>0</x:v>
      </x:c>
    </x:row>
    <x:row r="78" ht="23" customHeight="1">
      <x:c r="A78" s="10" t="str">
        <x:v>M4</x:v>
      </x:c>
      <x:c r="B78" s="10" t="str">
        <x:v>C_H0</x:v>
      </x:c>
      <x:c r="C78" s="9" t="str">
        <x:v>主对照</x:v>
      </x:c>
      <x:c r="D78" s="11" t="n">
        <x:v>5451</x:v>
      </x:c>
      <x:c r="E78" s="11" t="n">
        <x:v>4508</x:v>
      </x:c>
      <x:c r="F78" s="11" t="n">
        <x:v>4508</x:v>
      </x:c>
      <x:c r="G78" s="11" t="n">
        <x:v>0</x:v>
      </x:c>
      <x:c r="H78" s="11" t="n">
        <x:v>4076</x:v>
      </x:c>
      <x:c r="I78" s="11" t="n">
        <x:v>10553614</x:v>
      </x:c>
      <x:c r="J78" s="11" t="n">
        <x:v>2133463.960000003</x:v>
      </x:c>
      <x:c r="K78" s="12" t="n">
        <x:f>E78/D78</x:f>
        <x:v>0.8270042194092827</x:v>
      </x:c>
      <x:c r="L78" s="12" t="n">
        <x:f>F78/D78</x:f>
        <x:v>0.8270042194092827</x:v>
      </x:c>
      <x:c r="M78" s="12" t="n">
        <x:f>G78/D78</x:f>
        <x:v>0</x:v>
      </x:c>
      <x:c r="N78" s="12" t="n">
        <x:f>J78/I78</x:f>
        <x:v>0.20215482203537133</x:v>
      </x:c>
      <x:c r="O78" s="11" t="n">
        <x:v>0</x:v>
      </x:c>
      <x:c r="P78" s="11" t="n">
        <x:v>943</x:v>
      </x:c>
      <x:c r="Q78" s="11" t="n">
        <x:v>0</x:v>
      </x:c>
      <x:c r="R78" s="11" t="n">
        <x:v>0</x:v>
      </x:c>
      <x:c r="S78" s="11" t="n">
        <x:v>4508</x:v>
      </x:c>
      <x:c r="T78" s="11" t="n">
        <x:v>0</x:v>
      </x:c>
      <x:c r="U78" s="11" t="n">
        <x:v>0</x:v>
      </x:c>
      <x:c r="V78" s="11" t="n">
        <x:v>0</x:v>
      </x:c>
      <x:c r="W78" s="11" t="n">
        <x:v>0</x:v>
      </x:c>
      <x:c r="X78" s="11" t="n">
        <x:v>0</x:v>
      </x:c>
      <x:c r="Y78" s="11" t="n">
        <x:v>0</x:v>
      </x:c>
      <x:c r="Z78" s="11" t="n">
        <x:v>1569426</x:v>
      </x:c>
      <x:c r="AA78" s="11" t="n">
        <x:v>0</x:v>
      </x:c>
      <x:c r="AB78" s="11" t="n">
        <x:v>0</x:v>
      </x:c>
      <x:c r="AC78" s="11" t="n">
        <x:v>8984188</x:v>
      </x:c>
      <x:c r="AD78" s="11" t="n">
        <x:v>0</x:v>
      </x:c>
      <x:c r="AE78" s="11" t="n">
        <x:v>0</x:v>
      </x:c>
      <x:c r="AF78" s="11" t="n">
        <x:v>0</x:v>
      </x:c>
      <x:c r="AG78" s="11" t="n">
        <x:v>0</x:v>
      </x:c>
      <x:c r="AH78" s="11" t="n">
        <x:v>0</x:v>
      </x:c>
    </x:row>
    <x:row r="79" ht="23" customHeight="1">
      <x:c r="A79" s="10" t="str">
        <x:v>M4</x:v>
      </x:c>
      <x:c r="B79" s="10" t="str">
        <x:v>C_HT</x:v>
      </x:c>
      <x:c r="C79" s="9" t="str">
        <x:v>仅拓扑与尺度</x:v>
      </x:c>
      <x:c r="D79" s="11" t="n">
        <x:v>5451</x:v>
      </x:c>
      <x:c r="E79" s="11" t="n">
        <x:v>4508</x:v>
      </x:c>
      <x:c r="F79" s="11" t="n">
        <x:v>4508</x:v>
      </x:c>
      <x:c r="G79" s="11" t="n">
        <x:v>0</x:v>
      </x:c>
      <x:c r="H79" s="11" t="n">
        <x:v>4076</x:v>
      </x:c>
      <x:c r="I79" s="11" t="n">
        <x:v>10553614</x:v>
      </x:c>
      <x:c r="J79" s="11" t="n">
        <x:v>2133463.960000003</x:v>
      </x:c>
      <x:c r="K79" s="12" t="n">
        <x:f>E79/D79</x:f>
        <x:v>0.8270042194092827</x:v>
      </x:c>
      <x:c r="L79" s="12" t="n">
        <x:f>F79/D79</x:f>
        <x:v>0.8270042194092827</x:v>
      </x:c>
      <x:c r="M79" s="12" t="n">
        <x:f>G79/D79</x:f>
        <x:v>0</x:v>
      </x:c>
      <x:c r="N79" s="12" t="n">
        <x:f>J79/I79</x:f>
        <x:v>0.20215482203537133</x:v>
      </x:c>
      <x:c r="O79" s="11" t="n">
        <x:v>0</x:v>
      </x:c>
      <x:c r="P79" s="11" t="n">
        <x:v>943</x:v>
      </x:c>
      <x:c r="Q79" s="11" t="n">
        <x:v>0</x:v>
      </x:c>
      <x:c r="R79" s="11" t="n">
        <x:v>0</x:v>
      </x:c>
      <x:c r="S79" s="11" t="n">
        <x:v>4508</x:v>
      </x:c>
      <x:c r="T79" s="11" t="n">
        <x:v>0</x:v>
      </x:c>
      <x:c r="U79" s="11" t="n">
        <x:v>0</x:v>
      </x:c>
      <x:c r="V79" s="11" t="n">
        <x:v>0</x:v>
      </x:c>
      <x:c r="W79" s="11" t="n">
        <x:v>0</x:v>
      </x:c>
      <x:c r="X79" s="11" t="n">
        <x:v>0</x:v>
      </x:c>
      <x:c r="Y79" s="11" t="n">
        <x:v>0</x:v>
      </x:c>
      <x:c r="Z79" s="11" t="n">
        <x:v>1569426</x:v>
      </x:c>
      <x:c r="AA79" s="11" t="n">
        <x:v>0</x:v>
      </x:c>
      <x:c r="AB79" s="11" t="n">
        <x:v>0</x:v>
      </x:c>
      <x:c r="AC79" s="11" t="n">
        <x:v>8984188</x:v>
      </x:c>
      <x:c r="AD79" s="11" t="n">
        <x:v>0</x:v>
      </x:c>
      <x:c r="AE79" s="11" t="n">
        <x:v>0</x:v>
      </x:c>
      <x:c r="AF79" s="11" t="n">
        <x:v>0</x:v>
      </x:c>
      <x:c r="AG79" s="11" t="n">
        <x:v>0</x:v>
      </x:c>
      <x:c r="AH79" s="11" t="n">
        <x:v>0</x:v>
      </x:c>
    </x:row>
    <x:row r="80" ht="23" customHeight="1">
      <x:c r="A80" s="10" t="str">
        <x:v>M4</x:v>
      </x:c>
      <x:c r="B80" s="10" t="str">
        <x:v>C_H1</x:v>
      </x:c>
      <x:c r="C80" s="9" t="str">
        <x:v>主对照</x:v>
      </x:c>
      <x:c r="D80" s="11" t="n">
        <x:v>5451</x:v>
      </x:c>
      <x:c r="E80" s="11" t="n">
        <x:v>4508</x:v>
      </x:c>
      <x:c r="F80" s="11" t="n">
        <x:v>4508</x:v>
      </x:c>
      <x:c r="G80" s="11" t="n">
        <x:v>0</x:v>
      </x:c>
      <x:c r="H80" s="11" t="n">
        <x:v>4077</x:v>
      </x:c>
      <x:c r="I80" s="11" t="n">
        <x:v>10553614</x:v>
      </x:c>
      <x:c r="J80" s="11" t="n">
        <x:v>2133645.760000003</x:v>
      </x:c>
      <x:c r="K80" s="12" t="n">
        <x:f>E80/D80</x:f>
        <x:v>0.8270042194092827</x:v>
      </x:c>
      <x:c r="L80" s="12" t="n">
        <x:f>F80/D80</x:f>
        <x:v>0.8270042194092827</x:v>
      </x:c>
      <x:c r="M80" s="12" t="n">
        <x:f>G80/D80</x:f>
        <x:v>0</x:v>
      </x:c>
      <x:c r="N80" s="12" t="n">
        <x:f>J80/I80</x:f>
        <x:v>0.20217204836182212</x:v>
      </x:c>
      <x:c r="O80" s="11" t="n">
        <x:v>0</x:v>
      </x:c>
      <x:c r="P80" s="11" t="n">
        <x:v>942</x:v>
      </x:c>
      <x:c r="Q80" s="11" t="n">
        <x:v>0</x:v>
      </x:c>
      <x:c r="R80" s="11" t="n">
        <x:v>0</x:v>
      </x:c>
      <x:c r="S80" s="11" t="n">
        <x:v>4508</x:v>
      </x:c>
      <x:c r="T80" s="11" t="n">
        <x:v>0</x:v>
      </x:c>
      <x:c r="U80" s="11" t="n">
        <x:v>1</x:v>
      </x:c>
      <x:c r="V80" s="11" t="n">
        <x:v>0</x:v>
      </x:c>
      <x:c r="W80" s="11" t="n">
        <x:v>0</x:v>
      </x:c>
      <x:c r="X80" s="11" t="n">
        <x:v>0</x:v>
      </x:c>
      <x:c r="Y80" s="11" t="n">
        <x:v>0</x:v>
      </x:c>
      <x:c r="Z80" s="11" t="n">
        <x:v>1568517</x:v>
      </x:c>
      <x:c r="AA80" s="11" t="n">
        <x:v>0</x:v>
      </x:c>
      <x:c r="AB80" s="11" t="n">
        <x:v>0</x:v>
      </x:c>
      <x:c r="AC80" s="11" t="n">
        <x:v>8984188</x:v>
      </x:c>
      <x:c r="AD80" s="11" t="n">
        <x:v>0</x:v>
      </x:c>
      <x:c r="AE80" s="11" t="n">
        <x:v>909</x:v>
      </x:c>
      <x:c r="AF80" s="11" t="n">
        <x:v>0</x:v>
      </x:c>
      <x:c r="AG80" s="11" t="n">
        <x:v>0</x:v>
      </x:c>
      <x:c r="AH80" s="11" t="n">
        <x:v>0</x:v>
      </x:c>
    </x:row>
    <x:row r="81" ht="23" customHeight="1">
      <x:c r="A81" s="10" t="str">
        <x:v>M4</x:v>
      </x:c>
      <x:c r="B81" s="10" t="str">
        <x:v>G_H0</x:v>
      </x:c>
      <x:c r="C81" s="9" t="str">
        <x:v>主对照</x:v>
      </x:c>
      <x:c r="D81" s="11" t="n">
        <x:v>5451</x:v>
      </x:c>
      <x:c r="E81" s="11" t="n">
        <x:v>5451</x:v>
      </x:c>
      <x:c r="F81" s="11" t="n">
        <x:v>5451</x:v>
      </x:c>
      <x:c r="G81" s="11" t="n">
        <x:v>0</x:v>
      </x:c>
      <x:c r="H81" s="11" t="n">
        <x:v>5451</x:v>
      </x:c>
      <x:c r="I81" s="11" t="n">
        <x:v>10553614</x:v>
      </x:c>
      <x:c r="J81" s="11" t="n">
        <x:v>1597824.7801736363</x:v>
      </x:c>
      <x:c r="K81" s="12" t="n">
        <x:f>E81/D81</x:f>
        <x:v>1</x:v>
      </x:c>
      <x:c r="L81" s="12" t="n">
        <x:f>F81/D81</x:f>
        <x:v>1</x:v>
      </x:c>
      <x:c r="M81" s="12" t="n">
        <x:f>G81/D81</x:f>
        <x:v>0</x:v>
      </x:c>
      <x:c r="N81" s="12" t="n">
        <x:f>J81/I81</x:f>
        <x:v>0.1514007220818988</x:v>
      </x:c>
      <x:c r="O81" s="11" t="n">
        <x:v>0</x:v>
      </x:c>
      <x:c r="P81" s="11" t="n">
        <x:v>806</x:v>
      </x:c>
      <x:c r="Q81" s="11" t="n">
        <x:v>3932</x:v>
      </x:c>
      <x:c r="R81" s="11" t="n">
        <x:v>633</x:v>
      </x:c>
      <x:c r="S81" s="11" t="n">
        <x:v>77</x:v>
      </x:c>
      <x:c r="T81" s="11" t="n">
        <x:v>3</x:v>
      </x:c>
      <x:c r="U81" s="11" t="n">
        <x:v>0</x:v>
      </x:c>
      <x:c r="V81" s="11" t="n">
        <x:v>0</x:v>
      </x:c>
      <x:c r="W81" s="11" t="n">
        <x:v>0</x:v>
      </x:c>
      <x:c r="X81" s="11" t="n">
        <x:v>0</x:v>
      </x:c>
      <x:c r="Y81" s="11" t="n">
        <x:v>0</x:v>
      </x:c>
      <x:c r="Z81" s="11" t="n">
        <x:v>1571481</x:v>
      </x:c>
      <x:c r="AA81" s="11" t="n">
        <x:v>5944685</x:v>
      </x:c>
      <x:c r="AB81" s="11" t="n">
        <x:v>2554920</x:v>
      </x:c>
      <x:c r="AC81" s="11" t="n">
        <x:v>478772</x:v>
      </x:c>
      <x:c r="AD81" s="11" t="n">
        <x:v>3756</x:v>
      </x:c>
      <x:c r="AE81" s="11" t="n">
        <x:v>0</x:v>
      </x:c>
      <x:c r="AF81" s="11" t="n">
        <x:v>0</x:v>
      </x:c>
      <x:c r="AG81" s="11" t="n">
        <x:v>0</x:v>
      </x:c>
      <x:c r="AH81" s="11" t="n">
        <x:v>0</x:v>
      </x:c>
    </x:row>
    <x:row r="82" ht="23" customHeight="1">
      <x:c r="A82" s="10" t="str">
        <x:v>M4</x:v>
      </x:c>
      <x:c r="B82" s="10" t="str">
        <x:v>G_HT</x:v>
      </x:c>
      <x:c r="C82" s="9" t="str">
        <x:v>仅拓扑与尺度</x:v>
      </x:c>
      <x:c r="D82" s="11" t="n">
        <x:v>5451</x:v>
      </x:c>
      <x:c r="E82" s="11" t="n">
        <x:v>5451</x:v>
      </x:c>
      <x:c r="F82" s="11" t="n">
        <x:v>5451</x:v>
      </x:c>
      <x:c r="G82" s="11" t="n">
        <x:v>0</x:v>
      </x:c>
      <x:c r="H82" s="11" t="n">
        <x:v>5451</x:v>
      </x:c>
      <x:c r="I82" s="11" t="n">
        <x:v>10553614</x:v>
      </x:c>
      <x:c r="J82" s="11" t="n">
        <x:v>1632280.5201736363</x:v>
      </x:c>
      <x:c r="K82" s="12" t="n">
        <x:f>E82/D82</x:f>
        <x:v>1</x:v>
      </x:c>
      <x:c r="L82" s="12" t="n">
        <x:f>F82/D82</x:f>
        <x:v>1</x:v>
      </x:c>
      <x:c r="M82" s="12" t="n">
        <x:f>G82/D82</x:f>
        <x:v>0</x:v>
      </x:c>
      <x:c r="N82" s="12" t="n">
        <x:f>J82/I82</x:f>
        <x:v>0.1546655506041472</x:v>
      </x:c>
      <x:c r="O82" s="11" t="n">
        <x:v>0</x:v>
      </x:c>
      <x:c r="P82" s="11" t="n">
        <x:v>569</x:v>
      </x:c>
      <x:c r="Q82" s="11" t="n">
        <x:v>4027</x:v>
      </x:c>
      <x:c r="R82" s="11" t="n">
        <x:v>757</x:v>
      </x:c>
      <x:c r="S82" s="11" t="n">
        <x:v>95</x:v>
      </x:c>
      <x:c r="T82" s="11" t="n">
        <x:v>3</x:v>
      </x:c>
      <x:c r="U82" s="11" t="n">
        <x:v>0</x:v>
      </x:c>
      <x:c r="V82" s="11" t="n">
        <x:v>0</x:v>
      </x:c>
      <x:c r="W82" s="11" t="n">
        <x:v>0</x:v>
      </x:c>
      <x:c r="X82" s="11" t="n">
        <x:v>0</x:v>
      </x:c>
      <x:c r="Y82" s="11" t="n">
        <x:v>0</x:v>
      </x:c>
      <x:c r="Z82" s="11" t="n">
        <x:v>923530</x:v>
      </x:c>
      <x:c r="AA82" s="11" t="n">
        <x:v>6073371</x:v>
      </x:c>
      <x:c r="AB82" s="11" t="n">
        <x:v>3062083</x:v>
      </x:c>
      <x:c r="AC82" s="11" t="n">
        <x:v>490874</x:v>
      </x:c>
      <x:c r="AD82" s="11" t="n">
        <x:v>3756</x:v>
      </x:c>
      <x:c r="AE82" s="11" t="n">
        <x:v>0</x:v>
      </x:c>
      <x:c r="AF82" s="11" t="n">
        <x:v>0</x:v>
      </x:c>
      <x:c r="AG82" s="11" t="n">
        <x:v>0</x:v>
      </x:c>
      <x:c r="AH82" s="11" t="n">
        <x:v>0</x:v>
      </x:c>
    </x:row>
    <x:row r="83" ht="23" customHeight="1">
      <x:c r="A83" s="10" t="str">
        <x:v>M4</x:v>
      </x:c>
      <x:c r="B83" s="10" t="str">
        <x:v>G_H1</x:v>
      </x:c>
      <x:c r="C83" s="9" t="str">
        <x:v>主对照</x:v>
      </x:c>
      <x:c r="D83" s="11" t="n">
        <x:v>5451</x:v>
      </x:c>
      <x:c r="E83" s="11" t="n">
        <x:v>5451</x:v>
      </x:c>
      <x:c r="F83" s="11" t="n">
        <x:v>5451</x:v>
      </x:c>
      <x:c r="G83" s="11" t="n">
        <x:v>0</x:v>
      </x:c>
      <x:c r="H83" s="11" t="n">
        <x:v>5451</x:v>
      </x:c>
      <x:c r="I83" s="11" t="n">
        <x:v>10553614</x:v>
      </x:c>
      <x:c r="J83" s="11" t="n">
        <x:v>1632280.5201736363</x:v>
      </x:c>
      <x:c r="K83" s="12" t="n">
        <x:f>E83/D83</x:f>
        <x:v>1</x:v>
      </x:c>
      <x:c r="L83" s="12" t="n">
        <x:f>F83/D83</x:f>
        <x:v>1</x:v>
      </x:c>
      <x:c r="M83" s="12" t="n">
        <x:f>G83/D83</x:f>
        <x:v>0</x:v>
      </x:c>
      <x:c r="N83" s="12" t="n">
        <x:f>J83/I83</x:f>
        <x:v>0.1546655506041472</x:v>
      </x:c>
      <x:c r="O83" s="11" t="n">
        <x:v>0</x:v>
      </x:c>
      <x:c r="P83" s="11" t="n">
        <x:v>569</x:v>
      </x:c>
      <x:c r="Q83" s="11" t="n">
        <x:v>4027</x:v>
      </x:c>
      <x:c r="R83" s="11" t="n">
        <x:v>757</x:v>
      </x:c>
      <x:c r="S83" s="11" t="n">
        <x:v>95</x:v>
      </x:c>
      <x:c r="T83" s="11" t="n">
        <x:v>3</x:v>
      </x:c>
      <x:c r="U83" s="11" t="n">
        <x:v>0</x:v>
      </x:c>
      <x:c r="V83" s="11" t="n">
        <x:v>0</x:v>
      </x:c>
      <x:c r="W83" s="11" t="n">
        <x:v>0</x:v>
      </x:c>
      <x:c r="X83" s="11" t="n">
        <x:v>0</x:v>
      </x:c>
      <x:c r="Y83" s="11" t="n">
        <x:v>0</x:v>
      </x:c>
      <x:c r="Z83" s="11" t="n">
        <x:v>923530</x:v>
      </x:c>
      <x:c r="AA83" s="11" t="n">
        <x:v>6073371</x:v>
      </x:c>
      <x:c r="AB83" s="11" t="n">
        <x:v>3062083</x:v>
      </x:c>
      <x:c r="AC83" s="11" t="n">
        <x:v>490874</x:v>
      </x:c>
      <x:c r="AD83" s="11" t="n">
        <x:v>3756</x:v>
      </x:c>
      <x:c r="AE83" s="11" t="n">
        <x:v>0</x:v>
      </x:c>
      <x:c r="AF83" s="11" t="n">
        <x:v>0</x:v>
      </x:c>
      <x:c r="AG83" s="11" t="n">
        <x:v>0</x:v>
      </x:c>
      <x:c r="AH83" s="11" t="n">
        <x:v>0</x:v>
      </x:c>
    </x:row>
    <x:row r="84" ht="23" customHeight="1">
      <x:c r="A84" s="10" t="str">
        <x:v>M4</x:v>
      </x:c>
      <x:c r="B84" s="10" t="str">
        <x:v>NC_H0</x:v>
      </x:c>
      <x:c r="C84" s="9" t="str">
        <x:v>主对照</x:v>
      </x:c>
      <x:c r="D84" s="11" t="n">
        <x:v>5451</x:v>
      </x:c>
      <x:c r="E84" s="11" t="n">
        <x:v>1782</x:v>
      </x:c>
      <x:c r="F84" s="11" t="n">
        <x:v>4067</x:v>
      </x:c>
      <x:c r="G84" s="11" t="n">
        <x:v>514</x:v>
      </x:c>
      <x:c r="H84" s="11" t="n">
        <x:v>1758</x:v>
      </x:c>
      <x:c r="I84" s="11" t="n">
        <x:v>10553614</x:v>
      </x:c>
      <x:c r="J84" s="11" t="n">
        <x:v>2372750.980000004</x:v>
      </x:c>
      <x:c r="K84" s="12" t="n">
        <x:f>E84/D84</x:f>
        <x:v>0.32691249312052834</x:v>
      </x:c>
      <x:c r="L84" s="12" t="n">
        <x:f>F84/D84</x:f>
        <x:v>0.7461016327279398</x:v>
      </x:c>
      <x:c r="M84" s="12" t="n">
        <x:f>G84/D84</x:f>
        <x:v>0.094294624839479</x:v>
      </x:c>
      <x:c r="N84" s="12" t="n">
        <x:f>J84/I84</x:f>
        <x:v>0.22482828915289152</x:v>
      </x:c>
      <x:c r="O84" s="11" t="n">
        <x:v>0</x:v>
      </x:c>
      <x:c r="P84" s="11" t="n">
        <x:v>1092</x:v>
      </x:c>
      <x:c r="Q84" s="11" t="n">
        <x:v>66</x:v>
      </x:c>
      <x:c r="R84" s="11" t="n">
        <x:v>0</x:v>
      </x:c>
      <x:c r="S84" s="11" t="n">
        <x:v>4067</x:v>
      </x:c>
      <x:c r="T84" s="11" t="n">
        <x:v>0</x:v>
      </x:c>
      <x:c r="U84" s="11" t="n">
        <x:v>26</x:v>
      </x:c>
      <x:c r="V84" s="11" t="n">
        <x:v>57</x:v>
      </x:c>
      <x:c r="W84" s="11" t="n">
        <x:v>143</x:v>
      </x:c>
      <x:c r="X84" s="11" t="n">
        <x:v>0</x:v>
      </x:c>
      <x:c r="Y84" s="11" t="n">
        <x:v>0</x:v>
      </x:c>
      <x:c r="Z84" s="11" t="n">
        <x:v>1991541</x:v>
      </x:c>
      <x:c r="AA84" s="11" t="n">
        <x:v>97478</x:v>
      </x:c>
      <x:c r="AB84" s="11" t="n">
        <x:v>0</x:v>
      </x:c>
      <x:c r="AC84" s="11" t="n">
        <x:v>6387134</x:v>
      </x:c>
      <x:c r="AD84" s="11" t="n">
        <x:v>0</x:v>
      </x:c>
      <x:c r="AE84" s="11" t="n">
        <x:v>70264</x:v>
      </x:c>
      <x:c r="AF84" s="11" t="n">
        <x:v>1120466</x:v>
      </x:c>
      <x:c r="AG84" s="11" t="n">
        <x:v>886731</x:v>
      </x:c>
      <x:c r="AH84" s="11" t="n">
        <x:v>0</x:v>
      </x:c>
    </x:row>
    <x:row r="85" ht="23" customHeight="1">
      <x:c r="A85" s="10" t="str">
        <x:v>M4</x:v>
      </x:c>
      <x:c r="B85" s="10" t="str">
        <x:v>NC_HT</x:v>
      </x:c>
      <x:c r="C85" s="9" t="str">
        <x:v>仅拓扑与尺度</x:v>
      </x:c>
      <x:c r="D85" s="11" t="n">
        <x:v>5451</x:v>
      </x:c>
      <x:c r="E85" s="11" t="n">
        <x:v>1782</x:v>
      </x:c>
      <x:c r="F85" s="11" t="n">
        <x:v>4067</x:v>
      </x:c>
      <x:c r="G85" s="11" t="n">
        <x:v>514</x:v>
      </x:c>
      <x:c r="H85" s="11" t="n">
        <x:v>1758</x:v>
      </x:c>
      <x:c r="I85" s="11" t="n">
        <x:v>10553614</x:v>
      </x:c>
      <x:c r="J85" s="11" t="n">
        <x:v>2372750.980000004</x:v>
      </x:c>
      <x:c r="K85" s="12" t="n">
        <x:f>E85/D85</x:f>
        <x:v>0.32691249312052834</x:v>
      </x:c>
      <x:c r="L85" s="12" t="n">
        <x:f>F85/D85</x:f>
        <x:v>0.7461016327279398</x:v>
      </x:c>
      <x:c r="M85" s="12" t="n">
        <x:f>G85/D85</x:f>
        <x:v>0.094294624839479</x:v>
      </x:c>
      <x:c r="N85" s="12" t="n">
        <x:f>J85/I85</x:f>
        <x:v>0.22482828915289152</x:v>
      </x:c>
      <x:c r="O85" s="11" t="n">
        <x:v>0</x:v>
      </x:c>
      <x:c r="P85" s="11" t="n">
        <x:v>1092</x:v>
      </x:c>
      <x:c r="Q85" s="11" t="n">
        <x:v>66</x:v>
      </x:c>
      <x:c r="R85" s="11" t="n">
        <x:v>0</x:v>
      </x:c>
      <x:c r="S85" s="11" t="n">
        <x:v>4067</x:v>
      </x:c>
      <x:c r="T85" s="11" t="n">
        <x:v>0</x:v>
      </x:c>
      <x:c r="U85" s="11" t="n">
        <x:v>26</x:v>
      </x:c>
      <x:c r="V85" s="11" t="n">
        <x:v>57</x:v>
      </x:c>
      <x:c r="W85" s="11" t="n">
        <x:v>143</x:v>
      </x:c>
      <x:c r="X85" s="11" t="n">
        <x:v>0</x:v>
      </x:c>
      <x:c r="Y85" s="11" t="n">
        <x:v>0</x:v>
      </x:c>
      <x:c r="Z85" s="11" t="n">
        <x:v>1991541</x:v>
      </x:c>
      <x:c r="AA85" s="11" t="n">
        <x:v>97478</x:v>
      </x:c>
      <x:c r="AB85" s="11" t="n">
        <x:v>0</x:v>
      </x:c>
      <x:c r="AC85" s="11" t="n">
        <x:v>6387134</x:v>
      </x:c>
      <x:c r="AD85" s="11" t="n">
        <x:v>0</x:v>
      </x:c>
      <x:c r="AE85" s="11" t="n">
        <x:v>70264</x:v>
      </x:c>
      <x:c r="AF85" s="11" t="n">
        <x:v>1120466</x:v>
      </x:c>
      <x:c r="AG85" s="11" t="n">
        <x:v>886731</x:v>
      </x:c>
      <x:c r="AH85" s="11" t="n">
        <x:v>0</x:v>
      </x:c>
    </x:row>
    <x:row r="86" ht="23" customHeight="1">
      <x:c r="A86" s="10" t="str">
        <x:v>M4</x:v>
      </x:c>
      <x:c r="B86" s="10" t="str">
        <x:v>NC_H1</x:v>
      </x:c>
      <x:c r="C86" s="9" t="str">
        <x:v>主对照</x:v>
      </x:c>
      <x:c r="D86" s="11" t="n">
        <x:v>5451</x:v>
      </x:c>
      <x:c r="E86" s="11" t="n">
        <x:v>1782</x:v>
      </x:c>
      <x:c r="F86" s="11" t="n">
        <x:v>4067</x:v>
      </x:c>
      <x:c r="G86" s="11" t="n">
        <x:v>514</x:v>
      </x:c>
      <x:c r="H86" s="11" t="n">
        <x:v>1760</x:v>
      </x:c>
      <x:c r="I86" s="11" t="n">
        <x:v>10553614</x:v>
      </x:c>
      <x:c r="J86" s="11" t="n">
        <x:v>2372932.780000004</x:v>
      </x:c>
      <x:c r="K86" s="12" t="n">
        <x:f>E86/D86</x:f>
        <x:v>0.32691249312052834</x:v>
      </x:c>
      <x:c r="L86" s="12" t="n">
        <x:f>F86/D86</x:f>
        <x:v>0.7461016327279398</x:v>
      </x:c>
      <x:c r="M86" s="12" t="n">
        <x:f>G86/D86</x:f>
        <x:v>0.094294624839479</x:v>
      </x:c>
      <x:c r="N86" s="12" t="n">
        <x:f>J86/I86</x:f>
        <x:v>0.22484551547934234</x:v>
      </x:c>
      <x:c r="O86" s="11" t="n">
        <x:v>0</x:v>
      </x:c>
      <x:c r="P86" s="11" t="n">
        <x:v>1091</x:v>
      </x:c>
      <x:c r="Q86" s="11" t="n">
        <x:v>66</x:v>
      </x:c>
      <x:c r="R86" s="11" t="n">
        <x:v>0</x:v>
      </x:c>
      <x:c r="S86" s="11" t="n">
        <x:v>4067</x:v>
      </x:c>
      <x:c r="T86" s="11" t="n">
        <x:v>0</x:v>
      </x:c>
      <x:c r="U86" s="11" t="n">
        <x:v>27</x:v>
      </x:c>
      <x:c r="V86" s="11" t="n">
        <x:v>57</x:v>
      </x:c>
      <x:c r="W86" s="11" t="n">
        <x:v>143</x:v>
      </x:c>
      <x:c r="X86" s="11" t="n">
        <x:v>0</x:v>
      </x:c>
      <x:c r="Y86" s="11" t="n">
        <x:v>0</x:v>
      </x:c>
      <x:c r="Z86" s="11" t="n">
        <x:v>1990632</x:v>
      </x:c>
      <x:c r="AA86" s="11" t="n">
        <x:v>97478</x:v>
      </x:c>
      <x:c r="AB86" s="11" t="n">
        <x:v>0</x:v>
      </x:c>
      <x:c r="AC86" s="11" t="n">
        <x:v>6387134</x:v>
      </x:c>
      <x:c r="AD86" s="11" t="n">
        <x:v>0</x:v>
      </x:c>
      <x:c r="AE86" s="11" t="n">
        <x:v>71173</x:v>
      </x:c>
      <x:c r="AF86" s="11" t="n">
        <x:v>1120466</x:v>
      </x:c>
      <x:c r="AG86" s="11" t="n">
        <x:v>886731</x:v>
      </x:c>
      <x:c r="AH86" s="11" t="n">
        <x:v>0</x:v>
      </x:c>
    </x:row>
    <x:row r="87" ht="23" customHeight="1">
      <x:c r="A87" s="10" t="str">
        <x:v>M4</x:v>
      </x:c>
      <x:c r="B87" s="10" t="str">
        <x:v>NG_H0</x:v>
      </x:c>
      <x:c r="C87" s="9" t="str">
        <x:v>主对照</x:v>
      </x:c>
      <x:c r="D87" s="11" t="n">
        <x:v>5451</x:v>
      </x:c>
      <x:c r="E87" s="11" t="n">
        <x:v>2126</x:v>
      </x:c>
      <x:c r="F87" s="11" t="n">
        <x:v>4449</x:v>
      </x:c>
      <x:c r="G87" s="11" t="n">
        <x:v>0</x:v>
      </x:c>
      <x:c r="H87" s="11" t="n">
        <x:v>2126</x:v>
      </x:c>
      <x:c r="I87" s="11" t="n">
        <x:v>10553614</x:v>
      </x:c>
      <x:c r="J87" s="11" t="n">
        <x:v>2179558.7001736294</x:v>
      </x:c>
      <x:c r="K87" s="12" t="n">
        <x:f>E87/D87</x:f>
        <x:v>0.39002017978352593</x:v>
      </x:c>
      <x:c r="L87" s="12" t="n">
        <x:f>F87/D87</x:f>
        <x:v>0.8161805173362686</x:v>
      </x:c>
      <x:c r="M87" s="12" t="n">
        <x:f>G87/D87</x:f>
        <x:v>0</x:v>
      </x:c>
      <x:c r="N87" s="12" t="n">
        <x:f>J87/I87</x:f>
        <x:v>0.2065224955331538</x:v>
      </x:c>
      <x:c r="O87" s="11" t="n">
        <x:v>0</x:v>
      </x:c>
      <x:c r="P87" s="11" t="n">
        <x:v>829</x:v>
      </x:c>
      <x:c r="Q87" s="11" t="n">
        <x:v>3654</x:v>
      </x:c>
      <x:c r="R87" s="11" t="n">
        <x:v>588</x:v>
      </x:c>
      <x:c r="S87" s="11" t="n">
        <x:v>76</x:v>
      </x:c>
      <x:c r="T87" s="11" t="n">
        <x:v>3</x:v>
      </x:c>
      <x:c r="U87" s="11" t="n">
        <x:v>31</x:v>
      </x:c>
      <x:c r="V87" s="11" t="n">
        <x:v>59</x:v>
      </x:c>
      <x:c r="W87" s="11" t="n">
        <x:v>211</x:v>
      </x:c>
      <x:c r="X87" s="11" t="n">
        <x:v>0</x:v>
      </x:c>
      <x:c r="Y87" s="11" t="n">
        <x:v>0</x:v>
      </x:c>
      <x:c r="Z87" s="11" t="n">
        <x:v>1418819</x:v>
      </x:c>
      <x:c r="AA87" s="11" t="n">
        <x:v>4624438</x:v>
      </x:c>
      <x:c r="AB87" s="11" t="n">
        <x:v>1686070</x:v>
      </x:c>
      <x:c r="AC87" s="11" t="n">
        <x:v>290830</x:v>
      </x:c>
      <x:c r="AD87" s="11" t="n">
        <x:v>3756</x:v>
      </x:c>
      <x:c r="AE87" s="11" t="n">
        <x:v>83078</x:v>
      </x:c>
      <x:c r="AF87" s="11" t="n">
        <x:v>1129660</x:v>
      </x:c>
      <x:c r="AG87" s="11" t="n">
        <x:v>1316963</x:v>
      </x:c>
      <x:c r="AH87" s="11" t="n">
        <x:v>0</x:v>
      </x:c>
    </x:row>
    <x:row r="88" ht="23" customHeight="1">
      <x:c r="A88" s="10" t="str">
        <x:v>M4</x:v>
      </x:c>
      <x:c r="B88" s="10" t="str">
        <x:v>NG_HT</x:v>
      </x:c>
      <x:c r="C88" s="9" t="str">
        <x:v>仅拓扑与尺度</x:v>
      </x:c>
      <x:c r="D88" s="11" t="n">
        <x:v>5451</x:v>
      </x:c>
      <x:c r="E88" s="11" t="n">
        <x:v>2126</x:v>
      </x:c>
      <x:c r="F88" s="11" t="n">
        <x:v>4449</x:v>
      </x:c>
      <x:c r="G88" s="11" t="n">
        <x:v>0</x:v>
      </x:c>
      <x:c r="H88" s="11" t="n">
        <x:v>2126</x:v>
      </x:c>
      <x:c r="I88" s="11" t="n">
        <x:v>10553614</x:v>
      </x:c>
      <x:c r="J88" s="11" t="n">
        <x:v>2204101.720173628</x:v>
      </x:c>
      <x:c r="K88" s="12" t="n">
        <x:f>E88/D88</x:f>
        <x:v>0.39002017978352593</x:v>
      </x:c>
      <x:c r="L88" s="12" t="n">
        <x:f>F88/D88</x:f>
        <x:v>0.8161805173362686</x:v>
      </x:c>
      <x:c r="M88" s="12" t="n">
        <x:f>G88/D88</x:f>
        <x:v>0</x:v>
      </x:c>
      <x:c r="N88" s="12" t="n">
        <x:f>J88/I88</x:f>
        <x:v>0.20884805149910052</x:v>
      </x:c>
      <x:c r="O88" s="11" t="n">
        <x:v>0</x:v>
      </x:c>
      <x:c r="P88" s="11" t="n">
        <x:v>696</x:v>
      </x:c>
      <x:c r="Q88" s="11" t="n">
        <x:v>3663</x:v>
      </x:c>
      <x:c r="R88" s="11" t="n">
        <x:v>694</x:v>
      </x:c>
      <x:c r="S88" s="11" t="n">
        <x:v>94</x:v>
      </x:c>
      <x:c r="T88" s="11" t="n">
        <x:v>3</x:v>
      </x:c>
      <x:c r="U88" s="11" t="n">
        <x:v>31</x:v>
      </x:c>
      <x:c r="V88" s="11" t="n">
        <x:v>59</x:v>
      </x:c>
      <x:c r="W88" s="11" t="n">
        <x:v>211</x:v>
      </x:c>
      <x:c r="X88" s="11" t="n">
        <x:v>0</x:v>
      </x:c>
      <x:c r="Y88" s="11" t="n">
        <x:v>0</x:v>
      </x:c>
      <x:c r="Z88" s="11" t="n">
        <x:v>1115268</x:v>
      </x:c>
      <x:c r="AA88" s="11" t="n">
        <x:v>4484342</x:v>
      </x:c>
      <x:c r="AB88" s="11" t="n">
        <x:v>2117615</x:v>
      </x:c>
      <x:c r="AC88" s="11" t="n">
        <x:v>302932</x:v>
      </x:c>
      <x:c r="AD88" s="11" t="n">
        <x:v>3756</x:v>
      </x:c>
      <x:c r="AE88" s="11" t="n">
        <x:v>83078</x:v>
      </x:c>
      <x:c r="AF88" s="11" t="n">
        <x:v>1129660</x:v>
      </x:c>
      <x:c r="AG88" s="11" t="n">
        <x:v>1316963</x:v>
      </x:c>
      <x:c r="AH88" s="11" t="n">
        <x:v>0</x:v>
      </x:c>
    </x:row>
    <x:row r="89" ht="23" customHeight="1">
      <x:c r="A89" s="10" t="str">
        <x:v>M4</x:v>
      </x:c>
      <x:c r="B89" s="10" t="str">
        <x:v>NG_H1</x:v>
      </x:c>
      <x:c r="C89" s="9" t="str">
        <x:v>主对照</x:v>
      </x:c>
      <x:c r="D89" s="11" t="n">
        <x:v>5451</x:v>
      </x:c>
      <x:c r="E89" s="11" t="n">
        <x:v>2126</x:v>
      </x:c>
      <x:c r="F89" s="11" t="n">
        <x:v>4449</x:v>
      </x:c>
      <x:c r="G89" s="11" t="n">
        <x:v>0</x:v>
      </x:c>
      <x:c r="H89" s="11" t="n">
        <x:v>2127</x:v>
      </x:c>
      <x:c r="I89" s="11" t="n">
        <x:v>10553614</x:v>
      </x:c>
      <x:c r="J89" s="11" t="n">
        <x:v>2204101.720173628</x:v>
      </x:c>
      <x:c r="K89" s="12" t="n">
        <x:f>E89/D89</x:f>
        <x:v>0.39002017978352593</x:v>
      </x:c>
      <x:c r="L89" s="12" t="n">
        <x:f>F89/D89</x:f>
        <x:v>0.8161805173362686</x:v>
      </x:c>
      <x:c r="M89" s="12" t="n">
        <x:f>G89/D89</x:f>
        <x:v>0</x:v>
      </x:c>
      <x:c r="N89" s="12" t="n">
        <x:f>J89/I89</x:f>
        <x:v>0.20884805149910052</x:v>
      </x:c>
      <x:c r="O89" s="11" t="n">
        <x:v>0</x:v>
      </x:c>
      <x:c r="P89" s="11" t="n">
        <x:v>696</x:v>
      </x:c>
      <x:c r="Q89" s="11" t="n">
        <x:v>3663</x:v>
      </x:c>
      <x:c r="R89" s="11" t="n">
        <x:v>694</x:v>
      </x:c>
      <x:c r="S89" s="11" t="n">
        <x:v>94</x:v>
      </x:c>
      <x:c r="T89" s="11" t="n">
        <x:v>3</x:v>
      </x:c>
      <x:c r="U89" s="11" t="n">
        <x:v>31</x:v>
      </x:c>
      <x:c r="V89" s="11" t="n">
        <x:v>59</x:v>
      </x:c>
      <x:c r="W89" s="11" t="n">
        <x:v>211</x:v>
      </x:c>
      <x:c r="X89" s="11" t="n">
        <x:v>0</x:v>
      </x:c>
      <x:c r="Y89" s="11" t="n">
        <x:v>0</x:v>
      </x:c>
      <x:c r="Z89" s="11" t="n">
        <x:v>1115268</x:v>
      </x:c>
      <x:c r="AA89" s="11" t="n">
        <x:v>4484342</x:v>
      </x:c>
      <x:c r="AB89" s="11" t="n">
        <x:v>2117615</x:v>
      </x:c>
      <x:c r="AC89" s="11" t="n">
        <x:v>302932</x:v>
      </x:c>
      <x:c r="AD89" s="11" t="n">
        <x:v>3756</x:v>
      </x:c>
      <x:c r="AE89" s="11" t="n">
        <x:v>83078</x:v>
      </x:c>
      <x:c r="AF89" s="11" t="n">
        <x:v>1129660</x:v>
      </x:c>
      <x:c r="AG89" s="11" t="n">
        <x:v>1316963</x:v>
      </x:c>
      <x:c r="AH89" s="11" t="n">
        <x:v>0</x:v>
      </x:c>
    </x:row>
    <x:row r="90" ht="23" customHeight="1">
      <x:c r="A90" s="10" t="str">
        <x:v>M4</x:v>
      </x:c>
      <x:c r="B90" s="10" t="str">
        <x:v>CG_H0</x:v>
      </x:c>
      <x:c r="C90" s="9" t="str">
        <x:v>主对照</x:v>
      </x:c>
      <x:c r="D90" s="11" t="n">
        <x:v>5451</x:v>
      </x:c>
      <x:c r="E90" s="11" t="n">
        <x:v>4508</x:v>
      </x:c>
      <x:c r="F90" s="11" t="n">
        <x:v>4508</x:v>
      </x:c>
      <x:c r="G90" s="11" t="n">
        <x:v>0</x:v>
      </x:c>
      <x:c r="H90" s="11" t="n">
        <x:v>4076</x:v>
      </x:c>
      <x:c r="I90" s="11" t="n">
        <x:v>10553614</x:v>
      </x:c>
      <x:c r="J90" s="11" t="n">
        <x:v>1587115.5601736356</x:v>
      </x:c>
      <x:c r="K90" s="12" t="n">
        <x:f>E90/D90</x:f>
        <x:v>0.8270042194092827</x:v>
      </x:c>
      <x:c r="L90" s="12" t="n">
        <x:f>F90/D90</x:f>
        <x:v>0.8270042194092827</x:v>
      </x:c>
      <x:c r="M90" s="12" t="n">
        <x:f>G90/D90</x:f>
        <x:v>0</x:v>
      </x:c>
      <x:c r="N90" s="12" t="n">
        <x:f>J90/I90</x:f>
        <x:v>0.15038597774882004</x:v>
      </x:c>
      <x:c r="O90" s="11" t="n">
        <x:v>0</x:v>
      </x:c>
      <x:c r="P90" s="11" t="n">
        <x:v>1139</x:v>
      </x:c>
      <x:c r="Q90" s="11" t="n">
        <x:v>3600</x:v>
      </x:c>
      <x:c r="R90" s="11" t="n">
        <x:v>632</x:v>
      </x:c>
      <x:c r="S90" s="11" t="n">
        <x:v>77</x:v>
      </x:c>
      <x:c r="T90" s="11" t="n">
        <x:v>3</x:v>
      </x:c>
      <x:c r="U90" s="11" t="n">
        <x:v>0</x:v>
      </x:c>
      <x:c r="V90" s="11" t="n">
        <x:v>0</x:v>
      </x:c>
      <x:c r="W90" s="11" t="n">
        <x:v>0</x:v>
      </x:c>
      <x:c r="X90" s="11" t="n">
        <x:v>0</x:v>
      </x:c>
      <x:c r="Y90" s="11" t="n">
        <x:v>0</x:v>
      </x:c>
      <x:c r="Z90" s="11" t="n">
        <x:v>2106846</x:v>
      </x:c>
      <x:c r="AA90" s="11" t="n">
        <x:v>5409368</x:v>
      </x:c>
      <x:c r="AB90" s="11" t="n">
        <x:v>2554872</x:v>
      </x:c>
      <x:c r="AC90" s="11" t="n">
        <x:v>478772</x:v>
      </x:c>
      <x:c r="AD90" s="11" t="n">
        <x:v>3756</x:v>
      </x:c>
      <x:c r="AE90" s="11" t="n">
        <x:v>0</x:v>
      </x:c>
      <x:c r="AF90" s="11" t="n">
        <x:v>0</x:v>
      </x:c>
      <x:c r="AG90" s="11" t="n">
        <x:v>0</x:v>
      </x:c>
      <x:c r="AH90" s="11" t="n">
        <x:v>0</x:v>
      </x:c>
    </x:row>
    <x:row r="91" ht="23" customHeight="1">
      <x:c r="A91" s="10" t="str">
        <x:v>M4</x:v>
      </x:c>
      <x:c r="B91" s="10" t="str">
        <x:v>CG_HT</x:v>
      </x:c>
      <x:c r="C91" s="9" t="str">
        <x:v>仅拓扑与尺度</x:v>
      </x:c>
      <x:c r="D91" s="11" t="n">
        <x:v>5451</x:v>
      </x:c>
      <x:c r="E91" s="11" t="n">
        <x:v>4508</x:v>
      </x:c>
      <x:c r="F91" s="11" t="n">
        <x:v>4508</x:v>
      </x:c>
      <x:c r="G91" s="11" t="n">
        <x:v>0</x:v>
      </x:c>
      <x:c r="H91" s="11" t="n">
        <x:v>4076</x:v>
      </x:c>
      <x:c r="I91" s="11" t="n">
        <x:v>10553614</x:v>
      </x:c>
      <x:c r="J91" s="11" t="n">
        <x:v>1620128.6801736362</x:v>
      </x:c>
      <x:c r="K91" s="12" t="n">
        <x:f>E91/D91</x:f>
        <x:v>0.8270042194092827</x:v>
      </x:c>
      <x:c r="L91" s="12" t="n">
        <x:f>F91/D91</x:f>
        <x:v>0.8270042194092827</x:v>
      </x:c>
      <x:c r="M91" s="12" t="n">
        <x:f>G91/D91</x:f>
        <x:v>0</x:v>
      </x:c>
      <x:c r="N91" s="12" t="n">
        <x:f>J91/I91</x:f>
        <x:v>0.15351411186477318</x:v>
      </x:c>
      <x:c r="O91" s="11" t="n">
        <x:v>0</x:v>
      </x:c>
      <x:c r="P91" s="11" t="n">
        <x:v>899</x:v>
      </x:c>
      <x:c r="Q91" s="11" t="n">
        <x:v>3721</x:v>
      </x:c>
      <x:c r="R91" s="11" t="n">
        <x:v>733</x:v>
      </x:c>
      <x:c r="S91" s="11" t="n">
        <x:v>95</x:v>
      </x:c>
      <x:c r="T91" s="11" t="n">
        <x:v>3</x:v>
      </x:c>
      <x:c r="U91" s="11" t="n">
        <x:v>0</x:v>
      </x:c>
      <x:c r="V91" s="11" t="n">
        <x:v>0</x:v>
      </x:c>
      <x:c r="W91" s="11" t="n">
        <x:v>0</x:v>
      </x:c>
      <x:c r="X91" s="11" t="n">
        <x:v>0</x:v>
      </x:c>
      <x:c r="Y91" s="11" t="n">
        <x:v>0</x:v>
      </x:c>
      <x:c r="Z91" s="11" t="n">
        <x:v>1451870</x:v>
      </x:c>
      <x:c r="AA91" s="11" t="n">
        <x:v>5584657</x:v>
      </x:c>
      <x:c r="AB91" s="11" t="n">
        <x:v>3022457</x:v>
      </x:c>
      <x:c r="AC91" s="11" t="n">
        <x:v>490874</x:v>
      </x:c>
      <x:c r="AD91" s="11" t="n">
        <x:v>3756</x:v>
      </x:c>
      <x:c r="AE91" s="11" t="n">
        <x:v>0</x:v>
      </x:c>
      <x:c r="AF91" s="11" t="n">
        <x:v>0</x:v>
      </x:c>
      <x:c r="AG91" s="11" t="n">
        <x:v>0</x:v>
      </x:c>
      <x:c r="AH91" s="11" t="n">
        <x:v>0</x:v>
      </x:c>
    </x:row>
    <x:row r="92" ht="23" customHeight="1">
      <x:c r="A92" s="10" t="str">
        <x:v>M4</x:v>
      </x:c>
      <x:c r="B92" s="10" t="str">
        <x:v>CG_H1</x:v>
      </x:c>
      <x:c r="C92" s="9" t="str">
        <x:v>主对照</x:v>
      </x:c>
      <x:c r="D92" s="11" t="n">
        <x:v>5451</x:v>
      </x:c>
      <x:c r="E92" s="11" t="n">
        <x:v>4508</x:v>
      </x:c>
      <x:c r="F92" s="11" t="n">
        <x:v>4508</x:v>
      </x:c>
      <x:c r="G92" s="11" t="n">
        <x:v>0</x:v>
      </x:c>
      <x:c r="H92" s="11" t="n">
        <x:v>4077</x:v>
      </x:c>
      <x:c r="I92" s="11" t="n">
        <x:v>10553614</x:v>
      </x:c>
      <x:c r="J92" s="11" t="n">
        <x:v>1620310.480173636</x:v>
      </x:c>
      <x:c r="K92" s="12" t="n">
        <x:f>E92/D92</x:f>
        <x:v>0.8270042194092827</x:v>
      </x:c>
      <x:c r="L92" s="12" t="n">
        <x:f>F92/D92</x:f>
        <x:v>0.8270042194092827</x:v>
      </x:c>
      <x:c r="M92" s="12" t="n">
        <x:f>G92/D92</x:f>
        <x:v>0</x:v>
      </x:c>
      <x:c r="N92" s="12" t="n">
        <x:f>J92/I92</x:f>
        <x:v>0.15353133819122397</x:v>
      </x:c>
      <x:c r="O92" s="11" t="n">
        <x:v>0</x:v>
      </x:c>
      <x:c r="P92" s="11" t="n">
        <x:v>898</x:v>
      </x:c>
      <x:c r="Q92" s="11" t="n">
        <x:v>3721</x:v>
      </x:c>
      <x:c r="R92" s="11" t="n">
        <x:v>733</x:v>
      </x:c>
      <x:c r="S92" s="11" t="n">
        <x:v>95</x:v>
      </x:c>
      <x:c r="T92" s="11" t="n">
        <x:v>3</x:v>
      </x:c>
      <x:c r="U92" s="11" t="n">
        <x:v>1</x:v>
      </x:c>
      <x:c r="V92" s="11" t="n">
        <x:v>0</x:v>
      </x:c>
      <x:c r="W92" s="11" t="n">
        <x:v>0</x:v>
      </x:c>
      <x:c r="X92" s="11" t="n">
        <x:v>0</x:v>
      </x:c>
      <x:c r="Y92" s="11" t="n">
        <x:v>0</x:v>
      </x:c>
      <x:c r="Z92" s="11" t="n">
        <x:v>1450961</x:v>
      </x:c>
      <x:c r="AA92" s="11" t="n">
        <x:v>5584657</x:v>
      </x:c>
      <x:c r="AB92" s="11" t="n">
        <x:v>3022457</x:v>
      </x:c>
      <x:c r="AC92" s="11" t="n">
        <x:v>490874</x:v>
      </x:c>
      <x:c r="AD92" s="11" t="n">
        <x:v>3756</x:v>
      </x:c>
      <x:c r="AE92" s="11" t="n">
        <x:v>909</x:v>
      </x:c>
      <x:c r="AF92" s="11" t="n">
        <x:v>0</x:v>
      </x:c>
      <x:c r="AG92" s="11" t="n">
        <x:v>0</x:v>
      </x:c>
      <x:c r="AH92" s="11" t="n">
        <x:v>0</x:v>
      </x:c>
    </x:row>
    <x:row r="93" ht="23" customHeight="1">
      <x:c r="A93" s="10" t="str">
        <x:v>M4</x:v>
      </x:c>
      <x:c r="B93" s="10" t="str">
        <x:v>NCG_H0</x:v>
      </x:c>
      <x:c r="C93" s="9" t="str">
        <x:v>主对照</x:v>
      </x:c>
      <x:c r="D93" s="11" t="n">
        <x:v>5451</x:v>
      </x:c>
      <x:c r="E93" s="11" t="n">
        <x:v>1782</x:v>
      </x:c>
      <x:c r="F93" s="11" t="n">
        <x:v>4067</x:v>
      </x:c>
      <x:c r="G93" s="11" t="n">
        <x:v>514</x:v>
      </x:c>
      <x:c r="H93" s="11" t="n">
        <x:v>1758</x:v>
      </x:c>
      <x:c r="I93" s="11" t="n">
        <x:v>10553614</x:v>
      </x:c>
      <x:c r="J93" s="11" t="n">
        <x:v>2063609.8801736317</x:v>
      </x:c>
      <x:c r="K93" s="12" t="n">
        <x:f>E93/D93</x:f>
        <x:v>0.32691249312052834</x:v>
      </x:c>
      <x:c r="L93" s="12" t="n">
        <x:f>F93/D93</x:f>
        <x:v>0.7461016327279398</x:v>
      </x:c>
      <x:c r="M93" s="12" t="n">
        <x:f>G93/D93</x:f>
        <x:v>0.094294624839479</x:v>
      </x:c>
      <x:c r="N93" s="12" t="n">
        <x:f>J93/I93</x:f>
        <x:v>0.19553584963156997</x:v>
      </x:c>
      <x:c r="O93" s="11" t="n">
        <x:v>0</x:v>
      </x:c>
      <x:c r="P93" s="11" t="n">
        <x:v>855</x:v>
      </x:c>
      <x:c r="Q93" s="11" t="n">
        <x:v>3618</x:v>
      </x:c>
      <x:c r="R93" s="11" t="n">
        <x:v>651</x:v>
      </x:c>
      <x:c r="S93" s="11" t="n">
        <x:v>98</x:v>
      </x:c>
      <x:c r="T93" s="11" t="n">
        <x:v>3</x:v>
      </x:c>
      <x:c r="U93" s="11" t="n">
        <x:v>26</x:v>
      </x:c>
      <x:c r="V93" s="11" t="n">
        <x:v>57</x:v>
      </x:c>
      <x:c r="W93" s="11" t="n">
        <x:v>143</x:v>
      </x:c>
      <x:c r="X93" s="11" t="n">
        <x:v>0</x:v>
      </x:c>
      <x:c r="Y93" s="11" t="n">
        <x:v>0</x:v>
      </x:c>
      <x:c r="Z93" s="11" t="n">
        <x:v>1398136</x:v>
      </x:c>
      <x:c r="AA93" s="11" t="n">
        <x:v>4930777</x:v>
      </x:c>
      <x:c r="AB93" s="11" t="n">
        <x:v>1823182</x:v>
      </x:c>
      <x:c r="AC93" s="11" t="n">
        <x:v>320302</x:v>
      </x:c>
      <x:c r="AD93" s="11" t="n">
        <x:v>3756</x:v>
      </x:c>
      <x:c r="AE93" s="11" t="n">
        <x:v>70264</x:v>
      </x:c>
      <x:c r="AF93" s="11" t="n">
        <x:v>1120466</x:v>
      </x:c>
      <x:c r="AG93" s="11" t="n">
        <x:v>886731</x:v>
      </x:c>
      <x:c r="AH93" s="11" t="n">
        <x:v>0</x:v>
      </x:c>
    </x:row>
    <x:row r="94" ht="23" customHeight="1">
      <x:c r="A94" s="10" t="str">
        <x:v>M4</x:v>
      </x:c>
      <x:c r="B94" s="10" t="str">
        <x:v>NCG_HT</x:v>
      </x:c>
      <x:c r="C94" s="9" t="str">
        <x:v>仅拓扑与尺度</x:v>
      </x:c>
      <x:c r="D94" s="11" t="n">
        <x:v>5451</x:v>
      </x:c>
      <x:c r="E94" s="11" t="n">
        <x:v>1782</x:v>
      </x:c>
      <x:c r="F94" s="11" t="n">
        <x:v>4067</x:v>
      </x:c>
      <x:c r="G94" s="11" t="n">
        <x:v>514</x:v>
      </x:c>
      <x:c r="H94" s="11" t="n">
        <x:v>1758</x:v>
      </x:c>
      <x:c r="I94" s="11" t="n">
        <x:v>10553614</x:v>
      </x:c>
      <x:c r="J94" s="11" t="n">
        <x:v>2093102.8801736317</x:v>
      </x:c>
      <x:c r="K94" s="12" t="n">
        <x:f>E94/D94</x:f>
        <x:v>0.32691249312052834</x:v>
      </x:c>
      <x:c r="L94" s="12" t="n">
        <x:f>F94/D94</x:f>
        <x:v>0.7461016327279398</x:v>
      </x:c>
      <x:c r="M94" s="12" t="n">
        <x:f>G94/D94</x:f>
        <x:v>0.094294624839479</x:v>
      </x:c>
      <x:c r="N94" s="12" t="n">
        <x:f>J94/I94</x:f>
        <x:v>0.1983304373434192</x:v>
      </x:c>
      <x:c r="O94" s="11" t="n">
        <x:v>0</x:v>
      </x:c>
      <x:c r="P94" s="11" t="n">
        <x:v>737</x:v>
      </x:c>
      <x:c r="Q94" s="11" t="n">
        <x:v>3574</x:v>
      </x:c>
      <x:c r="R94" s="11" t="n">
        <x:v>788</x:v>
      </x:c>
      <x:c r="S94" s="11" t="n">
        <x:v>123</x:v>
      </x:c>
      <x:c r="T94" s="11" t="n">
        <x:v>3</x:v>
      </x:c>
      <x:c r="U94" s="11" t="n">
        <x:v>26</x:v>
      </x:c>
      <x:c r="V94" s="11" t="n">
        <x:v>57</x:v>
      </x:c>
      <x:c r="W94" s="11" t="n">
        <x:v>143</x:v>
      </x:c>
      <x:c r="X94" s="11" t="n">
        <x:v>0</x:v>
      </x:c>
      <x:c r="Y94" s="11" t="n">
        <x:v>0</x:v>
      </x:c>
      <x:c r="Z94" s="11" t="n">
        <x:v>1168276</x:v>
      </x:c>
      <x:c r="AA94" s="11" t="n">
        <x:v>4563190</x:v>
      </x:c>
      <x:c r="AB94" s="11" t="n">
        <x:v>2403997</x:v>
      </x:c>
      <x:c r="AC94" s="11" t="n">
        <x:v>336934</x:v>
      </x:c>
      <x:c r="AD94" s="11" t="n">
        <x:v>3756</x:v>
      </x:c>
      <x:c r="AE94" s="11" t="n">
        <x:v>70264</x:v>
      </x:c>
      <x:c r="AF94" s="11" t="n">
        <x:v>1120466</x:v>
      </x:c>
      <x:c r="AG94" s="11" t="n">
        <x:v>886731</x:v>
      </x:c>
      <x:c r="AH94" s="11" t="n">
        <x:v>0</x:v>
      </x:c>
    </x:row>
    <x:row r="95" ht="23" customHeight="1">
      <x:c r="A95" s="10" t="str">
        <x:v>M4</x:v>
      </x:c>
      <x:c r="B95" s="10" t="str">
        <x:v>NCG_H1</x:v>
      </x:c>
      <x:c r="C95" s="9" t="str">
        <x:v>主对照</x:v>
      </x:c>
      <x:c r="D95" s="11" t="n">
        <x:v>5451</x:v>
      </x:c>
      <x:c r="E95" s="11" t="n">
        <x:v>1782</x:v>
      </x:c>
      <x:c r="F95" s="11" t="n">
        <x:v>4067</x:v>
      </x:c>
      <x:c r="G95" s="11" t="n">
        <x:v>514</x:v>
      </x:c>
      <x:c r="H95" s="11" t="n">
        <x:v>1760</x:v>
      </x:c>
      <x:c r="I95" s="11" t="n">
        <x:v>10553614</x:v>
      </x:c>
      <x:c r="J95" s="11" t="n">
        <x:v>2093284.6801736315</x:v>
      </x:c>
      <x:c r="K95" s="12" t="n">
        <x:f>E95/D95</x:f>
        <x:v>0.32691249312052834</x:v>
      </x:c>
      <x:c r="L95" s="12" t="n">
        <x:f>F95/D95</x:f>
        <x:v>0.7461016327279398</x:v>
      </x:c>
      <x:c r="M95" s="12" t="n">
        <x:f>G95/D95</x:f>
        <x:v>0.094294624839479</x:v>
      </x:c>
      <x:c r="N95" s="12" t="n">
        <x:f>J95/I95</x:f>
        <x:v>0.19834766366987</x:v>
      </x:c>
      <x:c r="O95" s="11" t="n">
        <x:v>0</x:v>
      </x:c>
      <x:c r="P95" s="11" t="n">
        <x:v>736</x:v>
      </x:c>
      <x:c r="Q95" s="11" t="n">
        <x:v>3574</x:v>
      </x:c>
      <x:c r="R95" s="11" t="n">
        <x:v>788</x:v>
      </x:c>
      <x:c r="S95" s="11" t="n">
        <x:v>123</x:v>
      </x:c>
      <x:c r="T95" s="11" t="n">
        <x:v>3</x:v>
      </x:c>
      <x:c r="U95" s="11" t="n">
        <x:v>27</x:v>
      </x:c>
      <x:c r="V95" s="11" t="n">
        <x:v>57</x:v>
      </x:c>
      <x:c r="W95" s="11" t="n">
        <x:v>143</x:v>
      </x:c>
      <x:c r="X95" s="11" t="n">
        <x:v>0</x:v>
      </x:c>
      <x:c r="Y95" s="11" t="n">
        <x:v>0</x:v>
      </x:c>
      <x:c r="Z95" s="11" t="n">
        <x:v>1167367</x:v>
      </x:c>
      <x:c r="AA95" s="11" t="n">
        <x:v>4563190</x:v>
      </x:c>
      <x:c r="AB95" s="11" t="n">
        <x:v>2403997</x:v>
      </x:c>
      <x:c r="AC95" s="11" t="n">
        <x:v>336934</x:v>
      </x:c>
      <x:c r="AD95" s="11" t="n">
        <x:v>3756</x:v>
      </x:c>
      <x:c r="AE95" s="11" t="n">
        <x:v>71173</x:v>
      </x:c>
      <x:c r="AF95" s="11" t="n">
        <x:v>1120466</x:v>
      </x:c>
      <x:c r="AG95" s="11" t="n">
        <x:v>886731</x:v>
      </x:c>
      <x:c r="AH95" s="11" t="n">
        <x:v>0</x:v>
      </x:c>
    </x:row>
    <x:row r="96" ht="23" customHeight="1">
      <x:c r="A96" s="10" t="str">
        <x:v>M4</x:v>
      </x:c>
      <x:c r="B96" s="10" t="str">
        <x:v>NCG_H0_M1</x:v>
      </x:c>
      <x:c r="C96" s="9" t="str">
        <x:v>叶名称辅助</x:v>
      </x:c>
      <x:c r="D96" s="11" t="n">
        <x:v>5451</x:v>
      </x:c>
      <x:c r="E96" s="11" t="n">
        <x:v>1782</x:v>
      </x:c>
      <x:c r="F96" s="11" t="n">
        <x:v>4063</x:v>
      </x:c>
      <x:c r="G96" s="11" t="n">
        <x:v>514</x:v>
      </x:c>
      <x:c r="H96" s="11" t="n">
        <x:v>1758</x:v>
      </x:c>
      <x:c r="I96" s="11" t="n">
        <x:v>10553614</x:v>
      </x:c>
      <x:c r="J96" s="11" t="n">
        <x:v>2064746.840173632</x:v>
      </x:c>
      <x:c r="K96" s="12" t="n">
        <x:f>E96/D96</x:f>
        <x:v>0.32691249312052834</x:v>
      </x:c>
      <x:c r="L96" s="12" t="n">
        <x:f>F96/D96</x:f>
        <x:v>0.745367822417905</x:v>
      </x:c>
      <x:c r="M96" s="12" t="n">
        <x:f>G96/D96</x:f>
        <x:v>0.094294624839479</x:v>
      </x:c>
      <x:c r="N96" s="12" t="n">
        <x:f>J96/I96</x:f>
        <x:v>0.19564358144742</x:v>
      </x:c>
      <x:c r="O96" s="11" t="n">
        <x:v>0</x:v>
      </x:c>
      <x:c r="P96" s="11" t="n">
        <x:v>855</x:v>
      </x:c>
      <x:c r="Q96" s="11" t="n">
        <x:v>3614</x:v>
      </x:c>
      <x:c r="R96" s="11" t="n">
        <x:v>651</x:v>
      </x:c>
      <x:c r="S96" s="11" t="n">
        <x:v>98</x:v>
      </x:c>
      <x:c r="T96" s="11" t="n">
        <x:v>3</x:v>
      </x:c>
      <x:c r="U96" s="11" t="n">
        <x:v>26</x:v>
      </x:c>
      <x:c r="V96" s="11" t="n">
        <x:v>61</x:v>
      </x:c>
      <x:c r="W96" s="11" t="n">
        <x:v>143</x:v>
      </x:c>
      <x:c r="X96" s="11" t="n">
        <x:v>0</x:v>
      </x:c>
      <x:c r="Y96" s="11" t="n">
        <x:v>0</x:v>
      </x:c>
      <x:c r="Z96" s="11" t="n">
        <x:v>1398136</x:v>
      </x:c>
      <x:c r="AA96" s="11" t="n">
        <x:v>4925609</x:v>
      </x:c>
      <x:c r="AB96" s="11" t="n">
        <x:v>1823182</x:v>
      </x:c>
      <x:c r="AC96" s="11" t="n">
        <x:v>320302</x:v>
      </x:c>
      <x:c r="AD96" s="11" t="n">
        <x:v>3756</x:v>
      </x:c>
      <x:c r="AE96" s="11" t="n">
        <x:v>70264</x:v>
      </x:c>
      <x:c r="AF96" s="11" t="n">
        <x:v>1125634</x:v>
      </x:c>
      <x:c r="AG96" s="11" t="n">
        <x:v>886731</x:v>
      </x:c>
      <x:c r="AH96" s="11" t="n">
        <x:v>0</x:v>
      </x:c>
    </x:row>
    <x:row r="97" ht="23" customHeight="1">
      <x:c r="A97" s="10" t="str">
        <x:v>M4</x:v>
      </x:c>
      <x:c r="B97" s="10" t="str">
        <x:v>NCG_H1_M1</x:v>
      </x:c>
      <x:c r="C97" s="9" t="str">
        <x:v>叶名称辅助</x:v>
      </x:c>
      <x:c r="D97" s="11" t="n">
        <x:v>5451</x:v>
      </x:c>
      <x:c r="E97" s="11" t="n">
        <x:v>1782</x:v>
      </x:c>
      <x:c r="F97" s="11" t="n">
        <x:v>4063</x:v>
      </x:c>
      <x:c r="G97" s="11" t="n">
        <x:v>514</x:v>
      </x:c>
      <x:c r="H97" s="11" t="n">
        <x:v>1760</x:v>
      </x:c>
      <x:c r="I97" s="11" t="n">
        <x:v>10553614</x:v>
      </x:c>
      <x:c r="J97" s="11" t="n">
        <x:v>2094421.6401736317</x:v>
      </x:c>
      <x:c r="K97" s="12" t="n">
        <x:f>E97/D97</x:f>
        <x:v>0.32691249312052834</x:v>
      </x:c>
      <x:c r="L97" s="12" t="n">
        <x:f>F97/D97</x:f>
        <x:v>0.745367822417905</x:v>
      </x:c>
      <x:c r="M97" s="12" t="n">
        <x:f>G97/D97</x:f>
        <x:v>0.094294624839479</x:v>
      </x:c>
      <x:c r="N97" s="12" t="n">
        <x:f>J97/I97</x:f>
        <x:v>0.19845539548572003</x:v>
      </x:c>
      <x:c r="O97" s="11" t="n">
        <x:v>0</x:v>
      </x:c>
      <x:c r="P97" s="11" t="n">
        <x:v>736</x:v>
      </x:c>
      <x:c r="Q97" s="11" t="n">
        <x:v>3570</x:v>
      </x:c>
      <x:c r="R97" s="11" t="n">
        <x:v>788</x:v>
      </x:c>
      <x:c r="S97" s="11" t="n">
        <x:v>123</x:v>
      </x:c>
      <x:c r="T97" s="11" t="n">
        <x:v>3</x:v>
      </x:c>
      <x:c r="U97" s="11" t="n">
        <x:v>27</x:v>
      </x:c>
      <x:c r="V97" s="11" t="n">
        <x:v>61</x:v>
      </x:c>
      <x:c r="W97" s="11" t="n">
        <x:v>143</x:v>
      </x:c>
      <x:c r="X97" s="11" t="n">
        <x:v>0</x:v>
      </x:c>
      <x:c r="Y97" s="11" t="n">
        <x:v>0</x:v>
      </x:c>
      <x:c r="Z97" s="11" t="n">
        <x:v>1167367</x:v>
      </x:c>
      <x:c r="AA97" s="11" t="n">
        <x:v>4558022</x:v>
      </x:c>
      <x:c r="AB97" s="11" t="n">
        <x:v>2403997</x:v>
      </x:c>
      <x:c r="AC97" s="11" t="n">
        <x:v>336934</x:v>
      </x:c>
      <x:c r="AD97" s="11" t="n">
        <x:v>3756</x:v>
      </x:c>
      <x:c r="AE97" s="11" t="n">
        <x:v>71173</x:v>
      </x:c>
      <x:c r="AF97" s="11" t="n">
        <x:v>1125634</x:v>
      </x:c>
      <x:c r="AG97" s="11" t="n">
        <x:v>886731</x:v>
      </x:c>
      <x:c r="AH97" s="11" t="n">
        <x:v>0</x:v>
      </x:c>
    </x:row>
    <x:row r="98" ht="23" customHeight="1">
      <x:c r="A98" s="10" t="str">
        <x:v>M5</x:v>
      </x:c>
      <x:c r="B98" s="10" t="str">
        <x:v>N_H0</x:v>
      </x:c>
      <x:c r="C98" s="9" t="str">
        <x:v>主对照</x:v>
      </x:c>
      <x:c r="D98" s="11" t="n">
        <x:v>1747</x:v>
      </x:c>
      <x:c r="E98" s="11" t="n">
        <x:v>1133</x:v>
      </x:c>
      <x:c r="F98" s="11" t="n">
        <x:v>1343</x:v>
      </x:c>
      <x:c r="G98" s="11" t="n">
        <x:v>0</x:v>
      </x:c>
      <x:c r="H98" s="11" t="n">
        <x:v>1133</x:v>
      </x:c>
      <x:c r="I98" s="11" t="n">
        <x:v>11760345</x:v>
      </x:c>
      <x:c r="J98" s="11" t="n">
        <x:v>2898068.8199999994</x:v>
      </x:c>
      <x:c r="K98" s="12" t="n">
        <x:f>E98/D98</x:f>
        <x:v>0.6485403548941042</x:v>
      </x:c>
      <x:c r="L98" s="12" t="n">
        <x:f>F98/D98</x:f>
        <x:v>0.7687464224384659</x:v>
      </x:c>
      <x:c r="M98" s="12" t="n">
        <x:f>G98/D98</x:f>
        <x:v>0</x:v>
      </x:c>
      <x:c r="N98" s="12" t="n">
        <x:f>J98/I98</x:f>
        <x:v>0.24642719410017302</x:v>
      </x:c>
      <x:c r="O98" s="11" t="n">
        <x:v>0</x:v>
      </x:c>
      <x:c r="P98" s="11" t="n">
        <x:v>185</x:v>
      </x:c>
      <x:c r="Q98" s="11" t="n">
        <x:v>56</x:v>
      </x:c>
      <x:c r="R98" s="11" t="n">
        <x:v>0</x:v>
      </x:c>
      <x:c r="S98" s="11" t="n">
        <x:v>1343</x:v>
      </x:c>
      <x:c r="T98" s="11" t="n">
        <x:v>0</x:v>
      </x:c>
      <x:c r="U98" s="11" t="n">
        <x:v>55</x:v>
      </x:c>
      <x:c r="V98" s="11" t="n">
        <x:v>33</x:v>
      </x:c>
      <x:c r="W98" s="11" t="n">
        <x:v>75</x:v>
      </x:c>
      <x:c r="X98" s="11" t="n">
        <x:v>0</x:v>
      </x:c>
      <x:c r="Y98" s="11" t="n">
        <x:v>0</x:v>
      </x:c>
      <x:c r="Z98" s="11" t="n">
        <x:v>463012</x:v>
      </x:c>
      <x:c r="AA98" s="11" t="n">
        <x:v>115308</x:v>
      </x:c>
      <x:c r="AB98" s="11" t="n">
        <x:v>0</x:v>
      </x:c>
      <x:c r="AC98" s="11" t="n">
        <x:v>8612567</x:v>
      </x:c>
      <x:c r="AD98" s="11" t="n">
        <x:v>0</x:v>
      </x:c>
      <x:c r="AE98" s="11" t="n">
        <x:v>369870</x:v>
      </x:c>
      <x:c r="AF98" s="11" t="n">
        <x:v>793838</x:v>
      </x:c>
      <x:c r="AG98" s="11" t="n">
        <x:v>1405750</x:v>
      </x:c>
      <x:c r="AH98" s="11" t="n">
        <x:v>0</x:v>
      </x:c>
    </x:row>
    <x:row r="99" ht="23" customHeight="1">
      <x:c r="A99" s="10" t="str">
        <x:v>M5</x:v>
      </x:c>
      <x:c r="B99" s="10" t="str">
        <x:v>N_HT</x:v>
      </x:c>
      <x:c r="C99" s="9" t="str">
        <x:v>仅拓扑与尺度</x:v>
      </x:c>
      <x:c r="D99" s="11" t="n">
        <x:v>1747</x:v>
      </x:c>
      <x:c r="E99" s="11" t="n">
        <x:v>1133</x:v>
      </x:c>
      <x:c r="F99" s="11" t="n">
        <x:v>1343</x:v>
      </x:c>
      <x:c r="G99" s="11" t="n">
        <x:v>0</x:v>
      </x:c>
      <x:c r="H99" s="11" t="n">
        <x:v>1133</x:v>
      </x:c>
      <x:c r="I99" s="11" t="n">
        <x:v>11760345</x:v>
      </x:c>
      <x:c r="J99" s="11" t="n">
        <x:v>2898068.8199999994</x:v>
      </x:c>
      <x:c r="K99" s="12" t="n">
        <x:f>E99/D99</x:f>
        <x:v>0.6485403548941042</x:v>
      </x:c>
      <x:c r="L99" s="12" t="n">
        <x:f>F99/D99</x:f>
        <x:v>0.7687464224384659</x:v>
      </x:c>
      <x:c r="M99" s="12" t="n">
        <x:f>G99/D99</x:f>
        <x:v>0</x:v>
      </x:c>
      <x:c r="N99" s="12" t="n">
        <x:f>J99/I99</x:f>
        <x:v>0.24642719410017302</x:v>
      </x:c>
      <x:c r="O99" s="11" t="n">
        <x:v>0</x:v>
      </x:c>
      <x:c r="P99" s="11" t="n">
        <x:v>185</x:v>
      </x:c>
      <x:c r="Q99" s="11" t="n">
        <x:v>56</x:v>
      </x:c>
      <x:c r="R99" s="11" t="n">
        <x:v>0</x:v>
      </x:c>
      <x:c r="S99" s="11" t="n">
        <x:v>1343</x:v>
      </x:c>
      <x:c r="T99" s="11" t="n">
        <x:v>0</x:v>
      </x:c>
      <x:c r="U99" s="11" t="n">
        <x:v>55</x:v>
      </x:c>
      <x:c r="V99" s="11" t="n">
        <x:v>33</x:v>
      </x:c>
      <x:c r="W99" s="11" t="n">
        <x:v>75</x:v>
      </x:c>
      <x:c r="X99" s="11" t="n">
        <x:v>0</x:v>
      </x:c>
      <x:c r="Y99" s="11" t="n">
        <x:v>0</x:v>
      </x:c>
      <x:c r="Z99" s="11" t="n">
        <x:v>463012</x:v>
      </x:c>
      <x:c r="AA99" s="11" t="n">
        <x:v>115308</x:v>
      </x:c>
      <x:c r="AB99" s="11" t="n">
        <x:v>0</x:v>
      </x:c>
      <x:c r="AC99" s="11" t="n">
        <x:v>8612567</x:v>
      </x:c>
      <x:c r="AD99" s="11" t="n">
        <x:v>0</x:v>
      </x:c>
      <x:c r="AE99" s="11" t="n">
        <x:v>369870</x:v>
      </x:c>
      <x:c r="AF99" s="11" t="n">
        <x:v>793838</x:v>
      </x:c>
      <x:c r="AG99" s="11" t="n">
        <x:v>1405750</x:v>
      </x:c>
      <x:c r="AH99" s="11" t="n">
        <x:v>0</x:v>
      </x:c>
    </x:row>
    <x:row r="100" ht="23" customHeight="1">
      <x:c r="A100" s="10" t="str">
        <x:v>M5</x:v>
      </x:c>
      <x:c r="B100" s="10" t="str">
        <x:v>N_H1</x:v>
      </x:c>
      <x:c r="C100" s="9" t="str">
        <x:v>主对照</x:v>
      </x:c>
      <x:c r="D100" s="11" t="n">
        <x:v>1747</x:v>
      </x:c>
      <x:c r="E100" s="11" t="n">
        <x:v>1133</x:v>
      </x:c>
      <x:c r="F100" s="11" t="n">
        <x:v>1343</x:v>
      </x:c>
      <x:c r="G100" s="11" t="n">
        <x:v>0</x:v>
      </x:c>
      <x:c r="H100" s="11" t="n">
        <x:v>1248</x:v>
      </x:c>
      <x:c r="I100" s="11" t="n">
        <x:v>11760345</x:v>
      </x:c>
      <x:c r="J100" s="11" t="n">
        <x:v>2910906.2600000007</x:v>
      </x:c>
      <x:c r="K100" s="12" t="n">
        <x:f>E100/D100</x:f>
        <x:v>0.6485403548941042</x:v>
      </x:c>
      <x:c r="L100" s="12" t="n">
        <x:f>F100/D100</x:f>
        <x:v>0.7687464224384659</x:v>
      </x:c>
      <x:c r="M100" s="12" t="n">
        <x:f>G100/D100</x:f>
        <x:v>0</x:v>
      </x:c>
      <x:c r="N100" s="12" t="n">
        <x:f>J100/I100</x:f>
        <x:v>0.24751878112419326</x:v>
      </x:c>
      <x:c r="O100" s="11" t="n">
        <x:v>0</x:v>
      </x:c>
      <x:c r="P100" s="11" t="n">
        <x:v>185</x:v>
      </x:c>
      <x:c r="Q100" s="11" t="n">
        <x:v>22</x:v>
      </x:c>
      <x:c r="R100" s="11" t="n">
        <x:v>0</x:v>
      </x:c>
      <x:c r="S100" s="11" t="n">
        <x:v>1343</x:v>
      </x:c>
      <x:c r="T100" s="11" t="n">
        <x:v>34</x:v>
      </x:c>
      <x:c r="U100" s="11" t="n">
        <x:v>55</x:v>
      </x:c>
      <x:c r="V100" s="11" t="n">
        <x:v>33</x:v>
      </x:c>
      <x:c r="W100" s="11" t="n">
        <x:v>75</x:v>
      </x:c>
      <x:c r="X100" s="11" t="n">
        <x:v>0</x:v>
      </x:c>
      <x:c r="Y100" s="11" t="n">
        <x:v>0</x:v>
      </x:c>
      <x:c r="Z100" s="11" t="n">
        <x:v>463012</x:v>
      </x:c>
      <x:c r="AA100" s="11" t="n">
        <x:v>23612</x:v>
      </x:c>
      <x:c r="AB100" s="11" t="n">
        <x:v>0</x:v>
      </x:c>
      <x:c r="AC100" s="11" t="n">
        <x:v>8612567</x:v>
      </x:c>
      <x:c r="AD100" s="11" t="n">
        <x:v>91696</x:v>
      </x:c>
      <x:c r="AE100" s="11" t="n">
        <x:v>369870</x:v>
      </x:c>
      <x:c r="AF100" s="11" t="n">
        <x:v>793838</x:v>
      </x:c>
      <x:c r="AG100" s="11" t="n">
        <x:v>1405750</x:v>
      </x:c>
      <x:c r="AH100" s="11" t="n">
        <x:v>0</x:v>
      </x:c>
    </x:row>
    <x:row r="101" ht="23" customHeight="1">
      <x:c r="A101" s="10" t="str">
        <x:v>M5</x:v>
      </x:c>
      <x:c r="B101" s="10" t="str">
        <x:v>C_H0</x:v>
      </x:c>
      <x:c r="C101" s="9" t="str">
        <x:v>主对照</x:v>
      </x:c>
      <x:c r="D101" s="11" t="n">
        <x:v>1747</x:v>
      </x:c>
      <x:c r="E101" s="11" t="n">
        <x:v>1252</x:v>
      </x:c>
      <x:c r="F101" s="11" t="n">
        <x:v>1252</x:v>
      </x:c>
      <x:c r="G101" s="11" t="n">
        <x:v>0</x:v>
      </x:c>
      <x:c r="H101" s="11" t="n">
        <x:v>1135</x:v>
      </x:c>
      <x:c r="I101" s="11" t="n">
        <x:v>11760345</x:v>
      </x:c>
      <x:c r="J101" s="11" t="n">
        <x:v>2436770.2199999923</x:v>
      </x:c>
      <x:c r="K101" s="12" t="n">
        <x:f>E101/D101</x:f>
        <x:v>0.7166571265025758</x:v>
      </x:c>
      <x:c r="L101" s="12" t="n">
        <x:f>F101/D101</x:f>
        <x:v>0.7166571265025758</x:v>
      </x:c>
      <x:c r="M101" s="12" t="n">
        <x:f>G101/D101</x:f>
        <x:v>0</x:v>
      </x:c>
      <x:c r="N101" s="12" t="n">
        <x:f>J101/I101</x:f>
        <x:v>0.2072022734026929</x:v>
      </x:c>
      <x:c r="O101" s="11" t="n">
        <x:v>0</x:v>
      </x:c>
      <x:c r="P101" s="11" t="n">
        <x:v>495</x:v>
      </x:c>
      <x:c r="Q101" s="11" t="n">
        <x:v>0</x:v>
      </x:c>
      <x:c r="R101" s="11" t="n">
        <x:v>0</x:v>
      </x:c>
      <x:c r="S101" s="11" t="n">
        <x:v>1252</x:v>
      </x:c>
      <x:c r="T101" s="11" t="n">
        <x:v>0</x:v>
      </x:c>
      <x:c r="U101" s="11" t="n">
        <x:v>0</x:v>
      </x:c>
      <x:c r="V101" s="11" t="n">
        <x:v>0</x:v>
      </x:c>
      <x:c r="W101" s="11" t="n">
        <x:v>0</x:v>
      </x:c>
      <x:c r="X101" s="11" t="n">
        <x:v>0</x:v>
      </x:c>
      <x:c r="Y101" s="11" t="n">
        <x:v>0</x:v>
      </x:c>
      <x:c r="Z101" s="11" t="n">
        <x:v>1254214</x:v>
      </x:c>
      <x:c r="AA101" s="11" t="n">
        <x:v>0</x:v>
      </x:c>
      <x:c r="AB101" s="11" t="n">
        <x:v>0</x:v>
      </x:c>
      <x:c r="AC101" s="11" t="n">
        <x:v>10506131</x:v>
      </x:c>
      <x:c r="AD101" s="11" t="n">
        <x:v>0</x:v>
      </x:c>
      <x:c r="AE101" s="11" t="n">
        <x:v>0</x:v>
      </x:c>
      <x:c r="AF101" s="11" t="n">
        <x:v>0</x:v>
      </x:c>
      <x:c r="AG101" s="11" t="n">
        <x:v>0</x:v>
      </x:c>
      <x:c r="AH101" s="11" t="n">
        <x:v>0</x:v>
      </x:c>
    </x:row>
    <x:row r="102" ht="23" customHeight="1">
      <x:c r="A102" s="10" t="str">
        <x:v>M5</x:v>
      </x:c>
      <x:c r="B102" s="10" t="str">
        <x:v>C_HT</x:v>
      </x:c>
      <x:c r="C102" s="9" t="str">
        <x:v>仅拓扑与尺度</x:v>
      </x:c>
      <x:c r="D102" s="11" t="n">
        <x:v>1747</x:v>
      </x:c>
      <x:c r="E102" s="11" t="n">
        <x:v>1252</x:v>
      </x:c>
      <x:c r="F102" s="11" t="n">
        <x:v>1252</x:v>
      </x:c>
      <x:c r="G102" s="11" t="n">
        <x:v>0</x:v>
      </x:c>
      <x:c r="H102" s="11" t="n">
        <x:v>1135</x:v>
      </x:c>
      <x:c r="I102" s="11" t="n">
        <x:v>11760345</x:v>
      </x:c>
      <x:c r="J102" s="11" t="n">
        <x:v>2436770.2199999923</x:v>
      </x:c>
      <x:c r="K102" s="12" t="n">
        <x:f>E102/D102</x:f>
        <x:v>0.7166571265025758</x:v>
      </x:c>
      <x:c r="L102" s="12" t="n">
        <x:f>F102/D102</x:f>
        <x:v>0.7166571265025758</x:v>
      </x:c>
      <x:c r="M102" s="12" t="n">
        <x:f>G102/D102</x:f>
        <x:v>0</x:v>
      </x:c>
      <x:c r="N102" s="12" t="n">
        <x:f>J102/I102</x:f>
        <x:v>0.2072022734026929</x:v>
      </x:c>
      <x:c r="O102" s="11" t="n">
        <x:v>0</x:v>
      </x:c>
      <x:c r="P102" s="11" t="n">
        <x:v>495</x:v>
      </x:c>
      <x:c r="Q102" s="11" t="n">
        <x:v>0</x:v>
      </x:c>
      <x:c r="R102" s="11" t="n">
        <x:v>0</x:v>
      </x:c>
      <x:c r="S102" s="11" t="n">
        <x:v>1252</x:v>
      </x:c>
      <x:c r="T102" s="11" t="n">
        <x:v>0</x:v>
      </x:c>
      <x:c r="U102" s="11" t="n">
        <x:v>0</x:v>
      </x:c>
      <x:c r="V102" s="11" t="n">
        <x:v>0</x:v>
      </x:c>
      <x:c r="W102" s="11" t="n">
        <x:v>0</x:v>
      </x:c>
      <x:c r="X102" s="11" t="n">
        <x:v>0</x:v>
      </x:c>
      <x:c r="Y102" s="11" t="n">
        <x:v>0</x:v>
      </x:c>
      <x:c r="Z102" s="11" t="n">
        <x:v>1254214</x:v>
      </x:c>
      <x:c r="AA102" s="11" t="n">
        <x:v>0</x:v>
      </x:c>
      <x:c r="AB102" s="11" t="n">
        <x:v>0</x:v>
      </x:c>
      <x:c r="AC102" s="11" t="n">
        <x:v>10506131</x:v>
      </x:c>
      <x:c r="AD102" s="11" t="n">
        <x:v>0</x:v>
      </x:c>
      <x:c r="AE102" s="11" t="n">
        <x:v>0</x:v>
      </x:c>
      <x:c r="AF102" s="11" t="n">
        <x:v>0</x:v>
      </x:c>
      <x:c r="AG102" s="11" t="n">
        <x:v>0</x:v>
      </x:c>
      <x:c r="AH102" s="11" t="n">
        <x:v>0</x:v>
      </x:c>
    </x:row>
    <x:row r="103" ht="23" customHeight="1">
      <x:c r="A103" s="10" t="str">
        <x:v>M5</x:v>
      </x:c>
      <x:c r="B103" s="10" t="str">
        <x:v>C_H1</x:v>
      </x:c>
      <x:c r="C103" s="9" t="str">
        <x:v>主对照</x:v>
      </x:c>
      <x:c r="D103" s="11" t="n">
        <x:v>1747</x:v>
      </x:c>
      <x:c r="E103" s="11" t="n">
        <x:v>1252</x:v>
      </x:c>
      <x:c r="F103" s="11" t="n">
        <x:v>1252</x:v>
      </x:c>
      <x:c r="G103" s="11" t="n">
        <x:v>0</x:v>
      </x:c>
      <x:c r="H103" s="11" t="n">
        <x:v>1139</x:v>
      </x:c>
      <x:c r="I103" s="11" t="n">
        <x:v>11760345</x:v>
      </x:c>
      <x:c r="J103" s="11" t="n">
        <x:v>2437839.8199999924</x:v>
      </x:c>
      <x:c r="K103" s="12" t="n">
        <x:f>E103/D103</x:f>
        <x:v>0.7166571265025758</x:v>
      </x:c>
      <x:c r="L103" s="12" t="n">
        <x:f>F103/D103</x:f>
        <x:v>0.7166571265025758</x:v>
      </x:c>
      <x:c r="M103" s="12" t="n">
        <x:f>G103/D103</x:f>
        <x:v>0</x:v>
      </x:c>
      <x:c r="N103" s="12" t="n">
        <x:f>J103/I103</x:f>
        <x:v>0.20729322311547768</x:v>
      </x:c>
      <x:c r="O103" s="11" t="n">
        <x:v>0</x:v>
      </x:c>
      <x:c r="P103" s="11" t="n">
        <x:v>491</x:v>
      </x:c>
      <x:c r="Q103" s="11" t="n">
        <x:v>0</x:v>
      </x:c>
      <x:c r="R103" s="11" t="n">
        <x:v>0</x:v>
      </x:c>
      <x:c r="S103" s="11" t="n">
        <x:v>1252</x:v>
      </x:c>
      <x:c r="T103" s="11" t="n">
        <x:v>0</x:v>
      </x:c>
      <x:c r="U103" s="11" t="n">
        <x:v>4</x:v>
      </x:c>
      <x:c r="V103" s="11" t="n">
        <x:v>0</x:v>
      </x:c>
      <x:c r="W103" s="11" t="n">
        <x:v>0</x:v>
      </x:c>
      <x:c r="X103" s="11" t="n">
        <x:v>0</x:v>
      </x:c>
      <x:c r="Y103" s="11" t="n">
        <x:v>0</x:v>
      </x:c>
      <x:c r="Z103" s="11" t="n">
        <x:v>1248866</x:v>
      </x:c>
      <x:c r="AA103" s="11" t="n">
        <x:v>0</x:v>
      </x:c>
      <x:c r="AB103" s="11" t="n">
        <x:v>0</x:v>
      </x:c>
      <x:c r="AC103" s="11" t="n">
        <x:v>10506131</x:v>
      </x:c>
      <x:c r="AD103" s="11" t="n">
        <x:v>0</x:v>
      </x:c>
      <x:c r="AE103" s="11" t="n">
        <x:v>5348</x:v>
      </x:c>
      <x:c r="AF103" s="11" t="n">
        <x:v>0</x:v>
      </x:c>
      <x:c r="AG103" s="11" t="n">
        <x:v>0</x:v>
      </x:c>
      <x:c r="AH103" s="11" t="n">
        <x:v>0</x:v>
      </x:c>
    </x:row>
    <x:row r="104" ht="23" customHeight="1">
      <x:c r="A104" s="10" t="str">
        <x:v>M5</x:v>
      </x:c>
      <x:c r="B104" s="10" t="str">
        <x:v>G_H0</x:v>
      </x:c>
      <x:c r="C104" s="9" t="str">
        <x:v>主对照</x:v>
      </x:c>
      <x:c r="D104" s="11" t="n">
        <x:v>1747</x:v>
      </x:c>
      <x:c r="E104" s="11" t="n">
        <x:v>1747</x:v>
      </x:c>
      <x:c r="F104" s="11" t="n">
        <x:v>1747</x:v>
      </x:c>
      <x:c r="G104" s="11" t="n">
        <x:v>0</x:v>
      </x:c>
      <x:c r="H104" s="11" t="n">
        <x:v>1747</x:v>
      </x:c>
      <x:c r="I104" s="11" t="n">
        <x:v>11760345</x:v>
      </x:c>
      <x:c r="J104" s="11" t="n">
        <x:v>2230997.724756081</x:v>
      </x:c>
      <x:c r="K104" s="12" t="n">
        <x:f>E104/D104</x:f>
        <x:v>1</x:v>
      </x:c>
      <x:c r="L104" s="12" t="n">
        <x:f>F104/D104</x:f>
        <x:v>1</x:v>
      </x:c>
      <x:c r="M104" s="12" t="n">
        <x:f>G104/D104</x:f>
        <x:v>0</x:v>
      </x:c>
      <x:c r="N104" s="12" t="n">
        <x:f>J104/I104</x:f>
        <x:v>0.18970512555168076</x:v>
      </x:c>
      <x:c r="O104" s="11" t="n">
        <x:v>0</x:v>
      </x:c>
      <x:c r="P104" s="11" t="n">
        <x:v>232</x:v>
      </x:c>
      <x:c r="Q104" s="11" t="n">
        <x:v>969</x:v>
      </x:c>
      <x:c r="R104" s="11" t="n">
        <x:v>363</x:v>
      </x:c>
      <x:c r="S104" s="11" t="n">
        <x:v>177</x:v>
      </x:c>
      <x:c r="T104" s="11" t="n">
        <x:v>6</x:v>
      </x:c>
      <x:c r="U104" s="11" t="n">
        <x:v>0</x:v>
      </x:c>
      <x:c r="V104" s="11" t="n">
        <x:v>0</x:v>
      </x:c>
      <x:c r="W104" s="11" t="n">
        <x:v>0</x:v>
      </x:c>
      <x:c r="X104" s="11" t="n">
        <x:v>0</x:v>
      </x:c>
      <x:c r="Y104" s="11" t="n">
        <x:v>0</x:v>
      </x:c>
      <x:c r="Z104" s="11" t="n">
        <x:v>485856</x:v>
      </x:c>
      <x:c r="AA104" s="11" t="n">
        <x:v>4479344</x:v>
      </x:c>
      <x:c r="AB104" s="11" t="n">
        <x:v>2457284</x:v>
      </x:c>
      <x:c r="AC104" s="11" t="n">
        <x:v>4329085</x:v>
      </x:c>
      <x:c r="AD104" s="11" t="n">
        <x:v>8776</x:v>
      </x:c>
      <x:c r="AE104" s="11" t="n">
        <x:v>0</x:v>
      </x:c>
      <x:c r="AF104" s="11" t="n">
        <x:v>0</x:v>
      </x:c>
      <x:c r="AG104" s="11" t="n">
        <x:v>0</x:v>
      </x:c>
      <x:c r="AH104" s="11" t="n">
        <x:v>0</x:v>
      </x:c>
    </x:row>
    <x:row r="105" ht="23" customHeight="1">
      <x:c r="A105" s="10" t="str">
        <x:v>M5</x:v>
      </x:c>
      <x:c r="B105" s="10" t="str">
        <x:v>G_HT</x:v>
      </x:c>
      <x:c r="C105" s="9" t="str">
        <x:v>仅拓扑与尺度</x:v>
      </x:c>
      <x:c r="D105" s="11" t="n">
        <x:v>1747</x:v>
      </x:c>
      <x:c r="E105" s="11" t="n">
        <x:v>1747</x:v>
      </x:c>
      <x:c r="F105" s="11" t="n">
        <x:v>1747</x:v>
      </x:c>
      <x:c r="G105" s="11" t="n">
        <x:v>0</x:v>
      </x:c>
      <x:c r="H105" s="11" t="n">
        <x:v>1747</x:v>
      </x:c>
      <x:c r="I105" s="11" t="n">
        <x:v>11760345</x:v>
      </x:c>
      <x:c r="J105" s="11" t="n">
        <x:v>2245773.084756081</x:v>
      </x:c>
      <x:c r="K105" s="12" t="n">
        <x:f>E105/D105</x:f>
        <x:v>1</x:v>
      </x:c>
      <x:c r="L105" s="12" t="n">
        <x:f>F105/D105</x:f>
        <x:v>1</x:v>
      </x:c>
      <x:c r="M105" s="12" t="n">
        <x:f>G105/D105</x:f>
        <x:v>0</x:v>
      </x:c>
      <x:c r="N105" s="12" t="n">
        <x:f>J105/I105</x:f>
        <x:v>0.1909614968571144</x:v>
      </x:c>
      <x:c r="O105" s="11" t="n">
        <x:v>0</x:v>
      </x:c>
      <x:c r="P105" s="11" t="n">
        <x:v>197</x:v>
      </x:c>
      <x:c r="Q105" s="11" t="n">
        <x:v>931</x:v>
      </x:c>
      <x:c r="R105" s="11" t="n">
        <x:v>426</x:v>
      </x:c>
      <x:c r="S105" s="11" t="n">
        <x:v>187</x:v>
      </x:c>
      <x:c r="T105" s="11" t="n">
        <x:v>6</x:v>
      </x:c>
      <x:c r="U105" s="11" t="n">
        <x:v>0</x:v>
      </x:c>
      <x:c r="V105" s="11" t="n">
        <x:v>0</x:v>
      </x:c>
      <x:c r="W105" s="11" t="n">
        <x:v>0</x:v>
      </x:c>
      <x:c r="X105" s="11" t="n">
        <x:v>0</x:v>
      </x:c>
      <x:c r="Y105" s="11" t="n">
        <x:v>0</x:v>
      </x:c>
      <x:c r="Z105" s="11" t="n">
        <x:v>252730</x:v>
      </x:c>
      <x:c r="AA105" s="11" t="n">
        <x:v>4541684</x:v>
      </x:c>
      <x:c r="AB105" s="11" t="n">
        <x:v>2573380</x:v>
      </x:c>
      <x:c r="AC105" s="11" t="n">
        <x:v>4383775</x:v>
      </x:c>
      <x:c r="AD105" s="11" t="n">
        <x:v>8776</x:v>
      </x:c>
      <x:c r="AE105" s="11" t="n">
        <x:v>0</x:v>
      </x:c>
      <x:c r="AF105" s="11" t="n">
        <x:v>0</x:v>
      </x:c>
      <x:c r="AG105" s="11" t="n">
        <x:v>0</x:v>
      </x:c>
      <x:c r="AH105" s="11" t="n">
        <x:v>0</x:v>
      </x:c>
    </x:row>
    <x:row r="106" ht="23" customHeight="1">
      <x:c r="A106" s="10" t="str">
        <x:v>M5</x:v>
      </x:c>
      <x:c r="B106" s="10" t="str">
        <x:v>G_H1</x:v>
      </x:c>
      <x:c r="C106" s="9" t="str">
        <x:v>主对照</x:v>
      </x:c>
      <x:c r="D106" s="11" t="n">
        <x:v>1747</x:v>
      </x:c>
      <x:c r="E106" s="11" t="n">
        <x:v>1747</x:v>
      </x:c>
      <x:c r="F106" s="11" t="n">
        <x:v>1747</x:v>
      </x:c>
      <x:c r="G106" s="11" t="n">
        <x:v>0</x:v>
      </x:c>
      <x:c r="H106" s="11" t="n">
        <x:v>1747</x:v>
      </x:c>
      <x:c r="I106" s="11" t="n">
        <x:v>11760345</x:v>
      </x:c>
      <x:c r="J106" s="11" t="n">
        <x:v>2245773.084756081</x:v>
      </x:c>
      <x:c r="K106" s="12" t="n">
        <x:f>E106/D106</x:f>
        <x:v>1</x:v>
      </x:c>
      <x:c r="L106" s="12" t="n">
        <x:f>F106/D106</x:f>
        <x:v>1</x:v>
      </x:c>
      <x:c r="M106" s="12" t="n">
        <x:f>G106/D106</x:f>
        <x:v>0</x:v>
      </x:c>
      <x:c r="N106" s="12" t="n">
        <x:f>J106/I106</x:f>
        <x:v>0.1909614968571144</x:v>
      </x:c>
      <x:c r="O106" s="11" t="n">
        <x:v>0</x:v>
      </x:c>
      <x:c r="P106" s="11" t="n">
        <x:v>197</x:v>
      </x:c>
      <x:c r="Q106" s="11" t="n">
        <x:v>931</x:v>
      </x:c>
      <x:c r="R106" s="11" t="n">
        <x:v>426</x:v>
      </x:c>
      <x:c r="S106" s="11" t="n">
        <x:v>187</x:v>
      </x:c>
      <x:c r="T106" s="11" t="n">
        <x:v>6</x:v>
      </x:c>
      <x:c r="U106" s="11" t="n">
        <x:v>0</x:v>
      </x:c>
      <x:c r="V106" s="11" t="n">
        <x:v>0</x:v>
      </x:c>
      <x:c r="W106" s="11" t="n">
        <x:v>0</x:v>
      </x:c>
      <x:c r="X106" s="11" t="n">
        <x:v>0</x:v>
      </x:c>
      <x:c r="Y106" s="11" t="n">
        <x:v>0</x:v>
      </x:c>
      <x:c r="Z106" s="11" t="n">
        <x:v>252730</x:v>
      </x:c>
      <x:c r="AA106" s="11" t="n">
        <x:v>4541684</x:v>
      </x:c>
      <x:c r="AB106" s="11" t="n">
        <x:v>2573380</x:v>
      </x:c>
      <x:c r="AC106" s="11" t="n">
        <x:v>4383775</x:v>
      </x:c>
      <x:c r="AD106" s="11" t="n">
        <x:v>8776</x:v>
      </x:c>
      <x:c r="AE106" s="11" t="n">
        <x:v>0</x:v>
      </x:c>
      <x:c r="AF106" s="11" t="n">
        <x:v>0</x:v>
      </x:c>
      <x:c r="AG106" s="11" t="n">
        <x:v>0</x:v>
      </x:c>
      <x:c r="AH106" s="11" t="n">
        <x:v>0</x:v>
      </x:c>
    </x:row>
    <x:row r="107" ht="23" customHeight="1">
      <x:c r="A107" s="10" t="str">
        <x:v>M5</x:v>
      </x:c>
      <x:c r="B107" s="10" t="str">
        <x:v>NC_H0</x:v>
      </x:c>
      <x:c r="C107" s="9" t="str">
        <x:v>主对照</x:v>
      </x:c>
      <x:c r="D107" s="11" t="n">
        <x:v>1747</x:v>
      </x:c>
      <x:c r="E107" s="11" t="n">
        <x:v>937</x:v>
      </x:c>
      <x:c r="F107" s="11" t="n">
        <x:v>1131</x:v>
      </x:c>
      <x:c r="G107" s="11" t="n">
        <x:v>265</x:v>
      </x:c>
      <x:c r="H107" s="11" t="n">
        <x:v>1001</x:v>
      </x:c>
      <x:c r="I107" s="11" t="n">
        <x:v>11760345</x:v>
      </x:c>
      <x:c r="J107" s="11" t="n">
        <x:v>2722901.7399999956</x:v>
      </x:c>
      <x:c r="K107" s="12" t="n">
        <x:f>E107/D107</x:f>
        <x:v>0.5363480251860332</x:v>
      </x:c>
      <x:c r="L107" s="12" t="n">
        <x:f>F107/D107</x:f>
        <x:v>0.6473955352032055</x:v>
      </x:c>
      <x:c r="M107" s="12" t="n">
        <x:f>G107/D107</x:f>
        <x:v>0.15168860904407555</x:v>
      </x:c>
      <x:c r="N107" s="12" t="n">
        <x:f>J107/I107</x:f>
        <x:v>0.23153247119876122</x:v>
      </x:c>
      <x:c r="O107" s="11" t="n">
        <x:v>0</x:v>
      </x:c>
      <x:c r="P107" s="11" t="n">
        <x:v>440</x:v>
      </x:c>
      <x:c r="Q107" s="11" t="n">
        <x:v>54</x:v>
      </x:c>
      <x:c r="R107" s="11" t="n">
        <x:v>0</x:v>
      </x:c>
      <x:c r="S107" s="11" t="n">
        <x:v>1131</x:v>
      </x:c>
      <x:c r="T107" s="11" t="n">
        <x:v>0</x:v>
      </x:c>
      <x:c r="U107" s="11" t="n">
        <x:v>49</x:v>
      </x:c>
      <x:c r="V107" s="11" t="n">
        <x:v>33</x:v>
      </x:c>
      <x:c r="W107" s="11" t="n">
        <x:v>40</x:v>
      </x:c>
      <x:c r="X107" s="11" t="n">
        <x:v>0</x:v>
      </x:c>
      <x:c r="Y107" s="11" t="n">
        <x:v>0</x:v>
      </x:c>
      <x:c r="Z107" s="11" t="n">
        <x:v>1041218</x:v>
      </x:c>
      <x:c r="AA107" s="11" t="n">
        <x:v>72494</x:v>
      </x:c>
      <x:c r="AB107" s="11" t="n">
        <x:v>0</x:v>
      </x:c>
      <x:c r="AC107" s="11" t="n">
        <x:v>8692697</x:v>
      </x:c>
      <x:c r="AD107" s="11" t="n">
        <x:v>0</x:v>
      </x:c>
      <x:c r="AE107" s="11" t="n">
        <x:v>362568</x:v>
      </x:c>
      <x:c r="AF107" s="11" t="n">
        <x:v>793838</x:v>
      </x:c>
      <x:c r="AG107" s="11" t="n">
        <x:v>797530</x:v>
      </x:c>
      <x:c r="AH107" s="11" t="n">
        <x:v>0</x:v>
      </x:c>
    </x:row>
    <x:row r="108" ht="23" customHeight="1">
      <x:c r="A108" s="10" t="str">
        <x:v>M5</x:v>
      </x:c>
      <x:c r="B108" s="10" t="str">
        <x:v>NC_HT</x:v>
      </x:c>
      <x:c r="C108" s="9" t="str">
        <x:v>仅拓扑与尺度</x:v>
      </x:c>
      <x:c r="D108" s="11" t="n">
        <x:v>1747</x:v>
      </x:c>
      <x:c r="E108" s="11" t="n">
        <x:v>937</x:v>
      </x:c>
      <x:c r="F108" s="11" t="n">
        <x:v>1131</x:v>
      </x:c>
      <x:c r="G108" s="11" t="n">
        <x:v>265</x:v>
      </x:c>
      <x:c r="H108" s="11" t="n">
        <x:v>1001</x:v>
      </x:c>
      <x:c r="I108" s="11" t="n">
        <x:v>11760345</x:v>
      </x:c>
      <x:c r="J108" s="11" t="n">
        <x:v>2722901.7399999956</x:v>
      </x:c>
      <x:c r="K108" s="12" t="n">
        <x:f>E108/D108</x:f>
        <x:v>0.5363480251860332</x:v>
      </x:c>
      <x:c r="L108" s="12" t="n">
        <x:f>F108/D108</x:f>
        <x:v>0.6473955352032055</x:v>
      </x:c>
      <x:c r="M108" s="12" t="n">
        <x:f>G108/D108</x:f>
        <x:v>0.15168860904407555</x:v>
      </x:c>
      <x:c r="N108" s="12" t="n">
        <x:f>J108/I108</x:f>
        <x:v>0.23153247119876122</x:v>
      </x:c>
      <x:c r="O108" s="11" t="n">
        <x:v>0</x:v>
      </x:c>
      <x:c r="P108" s="11" t="n">
        <x:v>440</x:v>
      </x:c>
      <x:c r="Q108" s="11" t="n">
        <x:v>54</x:v>
      </x:c>
      <x:c r="R108" s="11" t="n">
        <x:v>0</x:v>
      </x:c>
      <x:c r="S108" s="11" t="n">
        <x:v>1131</x:v>
      </x:c>
      <x:c r="T108" s="11" t="n">
        <x:v>0</x:v>
      </x:c>
      <x:c r="U108" s="11" t="n">
        <x:v>49</x:v>
      </x:c>
      <x:c r="V108" s="11" t="n">
        <x:v>33</x:v>
      </x:c>
      <x:c r="W108" s="11" t="n">
        <x:v>40</x:v>
      </x:c>
      <x:c r="X108" s="11" t="n">
        <x:v>0</x:v>
      </x:c>
      <x:c r="Y108" s="11" t="n">
        <x:v>0</x:v>
      </x:c>
      <x:c r="Z108" s="11" t="n">
        <x:v>1041218</x:v>
      </x:c>
      <x:c r="AA108" s="11" t="n">
        <x:v>72494</x:v>
      </x:c>
      <x:c r="AB108" s="11" t="n">
        <x:v>0</x:v>
      </x:c>
      <x:c r="AC108" s="11" t="n">
        <x:v>8692697</x:v>
      </x:c>
      <x:c r="AD108" s="11" t="n">
        <x:v>0</x:v>
      </x:c>
      <x:c r="AE108" s="11" t="n">
        <x:v>362568</x:v>
      </x:c>
      <x:c r="AF108" s="11" t="n">
        <x:v>793838</x:v>
      </x:c>
      <x:c r="AG108" s="11" t="n">
        <x:v>797530</x:v>
      </x:c>
      <x:c r="AH108" s="11" t="n">
        <x:v>0</x:v>
      </x:c>
    </x:row>
    <x:row r="109" ht="23" customHeight="1">
      <x:c r="A109" s="10" t="str">
        <x:v>M5</x:v>
      </x:c>
      <x:c r="B109" s="10" t="str">
        <x:v>NC_H1</x:v>
      </x:c>
      <x:c r="C109" s="9" t="str">
        <x:v>主对照</x:v>
      </x:c>
      <x:c r="D109" s="11" t="n">
        <x:v>1747</x:v>
      </x:c>
      <x:c r="E109" s="11" t="n">
        <x:v>937</x:v>
      </x:c>
      <x:c r="F109" s="11" t="n">
        <x:v>1131</x:v>
      </x:c>
      <x:c r="G109" s="11" t="n">
        <x:v>265</x:v>
      </x:c>
      <x:c r="H109" s="11" t="n">
        <x:v>1088</x:v>
      </x:c>
      <x:c r="I109" s="11" t="n">
        <x:v>11760345</x:v>
      </x:c>
      <x:c r="J109" s="11" t="n">
        <x:v>2731521.259999996</x:v>
      </x:c>
      <x:c r="K109" s="12" t="n">
        <x:f>E109/D109</x:f>
        <x:v>0.5363480251860332</x:v>
      </x:c>
      <x:c r="L109" s="12" t="n">
        <x:f>F109/D109</x:f>
        <x:v>0.6473955352032055</x:v>
      </x:c>
      <x:c r="M109" s="12" t="n">
        <x:f>G109/D109</x:f>
        <x:v>0.15168860904407555</x:v>
      </x:c>
      <x:c r="N109" s="12" t="n">
        <x:f>J109/I109</x:f>
        <x:v>0.2322654020779149</x:v>
      </x:c>
      <x:c r="O109" s="11" t="n">
        <x:v>0</x:v>
      </x:c>
      <x:c r="P109" s="11" t="n">
        <x:v>434</x:v>
      </x:c>
      <x:c r="Q109" s="11" t="n">
        <x:v>21</x:v>
      </x:c>
      <x:c r="R109" s="11" t="n">
        <x:v>0</x:v>
      </x:c>
      <x:c r="S109" s="11" t="n">
        <x:v>1131</x:v>
      </x:c>
      <x:c r="T109" s="11" t="n">
        <x:v>33</x:v>
      </x:c>
      <x:c r="U109" s="11" t="n">
        <x:v>55</x:v>
      </x:c>
      <x:c r="V109" s="11" t="n">
        <x:v>33</x:v>
      </x:c>
      <x:c r="W109" s="11" t="n">
        <x:v>40</x:v>
      </x:c>
      <x:c r="X109" s="11" t="n">
        <x:v>0</x:v>
      </x:c>
      <x:c r="Y109" s="11" t="n">
        <x:v>0</x:v>
      </x:c>
      <x:c r="Z109" s="11" t="n">
        <x:v>1032958</x:v>
      </x:c>
      <x:c r="AA109" s="11" t="n">
        <x:v>22726</x:v>
      </x:c>
      <x:c r="AB109" s="11" t="n">
        <x:v>0</x:v>
      </x:c>
      <x:c r="AC109" s="11" t="n">
        <x:v>8692697</x:v>
      </x:c>
      <x:c r="AD109" s="11" t="n">
        <x:v>49768</x:v>
      </x:c>
      <x:c r="AE109" s="11" t="n">
        <x:v>370828</x:v>
      </x:c>
      <x:c r="AF109" s="11" t="n">
        <x:v>793838</x:v>
      </x:c>
      <x:c r="AG109" s="11" t="n">
        <x:v>797530</x:v>
      </x:c>
      <x:c r="AH109" s="11" t="n">
        <x:v>0</x:v>
      </x:c>
    </x:row>
    <x:row r="110" ht="23" customHeight="1">
      <x:c r="A110" s="10" t="str">
        <x:v>M5</x:v>
      </x:c>
      <x:c r="B110" s="10" t="str">
        <x:v>NG_H0</x:v>
      </x:c>
      <x:c r="C110" s="9" t="str">
        <x:v>主对照</x:v>
      </x:c>
      <x:c r="D110" s="11" t="n">
        <x:v>1747</x:v>
      </x:c>
      <x:c r="E110" s="11" t="n">
        <x:v>1133</x:v>
      </x:c>
      <x:c r="F110" s="11" t="n">
        <x:v>1343</x:v>
      </x:c>
      <x:c r="G110" s="11" t="n">
        <x:v>0</x:v>
      </x:c>
      <x:c r="H110" s="11" t="n">
        <x:v>1133</x:v>
      </x:c>
      <x:c r="I110" s="11" t="n">
        <x:v>11760345</x:v>
      </x:c>
      <x:c r="J110" s="11" t="n">
        <x:v>2797767.844756088</x:v>
      </x:c>
      <x:c r="K110" s="12" t="n">
        <x:f>E110/D110</x:f>
        <x:v>0.6485403548941042</x:v>
      </x:c>
      <x:c r="L110" s="12" t="n">
        <x:f>F110/D110</x:f>
        <x:v>0.7687464224384659</x:v>
      </x:c>
      <x:c r="M110" s="12" t="n">
        <x:f>G110/D110</x:f>
        <x:v>0</x:v>
      </x:c>
      <x:c r="N110" s="12" t="n">
        <x:f>J110/I110</x:f>
        <x:v>0.2378984498121516</x:v>
      </x:c>
      <x:c r="O110" s="11" t="n">
        <x:v>0</x:v>
      </x:c>
      <x:c r="P110" s="11" t="n">
        <x:v>291</x:v>
      </x:c>
      <x:c r="Q110" s="11" t="n">
        <x:v>772</x:v>
      </x:c>
      <x:c r="R110" s="11" t="n">
        <x:v>342</x:v>
      </x:c>
      <x:c r="S110" s="11" t="n">
        <x:v>173</x:v>
      </x:c>
      <x:c r="T110" s="11" t="n">
        <x:v>6</x:v>
      </x:c>
      <x:c r="U110" s="11" t="n">
        <x:v>55</x:v>
      </x:c>
      <x:c r="V110" s="11" t="n">
        <x:v>33</x:v>
      </x:c>
      <x:c r="W110" s="11" t="n">
        <x:v>73</x:v>
      </x:c>
      <x:c r="X110" s="11" t="n">
        <x:v>2</x:v>
      </x:c>
      <x:c r="Y110" s="11" t="n">
        <x:v>0</x:v>
      </x:c>
      <x:c r="Z110" s="11" t="n">
        <x:v>327532</x:v>
      </x:c>
      <x:c r="AA110" s="11" t="n">
        <x:v>3016256</x:v>
      </x:c>
      <x:c r="AB110" s="11" t="n">
        <x:v>2086060</x:v>
      </x:c>
      <x:c r="AC110" s="11" t="n">
        <x:v>3752263</x:v>
      </x:c>
      <x:c r="AD110" s="11" t="n">
        <x:v>8776</x:v>
      </x:c>
      <x:c r="AE110" s="11" t="n">
        <x:v>369870</x:v>
      </x:c>
      <x:c r="AF110" s="11" t="n">
        <x:v>793838</x:v>
      </x:c>
      <x:c r="AG110" s="11" t="n">
        <x:v>1389452</x:v>
      </x:c>
      <x:c r="AH110" s="11" t="n">
        <x:v>16298</x:v>
      </x:c>
    </x:row>
    <x:row r="111" ht="23" customHeight="1">
      <x:c r="A111" s="10" t="str">
        <x:v>M5</x:v>
      </x:c>
      <x:c r="B111" s="10" t="str">
        <x:v>NG_HT</x:v>
      </x:c>
      <x:c r="C111" s="9" t="str">
        <x:v>仅拓扑与尺度</x:v>
      </x:c>
      <x:c r="D111" s="11" t="n">
        <x:v>1747</x:v>
      </x:c>
      <x:c r="E111" s="11" t="n">
        <x:v>1133</x:v>
      </x:c>
      <x:c r="F111" s="11" t="n">
        <x:v>1343</x:v>
      </x:c>
      <x:c r="G111" s="11" t="n">
        <x:v>0</x:v>
      </x:c>
      <x:c r="H111" s="11" t="n">
        <x:v>1133</x:v>
      </x:c>
      <x:c r="I111" s="11" t="n">
        <x:v>11760345</x:v>
      </x:c>
      <x:c r="J111" s="11" t="n">
        <x:v>2807749.8447560878</x:v>
      </x:c>
      <x:c r="K111" s="12" t="n">
        <x:f>E111/D111</x:f>
        <x:v>0.6485403548941042</x:v>
      </x:c>
      <x:c r="L111" s="12" t="n">
        <x:f>F111/D111</x:f>
        <x:v>0.7687464224384659</x:v>
      </x:c>
      <x:c r="M111" s="12" t="n">
        <x:f>G111/D111</x:f>
        <x:v>0</x:v>
      </x:c>
      <x:c r="N111" s="12" t="n">
        <x:f>J111/I111</x:f>
        <x:v>0.2387472344353918</x:v>
      </x:c>
      <x:c r="O111" s="11" t="n">
        <x:v>0</x:v>
      </x:c>
      <x:c r="P111" s="11" t="n">
        <x:v>270</x:v>
      </x:c>
      <x:c r="Q111" s="11" t="n">
        <x:v>724</x:v>
      </x:c>
      <x:c r="R111" s="11" t="n">
        <x:v>401</x:v>
      </x:c>
      <x:c r="S111" s="11" t="n">
        <x:v>183</x:v>
      </x:c>
      <x:c r="T111" s="11" t="n">
        <x:v>6</x:v>
      </x:c>
      <x:c r="U111" s="11" t="n">
        <x:v>55</x:v>
      </x:c>
      <x:c r="V111" s="11" t="n">
        <x:v>33</x:v>
      </x:c>
      <x:c r="W111" s="11" t="n">
        <x:v>73</x:v>
      </x:c>
      <x:c r="X111" s="11" t="n">
        <x:v>2</x:v>
      </x:c>
      <x:c r="Y111" s="11" t="n">
        <x:v>0</x:v>
      </x:c>
      <x:c r="Z111" s="11" t="n">
        <x:v>311730</x:v>
      </x:c>
      <x:c r="AA111" s="11" t="n">
        <x:v>2872444</x:v>
      </x:c>
      <x:c r="AB111" s="11" t="n">
        <x:v>2190984</x:v>
      </x:c>
      <x:c r="AC111" s="11" t="n">
        <x:v>3806953</x:v>
      </x:c>
      <x:c r="AD111" s="11" t="n">
        <x:v>8776</x:v>
      </x:c>
      <x:c r="AE111" s="11" t="n">
        <x:v>369870</x:v>
      </x:c>
      <x:c r="AF111" s="11" t="n">
        <x:v>793838</x:v>
      </x:c>
      <x:c r="AG111" s="11" t="n">
        <x:v>1389452</x:v>
      </x:c>
      <x:c r="AH111" s="11" t="n">
        <x:v>16298</x:v>
      </x:c>
    </x:row>
    <x:row r="112" ht="23" customHeight="1">
      <x:c r="A112" s="10" t="str">
        <x:v>M5</x:v>
      </x:c>
      <x:c r="B112" s="10" t="str">
        <x:v>NG_H1</x:v>
      </x:c>
      <x:c r="C112" s="9" t="str">
        <x:v>主对照</x:v>
      </x:c>
      <x:c r="D112" s="11" t="n">
        <x:v>1747</x:v>
      </x:c>
      <x:c r="E112" s="11" t="n">
        <x:v>1133</x:v>
      </x:c>
      <x:c r="F112" s="11" t="n">
        <x:v>1343</x:v>
      </x:c>
      <x:c r="G112" s="11" t="n">
        <x:v>0</x:v>
      </x:c>
      <x:c r="H112" s="11" t="n">
        <x:v>1248</x:v>
      </x:c>
      <x:c r="I112" s="11" t="n">
        <x:v>11760345</x:v>
      </x:c>
      <x:c r="J112" s="11" t="n">
        <x:v>2816394.484756088</x:v>
      </x:c>
      <x:c r="K112" s="12" t="n">
        <x:f>E112/D112</x:f>
        <x:v>0.6485403548941042</x:v>
      </x:c>
      <x:c r="L112" s="12" t="n">
        <x:f>F112/D112</x:f>
        <x:v>0.7687464224384659</x:v>
      </x:c>
      <x:c r="M112" s="12" t="n">
        <x:f>G112/D112</x:f>
        <x:v>0</x:v>
      </x:c>
      <x:c r="N112" s="12" t="n">
        <x:f>J112/I112</x:f>
        <x:v>0.23948230130630418</x:v>
      </x:c>
      <x:c r="O112" s="11" t="n">
        <x:v>0</x:v>
      </x:c>
      <x:c r="P112" s="11" t="n">
        <x:v>270</x:v>
      </x:c>
      <x:c r="Q112" s="11" t="n">
        <x:v>691</x:v>
      </x:c>
      <x:c r="R112" s="11" t="n">
        <x:v>401</x:v>
      </x:c>
      <x:c r="S112" s="11" t="n">
        <x:v>182</x:v>
      </x:c>
      <x:c r="T112" s="11" t="n">
        <x:v>40</x:v>
      </x:c>
      <x:c r="U112" s="11" t="n">
        <x:v>55</x:v>
      </x:c>
      <x:c r="V112" s="11" t="n">
        <x:v>33</x:v>
      </x:c>
      <x:c r="W112" s="11" t="n">
        <x:v>73</x:v>
      </x:c>
      <x:c r="X112" s="11" t="n">
        <x:v>2</x:v>
      </x:c>
      <x:c r="Y112" s="11" t="n">
        <x:v>0</x:v>
      </x:c>
      <x:c r="Z112" s="11" t="n">
        <x:v>311730</x:v>
      </x:c>
      <x:c r="AA112" s="11" t="n">
        <x:v>2822676</x:v>
      </x:c>
      <x:c r="AB112" s="11" t="n">
        <x:v>2190984</x:v>
      </x:c>
      <x:c r="AC112" s="11" t="n">
        <x:v>3765025</x:v>
      </x:c>
      <x:c r="AD112" s="11" t="n">
        <x:v>100472</x:v>
      </x:c>
      <x:c r="AE112" s="11" t="n">
        <x:v>369870</x:v>
      </x:c>
      <x:c r="AF112" s="11" t="n">
        <x:v>793838</x:v>
      </x:c>
      <x:c r="AG112" s="11" t="n">
        <x:v>1389452</x:v>
      </x:c>
      <x:c r="AH112" s="11" t="n">
        <x:v>16298</x:v>
      </x:c>
    </x:row>
    <x:row r="113" ht="23" customHeight="1">
      <x:c r="A113" s="10" t="str">
        <x:v>M5</x:v>
      </x:c>
      <x:c r="B113" s="10" t="str">
        <x:v>CG_H0</x:v>
      </x:c>
      <x:c r="C113" s="9" t="str">
        <x:v>主对照</x:v>
      </x:c>
      <x:c r="D113" s="11" t="n">
        <x:v>1747</x:v>
      </x:c>
      <x:c r="E113" s="11" t="n">
        <x:v>1252</x:v>
      </x:c>
      <x:c r="F113" s="11" t="n">
        <x:v>1252</x:v>
      </x:c>
      <x:c r="G113" s="11" t="n">
        <x:v>0</x:v>
      </x:c>
      <x:c r="H113" s="11" t="n">
        <x:v>1135</x:v>
      </x:c>
      <x:c r="I113" s="11" t="n">
        <x:v>11760345</x:v>
      </x:c>
      <x:c r="J113" s="11" t="n">
        <x:v>2223995.2847560807</x:v>
      </x:c>
      <x:c r="K113" s="12" t="n">
        <x:f>E113/D113</x:f>
        <x:v>0.7166571265025758</x:v>
      </x:c>
      <x:c r="L113" s="12" t="n">
        <x:f>F113/D113</x:f>
        <x:v>0.7166571265025758</x:v>
      </x:c>
      <x:c r="M113" s="12" t="n">
        <x:f>G113/D113</x:f>
        <x:v>0</x:v>
      </x:c>
      <x:c r="N113" s="12" t="n">
        <x:f>J113/I113</x:f>
        <x:v>0.18910969744136594</x:v>
      </x:c>
      <x:c r="O113" s="11" t="n">
        <x:v>6</x:v>
      </x:c>
      <x:c r="P113" s="11" t="n">
        <x:v>394</x:v>
      </x:c>
      <x:c r="Q113" s="11" t="n">
        <x:v>837</x:v>
      </x:c>
      <x:c r="R113" s="11" t="n">
        <x:v>327</x:v>
      </x:c>
      <x:c r="S113" s="11" t="n">
        <x:v>177</x:v>
      </x:c>
      <x:c r="T113" s="11" t="n">
        <x:v>6</x:v>
      </x:c>
      <x:c r="U113" s="11" t="n">
        <x:v>0</x:v>
      </x:c>
      <x:c r="V113" s="11" t="n">
        <x:v>0</x:v>
      </x:c>
      <x:c r="W113" s="11" t="n">
        <x:v>0</x:v>
      </x:c>
      <x:c r="X113" s="11" t="n">
        <x:v>0</x:v>
      </x:c>
      <x:c r="Y113" s="11" t="n">
        <x:v>2568</x:v>
      </x:c>
      <x:c r="Z113" s="11" t="n">
        <x:v>617882</x:v>
      </x:c>
      <x:c r="AA113" s="11" t="n">
        <x:v>4451230</x:v>
      </x:c>
      <x:c r="AB113" s="11" t="n">
        <x:v>2350804</x:v>
      </x:c>
      <x:c r="AC113" s="11" t="n">
        <x:v>4329085</x:v>
      </x:c>
      <x:c r="AD113" s="11" t="n">
        <x:v>8776</x:v>
      </x:c>
      <x:c r="AE113" s="11" t="n">
        <x:v>0</x:v>
      </x:c>
      <x:c r="AF113" s="11" t="n">
        <x:v>0</x:v>
      </x:c>
      <x:c r="AG113" s="11" t="n">
        <x:v>0</x:v>
      </x:c>
      <x:c r="AH113" s="11" t="n">
        <x:v>0</x:v>
      </x:c>
    </x:row>
    <x:row r="114" ht="23" customHeight="1">
      <x:c r="A114" s="10" t="str">
        <x:v>M5</x:v>
      </x:c>
      <x:c r="B114" s="10" t="str">
        <x:v>CG_HT</x:v>
      </x:c>
      <x:c r="C114" s="9" t="str">
        <x:v>仅拓扑与尺度</x:v>
      </x:c>
      <x:c r="D114" s="11" t="n">
        <x:v>1747</x:v>
      </x:c>
      <x:c r="E114" s="11" t="n">
        <x:v>1252</x:v>
      </x:c>
      <x:c r="F114" s="11" t="n">
        <x:v>1252</x:v>
      </x:c>
      <x:c r="G114" s="11" t="n">
        <x:v>0</x:v>
      </x:c>
      <x:c r="H114" s="11" t="n">
        <x:v>1135</x:v>
      </x:c>
      <x:c r="I114" s="11" t="n">
        <x:v>11760345</x:v>
      </x:c>
      <x:c r="J114" s="11" t="n">
        <x:v>2238395.7647560807</x:v>
      </x:c>
      <x:c r="K114" s="12" t="n">
        <x:f>E114/D114</x:f>
        <x:v>0.7166571265025758</x:v>
      </x:c>
      <x:c r="L114" s="12" t="n">
        <x:f>F114/D114</x:f>
        <x:v>0.7166571265025758</x:v>
      </x:c>
      <x:c r="M114" s="12" t="n">
        <x:f>G114/D114</x:f>
        <x:v>0</x:v>
      </x:c>
      <x:c r="N114" s="12" t="n">
        <x:f>J114/I114</x:f>
        <x:v>0.190334192130935</x:v>
      </x:c>
      <x:c r="O114" s="11" t="n">
        <x:v>6</x:v>
      </x:c>
      <x:c r="P114" s="11" t="n">
        <x:v>348</x:v>
      </x:c>
      <x:c r="Q114" s="11" t="n">
        <x:v>827</x:v>
      </x:c>
      <x:c r="R114" s="11" t="n">
        <x:v>373</x:v>
      </x:c>
      <x:c r="S114" s="11" t="n">
        <x:v>187</x:v>
      </x:c>
      <x:c r="T114" s="11" t="n">
        <x:v>6</x:v>
      </x:c>
      <x:c r="U114" s="11" t="n">
        <x:v>0</x:v>
      </x:c>
      <x:c r="V114" s="11" t="n">
        <x:v>0</x:v>
      </x:c>
      <x:c r="W114" s="11" t="n">
        <x:v>0</x:v>
      </x:c>
      <x:c r="X114" s="11" t="n">
        <x:v>0</x:v>
      </x:c>
      <x:c r="Y114" s="11" t="n">
        <x:v>2568</x:v>
      </x:c>
      <x:c r="Z114" s="11" t="n">
        <x:v>378444</x:v>
      </x:c>
      <x:c r="AA114" s="11" t="n">
        <x:v>4532410</x:v>
      </x:c>
      <x:c r="AB114" s="11" t="n">
        <x:v>2454372</x:v>
      </x:c>
      <x:c r="AC114" s="11" t="n">
        <x:v>4383775</x:v>
      </x:c>
      <x:c r="AD114" s="11" t="n">
        <x:v>8776</x:v>
      </x:c>
      <x:c r="AE114" s="11" t="n">
        <x:v>0</x:v>
      </x:c>
      <x:c r="AF114" s="11" t="n">
        <x:v>0</x:v>
      </x:c>
      <x:c r="AG114" s="11" t="n">
        <x:v>0</x:v>
      </x:c>
      <x:c r="AH114" s="11" t="n">
        <x:v>0</x:v>
      </x:c>
    </x:row>
    <x:row r="115" ht="23" customHeight="1">
      <x:c r="A115" s="10" t="str">
        <x:v>M5</x:v>
      </x:c>
      <x:c r="B115" s="10" t="str">
        <x:v>CG_H1</x:v>
      </x:c>
      <x:c r="C115" s="9" t="str">
        <x:v>主对照</x:v>
      </x:c>
      <x:c r="D115" s="11" t="n">
        <x:v>1747</x:v>
      </x:c>
      <x:c r="E115" s="11" t="n">
        <x:v>1252</x:v>
      </x:c>
      <x:c r="F115" s="11" t="n">
        <x:v>1252</x:v>
      </x:c>
      <x:c r="G115" s="11" t="n">
        <x:v>0</x:v>
      </x:c>
      <x:c r="H115" s="11" t="n">
        <x:v>1139</x:v>
      </x:c>
      <x:c r="I115" s="11" t="n">
        <x:v>11760345</x:v>
      </x:c>
      <x:c r="J115" s="11" t="n">
        <x:v>2239224.1647560806</x:v>
      </x:c>
      <x:c r="K115" s="12" t="n">
        <x:f>E115/D115</x:f>
        <x:v>0.7166571265025758</x:v>
      </x:c>
      <x:c r="L115" s="12" t="n">
        <x:f>F115/D115</x:f>
        <x:v>0.7166571265025758</x:v>
      </x:c>
      <x:c r="M115" s="12" t="n">
        <x:f>G115/D115</x:f>
        <x:v>0</x:v>
      </x:c>
      <x:c r="N115" s="12" t="n">
        <x:f>J115/I115</x:f>
        <x:v>0.1904046322413229</x:v>
      </x:c>
      <x:c r="O115" s="11" t="n">
        <x:v>6</x:v>
      </x:c>
      <x:c r="P115" s="11" t="n">
        <x:v>346</x:v>
      </x:c>
      <x:c r="Q115" s="11" t="n">
        <x:v>827</x:v>
      </x:c>
      <x:c r="R115" s="11" t="n">
        <x:v>371</x:v>
      </x:c>
      <x:c r="S115" s="11" t="n">
        <x:v>187</x:v>
      </x:c>
      <x:c r="T115" s="11" t="n">
        <x:v>6</x:v>
      </x:c>
      <x:c r="U115" s="11" t="n">
        <x:v>4</x:v>
      </x:c>
      <x:c r="V115" s="11" t="n">
        <x:v>0</x:v>
      </x:c>
      <x:c r="W115" s="11" t="n">
        <x:v>0</x:v>
      </x:c>
      <x:c r="X115" s="11" t="n">
        <x:v>0</x:v>
      </x:c>
      <x:c r="Y115" s="11" t="n">
        <x:v>2568</x:v>
      </x:c>
      <x:c r="Z115" s="11" t="n">
        <x:v>377116</x:v>
      </x:c>
      <x:c r="AA115" s="11" t="n">
        <x:v>4532410</x:v>
      </x:c>
      <x:c r="AB115" s="11" t="n">
        <x:v>2450352</x:v>
      </x:c>
      <x:c r="AC115" s="11" t="n">
        <x:v>4383775</x:v>
      </x:c>
      <x:c r="AD115" s="11" t="n">
        <x:v>8776</x:v>
      </x:c>
      <x:c r="AE115" s="11" t="n">
        <x:v>5348</x:v>
      </x:c>
      <x:c r="AF115" s="11" t="n">
        <x:v>0</x:v>
      </x:c>
      <x:c r="AG115" s="11" t="n">
        <x:v>0</x:v>
      </x:c>
      <x:c r="AH115" s="11" t="n">
        <x:v>0</x:v>
      </x:c>
    </x:row>
    <x:row r="116" ht="23" customHeight="1">
      <x:c r="A116" s="10" t="str">
        <x:v>M5</x:v>
      </x:c>
      <x:c r="B116" s="10" t="str">
        <x:v>NCG_H0</x:v>
      </x:c>
      <x:c r="C116" s="9" t="str">
        <x:v>主对照</x:v>
      </x:c>
      <x:c r="D116" s="11" t="n">
        <x:v>1747</x:v>
      </x:c>
      <x:c r="E116" s="11" t="n">
        <x:v>937</x:v>
      </x:c>
      <x:c r="F116" s="11" t="n">
        <x:v>1131</x:v>
      </x:c>
      <x:c r="G116" s="11" t="n">
        <x:v>265</x:v>
      </x:c>
      <x:c r="H116" s="11" t="n">
        <x:v>1001</x:v>
      </x:c>
      <x:c r="I116" s="11" t="n">
        <x:v>11760345</x:v>
      </x:c>
      <x:c r="J116" s="11" t="n">
        <x:v>2637210.404756082</x:v>
      </x:c>
      <x:c r="K116" s="12" t="n">
        <x:f>E116/D116</x:f>
        <x:v>0.5363480251860332</x:v>
      </x:c>
      <x:c r="L116" s="12" t="n">
        <x:f>F116/D116</x:f>
        <x:v>0.6473955352032055</x:v>
      </x:c>
      <x:c r="M116" s="12" t="n">
        <x:f>G116/D116</x:f>
        <x:v>0.15168860904407555</x:v>
      </x:c>
      <x:c r="N116" s="12" t="n">
        <x:f>J116/I116</x:f>
        <x:v>0.22424600679283493</x:v>
      </x:c>
      <x:c r="O116" s="11" t="n">
        <x:v>2</x:v>
      </x:c>
      <x:c r="P116" s="11" t="n">
        <x:v>301</x:v>
      </x:c>
      <x:c r="Q116" s="11" t="n">
        <x:v>743</x:v>
      </x:c>
      <x:c r="R116" s="11" t="n">
        <x:v>383</x:v>
      </x:c>
      <x:c r="S116" s="11" t="n">
        <x:v>188</x:v>
      </x:c>
      <x:c r="T116" s="11" t="n">
        <x:v>8</x:v>
      </x:c>
      <x:c r="U116" s="11" t="n">
        <x:v>49</x:v>
      </x:c>
      <x:c r="V116" s="11" t="n">
        <x:v>33</x:v>
      </x:c>
      <x:c r="W116" s="11" t="n">
        <x:v>40</x:v>
      </x:c>
      <x:c r="X116" s="11" t="n">
        <x:v>0</x:v>
      </x:c>
      <x:c r="Y116" s="11" t="n">
        <x:v>856</x:v>
      </x:c>
      <x:c r="Z116" s="11" t="n">
        <x:v>532904</x:v>
      </x:c>
      <x:c r="AA116" s="11" t="n">
        <x:v>3205206</x:v>
      </x:c>
      <x:c r="AB116" s="11" t="n">
        <x:v>2178726</x:v>
      </x:c>
      <x:c r="AC116" s="11" t="n">
        <x:v>3879201</x:v>
      </x:c>
      <x:c r="AD116" s="11" t="n">
        <x:v>9516</x:v>
      </x:c>
      <x:c r="AE116" s="11" t="n">
        <x:v>362568</x:v>
      </x:c>
      <x:c r="AF116" s="11" t="n">
        <x:v>793838</x:v>
      </x:c>
      <x:c r="AG116" s="11" t="n">
        <x:v>797530</x:v>
      </x:c>
      <x:c r="AH116" s="11" t="n">
        <x:v>0</x:v>
      </x:c>
    </x:row>
    <x:row r="117" ht="23" customHeight="1">
      <x:c r="A117" s="10" t="str">
        <x:v>M5</x:v>
      </x:c>
      <x:c r="B117" s="10" t="str">
        <x:v>NCG_HT</x:v>
      </x:c>
      <x:c r="C117" s="9" t="str">
        <x:v>仅拓扑与尺度</x:v>
      </x:c>
      <x:c r="D117" s="11" t="n">
        <x:v>1747</x:v>
      </x:c>
      <x:c r="E117" s="11" t="n">
        <x:v>937</x:v>
      </x:c>
      <x:c r="F117" s="11" t="n">
        <x:v>1131</x:v>
      </x:c>
      <x:c r="G117" s="11" t="n">
        <x:v>265</x:v>
      </x:c>
      <x:c r="H117" s="11" t="n">
        <x:v>1001</x:v>
      </x:c>
      <x:c r="I117" s="11" t="n">
        <x:v>11760345</x:v>
      </x:c>
      <x:c r="J117" s="11" t="n">
        <x:v>2650981.7647560826</x:v>
      </x:c>
      <x:c r="K117" s="12" t="n">
        <x:f>E117/D117</x:f>
        <x:v>0.5363480251860332</x:v>
      </x:c>
      <x:c r="L117" s="12" t="n">
        <x:f>F117/D117</x:f>
        <x:v>0.6473955352032055</x:v>
      </x:c>
      <x:c r="M117" s="12" t="n">
        <x:f>G117/D117</x:f>
        <x:v>0.15168860904407555</x:v>
      </x:c>
      <x:c r="N117" s="12" t="n">
        <x:f>J117/I117</x:f>
        <x:v>0.22541700645313403</x:v>
      </x:c>
      <x:c r="O117" s="11" t="n">
        <x:v>2</x:v>
      </x:c>
      <x:c r="P117" s="11" t="n">
        <x:v>260</x:v>
      </x:c>
      <x:c r="Q117" s="11" t="n">
        <x:v>726</x:v>
      </x:c>
      <x:c r="R117" s="11" t="n">
        <x:v>435</x:v>
      </x:c>
      <x:c r="S117" s="11" t="n">
        <x:v>194</x:v>
      </x:c>
      <x:c r="T117" s="11" t="n">
        <x:v>8</x:v>
      </x:c>
      <x:c r="U117" s="11" t="n">
        <x:v>49</x:v>
      </x:c>
      <x:c r="V117" s="11" t="n">
        <x:v>33</x:v>
      </x:c>
      <x:c r="W117" s="11" t="n">
        <x:v>40</x:v>
      </x:c>
      <x:c r="X117" s="11" t="n">
        <x:v>0</x:v>
      </x:c>
      <x:c r="Y117" s="11" t="n">
        <x:v>856</x:v>
      </x:c>
      <x:c r="Z117" s="11" t="n">
        <x:v>296734</x:v>
      </x:c>
      <x:c r="AA117" s="11" t="n">
        <x:v>3296444</x:v>
      </x:c>
      <x:c r="AB117" s="11" t="n">
        <x:v>2269480</x:v>
      </x:c>
      <x:c r="AC117" s="11" t="n">
        <x:v>3933379</x:v>
      </x:c>
      <x:c r="AD117" s="11" t="n">
        <x:v>9516</x:v>
      </x:c>
      <x:c r="AE117" s="11" t="n">
        <x:v>362568</x:v>
      </x:c>
      <x:c r="AF117" s="11" t="n">
        <x:v>793838</x:v>
      </x:c>
      <x:c r="AG117" s="11" t="n">
        <x:v>797530</x:v>
      </x:c>
      <x:c r="AH117" s="11" t="n">
        <x:v>0</x:v>
      </x:c>
    </x:row>
    <x:row r="118" ht="23" customHeight="1">
      <x:c r="A118" s="10" t="str">
        <x:v>M5</x:v>
      </x:c>
      <x:c r="B118" s="10" t="str">
        <x:v>NCG_H1</x:v>
      </x:c>
      <x:c r="C118" s="9" t="str">
        <x:v>主对照</x:v>
      </x:c>
      <x:c r="D118" s="11" t="n">
        <x:v>1747</x:v>
      </x:c>
      <x:c r="E118" s="11" t="n">
        <x:v>937</x:v>
      </x:c>
      <x:c r="F118" s="11" t="n">
        <x:v>1131</x:v>
      </x:c>
      <x:c r="G118" s="11" t="n">
        <x:v>265</x:v>
      </x:c>
      <x:c r="H118" s="11" t="n">
        <x:v>1088</x:v>
      </x:c>
      <x:c r="I118" s="11" t="n">
        <x:v>11760345</x:v>
      </x:c>
      <x:c r="J118" s="11" t="n">
        <x:v>2659360.0847560833</x:v>
      </x:c>
      <x:c r="K118" s="12" t="n">
        <x:f>E118/D118</x:f>
        <x:v>0.5363480251860332</x:v>
      </x:c>
      <x:c r="L118" s="12" t="n">
        <x:f>F118/D118</x:f>
        <x:v>0.6473955352032055</x:v>
      </x:c>
      <x:c r="M118" s="12" t="n">
        <x:f>G118/D118</x:f>
        <x:v>0.15168860904407555</x:v>
      </x:c>
      <x:c r="N118" s="12" t="n">
        <x:f>J118/I118</x:f>
        <x:v>0.22612942772989086</x:v>
      </x:c>
      <x:c r="O118" s="11" t="n">
        <x:v>2</x:v>
      </x:c>
      <x:c r="P118" s="11" t="n">
        <x:v>256</x:v>
      </x:c>
      <x:c r="Q118" s="11" t="n">
        <x:v>693</x:v>
      </x:c>
      <x:c r="R118" s="11" t="n">
        <x:v>433</x:v>
      </x:c>
      <x:c r="S118" s="11" t="n">
        <x:v>194</x:v>
      </x:c>
      <x:c r="T118" s="11" t="n">
        <x:v>41</x:v>
      </x:c>
      <x:c r="U118" s="11" t="n">
        <x:v>55</x:v>
      </x:c>
      <x:c r="V118" s="11" t="n">
        <x:v>33</x:v>
      </x:c>
      <x:c r="W118" s="11" t="n">
        <x:v>40</x:v>
      </x:c>
      <x:c r="X118" s="11" t="n">
        <x:v>0</x:v>
      </x:c>
      <x:c r="Y118" s="11" t="n">
        <x:v>856</x:v>
      </x:c>
      <x:c r="Z118" s="11" t="n">
        <x:v>292494</x:v>
      </x:c>
      <x:c r="AA118" s="11" t="n">
        <x:v>3246676</x:v>
      </x:c>
      <x:c r="AB118" s="11" t="n">
        <x:v>2265460</x:v>
      </x:c>
      <x:c r="AC118" s="11" t="n">
        <x:v>3933379</x:v>
      </x:c>
      <x:c r="AD118" s="11" t="n">
        <x:v>59284</x:v>
      </x:c>
      <x:c r="AE118" s="11" t="n">
        <x:v>370828</x:v>
      </x:c>
      <x:c r="AF118" s="11" t="n">
        <x:v>793838</x:v>
      </x:c>
      <x:c r="AG118" s="11" t="n">
        <x:v>797530</x:v>
      </x:c>
      <x:c r="AH118" s="11" t="n">
        <x:v>0</x:v>
      </x:c>
    </x:row>
    <x:row r="119" ht="23" customHeight="1">
      <x:c r="A119" s="10" t="str">
        <x:v>M5</x:v>
      </x:c>
      <x:c r="B119" s="10" t="str">
        <x:v>NCG_H0_M1</x:v>
      </x:c>
      <x:c r="C119" s="9" t="str">
        <x:v>叶名称辅助</x:v>
      </x:c>
      <x:c r="D119" s="11" t="n">
        <x:v>1747</x:v>
      </x:c>
      <x:c r="E119" s="11" t="n">
        <x:v>790</x:v>
      </x:c>
      <x:c r="F119" s="11" t="n">
        <x:v>927</x:v>
      </x:c>
      <x:c r="G119" s="11" t="n">
        <x:v>265</x:v>
      </x:c>
      <x:c r="H119" s="11" t="n">
        <x:v>1079</x:v>
      </x:c>
      <x:c r="I119" s="11" t="n">
        <x:v>11760345</x:v>
      </x:c>
      <x:c r="J119" s="11" t="n">
        <x:v>3194859.764756086</x:v>
      </x:c>
      <x:c r="K119" s="12" t="n">
        <x:f>E119/D119</x:f>
        <x:v>0.45220377790497995</x:v>
      </x:c>
      <x:c r="L119" s="12" t="n">
        <x:f>F119/D119</x:f>
        <x:v>0.5306239267315398</x:v>
      </x:c>
      <x:c r="M119" s="12" t="n">
        <x:f>G119/D119</x:f>
        <x:v>0.15168860904407555</x:v>
      </x:c>
      <x:c r="N119" s="12" t="n">
        <x:f>J119/I119</x:f>
        <x:v>0.27166377897553906</x:v>
      </x:c>
      <x:c r="O119" s="11" t="n">
        <x:v>2</x:v>
      </x:c>
      <x:c r="P119" s="11" t="n">
        <x:v>266</x:v>
      </x:c>
      <x:c r="Q119" s="11" t="n">
        <x:v>703</x:v>
      </x:c>
      <x:c r="R119" s="11" t="n">
        <x:v>358</x:v>
      </x:c>
      <x:c r="S119" s="11" t="n">
        <x:v>82</x:v>
      </x:c>
      <x:c r="T119" s="11" t="n">
        <x:v>8</x:v>
      </x:c>
      <x:c r="U119" s="11" t="n">
        <x:v>65</x:v>
      </x:c>
      <x:c r="V119" s="11" t="n">
        <x:v>168</x:v>
      </x:c>
      <x:c r="W119" s="11" t="n">
        <x:v>68</x:v>
      </x:c>
      <x:c r="X119" s="11" t="n">
        <x:v>27</x:v>
      </x:c>
      <x:c r="Y119" s="11" t="n">
        <x:v>856</x:v>
      </x:c>
      <x:c r="Z119" s="11" t="n">
        <x:v>266696</x:v>
      </x:c>
      <x:c r="AA119" s="11" t="n">
        <x:v>2893928</x:v>
      </x:c>
      <x:c r="AB119" s="11" t="n">
        <x:v>2025722</x:v>
      </x:c>
      <x:c r="AC119" s="11" t="n">
        <x:v>2320923</x:v>
      </x:c>
      <x:c r="AD119" s="11" t="n">
        <x:v>9516</x:v>
      </x:c>
      <x:c r="AE119" s="11" t="n">
        <x:v>415432</x:v>
      </x:c>
      <x:c r="AF119" s="11" t="n">
        <x:v>1219512</x:v>
      </x:c>
      <x:c r="AG119" s="11" t="n">
        <x:v>1304698</x:v>
      </x:c>
      <x:c r="AH119" s="11" t="n">
        <x:v>1303062</x:v>
      </x:c>
    </x:row>
    <x:row r="120" ht="23" customHeight="1">
      <x:c r="A120" s="10" t="str">
        <x:v>M5</x:v>
      </x:c>
      <x:c r="B120" s="10" t="str">
        <x:v>NCG_H1_M1</x:v>
      </x:c>
      <x:c r="C120" s="9" t="str">
        <x:v>叶名称辅助</x:v>
      </x:c>
      <x:c r="D120" s="11" t="n">
        <x:v>1747</x:v>
      </x:c>
      <x:c r="E120" s="11" t="n">
        <x:v>790</x:v>
      </x:c>
      <x:c r="F120" s="11" t="n">
        <x:v>927</x:v>
      </x:c>
      <x:c r="G120" s="11" t="n">
        <x:v>265</x:v>
      </x:c>
      <x:c r="H120" s="11" t="n">
        <x:v>1153</x:v>
      </x:c>
      <x:c r="I120" s="11" t="n">
        <x:v>11760345</x:v>
      </x:c>
      <x:c r="J120" s="11" t="n">
        <x:v>3210088.004756086</x:v>
      </x:c>
      <x:c r="K120" s="12" t="n">
        <x:f>E120/D120</x:f>
        <x:v>0.45220377790497995</x:v>
      </x:c>
      <x:c r="L120" s="12" t="n">
        <x:f>F120/D120</x:f>
        <x:v>0.5306239267315398</x:v>
      </x:c>
      <x:c r="M120" s="12" t="n">
        <x:f>G120/D120</x:f>
        <x:v>0.15168860904407555</x:v>
      </x:c>
      <x:c r="N120" s="12" t="n">
        <x:f>J120/I120</x:f>
        <x:v>0.2729586593553239</x:v>
      </x:c>
      <x:c r="O120" s="11" t="n">
        <x:v>2</x:v>
      </x:c>
      <x:c r="P120" s="11" t="n">
        <x:v>225</x:v>
      </x:c>
      <x:c r="Q120" s="11" t="n">
        <x:v>648</x:v>
      </x:c>
      <x:c r="R120" s="11" t="n">
        <x:v>411</x:v>
      </x:c>
      <x:c r="S120" s="11" t="n">
        <x:v>87</x:v>
      </x:c>
      <x:c r="T120" s="11" t="n">
        <x:v>40</x:v>
      </x:c>
      <x:c r="U120" s="11" t="n">
        <x:v>71</x:v>
      </x:c>
      <x:c r="V120" s="11" t="n">
        <x:v>168</x:v>
      </x:c>
      <x:c r="W120" s="11" t="n">
        <x:v>68</x:v>
      </x:c>
      <x:c r="X120" s="11" t="n">
        <x:v>27</x:v>
      </x:c>
      <x:c r="Y120" s="11" t="n">
        <x:v>856</x:v>
      </x:c>
      <x:c r="Z120" s="11" t="n">
        <x:v>233310</x:v>
      </x:c>
      <x:c r="AA120" s="11" t="n">
        <x:v>2724266</x:v>
      </x:c>
      <x:c r="AB120" s="11" t="n">
        <x:v>2162364</x:v>
      </x:c>
      <x:c r="AC120" s="11" t="n">
        <x:v>2334233</x:v>
      </x:c>
      <x:c r="AD120" s="11" t="n">
        <x:v>54352</x:v>
      </x:c>
      <x:c r="AE120" s="11" t="n">
        <x:v>423692</x:v>
      </x:c>
      <x:c r="AF120" s="11" t="n">
        <x:v>1219512</x:v>
      </x:c>
      <x:c r="AG120" s="11" t="n">
        <x:v>1304698</x:v>
      </x:c>
      <x:c r="AH120" s="11" t="n">
        <x:v>1303062</x:v>
      </x:c>
    </x:row>
    <x:row r="121" ht="23" customHeight="1">
      <x:c r="A121" s="10" t="str">
        <x:v>M6</x:v>
      </x:c>
      <x:c r="B121" s="10" t="str">
        <x:v>N_H0</x:v>
      </x:c>
      <x:c r="C121" s="9" t="str">
        <x:v>主对照</x:v>
      </x:c>
      <x:c r="D121" s="11" t="n">
        <x:v>3347</x:v>
      </x:c>
      <x:c r="E121" s="11" t="n">
        <x:v>1741</x:v>
      </x:c>
      <x:c r="F121" s="11" t="n">
        <x:v>2232</x:v>
      </x:c>
      <x:c r="G121" s="11" t="n">
        <x:v>0</x:v>
      </x:c>
      <x:c r="H121" s="11" t="n">
        <x:v>1741</x:v>
      </x:c>
      <x:c r="I121" s="11" t="n">
        <x:v>15496224</x:v>
      </x:c>
      <x:c r="J121" s="11" t="n">
        <x:v>3780948.1199999973</x:v>
      </x:c>
      <x:c r="K121" s="12" t="n">
        <x:f>E121/D121</x:f>
        <x:v>0.5201673140125486</x:v>
      </x:c>
      <x:c r="L121" s="12" t="n">
        <x:f>F121/D121</x:f>
        <x:v>0.6668658500149387</x:v>
      </x:c>
      <x:c r="M121" s="12" t="n">
        <x:f>G121/D121</x:f>
        <x:v>0</x:v>
      </x:c>
      <x:c r="N121" s="12" t="n">
        <x:f>J121/I121</x:f>
        <x:v>0.24399157627045126</x:v>
      </x:c>
      <x:c r="O121" s="11" t="n">
        <x:v>0</x:v>
      </x:c>
      <x:c r="P121" s="11" t="n">
        <x:v>562</x:v>
      </x:c>
      <x:c r="Q121" s="11" t="n">
        <x:v>98</x:v>
      </x:c>
      <x:c r="R121" s="11" t="n">
        <x:v>0</x:v>
      </x:c>
      <x:c r="S121" s="11" t="n">
        <x:v>2232</x:v>
      </x:c>
      <x:c r="T121" s="11" t="n">
        <x:v>0</x:v>
      </x:c>
      <x:c r="U121" s="11" t="n">
        <x:v>177</x:v>
      </x:c>
      <x:c r="V121" s="11" t="n">
        <x:v>35</x:v>
      </x:c>
      <x:c r="W121" s="11" t="n">
        <x:v>243</x:v>
      </x:c>
      <x:c r="X121" s="11" t="n">
        <x:v>0</x:v>
      </x:c>
      <x:c r="Y121" s="11" t="n">
        <x:v>0</x:v>
      </x:c>
      <x:c r="Z121" s="11" t="n">
        <x:v>1471878</x:v>
      </x:c>
      <x:c r="AA121" s="11" t="n">
        <x:v>226508</x:v>
      </x:c>
      <x:c r="AB121" s="11" t="n">
        <x:v>0</x:v>
      </x:c>
      <x:c r="AC121" s="11" t="n">
        <x:v>9491078</x:v>
      </x:c>
      <x:c r="AD121" s="11" t="n">
        <x:v>0</x:v>
      </x:c>
      <x:c r="AE121" s="11" t="n">
        <x:v>1433092</x:v>
      </x:c>
      <x:c r="AF121" s="11" t="n">
        <x:v>1014210</x:v>
      </x:c>
      <x:c r="AG121" s="11" t="n">
        <x:v>1859458</x:v>
      </x:c>
      <x:c r="AH121" s="11" t="n">
        <x:v>0</x:v>
      </x:c>
    </x:row>
    <x:row r="122" ht="23" customHeight="1">
      <x:c r="A122" s="10" t="str">
        <x:v>M6</x:v>
      </x:c>
      <x:c r="B122" s="10" t="str">
        <x:v>N_HT</x:v>
      </x:c>
      <x:c r="C122" s="9" t="str">
        <x:v>仅拓扑与尺度</x:v>
      </x:c>
      <x:c r="D122" s="11" t="n">
        <x:v>3347</x:v>
      </x:c>
      <x:c r="E122" s="11" t="n">
        <x:v>1741</x:v>
      </x:c>
      <x:c r="F122" s="11" t="n">
        <x:v>2232</x:v>
      </x:c>
      <x:c r="G122" s="11" t="n">
        <x:v>0</x:v>
      </x:c>
      <x:c r="H122" s="11" t="n">
        <x:v>1741</x:v>
      </x:c>
      <x:c r="I122" s="11" t="n">
        <x:v>15496224</x:v>
      </x:c>
      <x:c r="J122" s="11" t="n">
        <x:v>3780948.1199999973</x:v>
      </x:c>
      <x:c r="K122" s="12" t="n">
        <x:f>E122/D122</x:f>
        <x:v>0.5201673140125486</x:v>
      </x:c>
      <x:c r="L122" s="12" t="n">
        <x:f>F122/D122</x:f>
        <x:v>0.6668658500149387</x:v>
      </x:c>
      <x:c r="M122" s="12" t="n">
        <x:f>G122/D122</x:f>
        <x:v>0</x:v>
      </x:c>
      <x:c r="N122" s="12" t="n">
        <x:f>J122/I122</x:f>
        <x:v>0.24399157627045126</x:v>
      </x:c>
      <x:c r="O122" s="11" t="n">
        <x:v>0</x:v>
      </x:c>
      <x:c r="P122" s="11" t="n">
        <x:v>562</x:v>
      </x:c>
      <x:c r="Q122" s="11" t="n">
        <x:v>98</x:v>
      </x:c>
      <x:c r="R122" s="11" t="n">
        <x:v>0</x:v>
      </x:c>
      <x:c r="S122" s="11" t="n">
        <x:v>2232</x:v>
      </x:c>
      <x:c r="T122" s="11" t="n">
        <x:v>0</x:v>
      </x:c>
      <x:c r="U122" s="11" t="n">
        <x:v>177</x:v>
      </x:c>
      <x:c r="V122" s="11" t="n">
        <x:v>35</x:v>
      </x:c>
      <x:c r="W122" s="11" t="n">
        <x:v>243</x:v>
      </x:c>
      <x:c r="X122" s="11" t="n">
        <x:v>0</x:v>
      </x:c>
      <x:c r="Y122" s="11" t="n">
        <x:v>0</x:v>
      </x:c>
      <x:c r="Z122" s="11" t="n">
        <x:v>1471878</x:v>
      </x:c>
      <x:c r="AA122" s="11" t="n">
        <x:v>226508</x:v>
      </x:c>
      <x:c r="AB122" s="11" t="n">
        <x:v>0</x:v>
      </x:c>
      <x:c r="AC122" s="11" t="n">
        <x:v>9491078</x:v>
      </x:c>
      <x:c r="AD122" s="11" t="n">
        <x:v>0</x:v>
      </x:c>
      <x:c r="AE122" s="11" t="n">
        <x:v>1433092</x:v>
      </x:c>
      <x:c r="AF122" s="11" t="n">
        <x:v>1014210</x:v>
      </x:c>
      <x:c r="AG122" s="11" t="n">
        <x:v>1859458</x:v>
      </x:c>
      <x:c r="AH122" s="11" t="n">
        <x:v>0</x:v>
      </x:c>
    </x:row>
    <x:row r="123" ht="23" customHeight="1">
      <x:c r="A123" s="10" t="str">
        <x:v>M6</x:v>
      </x:c>
      <x:c r="B123" s="10" t="str">
        <x:v>N_H1</x:v>
      </x:c>
      <x:c r="C123" s="9" t="str">
        <x:v>主对照</x:v>
      </x:c>
      <x:c r="D123" s="11" t="n">
        <x:v>3347</x:v>
      </x:c>
      <x:c r="E123" s="11" t="n">
        <x:v>1741</x:v>
      </x:c>
      <x:c r="F123" s="11" t="n">
        <x:v>2232</x:v>
      </x:c>
      <x:c r="G123" s="11" t="n">
        <x:v>0</x:v>
      </x:c>
      <x:c r="H123" s="11" t="n">
        <x:v>1921</x:v>
      </x:c>
      <x:c r="I123" s="11" t="n">
        <x:v>15496224</x:v>
      </x:c>
      <x:c r="J123" s="11" t="n">
        <x:v>3782610.479999997</x:v>
      </x:c>
      <x:c r="K123" s="12" t="n">
        <x:f>E123/D123</x:f>
        <x:v>0.5201673140125486</x:v>
      </x:c>
      <x:c r="L123" s="12" t="n">
        <x:f>F123/D123</x:f>
        <x:v>0.6668658500149387</x:v>
      </x:c>
      <x:c r="M123" s="12" t="n">
        <x:f>G123/D123</x:f>
        <x:v>0</x:v>
      </x:c>
      <x:c r="N123" s="12" t="n">
        <x:f>J123/I123</x:f>
        <x:v>0.24409885143632393</x:v>
      </x:c>
      <x:c r="O123" s="11" t="n">
        <x:v>0</x:v>
      </x:c>
      <x:c r="P123" s="11" t="n">
        <x:v>562</x:v>
      </x:c>
      <x:c r="Q123" s="11" t="n">
        <x:v>92</x:v>
      </x:c>
      <x:c r="R123" s="11" t="n">
        <x:v>0</x:v>
      </x:c>
      <x:c r="S123" s="11" t="n">
        <x:v>2232</x:v>
      </x:c>
      <x:c r="T123" s="11" t="n">
        <x:v>6</x:v>
      </x:c>
      <x:c r="U123" s="11" t="n">
        <x:v>177</x:v>
      </x:c>
      <x:c r="V123" s="11" t="n">
        <x:v>35</x:v>
      </x:c>
      <x:c r="W123" s="11" t="n">
        <x:v>243</x:v>
      </x:c>
      <x:c r="X123" s="11" t="n">
        <x:v>0</x:v>
      </x:c>
      <x:c r="Y123" s="11" t="n">
        <x:v>0</x:v>
      </x:c>
      <x:c r="Z123" s="11" t="n">
        <x:v>1471878</x:v>
      </x:c>
      <x:c r="AA123" s="11" t="n">
        <x:v>214634</x:v>
      </x:c>
      <x:c r="AB123" s="11" t="n">
        <x:v>0</x:v>
      </x:c>
      <x:c r="AC123" s="11" t="n">
        <x:v>9491078</x:v>
      </x:c>
      <x:c r="AD123" s="11" t="n">
        <x:v>11874</x:v>
      </x:c>
      <x:c r="AE123" s="11" t="n">
        <x:v>1433092</x:v>
      </x:c>
      <x:c r="AF123" s="11" t="n">
        <x:v>1014210</x:v>
      </x:c>
      <x:c r="AG123" s="11" t="n">
        <x:v>1859458</x:v>
      </x:c>
      <x:c r="AH123" s="11" t="n">
        <x:v>0</x:v>
      </x:c>
    </x:row>
    <x:row r="124" ht="23" customHeight="1">
      <x:c r="A124" s="10" t="str">
        <x:v>M6</x:v>
      </x:c>
      <x:c r="B124" s="10" t="str">
        <x:v>C_H0</x:v>
      </x:c>
      <x:c r="C124" s="9" t="str">
        <x:v>主对照</x:v>
      </x:c>
      <x:c r="D124" s="11" t="n">
        <x:v>3347</x:v>
      </x:c>
      <x:c r="E124" s="11" t="n">
        <x:v>2311</x:v>
      </x:c>
      <x:c r="F124" s="11" t="n">
        <x:v>2311</x:v>
      </x:c>
      <x:c r="G124" s="11" t="n">
        <x:v>0</x:v>
      </x:c>
      <x:c r="H124" s="11" t="n">
        <x:v>1883</x:v>
      </x:c>
      <x:c r="I124" s="11" t="n">
        <x:v>15496224</x:v>
      </x:c>
      <x:c r="J124" s="11" t="n">
        <x:v>3140714.640000013</x:v>
      </x:c>
      <x:c r="K124" s="12" t="n">
        <x:f>E124/D124</x:f>
        <x:v>0.6904690767851808</x:v>
      </x:c>
      <x:c r="L124" s="12" t="n">
        <x:f>F124/D124</x:f>
        <x:v>0.6904690767851808</x:v>
      </x:c>
      <x:c r="M124" s="12" t="n">
        <x:f>G124/D124</x:f>
        <x:v>0</x:v>
      </x:c>
      <x:c r="N124" s="12" t="n">
        <x:f>J124/I124</x:f>
        <x:v>0.20267612548708724</x:v>
      </x:c>
      <x:c r="O124" s="11" t="n">
        <x:v>0</x:v>
      </x:c>
      <x:c r="P124" s="11" t="n">
        <x:v>1033</x:v>
      </x:c>
      <x:c r="Q124" s="11" t="n">
        <x:v>0</x:v>
      </x:c>
      <x:c r="R124" s="11" t="n">
        <x:v>0</x:v>
      </x:c>
      <x:c r="S124" s="11" t="n">
        <x:v>2311</x:v>
      </x:c>
      <x:c r="T124" s="11" t="n">
        <x:v>0</x:v>
      </x:c>
      <x:c r="U124" s="11" t="n">
        <x:v>3</x:v>
      </x:c>
      <x:c r="V124" s="11" t="n">
        <x:v>0</x:v>
      </x:c>
      <x:c r="W124" s="11" t="n">
        <x:v>0</x:v>
      </x:c>
      <x:c r="X124" s="11" t="n">
        <x:v>0</x:v>
      </x:c>
      <x:c r="Y124" s="11" t="n">
        <x:v>0</x:v>
      </x:c>
      <x:c r="Z124" s="11" t="n">
        <x:v>2253334</x:v>
      </x:c>
      <x:c r="AA124" s="11" t="n">
        <x:v>0</x:v>
      </x:c>
      <x:c r="AB124" s="11" t="n">
        <x:v>0</x:v>
      </x:c>
      <x:c r="AC124" s="11" t="n">
        <x:v>13218572</x:v>
      </x:c>
      <x:c r="AD124" s="11" t="n">
        <x:v>0</x:v>
      </x:c>
      <x:c r="AE124" s="11" t="n">
        <x:v>24318</x:v>
      </x:c>
      <x:c r="AF124" s="11" t="n">
        <x:v>0</x:v>
      </x:c>
      <x:c r="AG124" s="11" t="n">
        <x:v>0</x:v>
      </x:c>
      <x:c r="AH124" s="11" t="n">
        <x:v>0</x:v>
      </x:c>
    </x:row>
    <x:row r="125" ht="23" customHeight="1">
      <x:c r="A125" s="10" t="str">
        <x:v>M6</x:v>
      </x:c>
      <x:c r="B125" s="10" t="str">
        <x:v>C_HT</x:v>
      </x:c>
      <x:c r="C125" s="9" t="str">
        <x:v>仅拓扑与尺度</x:v>
      </x:c>
      <x:c r="D125" s="11" t="n">
        <x:v>3347</x:v>
      </x:c>
      <x:c r="E125" s="11" t="n">
        <x:v>2311</x:v>
      </x:c>
      <x:c r="F125" s="11" t="n">
        <x:v>2311</x:v>
      </x:c>
      <x:c r="G125" s="11" t="n">
        <x:v>0</x:v>
      </x:c>
      <x:c r="H125" s="11" t="n">
        <x:v>1883</x:v>
      </x:c>
      <x:c r="I125" s="11" t="n">
        <x:v>15496224</x:v>
      </x:c>
      <x:c r="J125" s="11" t="n">
        <x:v>3140714.640000013</x:v>
      </x:c>
      <x:c r="K125" s="12" t="n">
        <x:f>E125/D125</x:f>
        <x:v>0.6904690767851808</x:v>
      </x:c>
      <x:c r="L125" s="12" t="n">
        <x:f>F125/D125</x:f>
        <x:v>0.6904690767851808</x:v>
      </x:c>
      <x:c r="M125" s="12" t="n">
        <x:f>G125/D125</x:f>
        <x:v>0</x:v>
      </x:c>
      <x:c r="N125" s="12" t="n">
        <x:f>J125/I125</x:f>
        <x:v>0.20267612548708724</x:v>
      </x:c>
      <x:c r="O125" s="11" t="n">
        <x:v>0</x:v>
      </x:c>
      <x:c r="P125" s="11" t="n">
        <x:v>1033</x:v>
      </x:c>
      <x:c r="Q125" s="11" t="n">
        <x:v>0</x:v>
      </x:c>
      <x:c r="R125" s="11" t="n">
        <x:v>0</x:v>
      </x:c>
      <x:c r="S125" s="11" t="n">
        <x:v>2311</x:v>
      </x:c>
      <x:c r="T125" s="11" t="n">
        <x:v>0</x:v>
      </x:c>
      <x:c r="U125" s="11" t="n">
        <x:v>3</x:v>
      </x:c>
      <x:c r="V125" s="11" t="n">
        <x:v>0</x:v>
      </x:c>
      <x:c r="W125" s="11" t="n">
        <x:v>0</x:v>
      </x:c>
      <x:c r="X125" s="11" t="n">
        <x:v>0</x:v>
      </x:c>
      <x:c r="Y125" s="11" t="n">
        <x:v>0</x:v>
      </x:c>
      <x:c r="Z125" s="11" t="n">
        <x:v>2253334</x:v>
      </x:c>
      <x:c r="AA125" s="11" t="n">
        <x:v>0</x:v>
      </x:c>
      <x:c r="AB125" s="11" t="n">
        <x:v>0</x:v>
      </x:c>
      <x:c r="AC125" s="11" t="n">
        <x:v>13218572</x:v>
      </x:c>
      <x:c r="AD125" s="11" t="n">
        <x:v>0</x:v>
      </x:c>
      <x:c r="AE125" s="11" t="n">
        <x:v>24318</x:v>
      </x:c>
      <x:c r="AF125" s="11" t="n">
        <x:v>0</x:v>
      </x:c>
      <x:c r="AG125" s="11" t="n">
        <x:v>0</x:v>
      </x:c>
      <x:c r="AH125" s="11" t="n">
        <x:v>0</x:v>
      </x:c>
    </x:row>
    <x:row r="126" ht="23" customHeight="1">
      <x:c r="A126" s="10" t="str">
        <x:v>M6</x:v>
      </x:c>
      <x:c r="B126" s="10" t="str">
        <x:v>C_H1</x:v>
      </x:c>
      <x:c r="C126" s="9" t="str">
        <x:v>主对照</x:v>
      </x:c>
      <x:c r="D126" s="11" t="n">
        <x:v>3347</x:v>
      </x:c>
      <x:c r="E126" s="11" t="n">
        <x:v>2311</x:v>
      </x:c>
      <x:c r="F126" s="11" t="n">
        <x:v>2311</x:v>
      </x:c>
      <x:c r="G126" s="11" t="n">
        <x:v>0</x:v>
      </x:c>
      <x:c r="H126" s="11" t="n">
        <x:v>1883</x:v>
      </x:c>
      <x:c r="I126" s="11" t="n">
        <x:v>15496224</x:v>
      </x:c>
      <x:c r="J126" s="11" t="n">
        <x:v>3140714.640000013</x:v>
      </x:c>
      <x:c r="K126" s="12" t="n">
        <x:f>E126/D126</x:f>
        <x:v>0.6904690767851808</x:v>
      </x:c>
      <x:c r="L126" s="12" t="n">
        <x:f>F126/D126</x:f>
        <x:v>0.6904690767851808</x:v>
      </x:c>
      <x:c r="M126" s="12" t="n">
        <x:f>G126/D126</x:f>
        <x:v>0</x:v>
      </x:c>
      <x:c r="N126" s="12" t="n">
        <x:f>J126/I126</x:f>
        <x:v>0.20267612548708724</x:v>
      </x:c>
      <x:c r="O126" s="11" t="n">
        <x:v>0</x:v>
      </x:c>
      <x:c r="P126" s="11" t="n">
        <x:v>1033</x:v>
      </x:c>
      <x:c r="Q126" s="11" t="n">
        <x:v>0</x:v>
      </x:c>
      <x:c r="R126" s="11" t="n">
        <x:v>0</x:v>
      </x:c>
      <x:c r="S126" s="11" t="n">
        <x:v>2311</x:v>
      </x:c>
      <x:c r="T126" s="11" t="n">
        <x:v>0</x:v>
      </x:c>
      <x:c r="U126" s="11" t="n">
        <x:v>3</x:v>
      </x:c>
      <x:c r="V126" s="11" t="n">
        <x:v>0</x:v>
      </x:c>
      <x:c r="W126" s="11" t="n">
        <x:v>0</x:v>
      </x:c>
      <x:c r="X126" s="11" t="n">
        <x:v>0</x:v>
      </x:c>
      <x:c r="Y126" s="11" t="n">
        <x:v>0</x:v>
      </x:c>
      <x:c r="Z126" s="11" t="n">
        <x:v>2253334</x:v>
      </x:c>
      <x:c r="AA126" s="11" t="n">
        <x:v>0</x:v>
      </x:c>
      <x:c r="AB126" s="11" t="n">
        <x:v>0</x:v>
      </x:c>
      <x:c r="AC126" s="11" t="n">
        <x:v>13218572</x:v>
      </x:c>
      <x:c r="AD126" s="11" t="n">
        <x:v>0</x:v>
      </x:c>
      <x:c r="AE126" s="11" t="n">
        <x:v>24318</x:v>
      </x:c>
      <x:c r="AF126" s="11" t="n">
        <x:v>0</x:v>
      </x:c>
      <x:c r="AG126" s="11" t="n">
        <x:v>0</x:v>
      </x:c>
      <x:c r="AH126" s="11" t="n">
        <x:v>0</x:v>
      </x:c>
    </x:row>
    <x:row r="127" ht="23" customHeight="1">
      <x:c r="A127" s="10" t="str">
        <x:v>M6</x:v>
      </x:c>
      <x:c r="B127" s="10" t="str">
        <x:v>G_H0</x:v>
      </x:c>
      <x:c r="C127" s="9" t="str">
        <x:v>主对照</x:v>
      </x:c>
      <x:c r="D127" s="11" t="n">
        <x:v>3347</x:v>
      </x:c>
      <x:c r="E127" s="11" t="n">
        <x:v>3347</x:v>
      </x:c>
      <x:c r="F127" s="11" t="n">
        <x:v>3347</x:v>
      </x:c>
      <x:c r="G127" s="11" t="n">
        <x:v>0</x:v>
      </x:c>
      <x:c r="H127" s="11" t="n">
        <x:v>3347</x:v>
      </x:c>
      <x:c r="I127" s="11" t="n">
        <x:v>15496224</x:v>
      </x:c>
      <x:c r="J127" s="11" t="n">
        <x:v>2591455.618383654</x:v>
      </x:c>
      <x:c r="K127" s="12" t="n">
        <x:f>E127/D127</x:f>
        <x:v>1</x:v>
      </x:c>
      <x:c r="L127" s="12" t="n">
        <x:f>F127/D127</x:f>
        <x:v>1</x:v>
      </x:c>
      <x:c r="M127" s="12" t="n">
        <x:f>G127/D127</x:f>
        <x:v>0</x:v>
      </x:c>
      <x:c r="N127" s="12" t="n">
        <x:f>J127/I127</x:f>
        <x:v>0.1672314247899136</x:v>
      </x:c>
      <x:c r="O127" s="11" t="n">
        <x:v>0</x:v>
      </x:c>
      <x:c r="P127" s="11" t="n">
        <x:v>573</x:v>
      </x:c>
      <x:c r="Q127" s="11" t="n">
        <x:v>1699</x:v>
      </x:c>
      <x:c r="R127" s="11" t="n">
        <x:v>941</x:v>
      </x:c>
      <x:c r="S127" s="11" t="n">
        <x:v>99</x:v>
      </x:c>
      <x:c r="T127" s="11" t="n">
        <x:v>34</x:v>
      </x:c>
      <x:c r="U127" s="11" t="n">
        <x:v>1</x:v>
      </x:c>
      <x:c r="V127" s="11" t="n">
        <x:v>0</x:v>
      </x:c>
      <x:c r="W127" s="11" t="n">
        <x:v>0</x:v>
      </x:c>
      <x:c r="X127" s="11" t="n">
        <x:v>0</x:v>
      </x:c>
      <x:c r="Y127" s="11" t="n">
        <x:v>0</x:v>
      </x:c>
      <x:c r="Z127" s="11" t="n">
        <x:v>1910882</x:v>
      </x:c>
      <x:c r="AA127" s="11" t="n">
        <x:v>5998824</x:v>
      </x:c>
      <x:c r="AB127" s="11" t="n">
        <x:v>6080144</x:v>
      </x:c>
      <x:c r="AC127" s="11" t="n">
        <x:v>564924</x:v>
      </x:c>
      <x:c r="AD127" s="11" t="n">
        <x:v>576950</x:v>
      </x:c>
      <x:c r="AE127" s="11" t="n">
        <x:v>364500</x:v>
      </x:c>
      <x:c r="AF127" s="11" t="n">
        <x:v>0</x:v>
      </x:c>
      <x:c r="AG127" s="11" t="n">
        <x:v>0</x:v>
      </x:c>
      <x:c r="AH127" s="11" t="n">
        <x:v>0</x:v>
      </x:c>
    </x:row>
    <x:row r="128" ht="23" customHeight="1">
      <x:c r="A128" s="10" t="str">
        <x:v>M6</x:v>
      </x:c>
      <x:c r="B128" s="10" t="str">
        <x:v>G_HT</x:v>
      </x:c>
      <x:c r="C128" s="9" t="str">
        <x:v>仅拓扑与尺度</x:v>
      </x:c>
      <x:c r="D128" s="11" t="n">
        <x:v>3347</x:v>
      </x:c>
      <x:c r="E128" s="11" t="n">
        <x:v>3347</x:v>
      </x:c>
      <x:c r="F128" s="11" t="n">
        <x:v>3347</x:v>
      </x:c>
      <x:c r="G128" s="11" t="n">
        <x:v>0</x:v>
      </x:c>
      <x:c r="H128" s="11" t="n">
        <x:v>3347</x:v>
      </x:c>
      <x:c r="I128" s="11" t="n">
        <x:v>15496224</x:v>
      </x:c>
      <x:c r="J128" s="11" t="n">
        <x:v>2620393.498383649</x:v>
      </x:c>
      <x:c r="K128" s="12" t="n">
        <x:f>E128/D128</x:f>
        <x:v>1</x:v>
      </x:c>
      <x:c r="L128" s="12" t="n">
        <x:f>F128/D128</x:f>
        <x:v>1</x:v>
      </x:c>
      <x:c r="M128" s="12" t="n">
        <x:f>G128/D128</x:f>
        <x:v>0</x:v>
      </x:c>
      <x:c r="N128" s="12" t="n">
        <x:f>J128/I128</x:f>
        <x:v>0.16909883971628503</x:v>
      </x:c>
      <x:c r="O128" s="11" t="n">
        <x:v>0</x:v>
      </x:c>
      <x:c r="P128" s="11" t="n">
        <x:v>369</x:v>
      </x:c>
      <x:c r="Q128" s="11" t="n">
        <x:v>1760</x:v>
      </x:c>
      <x:c r="R128" s="11" t="n">
        <x:v>991</x:v>
      </x:c>
      <x:c r="S128" s="11" t="n">
        <x:v>192</x:v>
      </x:c>
      <x:c r="T128" s="11" t="n">
        <x:v>34</x:v>
      </x:c>
      <x:c r="U128" s="11" t="n">
        <x:v>1</x:v>
      </x:c>
      <x:c r="V128" s="11" t="n">
        <x:v>0</x:v>
      </x:c>
      <x:c r="W128" s="11" t="n">
        <x:v>0</x:v>
      </x:c>
      <x:c r="X128" s="11" t="n">
        <x:v>0</x:v>
      </x:c>
      <x:c r="Y128" s="11" t="n">
        <x:v>0</x:v>
      </x:c>
      <x:c r="Z128" s="11" t="n">
        <x:v>1308796</x:v>
      </x:c>
      <x:c r="AA128" s="11" t="n">
        <x:v>6368826</x:v>
      </x:c>
      <x:c r="AB128" s="11" t="n">
        <x:v>6185348</x:v>
      </x:c>
      <x:c r="AC128" s="11" t="n">
        <x:v>691804</x:v>
      </x:c>
      <x:c r="AD128" s="11" t="n">
        <x:v>576950</x:v>
      </x:c>
      <x:c r="AE128" s="11" t="n">
        <x:v>364500</x:v>
      </x:c>
      <x:c r="AF128" s="11" t="n">
        <x:v>0</x:v>
      </x:c>
      <x:c r="AG128" s="11" t="n">
        <x:v>0</x:v>
      </x:c>
      <x:c r="AH128" s="11" t="n">
        <x:v>0</x:v>
      </x:c>
    </x:row>
    <x:row r="129" ht="23" customHeight="1">
      <x:c r="A129" s="10" t="str">
        <x:v>M6</x:v>
      </x:c>
      <x:c r="B129" s="10" t="str">
        <x:v>G_H1</x:v>
      </x:c>
      <x:c r="C129" s="9" t="str">
        <x:v>主对照</x:v>
      </x:c>
      <x:c r="D129" s="11" t="n">
        <x:v>3347</x:v>
      </x:c>
      <x:c r="E129" s="11" t="n">
        <x:v>3347</x:v>
      </x:c>
      <x:c r="F129" s="11" t="n">
        <x:v>3347</x:v>
      </x:c>
      <x:c r="G129" s="11" t="n">
        <x:v>0</x:v>
      </x:c>
      <x:c r="H129" s="11" t="n">
        <x:v>3347</x:v>
      </x:c>
      <x:c r="I129" s="11" t="n">
        <x:v>15496224</x:v>
      </x:c>
      <x:c r="J129" s="11" t="n">
        <x:v>2620393.498383649</x:v>
      </x:c>
      <x:c r="K129" s="12" t="n">
        <x:f>E129/D129</x:f>
        <x:v>1</x:v>
      </x:c>
      <x:c r="L129" s="12" t="n">
        <x:f>F129/D129</x:f>
        <x:v>1</x:v>
      </x:c>
      <x:c r="M129" s="12" t="n">
        <x:f>G129/D129</x:f>
        <x:v>0</x:v>
      </x:c>
      <x:c r="N129" s="12" t="n">
        <x:f>J129/I129</x:f>
        <x:v>0.16909883971628503</x:v>
      </x:c>
      <x:c r="O129" s="11" t="n">
        <x:v>0</x:v>
      </x:c>
      <x:c r="P129" s="11" t="n">
        <x:v>369</x:v>
      </x:c>
      <x:c r="Q129" s="11" t="n">
        <x:v>1760</x:v>
      </x:c>
      <x:c r="R129" s="11" t="n">
        <x:v>991</x:v>
      </x:c>
      <x:c r="S129" s="11" t="n">
        <x:v>192</x:v>
      </x:c>
      <x:c r="T129" s="11" t="n">
        <x:v>34</x:v>
      </x:c>
      <x:c r="U129" s="11" t="n">
        <x:v>1</x:v>
      </x:c>
      <x:c r="V129" s="11" t="n">
        <x:v>0</x:v>
      </x:c>
      <x:c r="W129" s="11" t="n">
        <x:v>0</x:v>
      </x:c>
      <x:c r="X129" s="11" t="n">
        <x:v>0</x:v>
      </x:c>
      <x:c r="Y129" s="11" t="n">
        <x:v>0</x:v>
      </x:c>
      <x:c r="Z129" s="11" t="n">
        <x:v>1308796</x:v>
      </x:c>
      <x:c r="AA129" s="11" t="n">
        <x:v>6368826</x:v>
      </x:c>
      <x:c r="AB129" s="11" t="n">
        <x:v>6185348</x:v>
      </x:c>
      <x:c r="AC129" s="11" t="n">
        <x:v>691804</x:v>
      </x:c>
      <x:c r="AD129" s="11" t="n">
        <x:v>576950</x:v>
      </x:c>
      <x:c r="AE129" s="11" t="n">
        <x:v>364500</x:v>
      </x:c>
      <x:c r="AF129" s="11" t="n">
        <x:v>0</x:v>
      </x:c>
      <x:c r="AG129" s="11" t="n">
        <x:v>0</x:v>
      </x:c>
      <x:c r="AH129" s="11" t="n">
        <x:v>0</x:v>
      </x:c>
    </x:row>
    <x:row r="130" ht="23" customHeight="1">
      <x:c r="A130" s="10" t="str">
        <x:v>M6</x:v>
      </x:c>
      <x:c r="B130" s="10" t="str">
        <x:v>NC_H0</x:v>
      </x:c>
      <x:c r="C130" s="9" t="str">
        <x:v>主对照</x:v>
      </x:c>
      <x:c r="D130" s="11" t="n">
        <x:v>3347</x:v>
      </x:c>
      <x:c r="E130" s="11" t="n">
        <x:v>1425</x:v>
      </x:c>
      <x:c r="F130" s="11" t="n">
        <x:v>1883</x:v>
      </x:c>
      <x:c r="G130" s="11" t="n">
        <x:v>351</x:v>
      </x:c>
      <x:c r="H130" s="11" t="n">
        <x:v>1218</x:v>
      </x:c>
      <x:c r="I130" s="11" t="n">
        <x:v>15496224</x:v>
      </x:c>
      <x:c r="J130" s="11" t="n">
        <x:v>3529902.9200000158</x:v>
      </x:c>
      <x:c r="K130" s="12" t="n">
        <x:f>E130/D130</x:f>
        <x:v>0.4257544069315805</x:v>
      </x:c>
      <x:c r="L130" s="12" t="n">
        <x:f>F130/D130</x:f>
        <x:v>0.5625933671945026</x:v>
      </x:c>
      <x:c r="M130" s="12" t="n">
        <x:f>G130/D130</x:f>
        <x:v>0.10487003286525247</x:v>
      </x:c>
      <x:c r="N130" s="12" t="n">
        <x:f>J130/I130</x:f>
        <x:v>0.22779116512513087</x:v>
      </x:c>
      <x:c r="O130" s="11" t="n">
        <x:v>0</x:v>
      </x:c>
      <x:c r="P130" s="11" t="n">
        <x:v>1012</x:v>
      </x:c>
      <x:c r="Q130" s="11" t="n">
        <x:v>67</x:v>
      </x:c>
      <x:c r="R130" s="11" t="n">
        <x:v>0</x:v>
      </x:c>
      <x:c r="S130" s="11" t="n">
        <x:v>1883</x:v>
      </x:c>
      <x:c r="T130" s="11" t="n">
        <x:v>0</x:v>
      </x:c>
      <x:c r="U130" s="11" t="n">
        <x:v>176</x:v>
      </x:c>
      <x:c r="V130" s="11" t="n">
        <x:v>35</x:v>
      </x:c>
      <x:c r="W130" s="11" t="n">
        <x:v>174</x:v>
      </x:c>
      <x:c r="X130" s="11" t="n">
        <x:v>0</x:v>
      </x:c>
      <x:c r="Y130" s="11" t="n">
        <x:v>0</x:v>
      </x:c>
      <x:c r="Z130" s="11" t="n">
        <x:v>2194632</x:v>
      </x:c>
      <x:c r="AA130" s="11" t="n">
        <x:v>198422</x:v>
      </x:c>
      <x:c r="AB130" s="11" t="n">
        <x:v>0</x:v>
      </x:c>
      <x:c r="AC130" s="11" t="n">
        <x:v>9726474</x:v>
      </x:c>
      <x:c r="AD130" s="11" t="n">
        <x:v>0</x:v>
      </x:c>
      <x:c r="AE130" s="11" t="n">
        <x:v>1430210</x:v>
      </x:c>
      <x:c r="AF130" s="11" t="n">
        <x:v>1014210</x:v>
      </x:c>
      <x:c r="AG130" s="11" t="n">
        <x:v>932276</x:v>
      </x:c>
      <x:c r="AH130" s="11" t="n">
        <x:v>0</x:v>
      </x:c>
    </x:row>
    <x:row r="131" ht="23" customHeight="1">
      <x:c r="A131" s="10" t="str">
        <x:v>M6</x:v>
      </x:c>
      <x:c r="B131" s="10" t="str">
        <x:v>NC_HT</x:v>
      </x:c>
      <x:c r="C131" s="9" t="str">
        <x:v>仅拓扑与尺度</x:v>
      </x:c>
      <x:c r="D131" s="11" t="n">
        <x:v>3347</x:v>
      </x:c>
      <x:c r="E131" s="11" t="n">
        <x:v>1425</x:v>
      </x:c>
      <x:c r="F131" s="11" t="n">
        <x:v>1883</x:v>
      </x:c>
      <x:c r="G131" s="11" t="n">
        <x:v>351</x:v>
      </x:c>
      <x:c r="H131" s="11" t="n">
        <x:v>1218</x:v>
      </x:c>
      <x:c r="I131" s="11" t="n">
        <x:v>15496224</x:v>
      </x:c>
      <x:c r="J131" s="11" t="n">
        <x:v>3529902.9200000158</x:v>
      </x:c>
      <x:c r="K131" s="12" t="n">
        <x:f>E131/D131</x:f>
        <x:v>0.4257544069315805</x:v>
      </x:c>
      <x:c r="L131" s="12" t="n">
        <x:f>F131/D131</x:f>
        <x:v>0.5625933671945026</x:v>
      </x:c>
      <x:c r="M131" s="12" t="n">
        <x:f>G131/D131</x:f>
        <x:v>0.10487003286525247</x:v>
      </x:c>
      <x:c r="N131" s="12" t="n">
        <x:f>J131/I131</x:f>
        <x:v>0.22779116512513087</x:v>
      </x:c>
      <x:c r="O131" s="11" t="n">
        <x:v>0</x:v>
      </x:c>
      <x:c r="P131" s="11" t="n">
        <x:v>1012</x:v>
      </x:c>
      <x:c r="Q131" s="11" t="n">
        <x:v>67</x:v>
      </x:c>
      <x:c r="R131" s="11" t="n">
        <x:v>0</x:v>
      </x:c>
      <x:c r="S131" s="11" t="n">
        <x:v>1883</x:v>
      </x:c>
      <x:c r="T131" s="11" t="n">
        <x:v>0</x:v>
      </x:c>
      <x:c r="U131" s="11" t="n">
        <x:v>176</x:v>
      </x:c>
      <x:c r="V131" s="11" t="n">
        <x:v>35</x:v>
      </x:c>
      <x:c r="W131" s="11" t="n">
        <x:v>174</x:v>
      </x:c>
      <x:c r="X131" s="11" t="n">
        <x:v>0</x:v>
      </x:c>
      <x:c r="Y131" s="11" t="n">
        <x:v>0</x:v>
      </x:c>
      <x:c r="Z131" s="11" t="n">
        <x:v>2194632</x:v>
      </x:c>
      <x:c r="AA131" s="11" t="n">
        <x:v>198422</x:v>
      </x:c>
      <x:c r="AB131" s="11" t="n">
        <x:v>0</x:v>
      </x:c>
      <x:c r="AC131" s="11" t="n">
        <x:v>9726474</x:v>
      </x:c>
      <x:c r="AD131" s="11" t="n">
        <x:v>0</x:v>
      </x:c>
      <x:c r="AE131" s="11" t="n">
        <x:v>1430210</x:v>
      </x:c>
      <x:c r="AF131" s="11" t="n">
        <x:v>1014210</x:v>
      </x:c>
      <x:c r="AG131" s="11" t="n">
        <x:v>932276</x:v>
      </x:c>
      <x:c r="AH131" s="11" t="n">
        <x:v>0</x:v>
      </x:c>
    </x:row>
    <x:row r="132" ht="23" customHeight="1">
      <x:c r="A132" s="10" t="str">
        <x:v>M6</x:v>
      </x:c>
      <x:c r="B132" s="10" t="str">
        <x:v>NC_H1</x:v>
      </x:c>
      <x:c r="C132" s="9" t="str">
        <x:v>主对照</x:v>
      </x:c>
      <x:c r="D132" s="11" t="n">
        <x:v>3347</x:v>
      </x:c>
      <x:c r="E132" s="11" t="n">
        <x:v>1425</x:v>
      </x:c>
      <x:c r="F132" s="11" t="n">
        <x:v>1883</x:v>
      </x:c>
      <x:c r="G132" s="11" t="n">
        <x:v>351</x:v>
      </x:c>
      <x:c r="H132" s="11" t="n">
        <x:v>1340</x:v>
      </x:c>
      <x:c r="I132" s="11" t="n">
        <x:v>15496224</x:v>
      </x:c>
      <x:c r="J132" s="11" t="n">
        <x:v>3531119.2400000156</x:v>
      </x:c>
      <x:c r="K132" s="12" t="n">
        <x:f>E132/D132</x:f>
        <x:v>0.4257544069315805</x:v>
      </x:c>
      <x:c r="L132" s="12" t="n">
        <x:f>F132/D132</x:f>
        <x:v>0.5625933671945026</x:v>
      </x:c>
      <x:c r="M132" s="12" t="n">
        <x:f>G132/D132</x:f>
        <x:v>0.10487003286525247</x:v>
      </x:c>
      <x:c r="N132" s="12" t="n">
        <x:f>J132/I132</x:f>
        <x:v>0.22786965650470822</x:v>
      </x:c>
      <x:c r="O132" s="11" t="n">
        <x:v>0</x:v>
      </x:c>
      <x:c r="P132" s="11" t="n">
        <x:v>1012</x:v>
      </x:c>
      <x:c r="Q132" s="11" t="n">
        <x:v>64</x:v>
      </x:c>
      <x:c r="R132" s="11" t="n">
        <x:v>0</x:v>
      </x:c>
      <x:c r="S132" s="11" t="n">
        <x:v>1883</x:v>
      </x:c>
      <x:c r="T132" s="11" t="n">
        <x:v>3</x:v>
      </x:c>
      <x:c r="U132" s="11" t="n">
        <x:v>176</x:v>
      </x:c>
      <x:c r="V132" s="11" t="n">
        <x:v>35</x:v>
      </x:c>
      <x:c r="W132" s="11" t="n">
        <x:v>174</x:v>
      </x:c>
      <x:c r="X132" s="11" t="n">
        <x:v>0</x:v>
      </x:c>
      <x:c r="Y132" s="11" t="n">
        <x:v>0</x:v>
      </x:c>
      <x:c r="Z132" s="11" t="n">
        <x:v>2194632</x:v>
      </x:c>
      <x:c r="AA132" s="11" t="n">
        <x:v>189734</x:v>
      </x:c>
      <x:c r="AB132" s="11" t="n">
        <x:v>0</x:v>
      </x:c>
      <x:c r="AC132" s="11" t="n">
        <x:v>9726474</x:v>
      </x:c>
      <x:c r="AD132" s="11" t="n">
        <x:v>8688</x:v>
      </x:c>
      <x:c r="AE132" s="11" t="n">
        <x:v>1430210</x:v>
      </x:c>
      <x:c r="AF132" s="11" t="n">
        <x:v>1014210</x:v>
      </x:c>
      <x:c r="AG132" s="11" t="n">
        <x:v>932276</x:v>
      </x:c>
      <x:c r="AH132" s="11" t="n">
        <x:v>0</x:v>
      </x:c>
    </x:row>
    <x:row r="133" ht="23" customHeight="1">
      <x:c r="A133" s="10" t="str">
        <x:v>M6</x:v>
      </x:c>
      <x:c r="B133" s="10" t="str">
        <x:v>NG_H0</x:v>
      </x:c>
      <x:c r="C133" s="9" t="str">
        <x:v>主对照</x:v>
      </x:c>
      <x:c r="D133" s="11" t="n">
        <x:v>3347</x:v>
      </x:c>
      <x:c r="E133" s="11" t="n">
        <x:v>1741</x:v>
      </x:c>
      <x:c r="F133" s="11" t="n">
        <x:v>2232</x:v>
      </x:c>
      <x:c r="G133" s="11" t="n">
        <x:v>0</x:v>
      </x:c>
      <x:c r="H133" s="11" t="n">
        <x:v>1741</x:v>
      </x:c>
      <x:c r="I133" s="11" t="n">
        <x:v>15496224</x:v>
      </x:c>
      <x:c r="J133" s="11" t="n">
        <x:v>3536472.9783836636</x:v>
      </x:c>
      <x:c r="K133" s="12" t="n">
        <x:f>E133/D133</x:f>
        <x:v>0.5201673140125486</x:v>
      </x:c>
      <x:c r="L133" s="12" t="n">
        <x:f>F133/D133</x:f>
        <x:v>0.6668658500149387</x:v>
      </x:c>
      <x:c r="M133" s="12" t="n">
        <x:f>G133/D133</x:f>
        <x:v>0</x:v>
      </x:c>
      <x:c r="N133" s="12" t="n">
        <x:f>J133/I133</x:f>
        <x:v>0.22821514314607633</x:v>
      </x:c>
      <x:c r="O133" s="11" t="n">
        <x:v>20</x:v>
      </x:c>
      <x:c r="P133" s="11" t="n">
        <x:v>697</x:v>
      </x:c>
      <x:c r="Q133" s="11" t="n">
        <x:v>1151</x:v>
      </x:c>
      <x:c r="R133" s="11" t="n">
        <x:v>892</x:v>
      </x:c>
      <x:c r="S133" s="11" t="n">
        <x:v>97</x:v>
      </x:c>
      <x:c r="T133" s="11" t="n">
        <x:v>34</x:v>
      </x:c>
      <x:c r="U133" s="11" t="n">
        <x:v>178</x:v>
      </x:c>
      <x:c r="V133" s="11" t="n">
        <x:v>35</x:v>
      </x:c>
      <x:c r="W133" s="11" t="n">
        <x:v>239</x:v>
      </x:c>
      <x:c r="X133" s="11" t="n">
        <x:v>4</x:v>
      </x:c>
      <x:c r="Y133" s="11" t="n">
        <x:v>9620</x:v>
      </x:c>
      <x:c r="Z133" s="11" t="n">
        <x:v>2255392</x:v>
      </x:c>
      <x:c r="AA133" s="11" t="n">
        <x:v>2452250</x:v>
      </x:c>
      <x:c r="AB133" s="11" t="n">
        <x:v>5050384</x:v>
      </x:c>
      <x:c r="AC133" s="11" t="n">
        <x:v>480368</x:v>
      </x:c>
      <x:c r="AD133" s="11" t="n">
        <x:v>576950</x:v>
      </x:c>
      <x:c r="AE133" s="11" t="n">
        <x:v>1797592</x:v>
      </x:c>
      <x:c r="AF133" s="11" t="n">
        <x:v>1014210</x:v>
      </x:c>
      <x:c r="AG133" s="11" t="n">
        <x:v>1856866</x:v>
      </x:c>
      <x:c r="AH133" s="11" t="n">
        <x:v>2592</x:v>
      </x:c>
    </x:row>
    <x:row r="134" ht="23" customHeight="1">
      <x:c r="A134" s="10" t="str">
        <x:v>M6</x:v>
      </x:c>
      <x:c r="B134" s="10" t="str">
        <x:v>NG_HT</x:v>
      </x:c>
      <x:c r="C134" s="9" t="str">
        <x:v>仅拓扑与尺度</x:v>
      </x:c>
      <x:c r="D134" s="11" t="n">
        <x:v>3347</x:v>
      </x:c>
      <x:c r="E134" s="11" t="n">
        <x:v>1741</x:v>
      </x:c>
      <x:c r="F134" s="11" t="n">
        <x:v>2232</x:v>
      </x:c>
      <x:c r="G134" s="11" t="n">
        <x:v>0</x:v>
      </x:c>
      <x:c r="H134" s="11" t="n">
        <x:v>1741</x:v>
      </x:c>
      <x:c r="I134" s="11" t="n">
        <x:v>15496224</x:v>
      </x:c>
      <x:c r="J134" s="11" t="n">
        <x:v>3554745.0183836557</x:v>
      </x:c>
      <x:c r="K134" s="12" t="n">
        <x:f>E134/D134</x:f>
        <x:v>0.5201673140125486</x:v>
      </x:c>
      <x:c r="L134" s="12" t="n">
        <x:f>F134/D134</x:f>
        <x:v>0.6668658500149387</x:v>
      </x:c>
      <x:c r="M134" s="12" t="n">
        <x:f>G134/D134</x:f>
        <x:v>0</x:v>
      </x:c>
      <x:c r="N134" s="12" t="n">
        <x:f>J134/I134</x:f>
        <x:v>0.22939427168732562</x:v>
      </x:c>
      <x:c r="O134" s="11" t="n">
        <x:v>20</x:v>
      </x:c>
      <x:c r="P134" s="11" t="n">
        <x:v>619</x:v>
      </x:c>
      <x:c r="Q134" s="11" t="n">
        <x:v>1094</x:v>
      </x:c>
      <x:c r="R134" s="11" t="n">
        <x:v>934</x:v>
      </x:c>
      <x:c r="S134" s="11" t="n">
        <x:v>190</x:v>
      </x:c>
      <x:c r="T134" s="11" t="n">
        <x:v>34</x:v>
      </x:c>
      <x:c r="U134" s="11" t="n">
        <x:v>178</x:v>
      </x:c>
      <x:c r="V134" s="11" t="n">
        <x:v>35</x:v>
      </x:c>
      <x:c r="W134" s="11" t="n">
        <x:v>239</x:v>
      </x:c>
      <x:c r="X134" s="11" t="n">
        <x:v>4</x:v>
      </x:c>
      <x:c r="Y134" s="11" t="n">
        <x:v>9620</x:v>
      </x:c>
      <x:c r="Z134" s="11" t="n">
        <x:v>2178790</x:v>
      </x:c>
      <x:c r="AA134" s="11" t="n">
        <x:v>2300672</x:v>
      </x:c>
      <x:c r="AB134" s="11" t="n">
        <x:v>5151684</x:v>
      </x:c>
      <x:c r="AC134" s="11" t="n">
        <x:v>607248</x:v>
      </x:c>
      <x:c r="AD134" s="11" t="n">
        <x:v>576950</x:v>
      </x:c>
      <x:c r="AE134" s="11" t="n">
        <x:v>1797592</x:v>
      </x:c>
      <x:c r="AF134" s="11" t="n">
        <x:v>1014210</x:v>
      </x:c>
      <x:c r="AG134" s="11" t="n">
        <x:v>1856866</x:v>
      </x:c>
      <x:c r="AH134" s="11" t="n">
        <x:v>2592</x:v>
      </x:c>
    </x:row>
    <x:row r="135" ht="23" customHeight="1">
      <x:c r="A135" s="10" t="str">
        <x:v>M6</x:v>
      </x:c>
      <x:c r="B135" s="10" t="str">
        <x:v>NG_H1</x:v>
      </x:c>
      <x:c r="C135" s="9" t="str">
        <x:v>主对照</x:v>
      </x:c>
      <x:c r="D135" s="11" t="n">
        <x:v>3347</x:v>
      </x:c>
      <x:c r="E135" s="11" t="n">
        <x:v>1741</x:v>
      </x:c>
      <x:c r="F135" s="11" t="n">
        <x:v>2232</x:v>
      </x:c>
      <x:c r="G135" s="11" t="n">
        <x:v>0</x:v>
      </x:c>
      <x:c r="H135" s="11" t="n">
        <x:v>1921</x:v>
      </x:c>
      <x:c r="I135" s="11" t="n">
        <x:v>15496224</x:v>
      </x:c>
      <x:c r="J135" s="11" t="n">
        <x:v>3556407.3783836556</x:v>
      </x:c>
      <x:c r="K135" s="12" t="n">
        <x:f>E135/D135</x:f>
        <x:v>0.5201673140125486</x:v>
      </x:c>
      <x:c r="L135" s="12" t="n">
        <x:f>F135/D135</x:f>
        <x:v>0.6668658500149387</x:v>
      </x:c>
      <x:c r="M135" s="12" t="n">
        <x:f>G135/D135</x:f>
        <x:v>0</x:v>
      </x:c>
      <x:c r="N135" s="12" t="n">
        <x:f>J135/I135</x:f>
        <x:v>0.22950154685319826</x:v>
      </x:c>
      <x:c r="O135" s="11" t="n">
        <x:v>20</x:v>
      </x:c>
      <x:c r="P135" s="11" t="n">
        <x:v>619</x:v>
      </x:c>
      <x:c r="Q135" s="11" t="n">
        <x:v>1088</x:v>
      </x:c>
      <x:c r="R135" s="11" t="n">
        <x:v>934</x:v>
      </x:c>
      <x:c r="S135" s="11" t="n">
        <x:v>190</x:v>
      </x:c>
      <x:c r="T135" s="11" t="n">
        <x:v>40</x:v>
      </x:c>
      <x:c r="U135" s="11" t="n">
        <x:v>178</x:v>
      </x:c>
      <x:c r="V135" s="11" t="n">
        <x:v>35</x:v>
      </x:c>
      <x:c r="W135" s="11" t="n">
        <x:v>239</x:v>
      </x:c>
      <x:c r="X135" s="11" t="n">
        <x:v>4</x:v>
      </x:c>
      <x:c r="Y135" s="11" t="n">
        <x:v>9620</x:v>
      </x:c>
      <x:c r="Z135" s="11" t="n">
        <x:v>2178790</x:v>
      </x:c>
      <x:c r="AA135" s="11" t="n">
        <x:v>2288798</x:v>
      </x:c>
      <x:c r="AB135" s="11" t="n">
        <x:v>5151684</x:v>
      </x:c>
      <x:c r="AC135" s="11" t="n">
        <x:v>607248</x:v>
      </x:c>
      <x:c r="AD135" s="11" t="n">
        <x:v>588824</x:v>
      </x:c>
      <x:c r="AE135" s="11" t="n">
        <x:v>1797592</x:v>
      </x:c>
      <x:c r="AF135" s="11" t="n">
        <x:v>1014210</x:v>
      </x:c>
      <x:c r="AG135" s="11" t="n">
        <x:v>1856866</x:v>
      </x:c>
      <x:c r="AH135" s="11" t="n">
        <x:v>2592</x:v>
      </x:c>
    </x:row>
    <x:row r="136" ht="23" customHeight="1">
      <x:c r="A136" s="10" t="str">
        <x:v>M6</x:v>
      </x:c>
      <x:c r="B136" s="10" t="str">
        <x:v>CG_H0</x:v>
      </x:c>
      <x:c r="C136" s="9" t="str">
        <x:v>主对照</x:v>
      </x:c>
      <x:c r="D136" s="11" t="n">
        <x:v>3347</x:v>
      </x:c>
      <x:c r="E136" s="11" t="n">
        <x:v>2312</x:v>
      </x:c>
      <x:c r="F136" s="11" t="n">
        <x:v>2312</x:v>
      </x:c>
      <x:c r="G136" s="11" t="n">
        <x:v>0</x:v>
      </x:c>
      <x:c r="H136" s="11" t="n">
        <x:v>1884</x:v>
      </x:c>
      <x:c r="I136" s="11" t="n">
        <x:v>15496224</x:v>
      </x:c>
      <x:c r="J136" s="11" t="n">
        <x:v>2581422.4583836533</x:v>
      </x:c>
      <x:c r="K136" s="12" t="n">
        <x:f>E136/D136</x:f>
        <x:v>0.6907678518075889</x:v>
      </x:c>
      <x:c r="L136" s="12" t="n">
        <x:f>F136/D136</x:f>
        <x:v>0.6907678518075889</x:v>
      </x:c>
      <x:c r="M136" s="12" t="n">
        <x:f>G136/D136</x:f>
        <x:v>0</x:v>
      </x:c>
      <x:c r="N136" s="12" t="n">
        <x:f>J136/I136</x:f>
        <x:v>0.16658396641553797</x:v>
      </x:c>
      <x:c r="O136" s="11" t="n">
        <x:v>20</x:v>
      </x:c>
      <x:c r="P136" s="11" t="n">
        <x:v>877</x:v>
      </x:c>
      <x:c r="Q136" s="11" t="n">
        <x:v>1512</x:v>
      </x:c>
      <x:c r="R136" s="11" t="n">
        <x:v>801</x:v>
      </x:c>
      <x:c r="S136" s="11" t="n">
        <x:v>99</x:v>
      </x:c>
      <x:c r="T136" s="11" t="n">
        <x:v>34</x:v>
      </x:c>
      <x:c r="U136" s="11" t="n">
        <x:v>4</x:v>
      </x:c>
      <x:c r="V136" s="11" t="n">
        <x:v>0</x:v>
      </x:c>
      <x:c r="W136" s="11" t="n">
        <x:v>0</x:v>
      </x:c>
      <x:c r="X136" s="11" t="n">
        <x:v>0</x:v>
      </x:c>
      <x:c r="Y136" s="11" t="n">
        <x:v>9620</x:v>
      </x:c>
      <x:c r="Z136" s="11" t="n">
        <x:v>2495330</x:v>
      </x:c>
      <x:c r="AA136" s="11" t="n">
        <x:v>5438854</x:v>
      </x:c>
      <x:c r="AB136" s="11" t="n">
        <x:v>6021728</x:v>
      </x:c>
      <x:c r="AC136" s="11" t="n">
        <x:v>564924</x:v>
      </x:c>
      <x:c r="AD136" s="11" t="n">
        <x:v>576950</x:v>
      </x:c>
      <x:c r="AE136" s="11" t="n">
        <x:v>388818</x:v>
      </x:c>
      <x:c r="AF136" s="11" t="n">
        <x:v>0</x:v>
      </x:c>
      <x:c r="AG136" s="11" t="n">
        <x:v>0</x:v>
      </x:c>
      <x:c r="AH136" s="11" t="n">
        <x:v>0</x:v>
      </x:c>
    </x:row>
    <x:row r="137" ht="23" customHeight="1">
      <x:c r="A137" s="10" t="str">
        <x:v>M6</x:v>
      </x:c>
      <x:c r="B137" s="10" t="str">
        <x:v>CG_HT</x:v>
      </x:c>
      <x:c r="C137" s="9" t="str">
        <x:v>仅拓扑与尺度</x:v>
      </x:c>
      <x:c r="D137" s="11" t="n">
        <x:v>3347</x:v>
      </x:c>
      <x:c r="E137" s="11" t="n">
        <x:v>2312</x:v>
      </x:c>
      <x:c r="F137" s="11" t="n">
        <x:v>2312</x:v>
      </x:c>
      <x:c r="G137" s="11" t="n">
        <x:v>0</x:v>
      </x:c>
      <x:c r="H137" s="11" t="n">
        <x:v>1884</x:v>
      </x:c>
      <x:c r="I137" s="11" t="n">
        <x:v>15496224</x:v>
      </x:c>
      <x:c r="J137" s="11" t="n">
        <x:v>2608547.098383653</x:v>
      </x:c>
      <x:c r="K137" s="12" t="n">
        <x:f>E137/D137</x:f>
        <x:v>0.6907678518075889</x:v>
      </x:c>
      <x:c r="L137" s="12" t="n">
        <x:f>F137/D137</x:f>
        <x:v>0.6907678518075889</x:v>
      </x:c>
      <x:c r="M137" s="12" t="n">
        <x:f>G137/D137</x:f>
        <x:v>0</x:v>
      </x:c>
      <x:c r="N137" s="12" t="n">
        <x:f>J137/I137</x:f>
        <x:v>0.16833436961053563</x:v>
      </x:c>
      <x:c r="O137" s="11" t="n">
        <x:v>20</x:v>
      </x:c>
      <x:c r="P137" s="11" t="n">
        <x:v>613</x:v>
      </x:c>
      <x:c r="Q137" s="11" t="n">
        <x:v>1697</x:v>
      </x:c>
      <x:c r="R137" s="11" t="n">
        <x:v>787</x:v>
      </x:c>
      <x:c r="S137" s="11" t="n">
        <x:v>192</x:v>
      </x:c>
      <x:c r="T137" s="11" t="n">
        <x:v>34</x:v>
      </x:c>
      <x:c r="U137" s="11" t="n">
        <x:v>4</x:v>
      </x:c>
      <x:c r="V137" s="11" t="n">
        <x:v>0</x:v>
      </x:c>
      <x:c r="W137" s="11" t="n">
        <x:v>0</x:v>
      </x:c>
      <x:c r="X137" s="11" t="n">
        <x:v>0</x:v>
      </x:c>
      <x:c r="Y137" s="11" t="n">
        <x:v>9620</x:v>
      </x:c>
      <x:c r="Z137" s="11" t="n">
        <x:v>1807650</x:v>
      </x:c>
      <x:c r="AA137" s="11" t="n">
        <x:v>5982578</x:v>
      </x:c>
      <x:c r="AB137" s="11" t="n">
        <x:v>6038804</x:v>
      </x:c>
      <x:c r="AC137" s="11" t="n">
        <x:v>691804</x:v>
      </x:c>
      <x:c r="AD137" s="11" t="n">
        <x:v>576950</x:v>
      </x:c>
      <x:c r="AE137" s="11" t="n">
        <x:v>388818</x:v>
      </x:c>
      <x:c r="AF137" s="11" t="n">
        <x:v>0</x:v>
      </x:c>
      <x:c r="AG137" s="11" t="n">
        <x:v>0</x:v>
      </x:c>
      <x:c r="AH137" s="11" t="n">
        <x:v>0</x:v>
      </x:c>
    </x:row>
    <x:row r="138" ht="23" customHeight="1">
      <x:c r="A138" s="10" t="str">
        <x:v>M6</x:v>
      </x:c>
      <x:c r="B138" s="10" t="str">
        <x:v>CG_H1</x:v>
      </x:c>
      <x:c r="C138" s="9" t="str">
        <x:v>主对照</x:v>
      </x:c>
      <x:c r="D138" s="11" t="n">
        <x:v>3347</x:v>
      </x:c>
      <x:c r="E138" s="11" t="n">
        <x:v>2312</x:v>
      </x:c>
      <x:c r="F138" s="11" t="n">
        <x:v>2312</x:v>
      </x:c>
      <x:c r="G138" s="11" t="n">
        <x:v>0</x:v>
      </x:c>
      <x:c r="H138" s="11" t="n">
        <x:v>1884</x:v>
      </x:c>
      <x:c r="I138" s="11" t="n">
        <x:v>15496224</x:v>
      </x:c>
      <x:c r="J138" s="11" t="n">
        <x:v>2608547.098383653</x:v>
      </x:c>
      <x:c r="K138" s="12" t="n">
        <x:f>E138/D138</x:f>
        <x:v>0.6907678518075889</x:v>
      </x:c>
      <x:c r="L138" s="12" t="n">
        <x:f>F138/D138</x:f>
        <x:v>0.6907678518075889</x:v>
      </x:c>
      <x:c r="M138" s="12" t="n">
        <x:f>G138/D138</x:f>
        <x:v>0</x:v>
      </x:c>
      <x:c r="N138" s="12" t="n">
        <x:f>J138/I138</x:f>
        <x:v>0.16833436961053563</x:v>
      </x:c>
      <x:c r="O138" s="11" t="n">
        <x:v>20</x:v>
      </x:c>
      <x:c r="P138" s="11" t="n">
        <x:v>613</x:v>
      </x:c>
      <x:c r="Q138" s="11" t="n">
        <x:v>1697</x:v>
      </x:c>
      <x:c r="R138" s="11" t="n">
        <x:v>787</x:v>
      </x:c>
      <x:c r="S138" s="11" t="n">
        <x:v>192</x:v>
      </x:c>
      <x:c r="T138" s="11" t="n">
        <x:v>34</x:v>
      </x:c>
      <x:c r="U138" s="11" t="n">
        <x:v>4</x:v>
      </x:c>
      <x:c r="V138" s="11" t="n">
        <x:v>0</x:v>
      </x:c>
      <x:c r="W138" s="11" t="n">
        <x:v>0</x:v>
      </x:c>
      <x:c r="X138" s="11" t="n">
        <x:v>0</x:v>
      </x:c>
      <x:c r="Y138" s="11" t="n">
        <x:v>9620</x:v>
      </x:c>
      <x:c r="Z138" s="11" t="n">
        <x:v>1807650</x:v>
      </x:c>
      <x:c r="AA138" s="11" t="n">
        <x:v>5982578</x:v>
      </x:c>
      <x:c r="AB138" s="11" t="n">
        <x:v>6038804</x:v>
      </x:c>
      <x:c r="AC138" s="11" t="n">
        <x:v>691804</x:v>
      </x:c>
      <x:c r="AD138" s="11" t="n">
        <x:v>576950</x:v>
      </x:c>
      <x:c r="AE138" s="11" t="n">
        <x:v>388818</x:v>
      </x:c>
      <x:c r="AF138" s="11" t="n">
        <x:v>0</x:v>
      </x:c>
      <x:c r="AG138" s="11" t="n">
        <x:v>0</x:v>
      </x:c>
      <x:c r="AH138" s="11" t="n">
        <x:v>0</x:v>
      </x:c>
    </x:row>
    <x:row r="139" ht="23" customHeight="1">
      <x:c r="A139" s="10" t="str">
        <x:v>M6</x:v>
      </x:c>
      <x:c r="B139" s="10" t="str">
        <x:v>NCG_H0</x:v>
      </x:c>
      <x:c r="C139" s="9" t="str">
        <x:v>主对照</x:v>
      </x:c>
      <x:c r="D139" s="11" t="n">
        <x:v>3347</x:v>
      </x:c>
      <x:c r="E139" s="11" t="n">
        <x:v>1426</x:v>
      </x:c>
      <x:c r="F139" s="11" t="n">
        <x:v>1884</x:v>
      </x:c>
      <x:c r="G139" s="11" t="n">
        <x:v>351</x:v>
      </x:c>
      <x:c r="H139" s="11" t="n">
        <x:v>1219</x:v>
      </x:c>
      <x:c r="I139" s="11" t="n">
        <x:v>15496224</x:v>
      </x:c>
      <x:c r="J139" s="11" t="n">
        <x:v>3290642.138383659</x:v>
      </x:c>
      <x:c r="K139" s="12" t="n">
        <x:f>E139/D139</x:f>
        <x:v>0.42605318195398867</x:v>
      </x:c>
      <x:c r="L139" s="12" t="n">
        <x:f>F139/D139</x:f>
        <x:v>0.5628921422169106</x:v>
      </x:c>
      <x:c r="M139" s="12" t="n">
        <x:f>G139/D139</x:f>
        <x:v>0.10487003286525247</x:v>
      </x:c>
      <x:c r="N139" s="12" t="n">
        <x:f>J139/I139</x:f>
        <x:v>0.21235122429720035</x:v>
      </x:c>
      <x:c r="O139" s="11" t="n">
        <x:v>0</x:v>
      </x:c>
      <x:c r="P139" s="11" t="n">
        <x:v>692</x:v>
      </x:c>
      <x:c r="Q139" s="11" t="n">
        <x:v>1300</x:v>
      </x:c>
      <x:c r="R139" s="11" t="n">
        <x:v>827</x:v>
      </x:c>
      <x:c r="S139" s="11" t="n">
        <x:v>104</x:v>
      </x:c>
      <x:c r="T139" s="11" t="n">
        <x:v>38</x:v>
      </x:c>
      <x:c r="U139" s="11" t="n">
        <x:v>177</x:v>
      </x:c>
      <x:c r="V139" s="11" t="n">
        <x:v>35</x:v>
      </x:c>
      <x:c r="W139" s="11" t="n">
        <x:v>174</x:v>
      </x:c>
      <x:c r="X139" s="11" t="n">
        <x:v>0</x:v>
      </x:c>
      <x:c r="Y139" s="11" t="n">
        <x:v>0</x:v>
      </x:c>
      <x:c r="Z139" s="11" t="n">
        <x:v>1722198</x:v>
      </x:c>
      <x:c r="AA139" s="11" t="n">
        <x:v>3898332</x:v>
      </x:c>
      <x:c r="AB139" s="11" t="n">
        <x:v>5068586</x:v>
      </x:c>
      <x:c r="AC139" s="11" t="n">
        <x:v>442210</x:v>
      </x:c>
      <x:c r="AD139" s="11" t="n">
        <x:v>623702</x:v>
      </x:c>
      <x:c r="AE139" s="11" t="n">
        <x:v>1794710</x:v>
      </x:c>
      <x:c r="AF139" s="11" t="n">
        <x:v>1014210</x:v>
      </x:c>
      <x:c r="AG139" s="11" t="n">
        <x:v>932276</x:v>
      </x:c>
      <x:c r="AH139" s="11" t="n">
        <x:v>0</x:v>
      </x:c>
    </x:row>
    <x:row r="140" ht="23" customHeight="1">
      <x:c r="A140" s="10" t="str">
        <x:v>M6</x:v>
      </x:c>
      <x:c r="B140" s="10" t="str">
        <x:v>NCG_HT</x:v>
      </x:c>
      <x:c r="C140" s="9" t="str">
        <x:v>仅拓扑与尺度</x:v>
      </x:c>
      <x:c r="D140" s="11" t="n">
        <x:v>3347</x:v>
      </x:c>
      <x:c r="E140" s="11" t="n">
        <x:v>1426</x:v>
      </x:c>
      <x:c r="F140" s="11" t="n">
        <x:v>1884</x:v>
      </x:c>
      <x:c r="G140" s="11" t="n">
        <x:v>351</x:v>
      </x:c>
      <x:c r="H140" s="11" t="n">
        <x:v>1219</x:v>
      </x:c>
      <x:c r="I140" s="11" t="n">
        <x:v>15496224</x:v>
      </x:c>
      <x:c r="J140" s="11" t="n">
        <x:v>3307648.818383658</x:v>
      </x:c>
      <x:c r="K140" s="12" t="n">
        <x:f>E140/D140</x:f>
        <x:v>0.42605318195398867</x:v>
      </x:c>
      <x:c r="L140" s="12" t="n">
        <x:f>F140/D140</x:f>
        <x:v>0.5628921422169106</x:v>
      </x:c>
      <x:c r="M140" s="12" t="n">
        <x:f>G140/D140</x:f>
        <x:v>0.10487003286525247</x:v>
      </x:c>
      <x:c r="N140" s="12" t="n">
        <x:f>J140/I140</x:f>
        <x:v>0.21344869681695733</x:v>
      </x:c>
      <x:c r="O140" s="11" t="n">
        <x:v>0</x:v>
      </x:c>
      <x:c r="P140" s="11" t="n">
        <x:v>564</x:v>
      </x:c>
      <x:c r="Q140" s="11" t="n">
        <x:v>1345</x:v>
      </x:c>
      <x:c r="R140" s="11" t="n">
        <x:v>809</x:v>
      </x:c>
      <x:c r="S140" s="11" t="n">
        <x:v>205</x:v>
      </x:c>
      <x:c r="T140" s="11" t="n">
        <x:v>38</x:v>
      </x:c>
      <x:c r="U140" s="11" t="n">
        <x:v>177</x:v>
      </x:c>
      <x:c r="V140" s="11" t="n">
        <x:v>35</x:v>
      </x:c>
      <x:c r="W140" s="11" t="n">
        <x:v>174</x:v>
      </x:c>
      <x:c r="X140" s="11" t="n">
        <x:v>0</x:v>
      </x:c>
      <x:c r="Y140" s="11" t="n">
        <x:v>0</x:v>
      </x:c>
      <x:c r="Z140" s="11" t="n">
        <x:v>1576970</x:v>
      </x:c>
      <x:c r="AA140" s="11" t="n">
        <x:v>3895562</x:v>
      </x:c>
      <x:c r="AB140" s="11" t="n">
        <x:v>5080214</x:v>
      </x:c>
      <x:c r="AC140" s="11" t="n">
        <x:v>578580</x:v>
      </x:c>
      <x:c r="AD140" s="11" t="n">
        <x:v>623702</x:v>
      </x:c>
      <x:c r="AE140" s="11" t="n">
        <x:v>1794710</x:v>
      </x:c>
      <x:c r="AF140" s="11" t="n">
        <x:v>1014210</x:v>
      </x:c>
      <x:c r="AG140" s="11" t="n">
        <x:v>932276</x:v>
      </x:c>
      <x:c r="AH140" s="11" t="n">
        <x:v>0</x:v>
      </x:c>
    </x:row>
    <x:row r="141" ht="23" customHeight="1">
      <x:c r="A141" s="10" t="str">
        <x:v>M6</x:v>
      </x:c>
      <x:c r="B141" s="10" t="str">
        <x:v>NCG_H1</x:v>
      </x:c>
      <x:c r="C141" s="9" t="str">
        <x:v>主对照</x:v>
      </x:c>
      <x:c r="D141" s="11" t="n">
        <x:v>3347</x:v>
      </x:c>
      <x:c r="E141" s="11" t="n">
        <x:v>1426</x:v>
      </x:c>
      <x:c r="F141" s="11" t="n">
        <x:v>1884</x:v>
      </x:c>
      <x:c r="G141" s="11" t="n">
        <x:v>351</x:v>
      </x:c>
      <x:c r="H141" s="11" t="n">
        <x:v>1341</x:v>
      </x:c>
      <x:c r="I141" s="11" t="n">
        <x:v>15496224</x:v>
      </x:c>
      <x:c r="J141" s="11" t="n">
        <x:v>3308865.138383658</x:v>
      </x:c>
      <x:c r="K141" s="12" t="n">
        <x:f>E141/D141</x:f>
        <x:v>0.42605318195398867</x:v>
      </x:c>
      <x:c r="L141" s="12" t="n">
        <x:f>F141/D141</x:f>
        <x:v>0.5628921422169106</x:v>
      </x:c>
      <x:c r="M141" s="12" t="n">
        <x:f>G141/D141</x:f>
        <x:v>0.10487003286525247</x:v>
      </x:c>
      <x:c r="N141" s="12" t="n">
        <x:f>J141/I141</x:f>
        <x:v>0.21352718819653474</x:v>
      </x:c>
      <x:c r="O141" s="11" t="n">
        <x:v>0</x:v>
      </x:c>
      <x:c r="P141" s="11" t="n">
        <x:v>564</x:v>
      </x:c>
      <x:c r="Q141" s="11" t="n">
        <x:v>1342</x:v>
      </x:c>
      <x:c r="R141" s="11" t="n">
        <x:v>809</x:v>
      </x:c>
      <x:c r="S141" s="11" t="n">
        <x:v>205</x:v>
      </x:c>
      <x:c r="T141" s="11" t="n">
        <x:v>41</x:v>
      </x:c>
      <x:c r="U141" s="11" t="n">
        <x:v>177</x:v>
      </x:c>
      <x:c r="V141" s="11" t="n">
        <x:v>35</x:v>
      </x:c>
      <x:c r="W141" s="11" t="n">
        <x:v>174</x:v>
      </x:c>
      <x:c r="X141" s="11" t="n">
        <x:v>0</x:v>
      </x:c>
      <x:c r="Y141" s="11" t="n">
        <x:v>0</x:v>
      </x:c>
      <x:c r="Z141" s="11" t="n">
        <x:v>1576970</x:v>
      </x:c>
      <x:c r="AA141" s="11" t="n">
        <x:v>3886874</x:v>
      </x:c>
      <x:c r="AB141" s="11" t="n">
        <x:v>5080214</x:v>
      </x:c>
      <x:c r="AC141" s="11" t="n">
        <x:v>578580</x:v>
      </x:c>
      <x:c r="AD141" s="11" t="n">
        <x:v>632390</x:v>
      </x:c>
      <x:c r="AE141" s="11" t="n">
        <x:v>1794710</x:v>
      </x:c>
      <x:c r="AF141" s="11" t="n">
        <x:v>1014210</x:v>
      </x:c>
      <x:c r="AG141" s="11" t="n">
        <x:v>932276</x:v>
      </x:c>
      <x:c r="AH141" s="11" t="n">
        <x:v>0</x:v>
      </x:c>
    </x:row>
    <x:row r="142" ht="23" customHeight="1">
      <x:c r="A142" s="10" t="str">
        <x:v>M6</x:v>
      </x:c>
      <x:c r="B142" s="10" t="str">
        <x:v>NCG_H0_M1</x:v>
      </x:c>
      <x:c r="C142" s="9" t="str">
        <x:v>叶名称辅助</x:v>
      </x:c>
      <x:c r="D142" s="11" t="n">
        <x:v>3347</x:v>
      </x:c>
      <x:c r="E142" s="11" t="n">
        <x:v>1358</x:v>
      </x:c>
      <x:c r="F142" s="11" t="n">
        <x:v>1754</x:v>
      </x:c>
      <x:c r="G142" s="11" t="n">
        <x:v>351</x:v>
      </x:c>
      <x:c r="H142" s="11" t="n">
        <x:v>1409</x:v>
      </x:c>
      <x:c r="I142" s="11" t="n">
        <x:v>15496224</x:v>
      </x:c>
      <x:c r="J142" s="11" t="n">
        <x:v>3547172.418383662</x:v>
      </x:c>
      <x:c r="K142" s="12" t="n">
        <x:f>E142/D142</x:f>
        <x:v>0.405736480430236</x:v>
      </x:c>
      <x:c r="L142" s="12" t="n">
        <x:f>F142/D142</x:f>
        <x:v>0.5240513893038542</x:v>
      </x:c>
      <x:c r="M142" s="12" t="n">
        <x:f>G142/D142</x:f>
        <x:v>0.10487003286525247</x:v>
      </x:c>
      <x:c r="N142" s="12" t="n">
        <x:f>J142/I142</x:f>
        <x:v>0.22890559780135225</x:v>
      </x:c>
      <x:c r="O142" s="11" t="n">
        <x:v>0</x:v>
      </x:c>
      <x:c r="P142" s="11" t="n">
        <x:v>687</x:v>
      </x:c>
      <x:c r="Q142" s="11" t="n">
        <x:v>1272</x:v>
      </x:c>
      <x:c r="R142" s="11" t="n">
        <x:v>808</x:v>
      </x:c>
      <x:c r="S142" s="11" t="n">
        <x:v>104</x:v>
      </x:c>
      <x:c r="T142" s="11" t="n">
        <x:v>37</x:v>
      </x:c>
      <x:c r="U142" s="11" t="n">
        <x:v>177</x:v>
      </x:c>
      <x:c r="V142" s="11" t="n">
        <x:v>60</x:v>
      </x:c>
      <x:c r="W142" s="11" t="n">
        <x:v>199</x:v>
      </x:c>
      <x:c r="X142" s="11" t="n">
        <x:v>3</x:v>
      </x:c>
      <x:c r="Y142" s="11" t="n">
        <x:v>0</x:v>
      </x:c>
      <x:c r="Z142" s="11" t="n">
        <x:v>1647728</x:v>
      </x:c>
      <x:c r="AA142" s="11" t="n">
        <x:v>3259836</x:v>
      </x:c>
      <x:c r="AB142" s="11" t="n">
        <x:v>4752978</x:v>
      </x:c>
      <x:c r="AC142" s="11" t="n">
        <x:v>449166</x:v>
      </x:c>
      <x:c r="AD142" s="11" t="n">
        <x:v>623398</x:v>
      </x:c>
      <x:c r="AE142" s="11" t="n">
        <x:v>1794710</x:v>
      </x:c>
      <x:c r="AF142" s="11" t="n">
        <x:v>1340294</x:v>
      </x:c>
      <x:c r="AG142" s="11" t="n">
        <x:v>1622626</x:v>
      </x:c>
      <x:c r="AH142" s="11" t="n">
        <x:v>5488</x:v>
      </x:c>
    </x:row>
    <x:row r="143" ht="23" customHeight="1">
      <x:c r="A143" s="10" t="str">
        <x:v>M6</x:v>
      </x:c>
      <x:c r="B143" s="10" t="str">
        <x:v>NCG_H1_M1</x:v>
      </x:c>
      <x:c r="C143" s="9" t="str">
        <x:v>叶名称辅助</x:v>
      </x:c>
      <x:c r="D143" s="11" t="n">
        <x:v>3347</x:v>
      </x:c>
      <x:c r="E143" s="11" t="n">
        <x:v>1358</x:v>
      </x:c>
      <x:c r="F143" s="11" t="n">
        <x:v>1754</x:v>
      </x:c>
      <x:c r="G143" s="11" t="n">
        <x:v>351</x:v>
      </x:c>
      <x:c r="H143" s="11" t="n">
        <x:v>1525</x:v>
      </x:c>
      <x:c r="I143" s="11" t="n">
        <x:v>15496224</x:v>
      </x:c>
      <x:c r="J143" s="11" t="n">
        <x:v>3565073.498383654</x:v>
      </x:c>
      <x:c r="K143" s="12" t="n">
        <x:f>E143/D143</x:f>
        <x:v>0.405736480430236</x:v>
      </x:c>
      <x:c r="L143" s="12" t="n">
        <x:f>F143/D143</x:f>
        <x:v>0.5240513893038542</x:v>
      </x:c>
      <x:c r="M143" s="12" t="n">
        <x:f>G143/D143</x:f>
        <x:v>0.10487003286525247</x:v>
      </x:c>
      <x:c r="N143" s="12" t="n">
        <x:f>J143/I143</x:f>
        <x:v>0.23006078760759097</x:v>
      </x:c>
      <x:c r="O143" s="11" t="n">
        <x:v>0</x:v>
      </x:c>
      <x:c r="P143" s="11" t="n">
        <x:v>569</x:v>
      </x:c>
      <x:c r="Q143" s="11" t="n">
        <x:v>1308</x:v>
      </x:c>
      <x:c r="R143" s="11" t="n">
        <x:v>786</x:v>
      </x:c>
      <x:c r="S143" s="11" t="n">
        <x:v>205</x:v>
      </x:c>
      <x:c r="T143" s="11" t="n">
        <x:v>40</x:v>
      </x:c>
      <x:c r="U143" s="11" t="n">
        <x:v>177</x:v>
      </x:c>
      <x:c r="V143" s="11" t="n">
        <x:v>60</x:v>
      </x:c>
      <x:c r="W143" s="11" t="n">
        <x:v>199</x:v>
      </x:c>
      <x:c r="X143" s="11" t="n">
        <x:v>3</x:v>
      </x:c>
      <x:c r="Y143" s="11" t="n">
        <x:v>0</x:v>
      </x:c>
      <x:c r="Z143" s="11" t="n">
        <x:v>1510500</x:v>
      </x:c>
      <x:c r="AA143" s="11" t="n">
        <x:v>3244426</x:v>
      </x:c>
      <x:c r="AB143" s="11" t="n">
        <x:v>4760558</x:v>
      </x:c>
      <x:c r="AC143" s="11" t="n">
        <x:v>585536</x:v>
      </x:c>
      <x:c r="AD143" s="11" t="n">
        <x:v>632086</x:v>
      </x:c>
      <x:c r="AE143" s="11" t="n">
        <x:v>1794710</x:v>
      </x:c>
      <x:c r="AF143" s="11" t="n">
        <x:v>1340294</x:v>
      </x:c>
      <x:c r="AG143" s="11" t="n">
        <x:v>1622626</x:v>
      </x:c>
      <x:c r="AH143" s="11" t="n">
        <x:v>5488</x:v>
      </x:c>
    </x:row>
    <x:row r="144" ht="23" customHeight="1">
      <x:c r="A144" s="10" t="str">
        <x:v>M7</x:v>
      </x:c>
      <x:c r="B144" s="10" t="str">
        <x:v>N_H0</x:v>
      </x:c>
      <x:c r="C144" s="9" t="str">
        <x:v>主对照</x:v>
      </x:c>
      <x:c r="D144" s="11" t="n">
        <x:v>1026</x:v>
      </x:c>
      <x:c r="E144" s="11" t="n">
        <x:v>751</x:v>
      </x:c>
      <x:c r="F144" s="11" t="n">
        <x:v>923</x:v>
      </x:c>
      <x:c r="G144" s="11" t="n">
        <x:v>0</x:v>
      </x:c>
      <x:c r="H144" s="11" t="n">
        <x:v>751</x:v>
      </x:c>
      <x:c r="I144" s="11" t="n">
        <x:v>19905661</x:v>
      </x:c>
      <x:c r="J144" s="11" t="n">
        <x:v>4438765.819999979</x:v>
      </x:c>
      <x:c r="K144" s="12" t="n">
        <x:f>E144/D144</x:f>
        <x:v>0.7319688109161794</x:v>
      </x:c>
      <x:c r="L144" s="12" t="n">
        <x:f>F144/D144</x:f>
        <x:v>0.8996101364522417</x:v>
      </x:c>
      <x:c r="M144" s="12" t="n">
        <x:f>G144/D144</x:f>
        <x:v>0</x:v>
      </x:c>
      <x:c r="N144" s="12" t="n">
        <x:f>J144/I144</x:f>
        <x:v>0.22299012426665857</x:v>
      </x:c>
      <x:c r="O144" s="11" t="n">
        <x:v>0</x:v>
      </x:c>
      <x:c r="P144" s="11" t="n">
        <x:v>48</x:v>
      </x:c>
      <x:c r="Q144" s="11" t="n">
        <x:v>18</x:v>
      </x:c>
      <x:c r="R144" s="11" t="n">
        <x:v>0</x:v>
      </x:c>
      <x:c r="S144" s="11" t="n">
        <x:v>923</x:v>
      </x:c>
      <x:c r="T144" s="11" t="n">
        <x:v>11</x:v>
      </x:c>
      <x:c r="U144" s="11" t="n">
        <x:v>1</x:v>
      </x:c>
      <x:c r="V144" s="11" t="n">
        <x:v>5</x:v>
      </x:c>
      <x:c r="W144" s="11" t="n">
        <x:v>20</x:v>
      </x:c>
      <x:c r="X144" s="11" t="n">
        <x:v>0</x:v>
      </x:c>
      <x:c r="Y144" s="11" t="n">
        <x:v>0</x:v>
      </x:c>
      <x:c r="Z144" s="11" t="n">
        <x:v>34088</x:v>
      </x:c>
      <x:c r="AA144" s="11" t="n">
        <x:v>13392</x:v>
      </x:c>
      <x:c r="AB144" s="11" t="n">
        <x:v>0</x:v>
      </x:c>
      <x:c r="AC144" s="11" t="n">
        <x:v>19422563</x:v>
      </x:c>
      <x:c r="AD144" s="11" t="n">
        <x:v>42280</x:v>
      </x:c>
      <x:c r="AE144" s="11" t="n">
        <x:v>16602</x:v>
      </x:c>
      <x:c r="AF144" s="11" t="n">
        <x:v>98028</x:v>
      </x:c>
      <x:c r="AG144" s="11" t="n">
        <x:v>278708</x:v>
      </x:c>
      <x:c r="AH144" s="11" t="n">
        <x:v>0</x:v>
      </x:c>
    </x:row>
    <x:row r="145" ht="23" customHeight="1">
      <x:c r="A145" s="10" t="str">
        <x:v>M7</x:v>
      </x:c>
      <x:c r="B145" s="10" t="str">
        <x:v>N_HT</x:v>
      </x:c>
      <x:c r="C145" s="9" t="str">
        <x:v>仅拓扑与尺度</x:v>
      </x:c>
      <x:c r="D145" s="11" t="n">
        <x:v>1026</x:v>
      </x:c>
      <x:c r="E145" s="11" t="n">
        <x:v>751</x:v>
      </x:c>
      <x:c r="F145" s="11" t="n">
        <x:v>923</x:v>
      </x:c>
      <x:c r="G145" s="11" t="n">
        <x:v>0</x:v>
      </x:c>
      <x:c r="H145" s="11" t="n">
        <x:v>751</x:v>
      </x:c>
      <x:c r="I145" s="11" t="n">
        <x:v>19905661</x:v>
      </x:c>
      <x:c r="J145" s="11" t="n">
        <x:v>4438765.819999979</x:v>
      </x:c>
      <x:c r="K145" s="12" t="n">
        <x:f>E145/D145</x:f>
        <x:v>0.7319688109161794</x:v>
      </x:c>
      <x:c r="L145" s="12" t="n">
        <x:f>F145/D145</x:f>
        <x:v>0.8996101364522417</x:v>
      </x:c>
      <x:c r="M145" s="12" t="n">
        <x:f>G145/D145</x:f>
        <x:v>0</x:v>
      </x:c>
      <x:c r="N145" s="12" t="n">
        <x:f>J145/I145</x:f>
        <x:v>0.22299012426665857</x:v>
      </x:c>
      <x:c r="O145" s="11" t="n">
        <x:v>0</x:v>
      </x:c>
      <x:c r="P145" s="11" t="n">
        <x:v>48</x:v>
      </x:c>
      <x:c r="Q145" s="11" t="n">
        <x:v>18</x:v>
      </x:c>
      <x:c r="R145" s="11" t="n">
        <x:v>0</x:v>
      </x:c>
      <x:c r="S145" s="11" t="n">
        <x:v>923</x:v>
      </x:c>
      <x:c r="T145" s="11" t="n">
        <x:v>11</x:v>
      </x:c>
      <x:c r="U145" s="11" t="n">
        <x:v>1</x:v>
      </x:c>
      <x:c r="V145" s="11" t="n">
        <x:v>5</x:v>
      </x:c>
      <x:c r="W145" s="11" t="n">
        <x:v>20</x:v>
      </x:c>
      <x:c r="X145" s="11" t="n">
        <x:v>0</x:v>
      </x:c>
      <x:c r="Y145" s="11" t="n">
        <x:v>0</x:v>
      </x:c>
      <x:c r="Z145" s="11" t="n">
        <x:v>34088</x:v>
      </x:c>
      <x:c r="AA145" s="11" t="n">
        <x:v>13392</x:v>
      </x:c>
      <x:c r="AB145" s="11" t="n">
        <x:v>0</x:v>
      </x:c>
      <x:c r="AC145" s="11" t="n">
        <x:v>19422563</x:v>
      </x:c>
      <x:c r="AD145" s="11" t="n">
        <x:v>42280</x:v>
      </x:c>
      <x:c r="AE145" s="11" t="n">
        <x:v>16602</x:v>
      </x:c>
      <x:c r="AF145" s="11" t="n">
        <x:v>98028</x:v>
      </x:c>
      <x:c r="AG145" s="11" t="n">
        <x:v>278708</x:v>
      </x:c>
      <x:c r="AH145" s="11" t="n">
        <x:v>0</x:v>
      </x:c>
    </x:row>
    <x:row r="146" ht="23" customHeight="1">
      <x:c r="A146" s="10" t="str">
        <x:v>M7</x:v>
      </x:c>
      <x:c r="B146" s="10" t="str">
        <x:v>N_H1</x:v>
      </x:c>
      <x:c r="C146" s="9" t="str">
        <x:v>主对照</x:v>
      </x:c>
      <x:c r="D146" s="11" t="n">
        <x:v>1026</x:v>
      </x:c>
      <x:c r="E146" s="11" t="n">
        <x:v>751</x:v>
      </x:c>
      <x:c r="F146" s="11" t="n">
        <x:v>923</x:v>
      </x:c>
      <x:c r="G146" s="11" t="n">
        <x:v>0</x:v>
      </x:c>
      <x:c r="H146" s="11" t="n">
        <x:v>760</x:v>
      </x:c>
      <x:c r="I146" s="11" t="n">
        <x:v>19905661</x:v>
      </x:c>
      <x:c r="J146" s="11" t="n">
        <x:v>4439610.699999979</x:v>
      </x:c>
      <x:c r="K146" s="12" t="n">
        <x:f>E146/D146</x:f>
        <x:v>0.7319688109161794</x:v>
      </x:c>
      <x:c r="L146" s="12" t="n">
        <x:f>F146/D146</x:f>
        <x:v>0.8996101364522417</x:v>
      </x:c>
      <x:c r="M146" s="12" t="n">
        <x:f>G146/D146</x:f>
        <x:v>0</x:v>
      </x:c>
      <x:c r="N146" s="12" t="n">
        <x:f>J146/I146</x:f>
        <x:v>0.22303256847386171</x:v>
      </x:c>
      <x:c r="O146" s="11" t="n">
        <x:v>0</x:v>
      </x:c>
      <x:c r="P146" s="11" t="n">
        <x:v>47</x:v>
      </x:c>
      <x:c r="Q146" s="11" t="n">
        <x:v>14</x:v>
      </x:c>
      <x:c r="R146" s="11" t="n">
        <x:v>0</x:v>
      </x:c>
      <x:c r="S146" s="11" t="n">
        <x:v>923</x:v>
      </x:c>
      <x:c r="T146" s="11" t="n">
        <x:v>11</x:v>
      </x:c>
      <x:c r="U146" s="11" t="n">
        <x:v>6</x:v>
      </x:c>
      <x:c r="V146" s="11" t="n">
        <x:v>5</x:v>
      </x:c>
      <x:c r="W146" s="11" t="n">
        <x:v>20</x:v>
      </x:c>
      <x:c r="X146" s="11" t="n">
        <x:v>0</x:v>
      </x:c>
      <x:c r="Y146" s="11" t="n">
        <x:v>0</x:v>
      </x:c>
      <x:c r="Z146" s="11" t="n">
        <x:v>33460</x:v>
      </x:c>
      <x:c r="AA146" s="11" t="n">
        <x:v>9396</x:v>
      </x:c>
      <x:c r="AB146" s="11" t="n">
        <x:v>0</x:v>
      </x:c>
      <x:c r="AC146" s="11" t="n">
        <x:v>19422563</x:v>
      </x:c>
      <x:c r="AD146" s="11" t="n">
        <x:v>42280</x:v>
      </x:c>
      <x:c r="AE146" s="11" t="n">
        <x:v>21226</x:v>
      </x:c>
      <x:c r="AF146" s="11" t="n">
        <x:v>98028</x:v>
      </x:c>
      <x:c r="AG146" s="11" t="n">
        <x:v>278708</x:v>
      </x:c>
      <x:c r="AH146" s="11" t="n">
        <x:v>0</x:v>
      </x:c>
    </x:row>
    <x:row r="147" ht="23" customHeight="1">
      <x:c r="A147" s="10" t="str">
        <x:v>M7</x:v>
      </x:c>
      <x:c r="B147" s="10" t="str">
        <x:v>C_H0</x:v>
      </x:c>
      <x:c r="C147" s="9" t="str">
        <x:v>主对照</x:v>
      </x:c>
      <x:c r="D147" s="11" t="n">
        <x:v>1026</x:v>
      </x:c>
      <x:c r="E147" s="11" t="n">
        <x:v>920</x:v>
      </x:c>
      <x:c r="F147" s="11" t="n">
        <x:v>920</x:v>
      </x:c>
      <x:c r="G147" s="11" t="n">
        <x:v>0</x:v>
      </x:c>
      <x:c r="H147" s="11" t="n">
        <x:v>854</x:v>
      </x:c>
      <x:c r="I147" s="11" t="n">
        <x:v>19905661</x:v>
      </x:c>
      <x:c r="J147" s="11" t="n">
        <x:v>4332196.299999978</x:v>
      </x:c>
      <x:c r="K147" s="12" t="n">
        <x:f>E147/D147</x:f>
        <x:v>0.8966861598440545</x:v>
      </x:c>
      <x:c r="L147" s="12" t="n">
        <x:f>F147/D147</x:f>
        <x:v>0.8966861598440545</x:v>
      </x:c>
      <x:c r="M147" s="12" t="n">
        <x:f>G147/D147</x:f>
        <x:v>0</x:v>
      </x:c>
      <x:c r="N147" s="12" t="n">
        <x:f>J147/I147</x:f>
        <x:v>0.21763639499336287</x:v>
      </x:c>
      <x:c r="O147" s="11" t="n">
        <x:v>0</x:v>
      </x:c>
      <x:c r="P147" s="11" t="n">
        <x:v>102</x:v>
      </x:c>
      <x:c r="Q147" s="11" t="n">
        <x:v>0</x:v>
      </x:c>
      <x:c r="R147" s="11" t="n">
        <x:v>0</x:v>
      </x:c>
      <x:c r="S147" s="11" t="n">
        <x:v>920</x:v>
      </x:c>
      <x:c r="T147" s="11" t="n">
        <x:v>0</x:v>
      </x:c>
      <x:c r="U147" s="11" t="n">
        <x:v>0</x:v>
      </x:c>
      <x:c r="V147" s="11" t="n">
        <x:v>0</x:v>
      </x:c>
      <x:c r="W147" s="11" t="n">
        <x:v>4</x:v>
      </x:c>
      <x:c r="X147" s="11" t="n">
        <x:v>0</x:v>
      </x:c>
      <x:c r="Y147" s="11" t="n">
        <x:v>0</x:v>
      </x:c>
      <x:c r="Z147" s="11" t="n">
        <x:v>407910</x:v>
      </x:c>
      <x:c r="AA147" s="11" t="n">
        <x:v>0</x:v>
      </x:c>
      <x:c r="AB147" s="11" t="n">
        <x:v>0</x:v>
      </x:c>
      <x:c r="AC147" s="11" t="n">
        <x:v>19487195</x:v>
      </x:c>
      <x:c r="AD147" s="11" t="n">
        <x:v>0</x:v>
      </x:c>
      <x:c r="AE147" s="11" t="n">
        <x:v>0</x:v>
      </x:c>
      <x:c r="AF147" s="11" t="n">
        <x:v>0</x:v>
      </x:c>
      <x:c r="AG147" s="11" t="n">
        <x:v>10556</x:v>
      </x:c>
      <x:c r="AH147" s="11" t="n">
        <x:v>0</x:v>
      </x:c>
    </x:row>
    <x:row r="148" ht="23" customHeight="1">
      <x:c r="A148" s="10" t="str">
        <x:v>M7</x:v>
      </x:c>
      <x:c r="B148" s="10" t="str">
        <x:v>C_HT</x:v>
      </x:c>
      <x:c r="C148" s="9" t="str">
        <x:v>仅拓扑与尺度</x:v>
      </x:c>
      <x:c r="D148" s="11" t="n">
        <x:v>1026</x:v>
      </x:c>
      <x:c r="E148" s="11" t="n">
        <x:v>920</x:v>
      </x:c>
      <x:c r="F148" s="11" t="n">
        <x:v>920</x:v>
      </x:c>
      <x:c r="G148" s="11" t="n">
        <x:v>0</x:v>
      </x:c>
      <x:c r="H148" s="11" t="n">
        <x:v>854</x:v>
      </x:c>
      <x:c r="I148" s="11" t="n">
        <x:v>19905661</x:v>
      </x:c>
      <x:c r="J148" s="11" t="n">
        <x:v>4332196.299999978</x:v>
      </x:c>
      <x:c r="K148" s="12" t="n">
        <x:f>E148/D148</x:f>
        <x:v>0.8966861598440545</x:v>
      </x:c>
      <x:c r="L148" s="12" t="n">
        <x:f>F148/D148</x:f>
        <x:v>0.8966861598440545</x:v>
      </x:c>
      <x:c r="M148" s="12" t="n">
        <x:f>G148/D148</x:f>
        <x:v>0</x:v>
      </x:c>
      <x:c r="N148" s="12" t="n">
        <x:f>J148/I148</x:f>
        <x:v>0.21763639499336287</x:v>
      </x:c>
      <x:c r="O148" s="11" t="n">
        <x:v>0</x:v>
      </x:c>
      <x:c r="P148" s="11" t="n">
        <x:v>102</x:v>
      </x:c>
      <x:c r="Q148" s="11" t="n">
        <x:v>0</x:v>
      </x:c>
      <x:c r="R148" s="11" t="n">
        <x:v>0</x:v>
      </x:c>
      <x:c r="S148" s="11" t="n">
        <x:v>920</x:v>
      </x:c>
      <x:c r="T148" s="11" t="n">
        <x:v>0</x:v>
      </x:c>
      <x:c r="U148" s="11" t="n">
        <x:v>0</x:v>
      </x:c>
      <x:c r="V148" s="11" t="n">
        <x:v>0</x:v>
      </x:c>
      <x:c r="W148" s="11" t="n">
        <x:v>4</x:v>
      </x:c>
      <x:c r="X148" s="11" t="n">
        <x:v>0</x:v>
      </x:c>
      <x:c r="Y148" s="11" t="n">
        <x:v>0</x:v>
      </x:c>
      <x:c r="Z148" s="11" t="n">
        <x:v>407910</x:v>
      </x:c>
      <x:c r="AA148" s="11" t="n">
        <x:v>0</x:v>
      </x:c>
      <x:c r="AB148" s="11" t="n">
        <x:v>0</x:v>
      </x:c>
      <x:c r="AC148" s="11" t="n">
        <x:v>19487195</x:v>
      </x:c>
      <x:c r="AD148" s="11" t="n">
        <x:v>0</x:v>
      </x:c>
      <x:c r="AE148" s="11" t="n">
        <x:v>0</x:v>
      </x:c>
      <x:c r="AF148" s="11" t="n">
        <x:v>0</x:v>
      </x:c>
      <x:c r="AG148" s="11" t="n">
        <x:v>10556</x:v>
      </x:c>
      <x:c r="AH148" s="11" t="n">
        <x:v>0</x:v>
      </x:c>
    </x:row>
    <x:row r="149" ht="23" customHeight="1">
      <x:c r="A149" s="10" t="str">
        <x:v>M7</x:v>
      </x:c>
      <x:c r="B149" s="10" t="str">
        <x:v>C_H1</x:v>
      </x:c>
      <x:c r="C149" s="9" t="str">
        <x:v>主对照</x:v>
      </x:c>
      <x:c r="D149" s="11" t="n">
        <x:v>1026</x:v>
      </x:c>
      <x:c r="E149" s="11" t="n">
        <x:v>920</x:v>
      </x:c>
      <x:c r="F149" s="11" t="n">
        <x:v>920</x:v>
      </x:c>
      <x:c r="G149" s="11" t="n">
        <x:v>0</x:v>
      </x:c>
      <x:c r="H149" s="11" t="n">
        <x:v>855</x:v>
      </x:c>
      <x:c r="I149" s="11" t="n">
        <x:v>19905661</x:v>
      </x:c>
      <x:c r="J149" s="11" t="n">
        <x:v>4332321.899999978</x:v>
      </x:c>
      <x:c r="K149" s="12" t="n">
        <x:f>E149/D149</x:f>
        <x:v>0.8966861598440545</x:v>
      </x:c>
      <x:c r="L149" s="12" t="n">
        <x:f>F149/D149</x:f>
        <x:v>0.8966861598440545</x:v>
      </x:c>
      <x:c r="M149" s="12" t="n">
        <x:f>G149/D149</x:f>
        <x:v>0</x:v>
      </x:c>
      <x:c r="N149" s="12" t="n">
        <x:f>J149/I149</x:f>
        <x:v>0.21764270475619865</x:v>
      </x:c>
      <x:c r="O149" s="11" t="n">
        <x:v>0</x:v>
      </x:c>
      <x:c r="P149" s="11" t="n">
        <x:v>101</x:v>
      </x:c>
      <x:c r="Q149" s="11" t="n">
        <x:v>0</x:v>
      </x:c>
      <x:c r="R149" s="11" t="n">
        <x:v>0</x:v>
      </x:c>
      <x:c r="S149" s="11" t="n">
        <x:v>920</x:v>
      </x:c>
      <x:c r="T149" s="11" t="n">
        <x:v>0</x:v>
      </x:c>
      <x:c r="U149" s="11" t="n">
        <x:v>1</x:v>
      </x:c>
      <x:c r="V149" s="11" t="n">
        <x:v>0</x:v>
      </x:c>
      <x:c r="W149" s="11" t="n">
        <x:v>4</x:v>
      </x:c>
      <x:c r="X149" s="11" t="n">
        <x:v>0</x:v>
      </x:c>
      <x:c r="Y149" s="11" t="n">
        <x:v>0</x:v>
      </x:c>
      <x:c r="Z149" s="11" t="n">
        <x:v>407282</x:v>
      </x:c>
      <x:c r="AA149" s="11" t="n">
        <x:v>0</x:v>
      </x:c>
      <x:c r="AB149" s="11" t="n">
        <x:v>0</x:v>
      </x:c>
      <x:c r="AC149" s="11" t="n">
        <x:v>19487195</x:v>
      </x:c>
      <x:c r="AD149" s="11" t="n">
        <x:v>0</x:v>
      </x:c>
      <x:c r="AE149" s="11" t="n">
        <x:v>628</x:v>
      </x:c>
      <x:c r="AF149" s="11" t="n">
        <x:v>0</x:v>
      </x:c>
      <x:c r="AG149" s="11" t="n">
        <x:v>10556</x:v>
      </x:c>
      <x:c r="AH149" s="11" t="n">
        <x:v>0</x:v>
      </x:c>
    </x:row>
    <x:row r="150" ht="23" customHeight="1">
      <x:c r="A150" s="10" t="str">
        <x:v>M7</x:v>
      </x:c>
      <x:c r="B150" s="10" t="str">
        <x:v>G_H0</x:v>
      </x:c>
      <x:c r="C150" s="9" t="str">
        <x:v>主对照</x:v>
      </x:c>
      <x:c r="D150" s="11" t="n">
        <x:v>1026</x:v>
      </x:c>
      <x:c r="E150" s="11" t="n">
        <x:v>1026</x:v>
      </x:c>
      <x:c r="F150" s="11" t="n">
        <x:v>1026</x:v>
      </x:c>
      <x:c r="G150" s="11" t="n">
        <x:v>0</x:v>
      </x:c>
      <x:c r="H150" s="11" t="n">
        <x:v>1026</x:v>
      </x:c>
      <x:c r="I150" s="11" t="n">
        <x:v>19905661</x:v>
      </x:c>
      <x:c r="J150" s="11" t="n">
        <x:v>5509240.607327889</x:v>
      </x:c>
      <x:c r="K150" s="12" t="n">
        <x:f>E150/D150</x:f>
        <x:v>1</x:v>
      </x:c>
      <x:c r="L150" s="12" t="n">
        <x:f>F150/D150</x:f>
        <x:v>1</x:v>
      </x:c>
      <x:c r="M150" s="12" t="n">
        <x:f>G150/D150</x:f>
        <x:v>0</x:v>
      </x:c>
      <x:c r="N150" s="12" t="n">
        <x:f>J150/I150</x:f>
        <x:v>0.27676752896213236</x:v>
      </x:c>
      <x:c r="O150" s="11" t="n">
        <x:v>0</x:v>
      </x:c>
      <x:c r="P150" s="11" t="n">
        <x:v>142</x:v>
      </x:c>
      <x:c r="Q150" s="11" t="n">
        <x:v>708</x:v>
      </x:c>
      <x:c r="R150" s="11" t="n">
        <x:v>92</x:v>
      </x:c>
      <x:c r="S150" s="11" t="n">
        <x:v>79</x:v>
      </x:c>
      <x:c r="T150" s="11" t="n">
        <x:v>5</x:v>
      </x:c>
      <x:c r="U150" s="11" t="n">
        <x:v>0</x:v>
      </x:c>
      <x:c r="V150" s="11" t="n">
        <x:v>0</x:v>
      </x:c>
      <x:c r="W150" s="11" t="n">
        <x:v>0</x:v>
      </x:c>
      <x:c r="X150" s="11" t="n">
        <x:v>0</x:v>
      </x:c>
      <x:c r="Y150" s="11" t="n">
        <x:v>0</x:v>
      </x:c>
      <x:c r="Z150" s="11" t="n">
        <x:v>444994</x:v>
      </x:c>
      <x:c r="AA150" s="11" t="n">
        <x:v>1269512</x:v>
      </x:c>
      <x:c r="AB150" s="11" t="n">
        <x:v>424508</x:v>
      </x:c>
      <x:c r="AC150" s="11" t="n">
        <x:v>2462462</x:v>
      </x:c>
      <x:c r="AD150" s="11" t="n">
        <x:v>15304185</x:v>
      </x:c>
      <x:c r="AE150" s="11" t="n">
        <x:v>0</x:v>
      </x:c>
      <x:c r="AF150" s="11" t="n">
        <x:v>0</x:v>
      </x:c>
      <x:c r="AG150" s="11" t="n">
        <x:v>0</x:v>
      </x:c>
      <x:c r="AH150" s="11" t="n">
        <x:v>0</x:v>
      </x:c>
    </x:row>
    <x:row r="151" ht="23" customHeight="1">
      <x:c r="A151" s="10" t="str">
        <x:v>M7</x:v>
      </x:c>
      <x:c r="B151" s="10" t="str">
        <x:v>G_HT</x:v>
      </x:c>
      <x:c r="C151" s="9" t="str">
        <x:v>仅拓扑与尺度</x:v>
      </x:c>
      <x:c r="D151" s="11" t="n">
        <x:v>1026</x:v>
      </x:c>
      <x:c r="E151" s="11" t="n">
        <x:v>1026</x:v>
      </x:c>
      <x:c r="F151" s="11" t="n">
        <x:v>1026</x:v>
      </x:c>
      <x:c r="G151" s="11" t="n">
        <x:v>0</x:v>
      </x:c>
      <x:c r="H151" s="11" t="n">
        <x:v>1026</x:v>
      </x:c>
      <x:c r="I151" s="11" t="n">
        <x:v>19905661</x:v>
      </x:c>
      <x:c r="J151" s="11" t="n">
        <x:v>5518777.2873278875</x:v>
      </x:c>
      <x:c r="K151" s="12" t="n">
        <x:f>E151/D151</x:f>
        <x:v>1</x:v>
      </x:c>
      <x:c r="L151" s="12" t="n">
        <x:f>F151/D151</x:f>
        <x:v>1</x:v>
      </x:c>
      <x:c r="M151" s="12" t="n">
        <x:f>G151/D151</x:f>
        <x:v>0</x:v>
      </x:c>
      <x:c r="N151" s="12" t="n">
        <x:f>J151/I151</x:f>
        <x:v>0.2772466228239237</x:v>
      </x:c>
      <x:c r="O151" s="11" t="n">
        <x:v>0</x:v>
      </x:c>
      <x:c r="P151" s="11" t="n">
        <x:v>73</x:v>
      </x:c>
      <x:c r="Q151" s="11" t="n">
        <x:v>737</x:v>
      </x:c>
      <x:c r="R151" s="11" t="n">
        <x:v>122</x:v>
      </x:c>
      <x:c r="S151" s="11" t="n">
        <x:v>89</x:v>
      </x:c>
      <x:c r="T151" s="11" t="n">
        <x:v>5</x:v>
      </x:c>
      <x:c r="U151" s="11" t="n">
        <x:v>0</x:v>
      </x:c>
      <x:c r="V151" s="11" t="n">
        <x:v>0</x:v>
      </x:c>
      <x:c r="W151" s="11" t="n">
        <x:v>0</x:v>
      </x:c>
      <x:c r="X151" s="11" t="n">
        <x:v>0</x:v>
      </x:c>
      <x:c r="Y151" s="11" t="n">
        <x:v>0</x:v>
      </x:c>
      <x:c r="Z151" s="11" t="n">
        <x:v>171318</x:v>
      </x:c>
      <x:c r="AA151" s="11" t="n">
        <x:v>1517629</x:v>
      </x:c>
      <x:c r="AB151" s="11" t="n">
        <x:v>399387</x:v>
      </x:c>
      <x:c r="AC151" s="11" t="n">
        <x:v>2513142</x:v>
      </x:c>
      <x:c r="AD151" s="11" t="n">
        <x:v>15304185</x:v>
      </x:c>
      <x:c r="AE151" s="11" t="n">
        <x:v>0</x:v>
      </x:c>
      <x:c r="AF151" s="11" t="n">
        <x:v>0</x:v>
      </x:c>
      <x:c r="AG151" s="11" t="n">
        <x:v>0</x:v>
      </x:c>
      <x:c r="AH151" s="11" t="n">
        <x:v>0</x:v>
      </x:c>
    </x:row>
    <x:row r="152" ht="23" customHeight="1">
      <x:c r="A152" s="10" t="str">
        <x:v>M7</x:v>
      </x:c>
      <x:c r="B152" s="10" t="str">
        <x:v>G_H1</x:v>
      </x:c>
      <x:c r="C152" s="9" t="str">
        <x:v>主对照</x:v>
      </x:c>
      <x:c r="D152" s="11" t="n">
        <x:v>1026</x:v>
      </x:c>
      <x:c r="E152" s="11" t="n">
        <x:v>1026</x:v>
      </x:c>
      <x:c r="F152" s="11" t="n">
        <x:v>1026</x:v>
      </x:c>
      <x:c r="G152" s="11" t="n">
        <x:v>0</x:v>
      </x:c>
      <x:c r="H152" s="11" t="n">
        <x:v>1026</x:v>
      </x:c>
      <x:c r="I152" s="11" t="n">
        <x:v>19905661</x:v>
      </x:c>
      <x:c r="J152" s="11" t="n">
        <x:v>5518777.2873278875</x:v>
      </x:c>
      <x:c r="K152" s="12" t="n">
        <x:f>E152/D152</x:f>
        <x:v>1</x:v>
      </x:c>
      <x:c r="L152" s="12" t="n">
        <x:f>F152/D152</x:f>
        <x:v>1</x:v>
      </x:c>
      <x:c r="M152" s="12" t="n">
        <x:f>G152/D152</x:f>
        <x:v>0</x:v>
      </x:c>
      <x:c r="N152" s="12" t="n">
        <x:f>J152/I152</x:f>
        <x:v>0.2772466228239237</x:v>
      </x:c>
      <x:c r="O152" s="11" t="n">
        <x:v>0</x:v>
      </x:c>
      <x:c r="P152" s="11" t="n">
        <x:v>73</x:v>
      </x:c>
      <x:c r="Q152" s="11" t="n">
        <x:v>737</x:v>
      </x:c>
      <x:c r="R152" s="11" t="n">
        <x:v>122</x:v>
      </x:c>
      <x:c r="S152" s="11" t="n">
        <x:v>89</x:v>
      </x:c>
      <x:c r="T152" s="11" t="n">
        <x:v>5</x:v>
      </x:c>
      <x:c r="U152" s="11" t="n">
        <x:v>0</x:v>
      </x:c>
      <x:c r="V152" s="11" t="n">
        <x:v>0</x:v>
      </x:c>
      <x:c r="W152" s="11" t="n">
        <x:v>0</x:v>
      </x:c>
      <x:c r="X152" s="11" t="n">
        <x:v>0</x:v>
      </x:c>
      <x:c r="Y152" s="11" t="n">
        <x:v>0</x:v>
      </x:c>
      <x:c r="Z152" s="11" t="n">
        <x:v>171318</x:v>
      </x:c>
      <x:c r="AA152" s="11" t="n">
        <x:v>1517629</x:v>
      </x:c>
      <x:c r="AB152" s="11" t="n">
        <x:v>399387</x:v>
      </x:c>
      <x:c r="AC152" s="11" t="n">
        <x:v>2513142</x:v>
      </x:c>
      <x:c r="AD152" s="11" t="n">
        <x:v>15304185</x:v>
      </x:c>
      <x:c r="AE152" s="11" t="n">
        <x:v>0</x:v>
      </x:c>
      <x:c r="AF152" s="11" t="n">
        <x:v>0</x:v>
      </x:c>
      <x:c r="AG152" s="11" t="n">
        <x:v>0</x:v>
      </x:c>
      <x:c r="AH152" s="11" t="n">
        <x:v>0</x:v>
      </x:c>
    </x:row>
    <x:row r="153" ht="23" customHeight="1">
      <x:c r="A153" s="10" t="str">
        <x:v>M7</x:v>
      </x:c>
      <x:c r="B153" s="10" t="str">
        <x:v>NC_H0</x:v>
      </x:c>
      <x:c r="C153" s="9" t="str">
        <x:v>主对照</x:v>
      </x:c>
      <x:c r="D153" s="11" t="n">
        <x:v>1026</x:v>
      </x:c>
      <x:c r="E153" s="11" t="n">
        <x:v>723</x:v>
      </x:c>
      <x:c r="F153" s="11" t="n">
        <x:v>885</x:v>
      </x:c>
      <x:c r="G153" s="11" t="n">
        <x:v>63</x:v>
      </x:c>
      <x:c r="H153" s="11" t="n">
        <x:v>698</x:v>
      </x:c>
      <x:c r="I153" s="11" t="n">
        <x:v>19905661</x:v>
      </x:c>
      <x:c r="J153" s="11" t="n">
        <x:v>4395369.499999978</x:v>
      </x:c>
      <x:c r="K153" s="12" t="n">
        <x:f>E153/D153</x:f>
        <x:v>0.7046783625730995</x:v>
      </x:c>
      <x:c r="L153" s="12" t="n">
        <x:f>F153/D153</x:f>
        <x:v>0.8625730994152047</x:v>
      </x:c>
      <x:c r="M153" s="12" t="n">
        <x:f>G153/D153</x:f>
        <x:v>0.06140350877192982</x:v>
      </x:c>
      <x:c r="N153" s="12" t="n">
        <x:f>J153/I153</x:f>
        <x:v>0.2208100248466995</x:v>
      </x:c>
      <x:c r="O153" s="11" t="n">
        <x:v>0</x:v>
      </x:c>
      <x:c r="P153" s="11" t="n">
        <x:v>87</x:v>
      </x:c>
      <x:c r="Q153" s="11" t="n">
        <x:v>17</x:v>
      </x:c>
      <x:c r="R153" s="11" t="n">
        <x:v>0</x:v>
      </x:c>
      <x:c r="S153" s="11" t="n">
        <x:v>885</x:v>
      </x:c>
      <x:c r="T153" s="11" t="n">
        <x:v>11</x:v>
      </x:c>
      <x:c r="U153" s="11" t="n">
        <x:v>1</x:v>
      </x:c>
      <x:c r="V153" s="11" t="n">
        <x:v>5</x:v>
      </x:c>
      <x:c r="W153" s="11" t="n">
        <x:v>20</x:v>
      </x:c>
      <x:c r="X153" s="11" t="n">
        <x:v>0</x:v>
      </x:c>
      <x:c r="Y153" s="11" t="n">
        <x:v>0</x:v>
      </x:c>
      <x:c r="Z153" s="11" t="n">
        <x:v>396164</x:v>
      </x:c>
      <x:c r="AA153" s="11" t="n">
        <x:v>12864</x:v>
      </x:c>
      <x:c r="AB153" s="11" t="n">
        <x:v>0</x:v>
      </x:c>
      <x:c r="AC153" s="11" t="n">
        <x:v>19061015</x:v>
      </x:c>
      <x:c r="AD153" s="11" t="n">
        <x:v>42280</x:v>
      </x:c>
      <x:c r="AE153" s="11" t="n">
        <x:v>16602</x:v>
      </x:c>
      <x:c r="AF153" s="11" t="n">
        <x:v>98028</x:v>
      </x:c>
      <x:c r="AG153" s="11" t="n">
        <x:v>278708</x:v>
      </x:c>
      <x:c r="AH153" s="11" t="n">
        <x:v>0</x:v>
      </x:c>
    </x:row>
    <x:row r="154" ht="23" customHeight="1">
      <x:c r="A154" s="10" t="str">
        <x:v>M7</x:v>
      </x:c>
      <x:c r="B154" s="10" t="str">
        <x:v>NC_HT</x:v>
      </x:c>
      <x:c r="C154" s="9" t="str">
        <x:v>仅拓扑与尺度</x:v>
      </x:c>
      <x:c r="D154" s="11" t="n">
        <x:v>1026</x:v>
      </x:c>
      <x:c r="E154" s="11" t="n">
        <x:v>723</x:v>
      </x:c>
      <x:c r="F154" s="11" t="n">
        <x:v>885</x:v>
      </x:c>
      <x:c r="G154" s="11" t="n">
        <x:v>63</x:v>
      </x:c>
      <x:c r="H154" s="11" t="n">
        <x:v>698</x:v>
      </x:c>
      <x:c r="I154" s="11" t="n">
        <x:v>19905661</x:v>
      </x:c>
      <x:c r="J154" s="11" t="n">
        <x:v>4395369.499999978</x:v>
      </x:c>
      <x:c r="K154" s="12" t="n">
        <x:f>E154/D154</x:f>
        <x:v>0.7046783625730995</x:v>
      </x:c>
      <x:c r="L154" s="12" t="n">
        <x:f>F154/D154</x:f>
        <x:v>0.8625730994152047</x:v>
      </x:c>
      <x:c r="M154" s="12" t="n">
        <x:f>G154/D154</x:f>
        <x:v>0.06140350877192982</x:v>
      </x:c>
      <x:c r="N154" s="12" t="n">
        <x:f>J154/I154</x:f>
        <x:v>0.2208100248466995</x:v>
      </x:c>
      <x:c r="O154" s="11" t="n">
        <x:v>0</x:v>
      </x:c>
      <x:c r="P154" s="11" t="n">
        <x:v>87</x:v>
      </x:c>
      <x:c r="Q154" s="11" t="n">
        <x:v>17</x:v>
      </x:c>
      <x:c r="R154" s="11" t="n">
        <x:v>0</x:v>
      </x:c>
      <x:c r="S154" s="11" t="n">
        <x:v>885</x:v>
      </x:c>
      <x:c r="T154" s="11" t="n">
        <x:v>11</x:v>
      </x:c>
      <x:c r="U154" s="11" t="n">
        <x:v>1</x:v>
      </x:c>
      <x:c r="V154" s="11" t="n">
        <x:v>5</x:v>
      </x:c>
      <x:c r="W154" s="11" t="n">
        <x:v>20</x:v>
      </x:c>
      <x:c r="X154" s="11" t="n">
        <x:v>0</x:v>
      </x:c>
      <x:c r="Y154" s="11" t="n">
        <x:v>0</x:v>
      </x:c>
      <x:c r="Z154" s="11" t="n">
        <x:v>396164</x:v>
      </x:c>
      <x:c r="AA154" s="11" t="n">
        <x:v>12864</x:v>
      </x:c>
      <x:c r="AB154" s="11" t="n">
        <x:v>0</x:v>
      </x:c>
      <x:c r="AC154" s="11" t="n">
        <x:v>19061015</x:v>
      </x:c>
      <x:c r="AD154" s="11" t="n">
        <x:v>42280</x:v>
      </x:c>
      <x:c r="AE154" s="11" t="n">
        <x:v>16602</x:v>
      </x:c>
      <x:c r="AF154" s="11" t="n">
        <x:v>98028</x:v>
      </x:c>
      <x:c r="AG154" s="11" t="n">
        <x:v>278708</x:v>
      </x:c>
      <x:c r="AH154" s="11" t="n">
        <x:v>0</x:v>
      </x:c>
    </x:row>
    <x:row r="155" ht="23" customHeight="1">
      <x:c r="A155" s="10" t="str">
        <x:v>M7</x:v>
      </x:c>
      <x:c r="B155" s="10" t="str">
        <x:v>NC_H1</x:v>
      </x:c>
      <x:c r="C155" s="9" t="str">
        <x:v>主对照</x:v>
      </x:c>
      <x:c r="D155" s="11" t="n">
        <x:v>1026</x:v>
      </x:c>
      <x:c r="E155" s="11" t="n">
        <x:v>723</x:v>
      </x:c>
      <x:c r="F155" s="11" t="n">
        <x:v>885</x:v>
      </x:c>
      <x:c r="G155" s="11" t="n">
        <x:v>63</x:v>
      </x:c>
      <x:c r="H155" s="11" t="n">
        <x:v>706</x:v>
      </x:c>
      <x:c r="I155" s="11" t="n">
        <x:v>19905661</x:v>
      </x:c>
      <x:c r="J155" s="11" t="n">
        <x:v>4396119.339999978</x:v>
      </x:c>
      <x:c r="K155" s="12" t="n">
        <x:f>E155/D155</x:f>
        <x:v>0.7046783625730995</x:v>
      </x:c>
      <x:c r="L155" s="12" t="n">
        <x:f>F155/D155</x:f>
        <x:v>0.8625730994152047</x:v>
      </x:c>
      <x:c r="M155" s="12" t="n">
        <x:f>G155/D155</x:f>
        <x:v>0.06140350877192982</x:v>
      </x:c>
      <x:c r="N155" s="12" t="n">
        <x:f>J155/I155</x:f>
        <x:v>0.22084769453272507</x:v>
      </x:c>
      <x:c r="O155" s="11" t="n">
        <x:v>0</x:v>
      </x:c>
      <x:c r="P155" s="11" t="n">
        <x:v>86</x:v>
      </x:c>
      <x:c r="Q155" s="11" t="n">
        <x:v>14</x:v>
      </x:c>
      <x:c r="R155" s="11" t="n">
        <x:v>0</x:v>
      </x:c>
      <x:c r="S155" s="11" t="n">
        <x:v>885</x:v>
      </x:c>
      <x:c r="T155" s="11" t="n">
        <x:v>11</x:v>
      </x:c>
      <x:c r="U155" s="11" t="n">
        <x:v>5</x:v>
      </x:c>
      <x:c r="V155" s="11" t="n">
        <x:v>5</x:v>
      </x:c>
      <x:c r="W155" s="11" t="n">
        <x:v>20</x:v>
      </x:c>
      <x:c r="X155" s="11" t="n">
        <x:v>0</x:v>
      </x:c>
      <x:c r="Y155" s="11" t="n">
        <x:v>0</x:v>
      </x:c>
      <x:c r="Z155" s="11" t="n">
        <x:v>395536</x:v>
      </x:c>
      <x:c r="AA155" s="11" t="n">
        <x:v>9396</x:v>
      </x:c>
      <x:c r="AB155" s="11" t="n">
        <x:v>0</x:v>
      </x:c>
      <x:c r="AC155" s="11" t="n">
        <x:v>19061015</x:v>
      </x:c>
      <x:c r="AD155" s="11" t="n">
        <x:v>42280</x:v>
      </x:c>
      <x:c r="AE155" s="11" t="n">
        <x:v>20698</x:v>
      </x:c>
      <x:c r="AF155" s="11" t="n">
        <x:v>98028</x:v>
      </x:c>
      <x:c r="AG155" s="11" t="n">
        <x:v>278708</x:v>
      </x:c>
      <x:c r="AH155" s="11" t="n">
        <x:v>0</x:v>
      </x:c>
    </x:row>
    <x:row r="156" ht="23" customHeight="1">
      <x:c r="A156" s="10" t="str">
        <x:v>M7</x:v>
      </x:c>
      <x:c r="B156" s="10" t="str">
        <x:v>NG_H0</x:v>
      </x:c>
      <x:c r="C156" s="9" t="str">
        <x:v>主对照</x:v>
      </x:c>
      <x:c r="D156" s="11" t="n">
        <x:v>1026</x:v>
      </x:c>
      <x:c r="E156" s="11" t="n">
        <x:v>751</x:v>
      </x:c>
      <x:c r="F156" s="11" t="n">
        <x:v>923</x:v>
      </x:c>
      <x:c r="G156" s="11" t="n">
        <x:v>0</x:v>
      </x:c>
      <x:c r="H156" s="11" t="n">
        <x:v>751</x:v>
      </x:c>
      <x:c r="I156" s="11" t="n">
        <x:v>19905661</x:v>
      </x:c>
      <x:c r="J156" s="11" t="n">
        <x:v>5617770.847327888</x:v>
      </x:c>
      <x:c r="K156" s="12" t="n">
        <x:f>E156/D156</x:f>
        <x:v>0.7319688109161794</x:v>
      </x:c>
      <x:c r="L156" s="12" t="n">
        <x:f>F156/D156</x:f>
        <x:v>0.8996101364522417</x:v>
      </x:c>
      <x:c r="M156" s="12" t="n">
        <x:f>G156/D156</x:f>
        <x:v>0</x:v>
      </x:c>
      <x:c r="N156" s="12" t="n">
        <x:f>J156/I156</x:f>
        <x:v>0.2822197588579394</x:v>
      </x:c>
      <x:c r="O156" s="11" t="n">
        <x:v>0</x:v>
      </x:c>
      <x:c r="P156" s="11" t="n">
        <x:v>130</x:v>
      </x:c>
      <x:c r="Q156" s="11" t="n">
        <x:v>690</x:v>
      </x:c>
      <x:c r="R156" s="11" t="n">
        <x:v>85</x:v>
      </x:c>
      <x:c r="S156" s="11" t="n">
        <x:v>79</x:v>
      </x:c>
      <x:c r="T156" s="11" t="n">
        <x:v>16</x:v>
      </x:c>
      <x:c r="U156" s="11" t="n">
        <x:v>1</x:v>
      </x:c>
      <x:c r="V156" s="11" t="n">
        <x:v>5</x:v>
      </x:c>
      <x:c r="W156" s="11" t="n">
        <x:v>20</x:v>
      </x:c>
      <x:c r="X156" s="11" t="n">
        <x:v>0</x:v>
      </x:c>
      <x:c r="Y156" s="11" t="n">
        <x:v>0</x:v>
      </x:c>
      <x:c r="Z156" s="11" t="n">
        <x:v>201132</x:v>
      </x:c>
      <x:c r="AA156" s="11" t="n">
        <x:v>1199230</x:v>
      </x:c>
      <x:c r="AB156" s="11" t="n">
        <x:v>303034</x:v>
      </x:c>
      <x:c r="AC156" s="11" t="n">
        <x:v>2462462</x:v>
      </x:c>
      <x:c r="AD156" s="11" t="n">
        <x:v>15346465</x:v>
      </x:c>
      <x:c r="AE156" s="11" t="n">
        <x:v>16602</x:v>
      </x:c>
      <x:c r="AF156" s="11" t="n">
        <x:v>98028</x:v>
      </x:c>
      <x:c r="AG156" s="11" t="n">
        <x:v>278708</x:v>
      </x:c>
      <x:c r="AH156" s="11" t="n">
        <x:v>0</x:v>
      </x:c>
    </x:row>
    <x:row r="157" ht="23" customHeight="1">
      <x:c r="A157" s="10" t="str">
        <x:v>M7</x:v>
      </x:c>
      <x:c r="B157" s="10" t="str">
        <x:v>NG_HT</x:v>
      </x:c>
      <x:c r="C157" s="9" t="str">
        <x:v>仅拓扑与尺度</x:v>
      </x:c>
      <x:c r="D157" s="11" t="n">
        <x:v>1026</x:v>
      </x:c>
      <x:c r="E157" s="11" t="n">
        <x:v>751</x:v>
      </x:c>
      <x:c r="F157" s="11" t="n">
        <x:v>923</x:v>
      </x:c>
      <x:c r="G157" s="11" t="n">
        <x:v>0</x:v>
      </x:c>
      <x:c r="H157" s="11" t="n">
        <x:v>751</x:v>
      </x:c>
      <x:c r="I157" s="11" t="n">
        <x:v>19905661</x:v>
      </x:c>
      <x:c r="J157" s="11" t="n">
        <x:v>5622246.367327888</x:v>
      </x:c>
      <x:c r="K157" s="12" t="n">
        <x:f>E157/D157</x:f>
        <x:v>0.7319688109161794</x:v>
      </x:c>
      <x:c r="L157" s="12" t="n">
        <x:f>F157/D157</x:f>
        <x:v>0.8996101364522417</x:v>
      </x:c>
      <x:c r="M157" s="12" t="n">
        <x:f>G157/D157</x:f>
        <x:v>0</x:v>
      </x:c>
      <x:c r="N157" s="12" t="n">
        <x:f>J157/I157</x:f>
        <x:v>0.2824445954006696</x:v>
      </x:c>
      <x:c r="O157" s="11" t="n">
        <x:v>0</x:v>
      </x:c>
      <x:c r="P157" s="11" t="n">
        <x:v>97</x:v>
      </x:c>
      <x:c r="Q157" s="11" t="n">
        <x:v>683</x:v>
      </x:c>
      <x:c r="R157" s="11" t="n">
        <x:v>115</x:v>
      </x:c>
      <x:c r="S157" s="11" t="n">
        <x:v>89</x:v>
      </x:c>
      <x:c r="T157" s="11" t="n">
        <x:v>16</x:v>
      </x:c>
      <x:c r="U157" s="11" t="n">
        <x:v>1</x:v>
      </x:c>
      <x:c r="V157" s="11" t="n">
        <x:v>5</x:v>
      </x:c>
      <x:c r="W157" s="11" t="n">
        <x:v>20</x:v>
      </x:c>
      <x:c r="X157" s="11" t="n">
        <x:v>0</x:v>
      </x:c>
      <x:c r="Y157" s="11" t="n">
        <x:v>0</x:v>
      </x:c>
      <x:c r="Z157" s="11" t="n">
        <x:v>180514</x:v>
      </x:c>
      <x:c r="AA157" s="11" t="n">
        <x:v>1194289</x:v>
      </x:c>
      <x:c r="AB157" s="11" t="n">
        <x:v>277913</x:v>
      </x:c>
      <x:c r="AC157" s="11" t="n">
        <x:v>2513142</x:v>
      </x:c>
      <x:c r="AD157" s="11" t="n">
        <x:v>15346465</x:v>
      </x:c>
      <x:c r="AE157" s="11" t="n">
        <x:v>16602</x:v>
      </x:c>
      <x:c r="AF157" s="11" t="n">
        <x:v>98028</x:v>
      </x:c>
      <x:c r="AG157" s="11" t="n">
        <x:v>278708</x:v>
      </x:c>
      <x:c r="AH157" s="11" t="n">
        <x:v>0</x:v>
      </x:c>
    </x:row>
    <x:row r="158" ht="23" customHeight="1">
      <x:c r="A158" s="10" t="str">
        <x:v>M7</x:v>
      </x:c>
      <x:c r="B158" s="10" t="str">
        <x:v>NG_H1</x:v>
      </x:c>
      <x:c r="C158" s="9" t="str">
        <x:v>主对照</x:v>
      </x:c>
      <x:c r="D158" s="11" t="n">
        <x:v>1026</x:v>
      </x:c>
      <x:c r="E158" s="11" t="n">
        <x:v>751</x:v>
      </x:c>
      <x:c r="F158" s="11" t="n">
        <x:v>923</x:v>
      </x:c>
      <x:c r="G158" s="11" t="n">
        <x:v>0</x:v>
      </x:c>
      <x:c r="H158" s="11" t="n">
        <x:v>760</x:v>
      </x:c>
      <x:c r="I158" s="11" t="n">
        <x:v>19905661</x:v>
      </x:c>
      <x:c r="J158" s="11" t="n">
        <x:v>5623091.247327887</x:v>
      </x:c>
      <x:c r="K158" s="12" t="n">
        <x:f>E158/D158</x:f>
        <x:v>0.7319688109161794</x:v>
      </x:c>
      <x:c r="L158" s="12" t="n">
        <x:f>F158/D158</x:f>
        <x:v>0.8996101364522417</x:v>
      </x:c>
      <x:c r="M158" s="12" t="n">
        <x:f>G158/D158</x:f>
        <x:v>0</x:v>
      </x:c>
      <x:c r="N158" s="12" t="n">
        <x:f>J158/I158</x:f>
        <x:v>0.28248703960787275</x:v>
      </x:c>
      <x:c r="O158" s="11" t="n">
        <x:v>0</x:v>
      </x:c>
      <x:c r="P158" s="11" t="n">
        <x:v>96</x:v>
      </x:c>
      <x:c r="Q158" s="11" t="n">
        <x:v>679</x:v>
      </x:c>
      <x:c r="R158" s="11" t="n">
        <x:v>115</x:v>
      </x:c>
      <x:c r="S158" s="11" t="n">
        <x:v>89</x:v>
      </x:c>
      <x:c r="T158" s="11" t="n">
        <x:v>16</x:v>
      </x:c>
      <x:c r="U158" s="11" t="n">
        <x:v>6</x:v>
      </x:c>
      <x:c r="V158" s="11" t="n">
        <x:v>5</x:v>
      </x:c>
      <x:c r="W158" s="11" t="n">
        <x:v>20</x:v>
      </x:c>
      <x:c r="X158" s="11" t="n">
        <x:v>0</x:v>
      </x:c>
      <x:c r="Y158" s="11" t="n">
        <x:v>0</x:v>
      </x:c>
      <x:c r="Z158" s="11" t="n">
        <x:v>179886</x:v>
      </x:c>
      <x:c r="AA158" s="11" t="n">
        <x:v>1190293</x:v>
      </x:c>
      <x:c r="AB158" s="11" t="n">
        <x:v>277913</x:v>
      </x:c>
      <x:c r="AC158" s="11" t="n">
        <x:v>2513142</x:v>
      </x:c>
      <x:c r="AD158" s="11" t="n">
        <x:v>15346465</x:v>
      </x:c>
      <x:c r="AE158" s="11" t="n">
        <x:v>21226</x:v>
      </x:c>
      <x:c r="AF158" s="11" t="n">
        <x:v>98028</x:v>
      </x:c>
      <x:c r="AG158" s="11" t="n">
        <x:v>278708</x:v>
      </x:c>
      <x:c r="AH158" s="11" t="n">
        <x:v>0</x:v>
      </x:c>
    </x:row>
    <x:row r="159" ht="23" customHeight="1">
      <x:c r="A159" s="10" t="str">
        <x:v>M7</x:v>
      </x:c>
      <x:c r="B159" s="10" t="str">
        <x:v>CG_H0</x:v>
      </x:c>
      <x:c r="C159" s="9" t="str">
        <x:v>主对照</x:v>
      </x:c>
      <x:c r="D159" s="11" t="n">
        <x:v>1026</x:v>
      </x:c>
      <x:c r="E159" s="11" t="n">
        <x:v>920</x:v>
      </x:c>
      <x:c r="F159" s="11" t="n">
        <x:v>920</x:v>
      </x:c>
      <x:c r="G159" s="11" t="n">
        <x:v>0</x:v>
      </x:c>
      <x:c r="H159" s="11" t="n">
        <x:v>854</x:v>
      </x:c>
      <x:c r="I159" s="11" t="n">
        <x:v>19905661</x:v>
      </x:c>
      <x:c r="J159" s="11" t="n">
        <x:v>5511120.007327888</x:v>
      </x:c>
      <x:c r="K159" s="12" t="n">
        <x:f>E159/D159</x:f>
        <x:v>0.8966861598440545</x:v>
      </x:c>
      <x:c r="L159" s="12" t="n">
        <x:f>F159/D159</x:f>
        <x:v>0.8966861598440545</x:v>
      </x:c>
      <x:c r="M159" s="12" t="n">
        <x:f>G159/D159</x:f>
        <x:v>0</x:v>
      </x:c>
      <x:c r="N159" s="12" t="n">
        <x:f>J159/I159</x:f>
        <x:v>0.2768619443146293</x:v>
      </x:c>
      <x:c r="O159" s="11" t="n">
        <x:v>0</x:v>
      </x:c>
      <x:c r="P159" s="11" t="n">
        <x:v>174</x:v>
      </x:c>
      <x:c r="Q159" s="11" t="n">
        <x:v>672</x:v>
      </x:c>
      <x:c r="R159" s="11" t="n">
        <x:v>92</x:v>
      </x:c>
      <x:c r="S159" s="11" t="n">
        <x:v>79</x:v>
      </x:c>
      <x:c r="T159" s="11" t="n">
        <x:v>5</x:v>
      </x:c>
      <x:c r="U159" s="11" t="n">
        <x:v>0</x:v>
      </x:c>
      <x:c r="V159" s="11" t="n">
        <x:v>0</x:v>
      </x:c>
      <x:c r="W159" s="11" t="n">
        <x:v>4</x:v>
      </x:c>
      <x:c r="X159" s="11" t="n">
        <x:v>0</x:v>
      </x:c>
      <x:c r="Y159" s="11" t="n">
        <x:v>0</x:v>
      </x:c>
      <x:c r="Z159" s="11" t="n">
        <x:v>498808</x:v>
      </x:c>
      <x:c r="AA159" s="11" t="n">
        <x:v>1205142</x:v>
      </x:c>
      <x:c r="AB159" s="11" t="n">
        <x:v>424508</x:v>
      </x:c>
      <x:c r="AC159" s="11" t="n">
        <x:v>2462462</x:v>
      </x:c>
      <x:c r="AD159" s="11" t="n">
        <x:v>15304185</x:v>
      </x:c>
      <x:c r="AE159" s="11" t="n">
        <x:v>0</x:v>
      </x:c>
      <x:c r="AF159" s="11" t="n">
        <x:v>0</x:v>
      </x:c>
      <x:c r="AG159" s="11" t="n">
        <x:v>10556</x:v>
      </x:c>
      <x:c r="AH159" s="11" t="n">
        <x:v>0</x:v>
      </x:c>
    </x:row>
    <x:row r="160" ht="23" customHeight="1">
      <x:c r="A160" s="10" t="str">
        <x:v>M7</x:v>
      </x:c>
      <x:c r="B160" s="10" t="str">
        <x:v>CG_HT</x:v>
      </x:c>
      <x:c r="C160" s="9" t="str">
        <x:v>仅拓扑与尺度</x:v>
      </x:c>
      <x:c r="D160" s="11" t="n">
        <x:v>1026</x:v>
      </x:c>
      <x:c r="E160" s="11" t="n">
        <x:v>920</x:v>
      </x:c>
      <x:c r="F160" s="11" t="n">
        <x:v>920</x:v>
      </x:c>
      <x:c r="G160" s="11" t="n">
        <x:v>0</x:v>
      </x:c>
      <x:c r="H160" s="11" t="n">
        <x:v>854</x:v>
      </x:c>
      <x:c r="I160" s="11" t="n">
        <x:v>19905661</x:v>
      </x:c>
      <x:c r="J160" s="11" t="n">
        <x:v>5520553.967327887</x:v>
      </x:c>
      <x:c r="K160" s="12" t="n">
        <x:f>E160/D160</x:f>
        <x:v>0.8966861598440545</x:v>
      </x:c>
      <x:c r="L160" s="12" t="n">
        <x:f>F160/D160</x:f>
        <x:v>0.8966861598440545</x:v>
      </x:c>
      <x:c r="M160" s="12" t="n">
        <x:f>G160/D160</x:f>
        <x:v>0</x:v>
      </x:c>
      <x:c r="N160" s="12" t="n">
        <x:f>J160/I160</x:f>
        <x:v>0.2773358778353498</x:v>
      </x:c>
      <x:c r="O160" s="11" t="n">
        <x:v>0</x:v>
      </x:c>
      <x:c r="P160" s="11" t="n">
        <x:v>118</x:v>
      </x:c>
      <x:c r="Q160" s="11" t="n">
        <x:v>688</x:v>
      </x:c>
      <x:c r="R160" s="11" t="n">
        <x:v>122</x:v>
      </x:c>
      <x:c r="S160" s="11" t="n">
        <x:v>89</x:v>
      </x:c>
      <x:c r="T160" s="11" t="n">
        <x:v>5</x:v>
      </x:c>
      <x:c r="U160" s="11" t="n">
        <x:v>0</x:v>
      </x:c>
      <x:c r="V160" s="11" t="n">
        <x:v>0</x:v>
      </x:c>
      <x:c r="W160" s="11" t="n">
        <x:v>4</x:v>
      </x:c>
      <x:c r="X160" s="11" t="n">
        <x:v>0</x:v>
      </x:c>
      <x:c r="Y160" s="11" t="n">
        <x:v>0</x:v>
      </x:c>
      <x:c r="Z160" s="11" t="n">
        <x:v>230268</x:v>
      </x:c>
      <x:c r="AA160" s="11" t="n">
        <x:v>1448123</x:v>
      </x:c>
      <x:c r="AB160" s="11" t="n">
        <x:v>399387</x:v>
      </x:c>
      <x:c r="AC160" s="11" t="n">
        <x:v>2513142</x:v>
      </x:c>
      <x:c r="AD160" s="11" t="n">
        <x:v>15304185</x:v>
      </x:c>
      <x:c r="AE160" s="11" t="n">
        <x:v>0</x:v>
      </x:c>
      <x:c r="AF160" s="11" t="n">
        <x:v>0</x:v>
      </x:c>
      <x:c r="AG160" s="11" t="n">
        <x:v>10556</x:v>
      </x:c>
      <x:c r="AH160" s="11" t="n">
        <x:v>0</x:v>
      </x:c>
    </x:row>
    <x:row r="161" ht="23" customHeight="1">
      <x:c r="A161" s="10" t="str">
        <x:v>M7</x:v>
      </x:c>
      <x:c r="B161" s="10" t="str">
        <x:v>CG_H1</x:v>
      </x:c>
      <x:c r="C161" s="9" t="str">
        <x:v>主对照</x:v>
      </x:c>
      <x:c r="D161" s="11" t="n">
        <x:v>1026</x:v>
      </x:c>
      <x:c r="E161" s="11" t="n">
        <x:v>920</x:v>
      </x:c>
      <x:c r="F161" s="11" t="n">
        <x:v>920</x:v>
      </x:c>
      <x:c r="G161" s="11" t="n">
        <x:v>0</x:v>
      </x:c>
      <x:c r="H161" s="11" t="n">
        <x:v>855</x:v>
      </x:c>
      <x:c r="I161" s="11" t="n">
        <x:v>19905661</x:v>
      </x:c>
      <x:c r="J161" s="11" t="n">
        <x:v>5520679.567327887</x:v>
      </x:c>
      <x:c r="K161" s="12" t="n">
        <x:f>E161/D161</x:f>
        <x:v>0.8966861598440545</x:v>
      </x:c>
      <x:c r="L161" s="12" t="n">
        <x:f>F161/D161</x:f>
        <x:v>0.8966861598440545</x:v>
      </x:c>
      <x:c r="M161" s="12" t="n">
        <x:f>G161/D161</x:f>
        <x:v>0</x:v>
      </x:c>
      <x:c r="N161" s="12" t="n">
        <x:f>J161/I161</x:f>
        <x:v>0.27734218759818563</x:v>
      </x:c>
      <x:c r="O161" s="11" t="n">
        <x:v>0</x:v>
      </x:c>
      <x:c r="P161" s="11" t="n">
        <x:v>117</x:v>
      </x:c>
      <x:c r="Q161" s="11" t="n">
        <x:v>688</x:v>
      </x:c>
      <x:c r="R161" s="11" t="n">
        <x:v>122</x:v>
      </x:c>
      <x:c r="S161" s="11" t="n">
        <x:v>89</x:v>
      </x:c>
      <x:c r="T161" s="11" t="n">
        <x:v>5</x:v>
      </x:c>
      <x:c r="U161" s="11" t="n">
        <x:v>1</x:v>
      </x:c>
      <x:c r="V161" s="11" t="n">
        <x:v>0</x:v>
      </x:c>
      <x:c r="W161" s="11" t="n">
        <x:v>4</x:v>
      </x:c>
      <x:c r="X161" s="11" t="n">
        <x:v>0</x:v>
      </x:c>
      <x:c r="Y161" s="11" t="n">
        <x:v>0</x:v>
      </x:c>
      <x:c r="Z161" s="11" t="n">
        <x:v>229640</x:v>
      </x:c>
      <x:c r="AA161" s="11" t="n">
        <x:v>1448123</x:v>
      </x:c>
      <x:c r="AB161" s="11" t="n">
        <x:v>399387</x:v>
      </x:c>
      <x:c r="AC161" s="11" t="n">
        <x:v>2513142</x:v>
      </x:c>
      <x:c r="AD161" s="11" t="n">
        <x:v>15304185</x:v>
      </x:c>
      <x:c r="AE161" s="11" t="n">
        <x:v>628</x:v>
      </x:c>
      <x:c r="AF161" s="11" t="n">
        <x:v>0</x:v>
      </x:c>
      <x:c r="AG161" s="11" t="n">
        <x:v>10556</x:v>
      </x:c>
      <x:c r="AH161" s="11" t="n">
        <x:v>0</x:v>
      </x:c>
    </x:row>
    <x:row r="162" ht="23" customHeight="1">
      <x:c r="A162" s="10" t="str">
        <x:v>M7</x:v>
      </x:c>
      <x:c r="B162" s="10" t="str">
        <x:v>NCG_H0</x:v>
      </x:c>
      <x:c r="C162" s="9" t="str">
        <x:v>主对照</x:v>
      </x:c>
      <x:c r="D162" s="11" t="n">
        <x:v>1026</x:v>
      </x:c>
      <x:c r="E162" s="11" t="n">
        <x:v>723</x:v>
      </x:c>
      <x:c r="F162" s="11" t="n">
        <x:v>885</x:v>
      </x:c>
      <x:c r="G162" s="11" t="n">
        <x:v>63</x:v>
      </x:c>
      <x:c r="H162" s="11" t="n">
        <x:v>698</x:v>
      </x:c>
      <x:c r="I162" s="11" t="n">
        <x:v>19905661</x:v>
      </x:c>
      <x:c r="J162" s="11" t="n">
        <x:v>5626103.567327888</x:v>
      </x:c>
      <x:c r="K162" s="12" t="n">
        <x:f>E162/D162</x:f>
        <x:v>0.7046783625730995</x:v>
      </x:c>
      <x:c r="L162" s="12" t="n">
        <x:f>F162/D162</x:f>
        <x:v>0.8625730994152047</x:v>
      </x:c>
      <x:c r="M162" s="12" t="n">
        <x:f>G162/D162</x:f>
        <x:v>0.06140350877192982</x:v>
      </x:c>
      <x:c r="N162" s="12" t="n">
        <x:f>J162/I162</x:f>
        <x:v>0.28263836942304443</x:v>
      </x:c>
      <x:c r="O162" s="11" t="n">
        <x:v>0</x:v>
      </x:c>
      <x:c r="P162" s="11" t="n">
        <x:v>125</x:v>
      </x:c>
      <x:c r="Q162" s="11" t="n">
        <x:v>694</x:v>
      </x:c>
      <x:c r="R162" s="11" t="n">
        <x:v>83</x:v>
      </x:c>
      <x:c r="S162" s="11" t="n">
        <x:v>79</x:v>
      </x:c>
      <x:c r="T162" s="11" t="n">
        <x:v>19</x:v>
      </x:c>
      <x:c r="U162" s="11" t="n">
        <x:v>1</x:v>
      </x:c>
      <x:c r="V162" s="11" t="n">
        <x:v>5</x:v>
      </x:c>
      <x:c r="W162" s="11" t="n">
        <x:v>20</x:v>
      </x:c>
      <x:c r="X162" s="11" t="n">
        <x:v>0</x:v>
      </x:c>
      <x:c r="Y162" s="11" t="n">
        <x:v>0</x:v>
      </x:c>
      <x:c r="Z162" s="11" t="n">
        <x:v>171484</x:v>
      </x:c>
      <x:c r="AA162" s="11" t="n">
        <x:v>1226942</x:v>
      </x:c>
      <x:c r="AB162" s="11" t="n">
        <x:v>299846</x:v>
      </x:c>
      <x:c r="AC162" s="11" t="n">
        <x:v>2283714</x:v>
      </x:c>
      <x:c r="AD162" s="11" t="n">
        <x:v>15530337</x:v>
      </x:c>
      <x:c r="AE162" s="11" t="n">
        <x:v>16602</x:v>
      </x:c>
      <x:c r="AF162" s="11" t="n">
        <x:v>98028</x:v>
      </x:c>
      <x:c r="AG162" s="11" t="n">
        <x:v>278708</x:v>
      </x:c>
      <x:c r="AH162" s="11" t="n">
        <x:v>0</x:v>
      </x:c>
    </x:row>
    <x:row r="163" ht="23" customHeight="1">
      <x:c r="A163" s="10" t="str">
        <x:v>M7</x:v>
      </x:c>
      <x:c r="B163" s="10" t="str">
        <x:v>NCG_HT</x:v>
      </x:c>
      <x:c r="C163" s="9" t="str">
        <x:v>仅拓扑与尺度</x:v>
      </x:c>
      <x:c r="D163" s="11" t="n">
        <x:v>1026</x:v>
      </x:c>
      <x:c r="E163" s="11" t="n">
        <x:v>723</x:v>
      </x:c>
      <x:c r="F163" s="11" t="n">
        <x:v>885</x:v>
      </x:c>
      <x:c r="G163" s="11" t="n">
        <x:v>63</x:v>
      </x:c>
      <x:c r="H163" s="11" t="n">
        <x:v>698</x:v>
      </x:c>
      <x:c r="I163" s="11" t="n">
        <x:v>19905661</x:v>
      </x:c>
      <x:c r="J163" s="11" t="n">
        <x:v>5631153.727327887</x:v>
      </x:c>
      <x:c r="K163" s="12" t="n">
        <x:f>E163/D163</x:f>
        <x:v>0.7046783625730995</x:v>
      </x:c>
      <x:c r="L163" s="12" t="n">
        <x:f>F163/D163</x:f>
        <x:v>0.8625730994152047</x:v>
      </x:c>
      <x:c r="M163" s="12" t="n">
        <x:f>G163/D163</x:f>
        <x:v>0.06140350877192982</x:v>
      </x:c>
      <x:c r="N163" s="12" t="n">
        <x:f>J163/I163</x:f>
        <x:v>0.2828920741354877</x:v>
      </x:c>
      <x:c r="O163" s="11" t="n">
        <x:v>0</x:v>
      </x:c>
      <x:c r="P163" s="11" t="n">
        <x:v>85</x:v>
      </x:c>
      <x:c r="Q163" s="11" t="n">
        <x:v>686</x:v>
      </x:c>
      <x:c r="R163" s="11" t="n">
        <x:v>123</x:v>
      </x:c>
      <x:c r="S163" s="11" t="n">
        <x:v>85</x:v>
      </x:c>
      <x:c r="T163" s="11" t="n">
        <x:v>21</x:v>
      </x:c>
      <x:c r="U163" s="11" t="n">
        <x:v>1</x:v>
      </x:c>
      <x:c r="V163" s="11" t="n">
        <x:v>5</x:v>
      </x:c>
      <x:c r="W163" s="11" t="n">
        <x:v>20</x:v>
      </x:c>
      <x:c r="X163" s="11" t="n">
        <x:v>0</x:v>
      </x:c>
      <x:c r="Y163" s="11" t="n">
        <x:v>0</x:v>
      </x:c>
      <x:c r="Z163" s="11" t="n">
        <x:v>146154</x:v>
      </x:c>
      <x:c r="AA163" s="11" t="n">
        <x:v>1215899</x:v>
      </x:c>
      <x:c r="AB163" s="11" t="n">
        <x:v>289451</x:v>
      </x:c>
      <x:c r="AC163" s="11" t="n">
        <x:v>2323418</x:v>
      </x:c>
      <x:c r="AD163" s="11" t="n">
        <x:v>15537401</x:v>
      </x:c>
      <x:c r="AE163" s="11" t="n">
        <x:v>16602</x:v>
      </x:c>
      <x:c r="AF163" s="11" t="n">
        <x:v>98028</x:v>
      </x:c>
      <x:c r="AG163" s="11" t="n">
        <x:v>278708</x:v>
      </x:c>
      <x:c r="AH163" s="11" t="n">
        <x:v>0</x:v>
      </x:c>
    </x:row>
    <x:row r="164" ht="23" customHeight="1">
      <x:c r="A164" s="10" t="str">
        <x:v>M7</x:v>
      </x:c>
      <x:c r="B164" s="10" t="str">
        <x:v>NCG_H1</x:v>
      </x:c>
      <x:c r="C164" s="9" t="str">
        <x:v>主对照</x:v>
      </x:c>
      <x:c r="D164" s="11" t="n">
        <x:v>1026</x:v>
      </x:c>
      <x:c r="E164" s="11" t="n">
        <x:v>723</x:v>
      </x:c>
      <x:c r="F164" s="11" t="n">
        <x:v>885</x:v>
      </x:c>
      <x:c r="G164" s="11" t="n">
        <x:v>63</x:v>
      </x:c>
      <x:c r="H164" s="11" t="n">
        <x:v>706</x:v>
      </x:c>
      <x:c r="I164" s="11" t="n">
        <x:v>19905661</x:v>
      </x:c>
      <x:c r="J164" s="11" t="n">
        <x:v>5631903.567327887</x:v>
      </x:c>
      <x:c r="K164" s="12" t="n">
        <x:f>E164/D164</x:f>
        <x:v>0.7046783625730995</x:v>
      </x:c>
      <x:c r="L164" s="12" t="n">
        <x:f>F164/D164</x:f>
        <x:v>0.8625730994152047</x:v>
      </x:c>
      <x:c r="M164" s="12" t="n">
        <x:f>G164/D164</x:f>
        <x:v>0.06140350877192982</x:v>
      </x:c>
      <x:c r="N164" s="12" t="n">
        <x:f>J164/I164</x:f>
        <x:v>0.2829297438215132</x:v>
      </x:c>
      <x:c r="O164" s="11" t="n">
        <x:v>0</x:v>
      </x:c>
      <x:c r="P164" s="11" t="n">
        <x:v>84</x:v>
      </x:c>
      <x:c r="Q164" s="11" t="n">
        <x:v>683</x:v>
      </x:c>
      <x:c r="R164" s="11" t="n">
        <x:v>123</x:v>
      </x:c>
      <x:c r="S164" s="11" t="n">
        <x:v>85</x:v>
      </x:c>
      <x:c r="T164" s="11" t="n">
        <x:v>21</x:v>
      </x:c>
      <x:c r="U164" s="11" t="n">
        <x:v>5</x:v>
      </x:c>
      <x:c r="V164" s="11" t="n">
        <x:v>5</x:v>
      </x:c>
      <x:c r="W164" s="11" t="n">
        <x:v>20</x:v>
      </x:c>
      <x:c r="X164" s="11" t="n">
        <x:v>0</x:v>
      </x:c>
      <x:c r="Y164" s="11" t="n">
        <x:v>0</x:v>
      </x:c>
      <x:c r="Z164" s="11" t="n">
        <x:v>145526</x:v>
      </x:c>
      <x:c r="AA164" s="11" t="n">
        <x:v>1212431</x:v>
      </x:c>
      <x:c r="AB164" s="11" t="n">
        <x:v>289451</x:v>
      </x:c>
      <x:c r="AC164" s="11" t="n">
        <x:v>2323418</x:v>
      </x:c>
      <x:c r="AD164" s="11" t="n">
        <x:v>15537401</x:v>
      </x:c>
      <x:c r="AE164" s="11" t="n">
        <x:v>20698</x:v>
      </x:c>
      <x:c r="AF164" s="11" t="n">
        <x:v>98028</x:v>
      </x:c>
      <x:c r="AG164" s="11" t="n">
        <x:v>278708</x:v>
      </x:c>
      <x:c r="AH164" s="11" t="n">
        <x:v>0</x:v>
      </x:c>
    </x:row>
    <x:row r="165" ht="23" customHeight="1">
      <x:c r="A165" s="10" t="str">
        <x:v>M7</x:v>
      </x:c>
      <x:c r="B165" s="10" t="str">
        <x:v>NCG_H0_M1</x:v>
      </x:c>
      <x:c r="C165" s="9" t="str">
        <x:v>叶名称辅助</x:v>
      </x:c>
      <x:c r="D165" s="11" t="n">
        <x:v>1026</x:v>
      </x:c>
      <x:c r="E165" s="11" t="n">
        <x:v>688</x:v>
      </x:c>
      <x:c r="F165" s="11" t="n">
        <x:v>825</x:v>
      </x:c>
      <x:c r="G165" s="11" t="n">
        <x:v>63</x:v>
      </x:c>
      <x:c r="H165" s="11" t="n">
        <x:v>776</x:v>
      </x:c>
      <x:c r="I165" s="11" t="n">
        <x:v>19905661</x:v>
      </x:c>
      <x:c r="J165" s="11" t="n">
        <x:v>5812466.927327888</x:v>
      </x:c>
      <x:c r="K165" s="12" t="n">
        <x:f>E165/D165</x:f>
        <x:v>0.6705653021442495</x:v>
      </x:c>
      <x:c r="L165" s="12" t="n">
        <x:f>F165/D165</x:f>
        <x:v>0.804093567251462</x:v>
      </x:c>
      <x:c r="M165" s="12" t="n">
        <x:f>G165/D165</x:f>
        <x:v>0.06140350877192982</x:v>
      </x:c>
      <x:c r="N165" s="12" t="n">
        <x:f>J165/I165</x:f>
        <x:v>0.2920006990638436</x:v>
      </x:c>
      <x:c r="O165" s="11" t="n">
        <x:v>0</x:v>
      </x:c>
      <x:c r="P165" s="11" t="n">
        <x:v>92</x:v>
      </x:c>
      <x:c r="Q165" s="11" t="n">
        <x:v>697</x:v>
      </x:c>
      <x:c r="R165" s="11" t="n">
        <x:v>79</x:v>
      </x:c>
      <x:c r="S165" s="11" t="n">
        <x:v>78</x:v>
      </x:c>
      <x:c r="T165" s="11" t="n">
        <x:v>19</x:v>
      </x:c>
      <x:c r="U165" s="11" t="n">
        <x:v>1</x:v>
      </x:c>
      <x:c r="V165" s="11" t="n">
        <x:v>7</x:v>
      </x:c>
      <x:c r="W165" s="11" t="n">
        <x:v>53</x:v>
      </x:c>
      <x:c r="X165" s="11" t="n">
        <x:v>0</x:v>
      </x:c>
      <x:c r="Y165" s="11" t="n">
        <x:v>0</x:v>
      </x:c>
      <x:c r="Z165" s="11" t="n">
        <x:v>126240</x:v>
      </x:c>
      <x:c r="AA165" s="11" t="n">
        <x:v>1229714</x:v>
      </x:c>
      <x:c r="AB165" s="11" t="n">
        <x:v>278998</x:v>
      </x:c>
      <x:c r="AC165" s="11" t="n">
        <x:v>872726</x:v>
      </x:c>
      <x:c r="AD165" s="11" t="n">
        <x:v>15530337</x:v>
      </x:c>
      <x:c r="AE165" s="11" t="n">
        <x:v>16602</x:v>
      </x:c>
      <x:c r="AF165" s="11" t="n">
        <x:v>1521612</x:v>
      </x:c>
      <x:c r="AG165" s="11" t="n">
        <x:v>329432</x:v>
      </x:c>
      <x:c r="AH165" s="11" t="n">
        <x:v>0</x:v>
      </x:c>
    </x:row>
    <x:row r="166" ht="23" customHeight="1">
      <x:c r="A166" s="10" t="str">
        <x:v>M7</x:v>
      </x:c>
      <x:c r="B166" s="10" t="str">
        <x:v>NCG_H1_M1</x:v>
      </x:c>
      <x:c r="C166" s="9" t="str">
        <x:v>叶名称辅助</x:v>
      </x:c>
      <x:c r="D166" s="11" t="n">
        <x:v>1026</x:v>
      </x:c>
      <x:c r="E166" s="11" t="n">
        <x:v>688</x:v>
      </x:c>
      <x:c r="F166" s="11" t="n">
        <x:v>825</x:v>
      </x:c>
      <x:c r="G166" s="11" t="n">
        <x:v>63</x:v>
      </x:c>
      <x:c r="H166" s="11" t="n">
        <x:v>778</x:v>
      </x:c>
      <x:c r="I166" s="11" t="n">
        <x:v>19905661</x:v>
      </x:c>
      <x:c r="J166" s="11" t="n">
        <x:v>5821612.2873278875</x:v>
      </x:c>
      <x:c r="K166" s="12" t="n">
        <x:f>E166/D166</x:f>
        <x:v>0.6705653021442495</x:v>
      </x:c>
      <x:c r="L166" s="12" t="n">
        <x:f>F166/D166</x:f>
        <x:v>0.804093567251462</x:v>
      </x:c>
      <x:c r="M166" s="12" t="n">
        <x:f>G166/D166</x:f>
        <x:v>0.06140350877192982</x:v>
      </x:c>
      <x:c r="N166" s="12" t="n">
        <x:f>J166/I166</x:f>
        <x:v>0.29246013419639205</x:v>
      </x:c>
      <x:c r="O166" s="11" t="n">
        <x:v>0</x:v>
      </x:c>
      <x:c r="P166" s="11" t="n">
        <x:v>62</x:v>
      </x:c>
      <x:c r="Q166" s="11" t="n">
        <x:v>668</x:v>
      </x:c>
      <x:c r="R166" s="11" t="n">
        <x:v>120</x:v>
      </x:c>
      <x:c r="S166" s="11" t="n">
        <x:v>82</x:v>
      </x:c>
      <x:c r="T166" s="11" t="n">
        <x:v>21</x:v>
      </x:c>
      <x:c r="U166" s="11" t="n">
        <x:v>13</x:v>
      </x:c>
      <x:c r="V166" s="11" t="n">
        <x:v>7</x:v>
      </x:c>
      <x:c r="W166" s="11" t="n">
        <x:v>53</x:v>
      </x:c>
      <x:c r="X166" s="11" t="n">
        <x:v>0</x:v>
      </x:c>
      <x:c r="Y166" s="11" t="n">
        <x:v>0</x:v>
      </x:c>
      <x:c r="Z166" s="11" t="n">
        <x:v>105606</x:v>
      </x:c>
      <x:c r="AA166" s="11" t="n">
        <x:v>1194791</x:v>
      </x:c>
      <x:c r="AB166" s="11" t="n">
        <x:v>266955</x:v>
      </x:c>
      <x:c r="AC166" s="11" t="n">
        <x:v>906114</x:v>
      </x:c>
      <x:c r="AD166" s="11" t="n">
        <x:v>15537401</x:v>
      </x:c>
      <x:c r="AE166" s="11" t="n">
        <x:v>43750</x:v>
      </x:c>
      <x:c r="AF166" s="11" t="n">
        <x:v>1521612</x:v>
      </x:c>
      <x:c r="AG166" s="11" t="n">
        <x:v>329432</x:v>
      </x:c>
      <x:c r="AH166" s="11" t="n">
        <x:v>0</x:v>
      </x:c>
    </x:row>
    <x:row r="167" ht="23" customHeight="1">
      <x:c r="A167" s="10" t="str">
        <x:v>M8</x:v>
      </x:c>
      <x:c r="B167" s="10" t="str">
        <x:v>N_H0</x:v>
      </x:c>
      <x:c r="C167" s="9" t="str">
        <x:v>主对照</x:v>
      </x:c>
      <x:c r="D167" s="11" t="n">
        <x:v>6103</x:v>
      </x:c>
      <x:c r="E167" s="11" t="n">
        <x:v>3675</x:v>
      </x:c>
      <x:c r="F167" s="11" t="n">
        <x:v>4521</x:v>
      </x:c>
      <x:c r="G167" s="11" t="n">
        <x:v>0</x:v>
      </x:c>
      <x:c r="H167" s="11" t="n">
        <x:v>3675</x:v>
      </x:c>
      <x:c r="I167" s="11" t="n">
        <x:v>20703307</x:v>
      </x:c>
      <x:c r="J167" s="11" t="n">
        <x:v>5415346.499999998</x:v>
      </x:c>
      <x:c r="K167" s="12" t="n">
        <x:f>E167/D167</x:f>
        <x:v>0.6021628707193184</x:v>
      </x:c>
      <x:c r="L167" s="12" t="n">
        <x:f>F167/D167</x:f>
        <x:v>0.7407832213665411</x:v>
      </x:c>
      <x:c r="M167" s="12" t="n">
        <x:f>G167/D167</x:f>
        <x:v>0</x:v>
      </x:c>
      <x:c r="N167" s="12" t="n">
        <x:f>J167/I167</x:f>
        <x:v>0.26156915414527726</x:v>
      </x:c>
      <x:c r="O167" s="11" t="n">
        <x:v>0</x:v>
      </x:c>
      <x:c r="P167" s="11" t="n">
        <x:v>862</x:v>
      </x:c>
      <x:c r="Q167" s="11" t="n">
        <x:v>233</x:v>
      </x:c>
      <x:c r="R167" s="11" t="n">
        <x:v>0</x:v>
      </x:c>
      <x:c r="S167" s="11" t="n">
        <x:v>4521</x:v>
      </x:c>
      <x:c r="T167" s="11" t="n">
        <x:v>35</x:v>
      </x:c>
      <x:c r="U167" s="11" t="n">
        <x:v>76</x:v>
      </x:c>
      <x:c r="V167" s="11" t="n">
        <x:v>165</x:v>
      </x:c>
      <x:c r="W167" s="11" t="n">
        <x:v>211</x:v>
      </x:c>
      <x:c r="X167" s="11" t="n">
        <x:v>0</x:v>
      </x:c>
      <x:c r="Y167" s="11" t="n">
        <x:v>0</x:v>
      </x:c>
      <x:c r="Z167" s="11" t="n">
        <x:v>880892</x:v>
      </x:c>
      <x:c r="AA167" s="11" t="n">
        <x:v>479302</x:v>
      </x:c>
      <x:c r="AB167" s="11" t="n">
        <x:v>0</x:v>
      </x:c>
      <x:c r="AC167" s="11" t="n">
        <x:v>11474755</x:v>
      </x:c>
      <x:c r="AD167" s="11" t="n">
        <x:v>602584</x:v>
      </x:c>
      <x:c r="AE167" s="11" t="n">
        <x:v>317311</x:v>
      </x:c>
      <x:c r="AF167" s="11" t="n">
        <x:v>4765923</x:v>
      </x:c>
      <x:c r="AG167" s="11" t="n">
        <x:v>2182540</x:v>
      </x:c>
      <x:c r="AH167" s="11" t="n">
        <x:v>0</x:v>
      </x:c>
    </x:row>
    <x:row r="168" ht="23" customHeight="1">
      <x:c r="A168" s="10" t="str">
        <x:v>M8</x:v>
      </x:c>
      <x:c r="B168" s="10" t="str">
        <x:v>N_HT</x:v>
      </x:c>
      <x:c r="C168" s="9" t="str">
        <x:v>仅拓扑与尺度</x:v>
      </x:c>
      <x:c r="D168" s="11" t="n">
        <x:v>6103</x:v>
      </x:c>
      <x:c r="E168" s="11" t="n">
        <x:v>3675</x:v>
      </x:c>
      <x:c r="F168" s="11" t="n">
        <x:v>4521</x:v>
      </x:c>
      <x:c r="G168" s="11" t="n">
        <x:v>0</x:v>
      </x:c>
      <x:c r="H168" s="11" t="n">
        <x:v>3675</x:v>
      </x:c>
      <x:c r="I168" s="11" t="n">
        <x:v>20703307</x:v>
      </x:c>
      <x:c r="J168" s="11" t="n">
        <x:v>5415346.499999998</x:v>
      </x:c>
      <x:c r="K168" s="12" t="n">
        <x:f>E168/D168</x:f>
        <x:v>0.6021628707193184</x:v>
      </x:c>
      <x:c r="L168" s="12" t="n">
        <x:f>F168/D168</x:f>
        <x:v>0.7407832213665411</x:v>
      </x:c>
      <x:c r="M168" s="12" t="n">
        <x:f>G168/D168</x:f>
        <x:v>0</x:v>
      </x:c>
      <x:c r="N168" s="12" t="n">
        <x:f>J168/I168</x:f>
        <x:v>0.26156915414527726</x:v>
      </x:c>
      <x:c r="O168" s="11" t="n">
        <x:v>0</x:v>
      </x:c>
      <x:c r="P168" s="11" t="n">
        <x:v>862</x:v>
      </x:c>
      <x:c r="Q168" s="11" t="n">
        <x:v>233</x:v>
      </x:c>
      <x:c r="R168" s="11" t="n">
        <x:v>0</x:v>
      </x:c>
      <x:c r="S168" s="11" t="n">
        <x:v>4521</x:v>
      </x:c>
      <x:c r="T168" s="11" t="n">
        <x:v>35</x:v>
      </x:c>
      <x:c r="U168" s="11" t="n">
        <x:v>76</x:v>
      </x:c>
      <x:c r="V168" s="11" t="n">
        <x:v>165</x:v>
      </x:c>
      <x:c r="W168" s="11" t="n">
        <x:v>211</x:v>
      </x:c>
      <x:c r="X168" s="11" t="n">
        <x:v>0</x:v>
      </x:c>
      <x:c r="Y168" s="11" t="n">
        <x:v>0</x:v>
      </x:c>
      <x:c r="Z168" s="11" t="n">
        <x:v>880892</x:v>
      </x:c>
      <x:c r="AA168" s="11" t="n">
        <x:v>479302</x:v>
      </x:c>
      <x:c r="AB168" s="11" t="n">
        <x:v>0</x:v>
      </x:c>
      <x:c r="AC168" s="11" t="n">
        <x:v>11474755</x:v>
      </x:c>
      <x:c r="AD168" s="11" t="n">
        <x:v>602584</x:v>
      </x:c>
      <x:c r="AE168" s="11" t="n">
        <x:v>317311</x:v>
      </x:c>
      <x:c r="AF168" s="11" t="n">
        <x:v>4765923</x:v>
      </x:c>
      <x:c r="AG168" s="11" t="n">
        <x:v>2182540</x:v>
      </x:c>
      <x:c r="AH168" s="11" t="n">
        <x:v>0</x:v>
      </x:c>
    </x:row>
    <x:row r="169" ht="23" customHeight="1">
      <x:c r="A169" s="10" t="str">
        <x:v>M8</x:v>
      </x:c>
      <x:c r="B169" s="10" t="str">
        <x:v>N_H1</x:v>
      </x:c>
      <x:c r="C169" s="9" t="str">
        <x:v>主对照</x:v>
      </x:c>
      <x:c r="D169" s="11" t="n">
        <x:v>6103</x:v>
      </x:c>
      <x:c r="E169" s="11" t="n">
        <x:v>3675</x:v>
      </x:c>
      <x:c r="F169" s="11" t="n">
        <x:v>4521</x:v>
      </x:c>
      <x:c r="G169" s="11" t="n">
        <x:v>0</x:v>
      </x:c>
      <x:c r="H169" s="11" t="n">
        <x:v>3846</x:v>
      </x:c>
      <x:c r="I169" s="11" t="n">
        <x:v>20703307</x:v>
      </x:c>
      <x:c r="J169" s="11" t="n">
        <x:v>5440480.499999998</x:v>
      </x:c>
      <x:c r="K169" s="12" t="n">
        <x:f>E169/D169</x:f>
        <x:v>0.6021628707193184</x:v>
      </x:c>
      <x:c r="L169" s="12" t="n">
        <x:f>F169/D169</x:f>
        <x:v>0.7407832213665411</x:v>
      </x:c>
      <x:c r="M169" s="12" t="n">
        <x:f>G169/D169</x:f>
        <x:v>0</x:v>
      </x:c>
      <x:c r="N169" s="12" t="n">
        <x:f>J169/I169</x:f>
        <x:v>0.2627831630956348</x:v>
      </x:c>
      <x:c r="O169" s="11" t="n">
        <x:v>0</x:v>
      </x:c>
      <x:c r="P169" s="11" t="n">
        <x:v>858</x:v>
      </x:c>
      <x:c r="Q169" s="11" t="n">
        <x:v>185</x:v>
      </x:c>
      <x:c r="R169" s="11" t="n">
        <x:v>0</x:v>
      </x:c>
      <x:c r="S169" s="11" t="n">
        <x:v>4521</x:v>
      </x:c>
      <x:c r="T169" s="11" t="n">
        <x:v>75</x:v>
      </x:c>
      <x:c r="U169" s="11" t="n">
        <x:v>88</x:v>
      </x:c>
      <x:c r="V169" s="11" t="n">
        <x:v>165</x:v>
      </x:c>
      <x:c r="W169" s="11" t="n">
        <x:v>211</x:v>
      </x:c>
      <x:c r="X169" s="11" t="n">
        <x:v>0</x:v>
      </x:c>
      <x:c r="Y169" s="11" t="n">
        <x:v>0</x:v>
      </x:c>
      <x:c r="Z169" s="11" t="n">
        <x:v>878892</x:v>
      </x:c>
      <x:c r="AA169" s="11" t="n">
        <x:v>306690</x:v>
      </x:c>
      <x:c r="AB169" s="11" t="n">
        <x:v>0</x:v>
      </x:c>
      <x:c r="AC169" s="11" t="n">
        <x:v>11474755</x:v>
      </x:c>
      <x:c r="AD169" s="11" t="n">
        <x:v>760988</x:v>
      </x:c>
      <x:c r="AE169" s="11" t="n">
        <x:v>333519</x:v>
      </x:c>
      <x:c r="AF169" s="11" t="n">
        <x:v>4765923</x:v>
      </x:c>
      <x:c r="AG169" s="11" t="n">
        <x:v>2182540</x:v>
      </x:c>
      <x:c r="AH169" s="11" t="n">
        <x:v>0</x:v>
      </x:c>
    </x:row>
    <x:row r="170" ht="23" customHeight="1">
      <x:c r="A170" s="10" t="str">
        <x:v>M8</x:v>
      </x:c>
      <x:c r="B170" s="10" t="str">
        <x:v>C_H0</x:v>
      </x:c>
      <x:c r="C170" s="9" t="str">
        <x:v>主对照</x:v>
      </x:c>
      <x:c r="D170" s="11" t="n">
        <x:v>6103</x:v>
      </x:c>
      <x:c r="E170" s="11" t="n">
        <x:v>4444</x:v>
      </x:c>
      <x:c r="F170" s="11" t="n">
        <x:v>4448</x:v>
      </x:c>
      <x:c r="G170" s="11" t="n">
        <x:v>0</x:v>
      </x:c>
      <x:c r="H170" s="11" t="n">
        <x:v>3914</x:v>
      </x:c>
      <x:c r="I170" s="11" t="n">
        <x:v>20703307</x:v>
      </x:c>
      <x:c r="J170" s="11" t="n">
        <x:v>4174456.260000038</x:v>
      </x:c>
      <x:c r="K170" s="12" t="n">
        <x:f>E170/D170</x:f>
        <x:v>0.7281664755038506</x:v>
      </x:c>
      <x:c r="L170" s="12" t="n">
        <x:f>F170/D170</x:f>
        <x:v>0.7288218908733409</x:v>
      </x:c>
      <x:c r="M170" s="12" t="n">
        <x:f>G170/D170</x:f>
        <x:v>0</x:v>
      </x:c>
      <x:c r="N170" s="12" t="n">
        <x:f>J170/I170</x:f>
        <x:v>0.20163234115206996</x:v>
      </x:c>
      <x:c r="O170" s="11" t="n">
        <x:v>0</x:v>
      </x:c>
      <x:c r="P170" s="11" t="n">
        <x:v>1642</x:v>
      </x:c>
      <x:c r="Q170" s="11" t="n">
        <x:v>0</x:v>
      </x:c>
      <x:c r="R170" s="11" t="n">
        <x:v>0</x:v>
      </x:c>
      <x:c r="S170" s="11" t="n">
        <x:v>4448</x:v>
      </x:c>
      <x:c r="T170" s="11" t="n">
        <x:v>0</x:v>
      </x:c>
      <x:c r="U170" s="11" t="n">
        <x:v>10</x:v>
      </x:c>
      <x:c r="V170" s="11" t="n">
        <x:v>0</x:v>
      </x:c>
      <x:c r="W170" s="11" t="n">
        <x:v>3</x:v>
      </x:c>
      <x:c r="X170" s="11" t="n">
        <x:v>0</x:v>
      </x:c>
      <x:c r="Y170" s="11" t="n">
        <x:v>0</x:v>
      </x:c>
      <x:c r="Z170" s="11" t="n">
        <x:v>3183927</x:v>
      </x:c>
      <x:c r="AA170" s="11" t="n">
        <x:v>0</x:v>
      </x:c>
      <x:c r="AB170" s="11" t="n">
        <x:v>0</x:v>
      </x:c>
      <x:c r="AC170" s="11" t="n">
        <x:v>17499748</x:v>
      </x:c>
      <x:c r="AD170" s="11" t="n">
        <x:v>0</x:v>
      </x:c>
      <x:c r="AE170" s="11" t="n">
        <x:v>17338</x:v>
      </x:c>
      <x:c r="AF170" s="11" t="n">
        <x:v>0</x:v>
      </x:c>
      <x:c r="AG170" s="11" t="n">
        <x:v>2294</x:v>
      </x:c>
      <x:c r="AH170" s="11" t="n">
        <x:v>0</x:v>
      </x:c>
    </x:row>
    <x:row r="171" ht="23" customHeight="1">
      <x:c r="A171" s="10" t="str">
        <x:v>M8</x:v>
      </x:c>
      <x:c r="B171" s="10" t="str">
        <x:v>C_HT</x:v>
      </x:c>
      <x:c r="C171" s="9" t="str">
        <x:v>仅拓扑与尺度</x:v>
      </x:c>
      <x:c r="D171" s="11" t="n">
        <x:v>6103</x:v>
      </x:c>
      <x:c r="E171" s="11" t="n">
        <x:v>4444</x:v>
      </x:c>
      <x:c r="F171" s="11" t="n">
        <x:v>4448</x:v>
      </x:c>
      <x:c r="G171" s="11" t="n">
        <x:v>0</x:v>
      </x:c>
      <x:c r="H171" s="11" t="n">
        <x:v>3914</x:v>
      </x:c>
      <x:c r="I171" s="11" t="n">
        <x:v>20703307</x:v>
      </x:c>
      <x:c r="J171" s="11" t="n">
        <x:v>4174456.260000038</x:v>
      </x:c>
      <x:c r="K171" s="12" t="n">
        <x:f>E171/D171</x:f>
        <x:v>0.7281664755038506</x:v>
      </x:c>
      <x:c r="L171" s="12" t="n">
        <x:f>F171/D171</x:f>
        <x:v>0.7288218908733409</x:v>
      </x:c>
      <x:c r="M171" s="12" t="n">
        <x:f>G171/D171</x:f>
        <x:v>0</x:v>
      </x:c>
      <x:c r="N171" s="12" t="n">
        <x:f>J171/I171</x:f>
        <x:v>0.20163234115206996</x:v>
      </x:c>
      <x:c r="O171" s="11" t="n">
        <x:v>0</x:v>
      </x:c>
      <x:c r="P171" s="11" t="n">
        <x:v>1642</x:v>
      </x:c>
      <x:c r="Q171" s="11" t="n">
        <x:v>0</x:v>
      </x:c>
      <x:c r="R171" s="11" t="n">
        <x:v>0</x:v>
      </x:c>
      <x:c r="S171" s="11" t="n">
        <x:v>4448</x:v>
      </x:c>
      <x:c r="T171" s="11" t="n">
        <x:v>0</x:v>
      </x:c>
      <x:c r="U171" s="11" t="n">
        <x:v>10</x:v>
      </x:c>
      <x:c r="V171" s="11" t="n">
        <x:v>0</x:v>
      </x:c>
      <x:c r="W171" s="11" t="n">
        <x:v>3</x:v>
      </x:c>
      <x:c r="X171" s="11" t="n">
        <x:v>0</x:v>
      </x:c>
      <x:c r="Y171" s="11" t="n">
        <x:v>0</x:v>
      </x:c>
      <x:c r="Z171" s="11" t="n">
        <x:v>3183927</x:v>
      </x:c>
      <x:c r="AA171" s="11" t="n">
        <x:v>0</x:v>
      </x:c>
      <x:c r="AB171" s="11" t="n">
        <x:v>0</x:v>
      </x:c>
      <x:c r="AC171" s="11" t="n">
        <x:v>17499748</x:v>
      </x:c>
      <x:c r="AD171" s="11" t="n">
        <x:v>0</x:v>
      </x:c>
      <x:c r="AE171" s="11" t="n">
        <x:v>17338</x:v>
      </x:c>
      <x:c r="AF171" s="11" t="n">
        <x:v>0</x:v>
      </x:c>
      <x:c r="AG171" s="11" t="n">
        <x:v>2294</x:v>
      </x:c>
      <x:c r="AH171" s="11" t="n">
        <x:v>0</x:v>
      </x:c>
    </x:row>
    <x:row r="172" ht="23" customHeight="1">
      <x:c r="A172" s="10" t="str">
        <x:v>M8</x:v>
      </x:c>
      <x:c r="B172" s="10" t="str">
        <x:v>C_H1</x:v>
      </x:c>
      <x:c r="C172" s="9" t="str">
        <x:v>主对照</x:v>
      </x:c>
      <x:c r="D172" s="11" t="n">
        <x:v>6103</x:v>
      </x:c>
      <x:c r="E172" s="11" t="n">
        <x:v>4444</x:v>
      </x:c>
      <x:c r="F172" s="11" t="n">
        <x:v>4448</x:v>
      </x:c>
      <x:c r="G172" s="11" t="n">
        <x:v>0</x:v>
      </x:c>
      <x:c r="H172" s="11" t="n">
        <x:v>3924</x:v>
      </x:c>
      <x:c r="I172" s="11" t="n">
        <x:v>20703307</x:v>
      </x:c>
      <x:c r="J172" s="11" t="n">
        <x:v>4176741.860000038</x:v>
      </x:c>
      <x:c r="K172" s="12" t="n">
        <x:f>E172/D172</x:f>
        <x:v>0.7281664755038506</x:v>
      </x:c>
      <x:c r="L172" s="12" t="n">
        <x:f>F172/D172</x:f>
        <x:v>0.7288218908733409</x:v>
      </x:c>
      <x:c r="M172" s="12" t="n">
        <x:f>G172/D172</x:f>
        <x:v>0</x:v>
      </x:c>
      <x:c r="N172" s="12" t="n">
        <x:f>J172/I172</x:f>
        <x:v>0.20174273897402178</x:v>
      </x:c>
      <x:c r="O172" s="11" t="n">
        <x:v>0</x:v>
      </x:c>
      <x:c r="P172" s="11" t="n">
        <x:v>1633</x:v>
      </x:c>
      <x:c r="Q172" s="11" t="n">
        <x:v>0</x:v>
      </x:c>
      <x:c r="R172" s="11" t="n">
        <x:v>0</x:v>
      </x:c>
      <x:c r="S172" s="11" t="n">
        <x:v>4448</x:v>
      </x:c>
      <x:c r="T172" s="11" t="n">
        <x:v>0</x:v>
      </x:c>
      <x:c r="U172" s="11" t="n">
        <x:v>19</x:v>
      </x:c>
      <x:c r="V172" s="11" t="n">
        <x:v>0</x:v>
      </x:c>
      <x:c r="W172" s="11" t="n">
        <x:v>3</x:v>
      </x:c>
      <x:c r="X172" s="11" t="n">
        <x:v>0</x:v>
      </x:c>
      <x:c r="Y172" s="11" t="n">
        <x:v>0</x:v>
      </x:c>
      <x:c r="Z172" s="11" t="n">
        <x:v>3172499</x:v>
      </x:c>
      <x:c r="AA172" s="11" t="n">
        <x:v>0</x:v>
      </x:c>
      <x:c r="AB172" s="11" t="n">
        <x:v>0</x:v>
      </x:c>
      <x:c r="AC172" s="11" t="n">
        <x:v>17499748</x:v>
      </x:c>
      <x:c r="AD172" s="11" t="n">
        <x:v>0</x:v>
      </x:c>
      <x:c r="AE172" s="11" t="n">
        <x:v>28766</x:v>
      </x:c>
      <x:c r="AF172" s="11" t="n">
        <x:v>0</x:v>
      </x:c>
      <x:c r="AG172" s="11" t="n">
        <x:v>2294</x:v>
      </x:c>
      <x:c r="AH172" s="11" t="n">
        <x:v>0</x:v>
      </x:c>
    </x:row>
    <x:row r="173" ht="23" customHeight="1">
      <x:c r="A173" s="10" t="str">
        <x:v>M8</x:v>
      </x:c>
      <x:c r="B173" s="10" t="str">
        <x:v>G_H0</x:v>
      </x:c>
      <x:c r="C173" s="9" t="str">
        <x:v>主对照</x:v>
      </x:c>
      <x:c r="D173" s="11" t="n">
        <x:v>6103</x:v>
      </x:c>
      <x:c r="E173" s="11" t="n">
        <x:v>6103</x:v>
      </x:c>
      <x:c r="F173" s="11" t="n">
        <x:v>6103</x:v>
      </x:c>
      <x:c r="G173" s="11" t="n">
        <x:v>0</x:v>
      </x:c>
      <x:c r="H173" s="11" t="n">
        <x:v>6103</x:v>
      </x:c>
      <x:c r="I173" s="11" t="n">
        <x:v>20703307</x:v>
      </x:c>
      <x:c r="J173" s="11" t="n">
        <x:v>3646533.86598113</x:v>
      </x:c>
      <x:c r="K173" s="12" t="n">
        <x:f>E173/D173</x:f>
        <x:v>1</x:v>
      </x:c>
      <x:c r="L173" s="12" t="n">
        <x:f>F173/D173</x:f>
        <x:v>1</x:v>
      </x:c>
      <x:c r="M173" s="12" t="n">
        <x:f>G173/D173</x:f>
        <x:v>0</x:v>
      </x:c>
      <x:c r="N173" s="12" t="n">
        <x:f>J173/I173</x:f>
        <x:v>0.17613291760495703</x:v>
      </x:c>
      <x:c r="O173" s="11" t="n">
        <x:v>0</x:v>
      </x:c>
      <x:c r="P173" s="11" t="n">
        <x:v>1392</x:v>
      </x:c>
      <x:c r="Q173" s="11" t="n">
        <x:v>3645</x:v>
      </x:c>
      <x:c r="R173" s="11" t="n">
        <x:v>795</x:v>
      </x:c>
      <x:c r="S173" s="11" t="n">
        <x:v>217</x:v>
      </x:c>
      <x:c r="T173" s="11" t="n">
        <x:v>54</x:v>
      </x:c>
      <x:c r="U173" s="11" t="n">
        <x:v>0</x:v>
      </x:c>
      <x:c r="V173" s="11" t="n">
        <x:v>0</x:v>
      </x:c>
      <x:c r="W173" s="11" t="n">
        <x:v>0</x:v>
      </x:c>
      <x:c r="X173" s="11" t="n">
        <x:v>0</x:v>
      </x:c>
      <x:c r="Y173" s="11" t="n">
        <x:v>0</x:v>
      </x:c>
      <x:c r="Z173" s="11" t="n">
        <x:v>1727684</x:v>
      </x:c>
      <x:c r="AA173" s="11" t="n">
        <x:v>8791816</x:v>
      </x:c>
      <x:c r="AB173" s="11" t="n">
        <x:v>5015671</x:v>
      </x:c>
      <x:c r="AC173" s="11" t="n">
        <x:v>4974712</x:v>
      </x:c>
      <x:c r="AD173" s="11" t="n">
        <x:v>193424</x:v>
      </x:c>
      <x:c r="AE173" s="11" t="n">
        <x:v>0</x:v>
      </x:c>
      <x:c r="AF173" s="11" t="n">
        <x:v>0</x:v>
      </x:c>
      <x:c r="AG173" s="11" t="n">
        <x:v>0</x:v>
      </x:c>
      <x:c r="AH173" s="11" t="n">
        <x:v>0</x:v>
      </x:c>
    </x:row>
    <x:row r="174" ht="23" customHeight="1">
      <x:c r="A174" s="10" t="str">
        <x:v>M8</x:v>
      </x:c>
      <x:c r="B174" s="10" t="str">
        <x:v>G_HT</x:v>
      </x:c>
      <x:c r="C174" s="9" t="str">
        <x:v>仅拓扑与尺度</x:v>
      </x:c>
      <x:c r="D174" s="11" t="n">
        <x:v>6103</x:v>
      </x:c>
      <x:c r="E174" s="11" t="n">
        <x:v>6103</x:v>
      </x:c>
      <x:c r="F174" s="11" t="n">
        <x:v>6103</x:v>
      </x:c>
      <x:c r="G174" s="11" t="n">
        <x:v>0</x:v>
      </x:c>
      <x:c r="H174" s="11" t="n">
        <x:v>6103</x:v>
      </x:c>
      <x:c r="I174" s="11" t="n">
        <x:v>20703307</x:v>
      </x:c>
      <x:c r="J174" s="11" t="n">
        <x:v>3727000.365981127</x:v>
      </x:c>
      <x:c r="K174" s="12" t="n">
        <x:f>E174/D174</x:f>
        <x:v>1</x:v>
      </x:c>
      <x:c r="L174" s="12" t="n">
        <x:f>F174/D174</x:f>
        <x:v>1</x:v>
      </x:c>
      <x:c r="M174" s="12" t="n">
        <x:f>G174/D174</x:f>
        <x:v>0</x:v>
      </x:c>
      <x:c r="N174" s="12" t="n">
        <x:f>J174/I174</x:f>
        <x:v>0.1800195672112251</x:v>
      </x:c>
      <x:c r="O174" s="11" t="n">
        <x:v>0</x:v>
      </x:c>
      <x:c r="P174" s="11" t="n">
        <x:v>897</x:v>
      </x:c>
      <x:c r="Q174" s="11" t="n">
        <x:v>3944</x:v>
      </x:c>
      <x:c r="R174" s="11" t="n">
        <x:v>955</x:v>
      </x:c>
      <x:c r="S174" s="11" t="n">
        <x:v>247</x:v>
      </x:c>
      <x:c r="T174" s="11" t="n">
        <x:v>60</x:v>
      </x:c>
      <x:c r="U174" s="11" t="n">
        <x:v>0</x:v>
      </x:c>
      <x:c r="V174" s="11" t="n">
        <x:v>0</x:v>
      </x:c>
      <x:c r="W174" s="11" t="n">
        <x:v>0</x:v>
      </x:c>
      <x:c r="X174" s="11" t="n">
        <x:v>0</x:v>
      </x:c>
      <x:c r="Y174" s="11" t="n">
        <x:v>0</x:v>
      </x:c>
      <x:c r="Z174" s="11" t="n">
        <x:v>969382</x:v>
      </x:c>
      <x:c r="AA174" s="11" t="n">
        <x:v>8894972</x:v>
      </x:c>
      <x:c r="AB174" s="11" t="n">
        <x:v>5117880</x:v>
      </x:c>
      <x:c r="AC174" s="11" t="n">
        <x:v>5379689</x:v>
      </x:c>
      <x:c r="AD174" s="11" t="n">
        <x:v>341384</x:v>
      </x:c>
      <x:c r="AE174" s="11" t="n">
        <x:v>0</x:v>
      </x:c>
      <x:c r="AF174" s="11" t="n">
        <x:v>0</x:v>
      </x:c>
      <x:c r="AG174" s="11" t="n">
        <x:v>0</x:v>
      </x:c>
      <x:c r="AH174" s="11" t="n">
        <x:v>0</x:v>
      </x:c>
    </x:row>
    <x:row r="175" ht="23" customHeight="1">
      <x:c r="A175" s="10" t="str">
        <x:v>M8</x:v>
      </x:c>
      <x:c r="B175" s="10" t="str">
        <x:v>G_H1</x:v>
      </x:c>
      <x:c r="C175" s="9" t="str">
        <x:v>主对照</x:v>
      </x:c>
      <x:c r="D175" s="11" t="n">
        <x:v>6103</x:v>
      </x:c>
      <x:c r="E175" s="11" t="n">
        <x:v>6103</x:v>
      </x:c>
      <x:c r="F175" s="11" t="n">
        <x:v>6103</x:v>
      </x:c>
      <x:c r="G175" s="11" t="n">
        <x:v>0</x:v>
      </x:c>
      <x:c r="H175" s="11" t="n">
        <x:v>6103</x:v>
      </x:c>
      <x:c r="I175" s="11" t="n">
        <x:v>20703307</x:v>
      </x:c>
      <x:c r="J175" s="11" t="n">
        <x:v>3727000.365981127</x:v>
      </x:c>
      <x:c r="K175" s="12" t="n">
        <x:f>E175/D175</x:f>
        <x:v>1</x:v>
      </x:c>
      <x:c r="L175" s="12" t="n">
        <x:f>F175/D175</x:f>
        <x:v>1</x:v>
      </x:c>
      <x:c r="M175" s="12" t="n">
        <x:f>G175/D175</x:f>
        <x:v>0</x:v>
      </x:c>
      <x:c r="N175" s="12" t="n">
        <x:f>J175/I175</x:f>
        <x:v>0.1800195672112251</x:v>
      </x:c>
      <x:c r="O175" s="11" t="n">
        <x:v>0</x:v>
      </x:c>
      <x:c r="P175" s="11" t="n">
        <x:v>897</x:v>
      </x:c>
      <x:c r="Q175" s="11" t="n">
        <x:v>3944</x:v>
      </x:c>
      <x:c r="R175" s="11" t="n">
        <x:v>955</x:v>
      </x:c>
      <x:c r="S175" s="11" t="n">
        <x:v>247</x:v>
      </x:c>
      <x:c r="T175" s="11" t="n">
        <x:v>60</x:v>
      </x:c>
      <x:c r="U175" s="11" t="n">
        <x:v>0</x:v>
      </x:c>
      <x:c r="V175" s="11" t="n">
        <x:v>0</x:v>
      </x:c>
      <x:c r="W175" s="11" t="n">
        <x:v>0</x:v>
      </x:c>
      <x:c r="X175" s="11" t="n">
        <x:v>0</x:v>
      </x:c>
      <x:c r="Y175" s="11" t="n">
        <x:v>0</x:v>
      </x:c>
      <x:c r="Z175" s="11" t="n">
        <x:v>969382</x:v>
      </x:c>
      <x:c r="AA175" s="11" t="n">
        <x:v>8894972</x:v>
      </x:c>
      <x:c r="AB175" s="11" t="n">
        <x:v>5117880</x:v>
      </x:c>
      <x:c r="AC175" s="11" t="n">
        <x:v>5379689</x:v>
      </x:c>
      <x:c r="AD175" s="11" t="n">
        <x:v>341384</x:v>
      </x:c>
      <x:c r="AE175" s="11" t="n">
        <x:v>0</x:v>
      </x:c>
      <x:c r="AF175" s="11" t="n">
        <x:v>0</x:v>
      </x:c>
      <x:c r="AG175" s="11" t="n">
        <x:v>0</x:v>
      </x:c>
      <x:c r="AH175" s="11" t="n">
        <x:v>0</x:v>
      </x:c>
    </x:row>
    <x:row r="176" ht="23" customHeight="1">
      <x:c r="A176" s="10" t="str">
        <x:v>M8</x:v>
      </x:c>
      <x:c r="B176" s="10" t="str">
        <x:v>NC_H0</x:v>
      </x:c>
      <x:c r="C176" s="9" t="str">
        <x:v>主对照</x:v>
      </x:c>
      <x:c r="D176" s="11" t="n">
        <x:v>6103</x:v>
      </x:c>
      <x:c r="E176" s="11" t="n">
        <x:v>3243</x:v>
      </x:c>
      <x:c r="F176" s="11" t="n">
        <x:v>4001</x:v>
      </x:c>
      <x:c r="G176" s="11" t="n">
        <x:v>843</x:v>
      </x:c>
      <x:c r="H176" s="11" t="n">
        <x:v>3251</x:v>
      </x:c>
      <x:c r="I176" s="11" t="n">
        <x:v>20703307</x:v>
      </x:c>
      <x:c r="J176" s="11" t="n">
        <x:v>5060186.860000007</x:v>
      </x:c>
      <x:c r="K176" s="12" t="n">
        <x:f>E176/D176</x:f>
        <x:v>0.5313780108143537</x:v>
      </x:c>
      <x:c r="L176" s="12" t="n">
        <x:f>F176/D176</x:f>
        <x:v>0.6555792233327872</x:v>
      </x:c>
      <x:c r="M176" s="12" t="n">
        <x:f>G176/D176</x:f>
        <x:v>0.13812878912010487</x:v>
      </x:c>
      <x:c r="N176" s="12" t="n">
        <x:f>J176/I176</x:f>
        <x:v>0.2444144242270091</x:v>
      </x:c>
      <x:c r="O176" s="11" t="n">
        <x:v>0</x:v>
      </x:c>
      <x:c r="P176" s="11" t="n">
        <x:v>1476</x:v>
      </x:c>
      <x:c r="Q176" s="11" t="n">
        <x:v>221</x:v>
      </x:c>
      <x:c r="R176" s="11" t="n">
        <x:v>0</x:v>
      </x:c>
      <x:c r="S176" s="11" t="n">
        <x:v>4001</x:v>
      </x:c>
      <x:c r="T176" s="11" t="n">
        <x:v>31</x:v>
      </x:c>
      <x:c r="U176" s="11" t="n">
        <x:v>81</x:v>
      </x:c>
      <x:c r="V176" s="11" t="n">
        <x:v>160</x:v>
      </x:c>
      <x:c r="W176" s="11" t="n">
        <x:v>133</x:v>
      </x:c>
      <x:c r="X176" s="11" t="n">
        <x:v>0</x:v>
      </x:c>
      <x:c r="Y176" s="11" t="n">
        <x:v>0</x:v>
      </x:c>
      <x:c r="Z176" s="11" t="n">
        <x:v>2832447</x:v>
      </x:c>
      <x:c r="AA176" s="11" t="n">
        <x:v>473150</x:v>
      </x:c>
      <x:c r="AB176" s="11" t="n">
        <x:v>0</x:v>
      </x:c>
      <x:c r="AC176" s="11" t="n">
        <x:v>10235610</x:v>
      </x:c>
      <x:c r="AD176" s="11" t="n">
        <x:v>560944</x:v>
      </x:c>
      <x:c r="AE176" s="11" t="n">
        <x:v>324389</x:v>
      </x:c>
      <x:c r="AF176" s="11" t="n">
        <x:v>4758983</x:v>
      </x:c>
      <x:c r="AG176" s="11" t="n">
        <x:v>1517784</x:v>
      </x:c>
      <x:c r="AH176" s="11" t="n">
        <x:v>0</x:v>
      </x:c>
    </x:row>
    <x:row r="177" ht="23" customHeight="1">
      <x:c r="A177" s="10" t="str">
        <x:v>M8</x:v>
      </x:c>
      <x:c r="B177" s="10" t="str">
        <x:v>NC_HT</x:v>
      </x:c>
      <x:c r="C177" s="9" t="str">
        <x:v>仅拓扑与尺度</x:v>
      </x:c>
      <x:c r="D177" s="11" t="n">
        <x:v>6103</x:v>
      </x:c>
      <x:c r="E177" s="11" t="n">
        <x:v>3243</x:v>
      </x:c>
      <x:c r="F177" s="11" t="n">
        <x:v>4001</x:v>
      </x:c>
      <x:c r="G177" s="11" t="n">
        <x:v>843</x:v>
      </x:c>
      <x:c r="H177" s="11" t="n">
        <x:v>3251</x:v>
      </x:c>
      <x:c r="I177" s="11" t="n">
        <x:v>20703307</x:v>
      </x:c>
      <x:c r="J177" s="11" t="n">
        <x:v>5060186.860000007</x:v>
      </x:c>
      <x:c r="K177" s="12" t="n">
        <x:f>E177/D177</x:f>
        <x:v>0.5313780108143537</x:v>
      </x:c>
      <x:c r="L177" s="12" t="n">
        <x:f>F177/D177</x:f>
        <x:v>0.6555792233327872</x:v>
      </x:c>
      <x:c r="M177" s="12" t="n">
        <x:f>G177/D177</x:f>
        <x:v>0.13812878912010487</x:v>
      </x:c>
      <x:c r="N177" s="12" t="n">
        <x:f>J177/I177</x:f>
        <x:v>0.2444144242270091</x:v>
      </x:c>
      <x:c r="O177" s="11" t="n">
        <x:v>0</x:v>
      </x:c>
      <x:c r="P177" s="11" t="n">
        <x:v>1476</x:v>
      </x:c>
      <x:c r="Q177" s="11" t="n">
        <x:v>221</x:v>
      </x:c>
      <x:c r="R177" s="11" t="n">
        <x:v>0</x:v>
      </x:c>
      <x:c r="S177" s="11" t="n">
        <x:v>4001</x:v>
      </x:c>
      <x:c r="T177" s="11" t="n">
        <x:v>31</x:v>
      </x:c>
      <x:c r="U177" s="11" t="n">
        <x:v>81</x:v>
      </x:c>
      <x:c r="V177" s="11" t="n">
        <x:v>160</x:v>
      </x:c>
      <x:c r="W177" s="11" t="n">
        <x:v>133</x:v>
      </x:c>
      <x:c r="X177" s="11" t="n">
        <x:v>0</x:v>
      </x:c>
      <x:c r="Y177" s="11" t="n">
        <x:v>0</x:v>
      </x:c>
      <x:c r="Z177" s="11" t="n">
        <x:v>2832447</x:v>
      </x:c>
      <x:c r="AA177" s="11" t="n">
        <x:v>473150</x:v>
      </x:c>
      <x:c r="AB177" s="11" t="n">
        <x:v>0</x:v>
      </x:c>
      <x:c r="AC177" s="11" t="n">
        <x:v>10235610</x:v>
      </x:c>
      <x:c r="AD177" s="11" t="n">
        <x:v>560944</x:v>
      </x:c>
      <x:c r="AE177" s="11" t="n">
        <x:v>324389</x:v>
      </x:c>
      <x:c r="AF177" s="11" t="n">
        <x:v>4758983</x:v>
      </x:c>
      <x:c r="AG177" s="11" t="n">
        <x:v>1517784</x:v>
      </x:c>
      <x:c r="AH177" s="11" t="n">
        <x:v>0</x:v>
      </x:c>
    </x:row>
    <x:row r="178" ht="23" customHeight="1">
      <x:c r="A178" s="10" t="str">
        <x:v>M8</x:v>
      </x:c>
      <x:c r="B178" s="10" t="str">
        <x:v>NC_H1</x:v>
      </x:c>
      <x:c r="C178" s="9" t="str">
        <x:v>主对照</x:v>
      </x:c>
      <x:c r="D178" s="11" t="n">
        <x:v>6103</x:v>
      </x:c>
      <x:c r="E178" s="11" t="n">
        <x:v>3243</x:v>
      </x:c>
      <x:c r="F178" s="11" t="n">
        <x:v>4001</x:v>
      </x:c>
      <x:c r="G178" s="11" t="n">
        <x:v>843</x:v>
      </x:c>
      <x:c r="H178" s="11" t="n">
        <x:v>3405</x:v>
      </x:c>
      <x:c r="I178" s="11" t="n">
        <x:v>20703307</x:v>
      </x:c>
      <x:c r="J178" s="11" t="n">
        <x:v>5086729.100000005</x:v>
      </x:c>
      <x:c r="K178" s="12" t="n">
        <x:f>E178/D178</x:f>
        <x:v>0.5313780108143537</x:v>
      </x:c>
      <x:c r="L178" s="12" t="n">
        <x:f>F178/D178</x:f>
        <x:v>0.6555792233327872</x:v>
      </x:c>
      <x:c r="M178" s="12" t="n">
        <x:f>G178/D178</x:f>
        <x:v>0.13812878912010487</x:v>
      </x:c>
      <x:c r="N178" s="12" t="n">
        <x:f>J178/I178</x:f>
        <x:v>0.24569645322846273</x:v>
      </x:c>
      <x:c r="O178" s="11" t="n">
        <x:v>0</x:v>
      </x:c>
      <x:c r="P178" s="11" t="n">
        <x:v>1469</x:v>
      </x:c>
      <x:c r="Q178" s="11" t="n">
        <x:v>176</x:v>
      </x:c>
      <x:c r="R178" s="11" t="n">
        <x:v>0</x:v>
      </x:c>
      <x:c r="S178" s="11" t="n">
        <x:v>4001</x:v>
      </x:c>
      <x:c r="T178" s="11" t="n">
        <x:v>68</x:v>
      </x:c>
      <x:c r="U178" s="11" t="n">
        <x:v>96</x:v>
      </x:c>
      <x:c r="V178" s="11" t="n">
        <x:v>160</x:v>
      </x:c>
      <x:c r="W178" s="11" t="n">
        <x:v>133</x:v>
      </x:c>
      <x:c r="X178" s="11" t="n">
        <x:v>0</x:v>
      </x:c>
      <x:c r="Y178" s="11" t="n">
        <x:v>0</x:v>
      </x:c>
      <x:c r="Z178" s="11" t="n">
        <x:v>2822283</x:v>
      </x:c>
      <x:c r="AA178" s="11" t="n">
        <x:v>302142</x:v>
      </x:c>
      <x:c r="AB178" s="11" t="n">
        <x:v>0</x:v>
      </x:c>
      <x:c r="AC178" s="11" t="n">
        <x:v>10235610</x:v>
      </x:c>
      <x:c r="AD178" s="11" t="n">
        <x:v>717744</x:v>
      </x:c>
      <x:c r="AE178" s="11" t="n">
        <x:v>348761</x:v>
      </x:c>
      <x:c r="AF178" s="11" t="n">
        <x:v>4758983</x:v>
      </x:c>
      <x:c r="AG178" s="11" t="n">
        <x:v>1517784</x:v>
      </x:c>
      <x:c r="AH178" s="11" t="n">
        <x:v>0</x:v>
      </x:c>
    </x:row>
    <x:row r="179" ht="23" customHeight="1">
      <x:c r="A179" s="10" t="str">
        <x:v>M8</x:v>
      </x:c>
      <x:c r="B179" s="10" t="str">
        <x:v>NG_H0</x:v>
      </x:c>
      <x:c r="C179" s="9" t="str">
        <x:v>主对照</x:v>
      </x:c>
      <x:c r="D179" s="11" t="n">
        <x:v>6103</x:v>
      </x:c>
      <x:c r="E179" s="11" t="n">
        <x:v>3675</x:v>
      </x:c>
      <x:c r="F179" s="11" t="n">
        <x:v>4521</x:v>
      </x:c>
      <x:c r="G179" s="11" t="n">
        <x:v>0</x:v>
      </x:c>
      <x:c r="H179" s="11" t="n">
        <x:v>3675</x:v>
      </x:c>
      <x:c r="I179" s="11" t="n">
        <x:v>20703307</x:v>
      </x:c>
      <x:c r="J179" s="11" t="n">
        <x:v>5073427.465981151</x:v>
      </x:c>
      <x:c r="K179" s="12" t="n">
        <x:f>E179/D179</x:f>
        <x:v>0.6021628707193184</x:v>
      </x:c>
      <x:c r="L179" s="12" t="n">
        <x:f>F179/D179</x:f>
        <x:v>0.7407832213665411</x:v>
      </x:c>
      <x:c r="M179" s="12" t="n">
        <x:f>G179/D179</x:f>
        <x:v>0</x:v>
      </x:c>
      <x:c r="N179" s="12" t="n">
        <x:f>J179/I179</x:f>
        <x:v>0.2450539648560083</x:v>
      </x:c>
      <x:c r="O179" s="11" t="n">
        <x:v>37</x:v>
      </x:c>
      <x:c r="P179" s="11" t="n">
        <x:v>1469</x:v>
      </x:c>
      <x:c r="Q179" s="11" t="n">
        <x:v>3118</x:v>
      </x:c>
      <x:c r="R179" s="11" t="n">
        <x:v>729</x:v>
      </x:c>
      <x:c r="S179" s="11" t="n">
        <x:v>209</x:v>
      </x:c>
      <x:c r="T179" s="11" t="n">
        <x:v>89</x:v>
      </x:c>
      <x:c r="U179" s="11" t="n">
        <x:v>76</x:v>
      </x:c>
      <x:c r="V179" s="11" t="n">
        <x:v>165</x:v>
      </x:c>
      <x:c r="W179" s="11" t="n">
        <x:v>211</x:v>
      </x:c>
      <x:c r="X179" s="11" t="n">
        <x:v>0</x:v>
      </x:c>
      <x:c r="Y179" s="11" t="n">
        <x:v>20978</x:v>
      </x:c>
      <x:c r="Z179" s="11" t="n">
        <x:v>1714194</x:v>
      </x:c>
      <x:c r="AA179" s="11" t="n">
        <x:v>5944743</x:v>
      </x:c>
      <x:c r="AB179" s="11" t="n">
        <x:v>2861534</x:v>
      </x:c>
      <x:c r="AC179" s="11" t="n">
        <x:v>2100076</x:v>
      </x:c>
      <x:c r="AD179" s="11" t="n">
        <x:v>796008</x:v>
      </x:c>
      <x:c r="AE179" s="11" t="n">
        <x:v>317311</x:v>
      </x:c>
      <x:c r="AF179" s="11" t="n">
        <x:v>4765923</x:v>
      </x:c>
      <x:c r="AG179" s="11" t="n">
        <x:v>2182540</x:v>
      </x:c>
      <x:c r="AH179" s="11" t="n">
        <x:v>0</x:v>
      </x:c>
    </x:row>
    <x:row r="180" ht="23" customHeight="1">
      <x:c r="A180" s="10" t="str">
        <x:v>M8</x:v>
      </x:c>
      <x:c r="B180" s="10" t="str">
        <x:v>NG_HT</x:v>
      </x:c>
      <x:c r="C180" s="9" t="str">
        <x:v>仅拓扑与尺度</x:v>
      </x:c>
      <x:c r="D180" s="11" t="n">
        <x:v>6103</x:v>
      </x:c>
      <x:c r="E180" s="11" t="n">
        <x:v>3675</x:v>
      </x:c>
      <x:c r="F180" s="11" t="n">
        <x:v>4521</x:v>
      </x:c>
      <x:c r="G180" s="11" t="n">
        <x:v>0</x:v>
      </x:c>
      <x:c r="H180" s="11" t="n">
        <x:v>3675</x:v>
      </x:c>
      <x:c r="I180" s="11" t="n">
        <x:v>20703307</x:v>
      </x:c>
      <x:c r="J180" s="11" t="n">
        <x:v>5128093.165981158</x:v>
      </x:c>
      <x:c r="K180" s="12" t="n">
        <x:f>E180/D180</x:f>
        <x:v>0.6021628707193184</x:v>
      </x:c>
      <x:c r="L180" s="12" t="n">
        <x:f>F180/D180</x:f>
        <x:v>0.7407832213665411</x:v>
      </x:c>
      <x:c r="M180" s="12" t="n">
        <x:f>G180/D180</x:f>
        <x:v>0</x:v>
      </x:c>
      <x:c r="N180" s="12" t="n">
        <x:f>J180/I180</x:f>
        <x:v>0.24769439809693966</x:v>
      </x:c>
      <x:c r="O180" s="11" t="n">
        <x:v>37</x:v>
      </x:c>
      <x:c r="P180" s="11" t="n">
        <x:v>1053</x:v>
      </x:c>
      <x:c r="Q180" s="11" t="n">
        <x:v>3377</x:v>
      </x:c>
      <x:c r="R180" s="11" t="n">
        <x:v>854</x:v>
      </x:c>
      <x:c r="S180" s="11" t="n">
        <x:v>235</x:v>
      </x:c>
      <x:c r="T180" s="11" t="n">
        <x:v>95</x:v>
      </x:c>
      <x:c r="U180" s="11" t="n">
        <x:v>76</x:v>
      </x:c>
      <x:c r="V180" s="11" t="n">
        <x:v>165</x:v>
      </x:c>
      <x:c r="W180" s="11" t="n">
        <x:v>211</x:v>
      </x:c>
      <x:c r="X180" s="11" t="n">
        <x:v>0</x:v>
      </x:c>
      <x:c r="Y180" s="11" t="n">
        <x:v>20978</x:v>
      </x:c>
      <x:c r="Z180" s="11" t="n">
        <x:v>1038534</x:v>
      </x:c>
      <x:c r="AA180" s="11" t="n">
        <x:v>6168549</x:v>
      </x:c>
      <x:c r="AB180" s="11" t="n">
        <x:v>3027389</x:v>
      </x:c>
      <x:c r="AC180" s="11" t="n">
        <x:v>2238115</x:v>
      </x:c>
      <x:c r="AD180" s="11" t="n">
        <x:v>943968</x:v>
      </x:c>
      <x:c r="AE180" s="11" t="n">
        <x:v>317311</x:v>
      </x:c>
      <x:c r="AF180" s="11" t="n">
        <x:v>4765923</x:v>
      </x:c>
      <x:c r="AG180" s="11" t="n">
        <x:v>2182540</x:v>
      </x:c>
      <x:c r="AH180" s="11" t="n">
        <x:v>0</x:v>
      </x:c>
    </x:row>
    <x:row r="181" ht="23" customHeight="1">
      <x:c r="A181" s="10" t="str">
        <x:v>M8</x:v>
      </x:c>
      <x:c r="B181" s="10" t="str">
        <x:v>NG_H1</x:v>
      </x:c>
      <x:c r="C181" s="9" t="str">
        <x:v>主对照</x:v>
      </x:c>
      <x:c r="D181" s="11" t="n">
        <x:v>6103</x:v>
      </x:c>
      <x:c r="E181" s="11" t="n">
        <x:v>3675</x:v>
      </x:c>
      <x:c r="F181" s="11" t="n">
        <x:v>4521</x:v>
      </x:c>
      <x:c r="G181" s="11" t="n">
        <x:v>0</x:v>
      </x:c>
      <x:c r="H181" s="11" t="n">
        <x:v>3846</x:v>
      </x:c>
      <x:c r="I181" s="11" t="n">
        <x:v>20703307</x:v>
      </x:c>
      <x:c r="J181" s="11" t="n">
        <x:v>5143832.645981156</x:v>
      </x:c>
      <x:c r="K181" s="12" t="n">
        <x:f>E181/D181</x:f>
        <x:v>0.6021628707193184</x:v>
      </x:c>
      <x:c r="L181" s="12" t="n">
        <x:f>F181/D181</x:f>
        <x:v>0.7407832213665411</x:v>
      </x:c>
      <x:c r="M181" s="12" t="n">
        <x:f>G181/D181</x:f>
        <x:v>0</x:v>
      </x:c>
      <x:c r="N181" s="12" t="n">
        <x:f>J181/I181</x:f>
        <x:v>0.24845463799484577</x:v>
      </x:c>
      <x:c r="O181" s="11" t="n">
        <x:v>37</x:v>
      </x:c>
      <x:c r="P181" s="11" t="n">
        <x:v>1049</x:v>
      </x:c>
      <x:c r="Q181" s="11" t="n">
        <x:v>3335</x:v>
      </x:c>
      <x:c r="R181" s="11" t="n">
        <x:v>852</x:v>
      </x:c>
      <x:c r="S181" s="11" t="n">
        <x:v>231</x:v>
      </x:c>
      <x:c r="T181" s="11" t="n">
        <x:v>135</x:v>
      </x:c>
      <x:c r="U181" s="11" t="n">
        <x:v>88</x:v>
      </x:c>
      <x:c r="V181" s="11" t="n">
        <x:v>165</x:v>
      </x:c>
      <x:c r="W181" s="11" t="n">
        <x:v>211</x:v>
      </x:c>
      <x:c r="X181" s="11" t="n">
        <x:v>0</x:v>
      </x:c>
      <x:c r="Y181" s="11" t="n">
        <x:v>20978</x:v>
      </x:c>
      <x:c r="Z181" s="11" t="n">
        <x:v>1036534</x:v>
      </x:c>
      <x:c r="AA181" s="11" t="n">
        <x:v>6090751</x:v>
      </x:c>
      <x:c r="AB181" s="11" t="n">
        <x:v>3025941</x:v>
      </x:c>
      <x:c r="AC181" s="11" t="n">
        <x:v>2144749</x:v>
      </x:c>
      <x:c r="AD181" s="11" t="n">
        <x:v>1102372</x:v>
      </x:c>
      <x:c r="AE181" s="11" t="n">
        <x:v>333519</x:v>
      </x:c>
      <x:c r="AF181" s="11" t="n">
        <x:v>4765923</x:v>
      </x:c>
      <x:c r="AG181" s="11" t="n">
        <x:v>2182540</x:v>
      </x:c>
      <x:c r="AH181" s="11" t="n">
        <x:v>0</x:v>
      </x:c>
    </x:row>
    <x:row r="182" ht="23" customHeight="1">
      <x:c r="A182" s="10" t="str">
        <x:v>M8</x:v>
      </x:c>
      <x:c r="B182" s="10" t="str">
        <x:v>CG_H0</x:v>
      </x:c>
      <x:c r="C182" s="9" t="str">
        <x:v>主对照</x:v>
      </x:c>
      <x:c r="D182" s="11" t="n">
        <x:v>6103</x:v>
      </x:c>
      <x:c r="E182" s="11" t="n">
        <x:v>4444</x:v>
      </x:c>
      <x:c r="F182" s="11" t="n">
        <x:v>4448</x:v>
      </x:c>
      <x:c r="G182" s="11" t="n">
        <x:v>0</x:v>
      </x:c>
      <x:c r="H182" s="11" t="n">
        <x:v>3914</x:v>
      </x:c>
      <x:c r="I182" s="11" t="n">
        <x:v>20703307</x:v>
      </x:c>
      <x:c r="J182" s="11" t="n">
        <x:v>3622261.065981128</x:v>
      </x:c>
      <x:c r="K182" s="12" t="n">
        <x:f>E182/D182</x:f>
        <x:v>0.7281664755038506</x:v>
      </x:c>
      <x:c r="L182" s="12" t="n">
        <x:f>F182/D182</x:f>
        <x:v>0.7288218908733409</x:v>
      </x:c>
      <x:c r="M182" s="12" t="n">
        <x:f>G182/D182</x:f>
        <x:v>0</x:v>
      </x:c>
      <x:c r="N182" s="12" t="n">
        <x:f>J182/I182</x:f>
        <x:v>0.17496050587382622</x:v>
      </x:c>
      <x:c r="O182" s="11" t="n">
        <x:v>14</x:v>
      </x:c>
      <x:c r="P182" s="11" t="n">
        <x:v>1942</x:v>
      </x:c>
      <x:c r="Q182" s="11" t="n">
        <x:v>3121</x:v>
      </x:c>
      <x:c r="R182" s="11" t="n">
        <x:v>742</x:v>
      </x:c>
      <x:c r="S182" s="11" t="n">
        <x:v>217</x:v>
      </x:c>
      <x:c r="T182" s="11" t="n">
        <x:v>54</x:v>
      </x:c>
      <x:c r="U182" s="11" t="n">
        <x:v>10</x:v>
      </x:c>
      <x:c r="V182" s="11" t="n">
        <x:v>0</x:v>
      </x:c>
      <x:c r="W182" s="11" t="n">
        <x:v>3</x:v>
      </x:c>
      <x:c r="X182" s="11" t="n">
        <x:v>0</x:v>
      </x:c>
      <x:c r="Y182" s="11" t="n">
        <x:v>4336</x:v>
      </x:c>
      <x:c r="Z182" s="11" t="n">
        <x:v>2694462</x:v>
      </x:c>
      <x:c r="AA182" s="11" t="n">
        <x:v>8014244</x:v>
      </x:c>
      <x:c r="AB182" s="11" t="n">
        <x:v>4802497</x:v>
      </x:c>
      <x:c r="AC182" s="11" t="n">
        <x:v>4974712</x:v>
      </x:c>
      <x:c r="AD182" s="11" t="n">
        <x:v>193424</x:v>
      </x:c>
      <x:c r="AE182" s="11" t="n">
        <x:v>17338</x:v>
      </x:c>
      <x:c r="AF182" s="11" t="n">
        <x:v>0</x:v>
      </x:c>
      <x:c r="AG182" s="11" t="n">
        <x:v>2294</x:v>
      </x:c>
      <x:c r="AH182" s="11" t="n">
        <x:v>0</x:v>
      </x:c>
    </x:row>
    <x:row r="183" ht="23" customHeight="1">
      <x:c r="A183" s="10" t="str">
        <x:v>M8</x:v>
      </x:c>
      <x:c r="B183" s="10" t="str">
        <x:v>CG_HT</x:v>
      </x:c>
      <x:c r="C183" s="9" t="str">
        <x:v>仅拓扑与尺度</x:v>
      </x:c>
      <x:c r="D183" s="11" t="n">
        <x:v>6103</x:v>
      </x:c>
      <x:c r="E183" s="11" t="n">
        <x:v>4456</x:v>
      </x:c>
      <x:c r="F183" s="11" t="n">
        <x:v>4460</x:v>
      </x:c>
      <x:c r="G183" s="11" t="n">
        <x:v>0</x:v>
      </x:c>
      <x:c r="H183" s="11" t="n">
        <x:v>3926</x:v>
      </x:c>
      <x:c r="I183" s="11" t="n">
        <x:v>20703307</x:v>
      </x:c>
      <x:c r="J183" s="11" t="n">
        <x:v>3697406.64598113</x:v>
      </x:c>
      <x:c r="K183" s="12" t="n">
        <x:f>E183/D183</x:f>
        <x:v>0.7301327216123218</x:v>
      </x:c>
      <x:c r="L183" s="12" t="n">
        <x:f>F183/D183</x:f>
        <x:v>0.7307881369818122</x:v>
      </x:c>
      <x:c r="M183" s="12" t="n">
        <x:f>G183/D183</x:f>
        <x:v>0</x:v>
      </x:c>
      <x:c r="N183" s="12" t="n">
        <x:f>J183/I183</x:f>
        <x:v>0.17859014726396755</x:v>
      </x:c>
      <x:c r="O183" s="11" t="n">
        <x:v>14</x:v>
      </x:c>
      <x:c r="P183" s="11" t="n">
        <x:v>1468</x:v>
      </x:c>
      <x:c r="Q183" s="11" t="n">
        <x:v>3481</x:v>
      </x:c>
      <x:c r="R183" s="11" t="n">
        <x:v>820</x:v>
      </x:c>
      <x:c r="S183" s="11" t="n">
        <x:v>247</x:v>
      </x:c>
      <x:c r="T183" s="11" t="n">
        <x:v>60</x:v>
      </x:c>
      <x:c r="U183" s="11" t="n">
        <x:v>10</x:v>
      </x:c>
      <x:c r="V183" s="11" t="n">
        <x:v>0</x:v>
      </x:c>
      <x:c r="W183" s="11" t="n">
        <x:v>3</x:v>
      </x:c>
      <x:c r="X183" s="11" t="n">
        <x:v>0</x:v>
      </x:c>
      <x:c r="Y183" s="11" t="n">
        <x:v>4336</x:v>
      </x:c>
      <x:c r="Z183" s="11" t="n">
        <x:v>1818222</x:v>
      </x:c>
      <x:c r="AA183" s="11" t="n">
        <x:v>8427330</x:v>
      </x:c>
      <x:c r="AB183" s="11" t="n">
        <x:v>4712714</x:v>
      </x:c>
      <x:c r="AC183" s="11" t="n">
        <x:v>5379689</x:v>
      </x:c>
      <x:c r="AD183" s="11" t="n">
        <x:v>341384</x:v>
      </x:c>
      <x:c r="AE183" s="11" t="n">
        <x:v>17338</x:v>
      </x:c>
      <x:c r="AF183" s="11" t="n">
        <x:v>0</x:v>
      </x:c>
      <x:c r="AG183" s="11" t="n">
        <x:v>2294</x:v>
      </x:c>
      <x:c r="AH183" s="11" t="n">
        <x:v>0</x:v>
      </x:c>
    </x:row>
    <x:row r="184" ht="23" customHeight="1">
      <x:c r="A184" s="10" t="str">
        <x:v>M8</x:v>
      </x:c>
      <x:c r="B184" s="10" t="str">
        <x:v>CG_H1</x:v>
      </x:c>
      <x:c r="C184" s="9" t="str">
        <x:v>主对照</x:v>
      </x:c>
      <x:c r="D184" s="11" t="n">
        <x:v>6103</x:v>
      </x:c>
      <x:c r="E184" s="11" t="n">
        <x:v>4456</x:v>
      </x:c>
      <x:c r="F184" s="11" t="n">
        <x:v>4460</x:v>
      </x:c>
      <x:c r="G184" s="11" t="n">
        <x:v>0</x:v>
      </x:c>
      <x:c r="H184" s="11" t="n">
        <x:v>3936</x:v>
      </x:c>
      <x:c r="I184" s="11" t="n">
        <x:v>20703307</x:v>
      </x:c>
      <x:c r="J184" s="11" t="n">
        <x:v>3699345.60598113</x:v>
      </x:c>
      <x:c r="K184" s="12" t="n">
        <x:f>E184/D184</x:f>
        <x:v>0.7301327216123218</x:v>
      </x:c>
      <x:c r="L184" s="12" t="n">
        <x:f>F184/D184</x:f>
        <x:v>0.7307881369818122</x:v>
      </x:c>
      <x:c r="M184" s="12" t="n">
        <x:f>G184/D184</x:f>
        <x:v>0</x:v>
      </x:c>
      <x:c r="N184" s="12" t="n">
        <x:f>J184/I184</x:f>
        <x:v>0.17868380186707034</x:v>
      </x:c>
      <x:c r="O184" s="11" t="n">
        <x:v>14</x:v>
      </x:c>
      <x:c r="P184" s="11" t="n">
        <x:v>1462</x:v>
      </x:c>
      <x:c r="Q184" s="11" t="n">
        <x:v>3479</x:v>
      </x:c>
      <x:c r="R184" s="11" t="n">
        <x:v>819</x:v>
      </x:c>
      <x:c r="S184" s="11" t="n">
        <x:v>247</x:v>
      </x:c>
      <x:c r="T184" s="11" t="n">
        <x:v>60</x:v>
      </x:c>
      <x:c r="U184" s="11" t="n">
        <x:v>19</x:v>
      </x:c>
      <x:c r="V184" s="11" t="n">
        <x:v>0</x:v>
      </x:c>
      <x:c r="W184" s="11" t="n">
        <x:v>3</x:v>
      </x:c>
      <x:c r="X184" s="11" t="n">
        <x:v>0</x:v>
      </x:c>
      <x:c r="Y184" s="11" t="n">
        <x:v>4336</x:v>
      </x:c>
      <x:c r="Z184" s="11" t="n">
        <x:v>1815182</x:v>
      </x:c>
      <x:c r="AA184" s="11" t="n">
        <x:v>8423414</x:v>
      </x:c>
      <x:c r="AB184" s="11" t="n">
        <x:v>4708242</x:v>
      </x:c>
      <x:c r="AC184" s="11" t="n">
        <x:v>5379689</x:v>
      </x:c>
      <x:c r="AD184" s="11" t="n">
        <x:v>341384</x:v>
      </x:c>
      <x:c r="AE184" s="11" t="n">
        <x:v>28766</x:v>
      </x:c>
      <x:c r="AF184" s="11" t="n">
        <x:v>0</x:v>
      </x:c>
      <x:c r="AG184" s="11" t="n">
        <x:v>2294</x:v>
      </x:c>
      <x:c r="AH184" s="11" t="n">
        <x:v>0</x:v>
      </x:c>
    </x:row>
    <x:row r="185" ht="23" customHeight="1">
      <x:c r="A185" s="10" t="str">
        <x:v>M8</x:v>
      </x:c>
      <x:c r="B185" s="10" t="str">
        <x:v>NCG_H0</x:v>
      </x:c>
      <x:c r="C185" s="9" t="str">
        <x:v>主对照</x:v>
      </x:c>
      <x:c r="D185" s="11" t="n">
        <x:v>6103</x:v>
      </x:c>
      <x:c r="E185" s="11" t="n">
        <x:v>3243</x:v>
      </x:c>
      <x:c r="F185" s="11" t="n">
        <x:v>4001</x:v>
      </x:c>
      <x:c r="G185" s="11" t="n">
        <x:v>843</x:v>
      </x:c>
      <x:c r="H185" s="11" t="n">
        <x:v>3251</x:v>
      </x:c>
      <x:c r="I185" s="11" t="n">
        <x:v>20703307</x:v>
      </x:c>
      <x:c r="J185" s="11" t="n">
        <x:v>4921078.065981152</x:v>
      </x:c>
      <x:c r="K185" s="12" t="n">
        <x:f>E185/D185</x:f>
        <x:v>0.5313780108143537</x:v>
      </x:c>
      <x:c r="L185" s="12" t="n">
        <x:f>F185/D185</x:f>
        <x:v>0.6555792233327872</x:v>
      </x:c>
      <x:c r="M185" s="12" t="n">
        <x:f>G185/D185</x:f>
        <x:v>0.13812878912010487</x:v>
      </x:c>
      <x:c r="N185" s="12" t="n">
        <x:f>J185/I185</x:f>
        <x:v>0.23769526607421468</x:v>
      </x:c>
      <x:c r="O185" s="11" t="n">
        <x:v>24</x:v>
      </x:c>
      <x:c r="P185" s="11" t="n">
        <x:v>1309</x:v>
      </x:c>
      <x:c r="Q185" s="11" t="n">
        <x:v>3302</x:v>
      </x:c>
      <x:c r="R185" s="11" t="n">
        <x:v>751</x:v>
      </x:c>
      <x:c r="S185" s="11" t="n">
        <x:v>252</x:v>
      </x:c>
      <x:c r="T185" s="11" t="n">
        <x:v>91</x:v>
      </x:c>
      <x:c r="U185" s="11" t="n">
        <x:v>81</x:v>
      </x:c>
      <x:c r="V185" s="11" t="n">
        <x:v>160</x:v>
      </x:c>
      <x:c r="W185" s="11" t="n">
        <x:v>133</x:v>
      </x:c>
      <x:c r="X185" s="11" t="n">
        <x:v>0</x:v>
      </x:c>
      <x:c r="Y185" s="11" t="n">
        <x:v>15786</x:v>
      </x:c>
      <x:c r="Z185" s="11" t="n">
        <x:v>1502258</x:v>
      </x:c>
      <x:c r="AA185" s="11" t="n">
        <x:v>6618943</x:v>
      </x:c>
      <x:c r="AB185" s="11" t="n">
        <x:v>2807068</x:v>
      </x:c>
      <x:c r="AC185" s="11" t="n">
        <x:v>2222936</x:v>
      </x:c>
      <x:c r="AD185" s="11" t="n">
        <x:v>935160</x:v>
      </x:c>
      <x:c r="AE185" s="11" t="n">
        <x:v>324389</x:v>
      </x:c>
      <x:c r="AF185" s="11" t="n">
        <x:v>4758983</x:v>
      </x:c>
      <x:c r="AG185" s="11" t="n">
        <x:v>1517784</x:v>
      </x:c>
      <x:c r="AH185" s="11" t="n">
        <x:v>0</x:v>
      </x:c>
    </x:row>
    <x:row r="186" ht="23" customHeight="1">
      <x:c r="A186" s="10" t="str">
        <x:v>M8</x:v>
      </x:c>
      <x:c r="B186" s="10" t="str">
        <x:v>NCG_HT</x:v>
      </x:c>
      <x:c r="C186" s="9" t="str">
        <x:v>仅拓扑与尺度</x:v>
      </x:c>
      <x:c r="D186" s="11" t="n">
        <x:v>6103</x:v>
      </x:c>
      <x:c r="E186" s="11" t="n">
        <x:v>3255</x:v>
      </x:c>
      <x:c r="F186" s="11" t="n">
        <x:v>4013</x:v>
      </x:c>
      <x:c r="G186" s="11" t="n">
        <x:v>843</x:v>
      </x:c>
      <x:c r="H186" s="11" t="n">
        <x:v>3260</x:v>
      </x:c>
      <x:c r="I186" s="11" t="n">
        <x:v>20703307</x:v>
      </x:c>
      <x:c r="J186" s="11" t="n">
        <x:v>4970726.445981158</x:v>
      </x:c>
      <x:c r="K186" s="12" t="n">
        <x:f>E186/D186</x:f>
        <x:v>0.5333442569228248</x:v>
      </x:c>
      <x:c r="L186" s="12" t="n">
        <x:f>F186/D186</x:f>
        <x:v>0.6575454694412584</x:v>
      </x:c>
      <x:c r="M186" s="12" t="n">
        <x:f>G186/D186</x:f>
        <x:v>0.13812878912010487</x:v>
      </x:c>
      <x:c r="N186" s="12" t="n">
        <x:f>J186/I186</x:f>
        <x:v>0.24009335542293594</x:v>
      </x:c>
      <x:c r="O186" s="11" t="n">
        <x:v>24</x:v>
      </x:c>
      <x:c r="P186" s="11" t="n">
        <x:v>962</x:v>
      </x:c>
      <x:c r="Q186" s="11" t="n">
        <x:v>3493</x:v>
      </x:c>
      <x:c r="R186" s="11" t="n">
        <x:v>869</x:v>
      </x:c>
      <x:c r="S186" s="11" t="n">
        <x:v>284</x:v>
      </x:c>
      <x:c r="T186" s="11" t="n">
        <x:v>97</x:v>
      </x:c>
      <x:c r="U186" s="11" t="n">
        <x:v>81</x:v>
      </x:c>
      <x:c r="V186" s="11" t="n">
        <x:v>160</x:v>
      </x:c>
      <x:c r="W186" s="11" t="n">
        <x:v>133</x:v>
      </x:c>
      <x:c r="X186" s="11" t="n">
        <x:v>0</x:v>
      </x:c>
      <x:c r="Y186" s="11" t="n">
        <x:v>15786</x:v>
      </x:c>
      <x:c r="Z186" s="11" t="n">
        <x:v>952548</x:v>
      </x:c>
      <x:c r="AA186" s="11" t="n">
        <x:v>6679349</x:v>
      </x:c>
      <x:c r="AB186" s="11" t="n">
        <x:v>3061721</x:v>
      </x:c>
      <x:c r="AC186" s="11" t="n">
        <x:v>2332513</x:v>
      </x:c>
      <x:c r="AD186" s="11" t="n">
        <x:v>1060234</x:v>
      </x:c>
      <x:c r="AE186" s="11" t="n">
        <x:v>324389</x:v>
      </x:c>
      <x:c r="AF186" s="11" t="n">
        <x:v>4758983</x:v>
      </x:c>
      <x:c r="AG186" s="11" t="n">
        <x:v>1517784</x:v>
      </x:c>
      <x:c r="AH186" s="11" t="n">
        <x:v>0</x:v>
      </x:c>
    </x:row>
    <x:row r="187" ht="23" customHeight="1">
      <x:c r="A187" s="10" t="str">
        <x:v>M8</x:v>
      </x:c>
      <x:c r="B187" s="10" t="str">
        <x:v>NCG_H1</x:v>
      </x:c>
      <x:c r="C187" s="9" t="str">
        <x:v>主对照</x:v>
      </x:c>
      <x:c r="D187" s="11" t="n">
        <x:v>6103</x:v>
      </x:c>
      <x:c r="E187" s="11" t="n">
        <x:v>3255</x:v>
      </x:c>
      <x:c r="F187" s="11" t="n">
        <x:v>4013</x:v>
      </x:c>
      <x:c r="G187" s="11" t="n">
        <x:v>843</x:v>
      </x:c>
      <x:c r="H187" s="11" t="n">
        <x:v>3414</x:v>
      </x:c>
      <x:c r="I187" s="11" t="n">
        <x:v>20703307</x:v>
      </x:c>
      <x:c r="J187" s="11" t="n">
        <x:v>4987317.125981158</x:v>
      </x:c>
      <x:c r="K187" s="12" t="n">
        <x:f>E187/D187</x:f>
        <x:v>0.5333442569228248</x:v>
      </x:c>
      <x:c r="L187" s="12" t="n">
        <x:f>F187/D187</x:f>
        <x:v>0.6575454694412584</x:v>
      </x:c>
      <x:c r="M187" s="12" t="n">
        <x:f>G187/D187</x:f>
        <x:v>0.13812878912010487</x:v>
      </x:c>
      <x:c r="N187" s="12" t="n">
        <x:f>J187/I187</x:f>
        <x:v>0.2408947095254472</x:v>
      </x:c>
      <x:c r="O187" s="11" t="n">
        <x:v>24</x:v>
      </x:c>
      <x:c r="P187" s="11" t="n">
        <x:v>958</x:v>
      </x:c>
      <x:c r="Q187" s="11" t="n">
        <x:v>3450</x:v>
      </x:c>
      <x:c r="R187" s="11" t="n">
        <x:v>869</x:v>
      </x:c>
      <x:c r="S187" s="11" t="n">
        <x:v>279</x:v>
      </x:c>
      <x:c r="T187" s="11" t="n">
        <x:v>134</x:v>
      </x:c>
      <x:c r="U187" s="11" t="n">
        <x:v>96</x:v>
      </x:c>
      <x:c r="V187" s="11" t="n">
        <x:v>160</x:v>
      </x:c>
      <x:c r="W187" s="11" t="n">
        <x:v>133</x:v>
      </x:c>
      <x:c r="X187" s="11" t="n">
        <x:v>0</x:v>
      </x:c>
      <x:c r="Y187" s="11" t="n">
        <x:v>15786</x:v>
      </x:c>
      <x:c r="Z187" s="11" t="n">
        <x:v>950772</x:v>
      </x:c>
      <x:c r="AA187" s="11" t="n">
        <x:v>6597791</x:v>
      </x:c>
      <x:c r="AB187" s="11" t="n">
        <x:v>3061721</x:v>
      </x:c>
      <x:c r="AC187" s="11" t="n">
        <x:v>2234675</x:v>
      </x:c>
      <x:c r="AD187" s="11" t="n">
        <x:v>1217034</x:v>
      </x:c>
      <x:c r="AE187" s="11" t="n">
        <x:v>348761</x:v>
      </x:c>
      <x:c r="AF187" s="11" t="n">
        <x:v>4758983</x:v>
      </x:c>
      <x:c r="AG187" s="11" t="n">
        <x:v>1517784</x:v>
      </x:c>
      <x:c r="AH187" s="11" t="n">
        <x:v>0</x:v>
      </x:c>
    </x:row>
    <x:row r="188" ht="23" customHeight="1">
      <x:c r="A188" s="10" t="str">
        <x:v>M8</x:v>
      </x:c>
      <x:c r="B188" s="10" t="str">
        <x:v>NCG_H0_M1</x:v>
      </x:c>
      <x:c r="C188" s="9" t="str">
        <x:v>叶名称辅助</x:v>
      </x:c>
      <x:c r="D188" s="11" t="n">
        <x:v>6103</x:v>
      </x:c>
      <x:c r="E188" s="11" t="n">
        <x:v>3033</x:v>
      </x:c>
      <x:c r="F188" s="11" t="n">
        <x:v>3566</x:v>
      </x:c>
      <x:c r="G188" s="11" t="n">
        <x:v>843</x:v>
      </x:c>
      <x:c r="H188" s="11" t="n">
        <x:v>4047</x:v>
      </x:c>
      <x:c r="I188" s="11" t="n">
        <x:v>20703307</x:v>
      </x:c>
      <x:c r="J188" s="11" t="n">
        <x:v>5236312.70598116</x:v>
      </x:c>
      <x:c r="K188" s="12" t="n">
        <x:f>E188/D188</x:f>
        <x:v>0.4969687039161068</x:v>
      </x:c>
      <x:c r="L188" s="12" t="n">
        <x:f>F188/D188</x:f>
        <x:v>0.5843028019007046</x:v>
      </x:c>
      <x:c r="M188" s="12" t="n">
        <x:f>G188/D188</x:f>
        <x:v>0.13812878912010487</x:v>
      </x:c>
      <x:c r="N188" s="12" t="n">
        <x:f>J188/I188</x:f>
        <x:v>0.25292156011506567</x:v>
      </x:c>
      <x:c r="O188" s="11" t="n">
        <x:v>45</x:v>
      </x:c>
      <x:c r="P188" s="11" t="n">
        <x:v>1256</x:v>
      </x:c>
      <x:c r="Q188" s="11" t="n">
        <x:v>3119</x:v>
      </x:c>
      <x:c r="R188" s="11" t="n">
        <x:v>746</x:v>
      </x:c>
      <x:c r="S188" s="11" t="n">
        <x:v>239</x:v>
      </x:c>
      <x:c r="T188" s="11" t="n">
        <x:v>88</x:v>
      </x:c>
      <x:c r="U188" s="11" t="n">
        <x:v>87</x:v>
      </x:c>
      <x:c r="V188" s="11" t="n">
        <x:v>198</x:v>
      </x:c>
      <x:c r="W188" s="11" t="n">
        <x:v>315</x:v>
      </x:c>
      <x:c r="X188" s="11" t="n">
        <x:v>10</x:v>
      </x:c>
      <x:c r="Y188" s="11" t="n">
        <x:v>33144</x:v>
      </x:c>
      <x:c r="Z188" s="11" t="n">
        <x:v>1471408</x:v>
      </x:c>
      <x:c r="AA188" s="11" t="n">
        <x:v>6085893</x:v>
      </x:c>
      <x:c r="AB188" s="11" t="n">
        <x:v>2792748</x:v>
      </x:c>
      <x:c r="AC188" s="11" t="n">
        <x:v>1183414</x:v>
      </x:c>
      <x:c r="AD188" s="11" t="n">
        <x:v>817354</x:v>
      </x:c>
      <x:c r="AE188" s="11" t="n">
        <x:v>328947</x:v>
      </x:c>
      <x:c r="AF188" s="11" t="n">
        <x:v>5776755</x:v>
      </x:c>
      <x:c r="AG188" s="11" t="n">
        <x:v>2004160</x:v>
      </x:c>
      <x:c r="AH188" s="11" t="n">
        <x:v>209484</x:v>
      </x:c>
    </x:row>
    <x:row r="189" ht="23" customHeight="1">
      <x:c r="A189" s="10" t="str">
        <x:v>M8</x:v>
      </x:c>
      <x:c r="B189" s="10" t="str">
        <x:v>NCG_H1_M1</x:v>
      </x:c>
      <x:c r="C189" s="9" t="str">
        <x:v>叶名称辅助</x:v>
      </x:c>
      <x:c r="D189" s="11" t="n">
        <x:v>6103</x:v>
      </x:c>
      <x:c r="E189" s="11" t="n">
        <x:v>3045</x:v>
      </x:c>
      <x:c r="F189" s="11" t="n">
        <x:v>3578</x:v>
      </x:c>
      <x:c r="G189" s="11" t="n">
        <x:v>843</x:v>
      </x:c>
      <x:c r="H189" s="11" t="n">
        <x:v>4187</x:v>
      </x:c>
      <x:c r="I189" s="11" t="n">
        <x:v>20703307</x:v>
      </x:c>
      <x:c r="J189" s="11" t="n">
        <x:v>5301342.805981166</x:v>
      </x:c>
      <x:c r="K189" s="12" t="n">
        <x:f>E189/D189</x:f>
        <x:v>0.49893495002457805</x:v>
      </x:c>
      <x:c r="L189" s="12" t="n">
        <x:f>F189/D189</x:f>
        <x:v>0.5862690480091758</x:v>
      </x:c>
      <x:c r="M189" s="12" t="n">
        <x:f>G189/D189</x:f>
        <x:v>0.13812878912010487</x:v>
      </x:c>
      <x:c r="N189" s="12" t="n">
        <x:f>J189/I189</x:f>
        <x:v>0.25606260903058464</x:v>
      </x:c>
      <x:c r="O189" s="11" t="n">
        <x:v>45</x:v>
      </x:c>
      <x:c r="P189" s="11" t="n">
        <x:v>907</x:v>
      </x:c>
      <x:c r="Q189" s="11" t="n">
        <x:v>3284</x:v>
      </x:c>
      <x:c r="R189" s="11" t="n">
        <x:v>841</x:v>
      </x:c>
      <x:c r="S189" s="11" t="n">
        <x:v>266</x:v>
      </x:c>
      <x:c r="T189" s="11" t="n">
        <x:v>139</x:v>
      </x:c>
      <x:c r="U189" s="11" t="n">
        <x:v>98</x:v>
      </x:c>
      <x:c r="V189" s="11" t="n">
        <x:v>198</x:v>
      </x:c>
      <x:c r="W189" s="11" t="n">
        <x:v>315</x:v>
      </x:c>
      <x:c r="X189" s="11" t="n">
        <x:v>10</x:v>
      </x:c>
      <x:c r="Y189" s="11" t="n">
        <x:v>33144</x:v>
      </x:c>
      <x:c r="Z189" s="11" t="n">
        <x:v>920730</x:v>
      </x:c>
      <x:c r="AA189" s="11" t="n">
        <x:v>6081173</x:v>
      </x:c>
      <x:c r="AB189" s="11" t="n">
        <x:v>3030601</x:v>
      </x:c>
      <x:c r="AC189" s="11" t="n">
        <x:v>1195153</x:v>
      </x:c>
      <x:c r="AD189" s="11" t="n">
        <x:v>1110268</x:v>
      </x:c>
      <x:c r="AE189" s="11" t="n">
        <x:v>341839</x:v>
      </x:c>
      <x:c r="AF189" s="11" t="n">
        <x:v>5776755</x:v>
      </x:c>
      <x:c r="AG189" s="11" t="n">
        <x:v>2004160</x:v>
      </x:c>
      <x:c r="AH189" s="11" t="n">
        <x:v>209484</x:v>
      </x:c>
    </x:row>
    <x:row r="190" ht="23" customHeight="1">
      <x:c r="A190" s="10" t="str">
        <x:v>M9</x:v>
      </x:c>
      <x:c r="B190" s="10" t="str">
        <x:v>N_H0</x:v>
      </x:c>
      <x:c r="C190" s="9" t="str">
        <x:v>主对照</x:v>
      </x:c>
      <x:c r="D190" s="11" t="n">
        <x:v>3118</x:v>
      </x:c>
      <x:c r="E190" s="11" t="n">
        <x:v>1754</x:v>
      </x:c>
      <x:c r="F190" s="11" t="n">
        <x:v>2190</x:v>
      </x:c>
      <x:c r="G190" s="11" t="n">
        <x:v>0</x:v>
      </x:c>
      <x:c r="H190" s="11" t="n">
        <x:v>1754</x:v>
      </x:c>
      <x:c r="I190" s="11" t="n">
        <x:v>23921390</x:v>
      </x:c>
      <x:c r="J190" s="11" t="n">
        <x:v>6459354.439999966</x:v>
      </x:c>
      <x:c r="K190" s="12" t="n">
        <x:f>E190/D190</x:f>
        <x:v>0.5625400898011546</x:v>
      </x:c>
      <x:c r="L190" s="12" t="n">
        <x:f>F190/D190</x:f>
        <x:v>0.7023733162283515</x:v>
      </x:c>
      <x:c r="M190" s="12" t="n">
        <x:f>G190/D190</x:f>
        <x:v>0</x:v>
      </x:c>
      <x:c r="N190" s="12" t="n">
        <x:f>J190/I190</x:f>
        <x:v>0.27002421013160044</x:v>
      </x:c>
      <x:c r="O190" s="11" t="n">
        <x:v>0</x:v>
      </x:c>
      <x:c r="P190" s="11" t="n">
        <x:v>226</x:v>
      </x:c>
      <x:c r="Q190" s="11" t="n">
        <x:v>37</x:v>
      </x:c>
      <x:c r="R190" s="11" t="n">
        <x:v>0</x:v>
      </x:c>
      <x:c r="S190" s="11" t="n">
        <x:v>2190</x:v>
      </x:c>
      <x:c r="T190" s="11" t="n">
        <x:v>17</x:v>
      </x:c>
      <x:c r="U190" s="11" t="n">
        <x:v>399</x:v>
      </x:c>
      <x:c r="V190" s="11" t="n">
        <x:v>76</x:v>
      </x:c>
      <x:c r="W190" s="11" t="n">
        <x:v>173</x:v>
      </x:c>
      <x:c r="X190" s="11" t="n">
        <x:v>0</x:v>
      </x:c>
      <x:c r="Y190" s="11" t="n">
        <x:v>0</x:v>
      </x:c>
      <x:c r="Z190" s="11" t="n">
        <x:v>517706</x:v>
      </x:c>
      <x:c r="AA190" s="11" t="n">
        <x:v>63242</x:v>
      </x:c>
      <x:c r="AB190" s="11" t="n">
        <x:v>0</x:v>
      </x:c>
      <x:c r="AC190" s="11" t="n">
        <x:v>13079415</x:v>
      </x:c>
      <x:c r="AD190" s="11" t="n">
        <x:v>200872</x:v>
      </x:c>
      <x:c r="AE190" s="11" t="n">
        <x:v>2857454</x:v>
      </x:c>
      <x:c r="AF190" s="11" t="n">
        <x:v>4466997</x:v>
      </x:c>
      <x:c r="AG190" s="11" t="n">
        <x:v>2735704</x:v>
      </x:c>
      <x:c r="AH190" s="11" t="n">
        <x:v>0</x:v>
      </x:c>
    </x:row>
    <x:row r="191" ht="23" customHeight="1">
      <x:c r="A191" s="10" t="str">
        <x:v>M9</x:v>
      </x:c>
      <x:c r="B191" s="10" t="str">
        <x:v>N_HT</x:v>
      </x:c>
      <x:c r="C191" s="9" t="str">
        <x:v>仅拓扑与尺度</x:v>
      </x:c>
      <x:c r="D191" s="11" t="n">
        <x:v>3118</x:v>
      </x:c>
      <x:c r="E191" s="11" t="n">
        <x:v>1754</x:v>
      </x:c>
      <x:c r="F191" s="11" t="n">
        <x:v>2190</x:v>
      </x:c>
      <x:c r="G191" s="11" t="n">
        <x:v>0</x:v>
      </x:c>
      <x:c r="H191" s="11" t="n">
        <x:v>1754</x:v>
      </x:c>
      <x:c r="I191" s="11" t="n">
        <x:v>23921390</x:v>
      </x:c>
      <x:c r="J191" s="11" t="n">
        <x:v>6459354.439999966</x:v>
      </x:c>
      <x:c r="K191" s="12" t="n">
        <x:f>E191/D191</x:f>
        <x:v>0.5625400898011546</x:v>
      </x:c>
      <x:c r="L191" s="12" t="n">
        <x:f>F191/D191</x:f>
        <x:v>0.7023733162283515</x:v>
      </x:c>
      <x:c r="M191" s="12" t="n">
        <x:f>G191/D191</x:f>
        <x:v>0</x:v>
      </x:c>
      <x:c r="N191" s="12" t="n">
        <x:f>J191/I191</x:f>
        <x:v>0.27002421013160044</x:v>
      </x:c>
      <x:c r="O191" s="11" t="n">
        <x:v>0</x:v>
      </x:c>
      <x:c r="P191" s="11" t="n">
        <x:v>226</x:v>
      </x:c>
      <x:c r="Q191" s="11" t="n">
        <x:v>37</x:v>
      </x:c>
      <x:c r="R191" s="11" t="n">
        <x:v>0</x:v>
      </x:c>
      <x:c r="S191" s="11" t="n">
        <x:v>2190</x:v>
      </x:c>
      <x:c r="T191" s="11" t="n">
        <x:v>17</x:v>
      </x:c>
      <x:c r="U191" s="11" t="n">
        <x:v>399</x:v>
      </x:c>
      <x:c r="V191" s="11" t="n">
        <x:v>76</x:v>
      </x:c>
      <x:c r="W191" s="11" t="n">
        <x:v>173</x:v>
      </x:c>
      <x:c r="X191" s="11" t="n">
        <x:v>0</x:v>
      </x:c>
      <x:c r="Y191" s="11" t="n">
        <x:v>0</x:v>
      </x:c>
      <x:c r="Z191" s="11" t="n">
        <x:v>517706</x:v>
      </x:c>
      <x:c r="AA191" s="11" t="n">
        <x:v>63242</x:v>
      </x:c>
      <x:c r="AB191" s="11" t="n">
        <x:v>0</x:v>
      </x:c>
      <x:c r="AC191" s="11" t="n">
        <x:v>13079415</x:v>
      </x:c>
      <x:c r="AD191" s="11" t="n">
        <x:v>200872</x:v>
      </x:c>
      <x:c r="AE191" s="11" t="n">
        <x:v>2857454</x:v>
      </x:c>
      <x:c r="AF191" s="11" t="n">
        <x:v>4466997</x:v>
      </x:c>
      <x:c r="AG191" s="11" t="n">
        <x:v>2735704</x:v>
      </x:c>
      <x:c r="AH191" s="11" t="n">
        <x:v>0</x:v>
      </x:c>
    </x:row>
    <x:row r="192" ht="23" customHeight="1">
      <x:c r="A192" s="10" t="str">
        <x:v>M9</x:v>
      </x:c>
      <x:c r="B192" s="10" t="str">
        <x:v>N_H1</x:v>
      </x:c>
      <x:c r="C192" s="9" t="str">
        <x:v>主对照</x:v>
      </x:c>
      <x:c r="D192" s="11" t="n">
        <x:v>3118</x:v>
      </x:c>
      <x:c r="E192" s="11" t="n">
        <x:v>1754</x:v>
      </x:c>
      <x:c r="F192" s="11" t="n">
        <x:v>2190</x:v>
      </x:c>
      <x:c r="G192" s="11" t="n">
        <x:v>0</x:v>
      </x:c>
      <x:c r="H192" s="11" t="n">
        <x:v>1880</x:v>
      </x:c>
      <x:c r="I192" s="11" t="n">
        <x:v>23921390</x:v>
      </x:c>
      <x:c r="J192" s="11" t="n">
        <x:v>6465115.719999966</x:v>
      </x:c>
      <x:c r="K192" s="12" t="n">
        <x:f>E192/D192</x:f>
        <x:v>0.5625400898011546</x:v>
      </x:c>
      <x:c r="L192" s="12" t="n">
        <x:f>F192/D192</x:f>
        <x:v>0.7023733162283515</x:v>
      </x:c>
      <x:c r="M192" s="12" t="n">
        <x:f>G192/D192</x:f>
        <x:v>0</x:v>
      </x:c>
      <x:c r="N192" s="12" t="n">
        <x:f>J192/I192</x:f>
        <x:v>0.2702650523234631</x:v>
      </x:c>
      <x:c r="O192" s="11" t="n">
        <x:v>0</x:v>
      </x:c>
      <x:c r="P192" s="11" t="n">
        <x:v>226</x:v>
      </x:c>
      <x:c r="Q192" s="11" t="n">
        <x:v>32</x:v>
      </x:c>
      <x:c r="R192" s="11" t="n">
        <x:v>0</x:v>
      </x:c>
      <x:c r="S192" s="11" t="n">
        <x:v>2190</x:v>
      </x:c>
      <x:c r="T192" s="11" t="n">
        <x:v>22</x:v>
      </x:c>
      <x:c r="U192" s="11" t="n">
        <x:v>399</x:v>
      </x:c>
      <x:c r="V192" s="11" t="n">
        <x:v>76</x:v>
      </x:c>
      <x:c r="W192" s="11" t="n">
        <x:v>173</x:v>
      </x:c>
      <x:c r="X192" s="11" t="n">
        <x:v>0</x:v>
      </x:c>
      <x:c r="Y192" s="11" t="n">
        <x:v>0</x:v>
      </x:c>
      <x:c r="Z192" s="11" t="n">
        <x:v>517706</x:v>
      </x:c>
      <x:c r="AA192" s="11" t="n">
        <x:v>22090</x:v>
      </x:c>
      <x:c r="AB192" s="11" t="n">
        <x:v>0</x:v>
      </x:c>
      <x:c r="AC192" s="11" t="n">
        <x:v>13079415</x:v>
      </x:c>
      <x:c r="AD192" s="11" t="n">
        <x:v>242024</x:v>
      </x:c>
      <x:c r="AE192" s="11" t="n">
        <x:v>2857454</x:v>
      </x:c>
      <x:c r="AF192" s="11" t="n">
        <x:v>4466997</x:v>
      </x:c>
      <x:c r="AG192" s="11" t="n">
        <x:v>2735704</x:v>
      </x:c>
      <x:c r="AH192" s="11" t="n">
        <x:v>0</x:v>
      </x:c>
    </x:row>
    <x:row r="193" ht="23" customHeight="1">
      <x:c r="A193" s="10" t="str">
        <x:v>M9</x:v>
      </x:c>
      <x:c r="B193" s="10" t="str">
        <x:v>C_H0</x:v>
      </x:c>
      <x:c r="C193" s="9" t="str">
        <x:v>主对照</x:v>
      </x:c>
      <x:c r="D193" s="11" t="n">
        <x:v>3118</x:v>
      </x:c>
      <x:c r="E193" s="11" t="n">
        <x:v>2331</x:v>
      </x:c>
      <x:c r="F193" s="11" t="n">
        <x:v>2345</x:v>
      </x:c>
      <x:c r="G193" s="11" t="n">
        <x:v>0</x:v>
      </x:c>
      <x:c r="H193" s="11" t="n">
        <x:v>2099</x:v>
      </x:c>
      <x:c r="I193" s="11" t="n">
        <x:v>23921390</x:v>
      </x:c>
      <x:c r="J193" s="11" t="n">
        <x:v>4895966.720000018</x:v>
      </x:c>
      <x:c r="K193" s="12" t="n">
        <x:f>E193/D193</x:f>
        <x:v>0.7475946119307249</x:v>
      </x:c>
      <x:c r="L193" s="12" t="n">
        <x:f>F193/D193</x:f>
        <x:v>0.7520846696600385</x:v>
      </x:c>
      <x:c r="M193" s="12" t="n">
        <x:f>G193/D193</x:f>
        <x:v>0</x:v>
      </x:c>
      <x:c r="N193" s="12" t="n">
        <x:f>J193/I193</x:f>
        <x:v>0.2046689895528654</x:v>
      </x:c>
      <x:c r="O193" s="11" t="n">
        <x:v>0</x:v>
      </x:c>
      <x:c r="P193" s="11" t="n">
        <x:v>764</x:v>
      </x:c>
      <x:c r="Q193" s="11" t="n">
        <x:v>0</x:v>
      </x:c>
      <x:c r="R193" s="11" t="n">
        <x:v>0</x:v>
      </x:c>
      <x:c r="S193" s="11" t="n">
        <x:v>2345</x:v>
      </x:c>
      <x:c r="T193" s="11" t="n">
        <x:v>0</x:v>
      </x:c>
      <x:c r="U193" s="11" t="n">
        <x:v>9</x:v>
      </x:c>
      <x:c r="V193" s="11" t="n">
        <x:v>0</x:v>
      </x:c>
      <x:c r="W193" s="11" t="n">
        <x:v>0</x:v>
      </x:c>
      <x:c r="X193" s="11" t="n">
        <x:v>0</x:v>
      </x:c>
      <x:c r="Y193" s="11" t="n">
        <x:v>0</x:v>
      </x:c>
      <x:c r="Z193" s="11" t="n">
        <x:v>3095471</x:v>
      </x:c>
      <x:c r="AA193" s="11" t="n">
        <x:v>0</x:v>
      </x:c>
      <x:c r="AB193" s="11" t="n">
        <x:v>0</x:v>
      </x:c>
      <x:c r="AC193" s="11" t="n">
        <x:v>20766951</x:v>
      </x:c>
      <x:c r="AD193" s="11" t="n">
        <x:v>0</x:v>
      </x:c>
      <x:c r="AE193" s="11" t="n">
        <x:v>58968</x:v>
      </x:c>
      <x:c r="AF193" s="11" t="n">
        <x:v>0</x:v>
      </x:c>
      <x:c r="AG193" s="11" t="n">
        <x:v>0</x:v>
      </x:c>
      <x:c r="AH193" s="11" t="n">
        <x:v>0</x:v>
      </x:c>
    </x:row>
    <x:row r="194" ht="23" customHeight="1">
      <x:c r="A194" s="10" t="str">
        <x:v>M9</x:v>
      </x:c>
      <x:c r="B194" s="10" t="str">
        <x:v>C_HT</x:v>
      </x:c>
      <x:c r="C194" s="9" t="str">
        <x:v>仅拓扑与尺度</x:v>
      </x:c>
      <x:c r="D194" s="11" t="n">
        <x:v>3118</x:v>
      </x:c>
      <x:c r="E194" s="11" t="n">
        <x:v>2331</x:v>
      </x:c>
      <x:c r="F194" s="11" t="n">
        <x:v>2345</x:v>
      </x:c>
      <x:c r="G194" s="11" t="n">
        <x:v>0</x:v>
      </x:c>
      <x:c r="H194" s="11" t="n">
        <x:v>2099</x:v>
      </x:c>
      <x:c r="I194" s="11" t="n">
        <x:v>23921390</x:v>
      </x:c>
      <x:c r="J194" s="11" t="n">
        <x:v>4895966.720000018</x:v>
      </x:c>
      <x:c r="K194" s="12" t="n">
        <x:f>E194/D194</x:f>
        <x:v>0.7475946119307249</x:v>
      </x:c>
      <x:c r="L194" s="12" t="n">
        <x:f>F194/D194</x:f>
        <x:v>0.7520846696600385</x:v>
      </x:c>
      <x:c r="M194" s="12" t="n">
        <x:f>G194/D194</x:f>
        <x:v>0</x:v>
      </x:c>
      <x:c r="N194" s="12" t="n">
        <x:f>J194/I194</x:f>
        <x:v>0.2046689895528654</x:v>
      </x:c>
      <x:c r="O194" s="11" t="n">
        <x:v>0</x:v>
      </x:c>
      <x:c r="P194" s="11" t="n">
        <x:v>764</x:v>
      </x:c>
      <x:c r="Q194" s="11" t="n">
        <x:v>0</x:v>
      </x:c>
      <x:c r="R194" s="11" t="n">
        <x:v>0</x:v>
      </x:c>
      <x:c r="S194" s="11" t="n">
        <x:v>2345</x:v>
      </x:c>
      <x:c r="T194" s="11" t="n">
        <x:v>0</x:v>
      </x:c>
      <x:c r="U194" s="11" t="n">
        <x:v>9</x:v>
      </x:c>
      <x:c r="V194" s="11" t="n">
        <x:v>0</x:v>
      </x:c>
      <x:c r="W194" s="11" t="n">
        <x:v>0</x:v>
      </x:c>
      <x:c r="X194" s="11" t="n">
        <x:v>0</x:v>
      </x:c>
      <x:c r="Y194" s="11" t="n">
        <x:v>0</x:v>
      </x:c>
      <x:c r="Z194" s="11" t="n">
        <x:v>3095471</x:v>
      </x:c>
      <x:c r="AA194" s="11" t="n">
        <x:v>0</x:v>
      </x:c>
      <x:c r="AB194" s="11" t="n">
        <x:v>0</x:v>
      </x:c>
      <x:c r="AC194" s="11" t="n">
        <x:v>20766951</x:v>
      </x:c>
      <x:c r="AD194" s="11" t="n">
        <x:v>0</x:v>
      </x:c>
      <x:c r="AE194" s="11" t="n">
        <x:v>58968</x:v>
      </x:c>
      <x:c r="AF194" s="11" t="n">
        <x:v>0</x:v>
      </x:c>
      <x:c r="AG194" s="11" t="n">
        <x:v>0</x:v>
      </x:c>
      <x:c r="AH194" s="11" t="n">
        <x:v>0</x:v>
      </x:c>
    </x:row>
    <x:row r="195" ht="23" customHeight="1">
      <x:c r="A195" s="10" t="str">
        <x:v>M9</x:v>
      </x:c>
      <x:c r="B195" s="10" t="str">
        <x:v>C_H1</x:v>
      </x:c>
      <x:c r="C195" s="9" t="str">
        <x:v>主对照</x:v>
      </x:c>
      <x:c r="D195" s="11" t="n">
        <x:v>3118</x:v>
      </x:c>
      <x:c r="E195" s="11" t="n">
        <x:v>2331</x:v>
      </x:c>
      <x:c r="F195" s="11" t="n">
        <x:v>2345</x:v>
      </x:c>
      <x:c r="G195" s="11" t="n">
        <x:v>0</x:v>
      </x:c>
      <x:c r="H195" s="11" t="n">
        <x:v>2107</x:v>
      </x:c>
      <x:c r="I195" s="11" t="n">
        <x:v>23921390</x:v>
      </x:c>
      <x:c r="J195" s="11" t="n">
        <x:v>4917685.120000015</x:v>
      </x:c>
      <x:c r="K195" s="12" t="n">
        <x:f>E195/D195</x:f>
        <x:v>0.7475946119307249</x:v>
      </x:c>
      <x:c r="L195" s="12" t="n">
        <x:f>F195/D195</x:f>
        <x:v>0.7520846696600385</x:v>
      </x:c>
      <x:c r="M195" s="12" t="n">
        <x:f>G195/D195</x:f>
        <x:v>0</x:v>
      </x:c>
      <x:c r="N195" s="12" t="n">
        <x:f>J195/I195</x:f>
        <x:v>0.20557689666026996</x:v>
      </x:c>
      <x:c r="O195" s="11" t="n">
        <x:v>0</x:v>
      </x:c>
      <x:c r="P195" s="11" t="n">
        <x:v>756</x:v>
      </x:c>
      <x:c r="Q195" s="11" t="n">
        <x:v>0</x:v>
      </x:c>
      <x:c r="R195" s="11" t="n">
        <x:v>0</x:v>
      </x:c>
      <x:c r="S195" s="11" t="n">
        <x:v>2345</x:v>
      </x:c>
      <x:c r="T195" s="11" t="n">
        <x:v>0</x:v>
      </x:c>
      <x:c r="U195" s="11" t="n">
        <x:v>17</x:v>
      </x:c>
      <x:c r="V195" s="11" t="n">
        <x:v>0</x:v>
      </x:c>
      <x:c r="W195" s="11" t="n">
        <x:v>0</x:v>
      </x:c>
      <x:c r="X195" s="11" t="n">
        <x:v>0</x:v>
      </x:c>
      <x:c r="Y195" s="11" t="n">
        <x:v>0</x:v>
      </x:c>
      <x:c r="Z195" s="11" t="n">
        <x:v>2986879</x:v>
      </x:c>
      <x:c r="AA195" s="11" t="n">
        <x:v>0</x:v>
      </x:c>
      <x:c r="AB195" s="11" t="n">
        <x:v>0</x:v>
      </x:c>
      <x:c r="AC195" s="11" t="n">
        <x:v>20766951</x:v>
      </x:c>
      <x:c r="AD195" s="11" t="n">
        <x:v>0</x:v>
      </x:c>
      <x:c r="AE195" s="11" t="n">
        <x:v>167560</x:v>
      </x:c>
      <x:c r="AF195" s="11" t="n">
        <x:v>0</x:v>
      </x:c>
      <x:c r="AG195" s="11" t="n">
        <x:v>0</x:v>
      </x:c>
      <x:c r="AH195" s="11" t="n">
        <x:v>0</x:v>
      </x:c>
    </x:row>
    <x:row r="196" ht="23" customHeight="1">
      <x:c r="A196" s="10" t="str">
        <x:v>M9</x:v>
      </x:c>
      <x:c r="B196" s="10" t="str">
        <x:v>G_H0</x:v>
      </x:c>
      <x:c r="C196" s="9" t="str">
        <x:v>主对照</x:v>
      </x:c>
      <x:c r="D196" s="11" t="n">
        <x:v>3118</x:v>
      </x:c>
      <x:c r="E196" s="11" t="n">
        <x:v>3118</x:v>
      </x:c>
      <x:c r="F196" s="11" t="n">
        <x:v>3118</x:v>
      </x:c>
      <x:c r="G196" s="11" t="n">
        <x:v>0</x:v>
      </x:c>
      <x:c r="H196" s="11" t="n">
        <x:v>3118</x:v>
      </x:c>
      <x:c r="I196" s="11" t="n">
        <x:v>23921390</x:v>
      </x:c>
      <x:c r="J196" s="11" t="n">
        <x:v>4845992.705848952</x:v>
      </x:c>
      <x:c r="K196" s="12" t="n">
        <x:f>E196/D196</x:f>
        <x:v>1</x:v>
      </x:c>
      <x:c r="L196" s="12" t="n">
        <x:f>F196/D196</x:f>
        <x:v>1</x:v>
      </x:c>
      <x:c r="M196" s="12" t="n">
        <x:f>G196/D196</x:f>
        <x:v>0</x:v>
      </x:c>
      <x:c r="N196" s="12" t="n">
        <x:f>J196/I196</x:f>
        <x:v>0.20257989631241963</x:v>
      </x:c>
      <x:c r="O196" s="11" t="n">
        <x:v>0</x:v>
      </x:c>
      <x:c r="P196" s="11" t="n">
        <x:v>260</x:v>
      </x:c>
      <x:c r="Q196" s="11" t="n">
        <x:v>1821</x:v>
      </x:c>
      <x:c r="R196" s="11" t="n">
        <x:v>721</x:v>
      </x:c>
      <x:c r="S196" s="11" t="n">
        <x:v>254</x:v>
      </x:c>
      <x:c r="T196" s="11" t="n">
        <x:v>62</x:v>
      </x:c>
      <x:c r="U196" s="11" t="n">
        <x:v>0</x:v>
      </x:c>
      <x:c r="V196" s="11" t="n">
        <x:v>0</x:v>
      </x:c>
      <x:c r="W196" s="11" t="n">
        <x:v>0</x:v>
      </x:c>
      <x:c r="X196" s="11" t="n">
        <x:v>0</x:v>
      </x:c>
      <x:c r="Y196" s="11" t="n">
        <x:v>0</x:v>
      </x:c>
      <x:c r="Z196" s="11" t="n">
        <x:v>412120</x:v>
      </x:c>
      <x:c r="AA196" s="11" t="n">
        <x:v>8457684</x:v>
      </x:c>
      <x:c r="AB196" s="11" t="n">
        <x:v>4007200</x:v>
      </x:c>
      <x:c r="AC196" s="11" t="n">
        <x:v>8875106</x:v>
      </x:c>
      <x:c r="AD196" s="11" t="n">
        <x:v>2169280</x:v>
      </x:c>
      <x:c r="AE196" s="11" t="n">
        <x:v>0</x:v>
      </x:c>
      <x:c r="AF196" s="11" t="n">
        <x:v>0</x:v>
      </x:c>
      <x:c r="AG196" s="11" t="n">
        <x:v>0</x:v>
      </x:c>
      <x:c r="AH196" s="11" t="n">
        <x:v>0</x:v>
      </x:c>
    </x:row>
    <x:row r="197" ht="23" customHeight="1">
      <x:c r="A197" s="10" t="str">
        <x:v>M9</x:v>
      </x:c>
      <x:c r="B197" s="10" t="str">
        <x:v>G_HT</x:v>
      </x:c>
      <x:c r="C197" s="9" t="str">
        <x:v>仅拓扑与尺度</x:v>
      </x:c>
      <x:c r="D197" s="11" t="n">
        <x:v>3118</x:v>
      </x:c>
      <x:c r="E197" s="11" t="n">
        <x:v>3118</x:v>
      </x:c>
      <x:c r="F197" s="11" t="n">
        <x:v>3118</x:v>
      </x:c>
      <x:c r="G197" s="11" t="n">
        <x:v>0</x:v>
      </x:c>
      <x:c r="H197" s="11" t="n">
        <x:v>3118</x:v>
      </x:c>
      <x:c r="I197" s="11" t="n">
        <x:v>23921390</x:v>
      </x:c>
      <x:c r="J197" s="11" t="n">
        <x:v>4903860.025848949</x:v>
      </x:c>
      <x:c r="K197" s="12" t="n">
        <x:f>E197/D197</x:f>
        <x:v>1</x:v>
      </x:c>
      <x:c r="L197" s="12" t="n">
        <x:f>F197/D197</x:f>
        <x:v>1</x:v>
      </x:c>
      <x:c r="M197" s="12" t="n">
        <x:f>G197/D197</x:f>
        <x:v>0</x:v>
      </x:c>
      <x:c r="N197" s="12" t="n">
        <x:f>J197/I197</x:f>
        <x:v>0.2049989580809873</x:v>
      </x:c>
      <x:c r="O197" s="11" t="n">
        <x:v>0</x:v>
      </x:c>
      <x:c r="P197" s="11" t="n">
        <x:v>157</x:v>
      </x:c>
      <x:c r="Q197" s="11" t="n">
        <x:v>1796</x:v>
      </x:c>
      <x:c r="R197" s="11" t="n">
        <x:v>827</x:v>
      </x:c>
      <x:c r="S197" s="11" t="n">
        <x:v>275</x:v>
      </x:c>
      <x:c r="T197" s="11" t="n">
        <x:v>63</x:v>
      </x:c>
      <x:c r="U197" s="11" t="n">
        <x:v>0</x:v>
      </x:c>
      <x:c r="V197" s="11" t="n">
        <x:v>0</x:v>
      </x:c>
      <x:c r="W197" s="11" t="n">
        <x:v>0</x:v>
      </x:c>
      <x:c r="X197" s="11" t="n">
        <x:v>0</x:v>
      </x:c>
      <x:c r="Y197" s="11" t="n">
        <x:v>0</x:v>
      </x:c>
      <x:c r="Z197" s="11" t="n">
        <x:v>109740</x:v>
      </x:c>
      <x:c r="AA197" s="11" t="n">
        <x:v>8357312</x:v>
      </x:c>
      <x:c r="AB197" s="11" t="n">
        <x:v>3873870</x:v>
      </x:c>
      <x:c r="AC197" s="11" t="n">
        <x:v>9322570</x:v>
      </x:c>
      <x:c r="AD197" s="11" t="n">
        <x:v>2257898</x:v>
      </x:c>
      <x:c r="AE197" s="11" t="n">
        <x:v>0</x:v>
      </x:c>
      <x:c r="AF197" s="11" t="n">
        <x:v>0</x:v>
      </x:c>
      <x:c r="AG197" s="11" t="n">
        <x:v>0</x:v>
      </x:c>
      <x:c r="AH197" s="11" t="n">
        <x:v>0</x:v>
      </x:c>
    </x:row>
    <x:row r="198" ht="23" customHeight="1">
      <x:c r="A198" s="10" t="str">
        <x:v>M9</x:v>
      </x:c>
      <x:c r="B198" s="10" t="str">
        <x:v>G_H1</x:v>
      </x:c>
      <x:c r="C198" s="9" t="str">
        <x:v>主对照</x:v>
      </x:c>
      <x:c r="D198" s="11" t="n">
        <x:v>3118</x:v>
      </x:c>
      <x:c r="E198" s="11" t="n">
        <x:v>3118</x:v>
      </x:c>
      <x:c r="F198" s="11" t="n">
        <x:v>3118</x:v>
      </x:c>
      <x:c r="G198" s="11" t="n">
        <x:v>0</x:v>
      </x:c>
      <x:c r="H198" s="11" t="n">
        <x:v>3118</x:v>
      </x:c>
      <x:c r="I198" s="11" t="n">
        <x:v>23921390</x:v>
      </x:c>
      <x:c r="J198" s="11" t="n">
        <x:v>4903860.025848949</x:v>
      </x:c>
      <x:c r="K198" s="12" t="n">
        <x:f>E198/D198</x:f>
        <x:v>1</x:v>
      </x:c>
      <x:c r="L198" s="12" t="n">
        <x:f>F198/D198</x:f>
        <x:v>1</x:v>
      </x:c>
      <x:c r="M198" s="12" t="n">
        <x:f>G198/D198</x:f>
        <x:v>0</x:v>
      </x:c>
      <x:c r="N198" s="12" t="n">
        <x:f>J198/I198</x:f>
        <x:v>0.2049989580809873</x:v>
      </x:c>
      <x:c r="O198" s="11" t="n">
        <x:v>0</x:v>
      </x:c>
      <x:c r="P198" s="11" t="n">
        <x:v>157</x:v>
      </x:c>
      <x:c r="Q198" s="11" t="n">
        <x:v>1796</x:v>
      </x:c>
      <x:c r="R198" s="11" t="n">
        <x:v>827</x:v>
      </x:c>
      <x:c r="S198" s="11" t="n">
        <x:v>275</x:v>
      </x:c>
      <x:c r="T198" s="11" t="n">
        <x:v>63</x:v>
      </x:c>
      <x:c r="U198" s="11" t="n">
        <x:v>0</x:v>
      </x:c>
      <x:c r="V198" s="11" t="n">
        <x:v>0</x:v>
      </x:c>
      <x:c r="W198" s="11" t="n">
        <x:v>0</x:v>
      </x:c>
      <x:c r="X198" s="11" t="n">
        <x:v>0</x:v>
      </x:c>
      <x:c r="Y198" s="11" t="n">
        <x:v>0</x:v>
      </x:c>
      <x:c r="Z198" s="11" t="n">
        <x:v>109740</x:v>
      </x:c>
      <x:c r="AA198" s="11" t="n">
        <x:v>8357312</x:v>
      </x:c>
      <x:c r="AB198" s="11" t="n">
        <x:v>3873870</x:v>
      </x:c>
      <x:c r="AC198" s="11" t="n">
        <x:v>9322570</x:v>
      </x:c>
      <x:c r="AD198" s="11" t="n">
        <x:v>2257898</x:v>
      </x:c>
      <x:c r="AE198" s="11" t="n">
        <x:v>0</x:v>
      </x:c>
      <x:c r="AF198" s="11" t="n">
        <x:v>0</x:v>
      </x:c>
      <x:c r="AG198" s="11" t="n">
        <x:v>0</x:v>
      </x:c>
      <x:c r="AH198" s="11" t="n">
        <x:v>0</x:v>
      </x:c>
    </x:row>
    <x:row r="199" ht="23" customHeight="1">
      <x:c r="A199" s="10" t="str">
        <x:v>M9</x:v>
      </x:c>
      <x:c r="B199" s="10" t="str">
        <x:v>NC_H0</x:v>
      </x:c>
      <x:c r="C199" s="9" t="str">
        <x:v>主对照</x:v>
      </x:c>
      <x:c r="D199" s="11" t="n">
        <x:v>3118</x:v>
      </x:c>
      <x:c r="E199" s="11" t="n">
        <x:v>1367</x:v>
      </x:c>
      <x:c r="F199" s="11" t="n">
        <x:v>1756</x:v>
      </x:c>
      <x:c r="G199" s="11" t="n">
        <x:v>447</x:v>
      </x:c>
      <x:c r="H199" s="11" t="n">
        <x:v>1475</x:v>
      </x:c>
      <x:c r="I199" s="11" t="n">
        <x:v>23921390</x:v>
      </x:c>
      <x:c r="J199" s="11" t="n">
        <x:v>6059375.9199999515</x:v>
      </x:c>
      <x:c r="K199" s="12" t="n">
        <x:f>E199/D199</x:f>
        <x:v>0.4384220654265555</x:v>
      </x:c>
      <x:c r="L199" s="12" t="n">
        <x:f>F199/D199</x:f>
        <x:v>0.563181526619628</x:v>
      </x:c>
      <x:c r="M199" s="12" t="n">
        <x:f>G199/D199</x:f>
        <x:v>0.1433611289288005</x:v>
      </x:c>
      <x:c r="N199" s="12" t="n">
        <x:f>J199/I199</x:f>
        <x:v>0.2533036717347926</x:v>
      </x:c>
      <x:c r="O199" s="11" t="n">
        <x:v>0</x:v>
      </x:c>
      <x:c r="P199" s="11" t="n">
        <x:v>757</x:v>
      </x:c>
      <x:c r="Q199" s="11" t="n">
        <x:v>34</x:v>
      </x:c>
      <x:c r="R199" s="11" t="n">
        <x:v>0</x:v>
      </x:c>
      <x:c r="S199" s="11" t="n">
        <x:v>1756</x:v>
      </x:c>
      <x:c r="T199" s="11" t="n">
        <x:v>17</x:v>
      </x:c>
      <x:c r="U199" s="11" t="n">
        <x:v>366</x:v>
      </x:c>
      <x:c r="V199" s="11" t="n">
        <x:v>66</x:v>
      </x:c>
      <x:c r="W199" s="11" t="n">
        <x:v>122</x:v>
      </x:c>
      <x:c r="X199" s="11" t="n">
        <x:v>0</x:v>
      </x:c>
      <x:c r="Y199" s="11" t="n">
        <x:v>0</x:v>
      </x:c>
      <x:c r="Z199" s="11" t="n">
        <x:v>2885709</x:v>
      </x:c>
      <x:c r="AA199" s="11" t="n">
        <x:v>60678</x:v>
      </x:c>
      <x:c r="AB199" s="11" t="n">
        <x:v>0</x:v>
      </x:c>
      <x:c r="AC199" s="11" t="n">
        <x:v>11520498</x:v>
      </x:c>
      <x:c r="AD199" s="11" t="n">
        <x:v>200872</x:v>
      </x:c>
      <x:c r="AE199" s="11" t="n">
        <x:v>2624780</x:v>
      </x:c>
      <x:c r="AF199" s="11" t="n">
        <x:v>4369797</x:v>
      </x:c>
      <x:c r="AG199" s="11" t="n">
        <x:v>2259056</x:v>
      </x:c>
      <x:c r="AH199" s="11" t="n">
        <x:v>0</x:v>
      </x:c>
    </x:row>
    <x:row r="200" ht="23" customHeight="1">
      <x:c r="A200" s="10" t="str">
        <x:v>M9</x:v>
      </x:c>
      <x:c r="B200" s="10" t="str">
        <x:v>NC_HT</x:v>
      </x:c>
      <x:c r="C200" s="9" t="str">
        <x:v>仅拓扑与尺度</x:v>
      </x:c>
      <x:c r="D200" s="11" t="n">
        <x:v>3118</x:v>
      </x:c>
      <x:c r="E200" s="11" t="n">
        <x:v>1367</x:v>
      </x:c>
      <x:c r="F200" s="11" t="n">
        <x:v>1756</x:v>
      </x:c>
      <x:c r="G200" s="11" t="n">
        <x:v>447</x:v>
      </x:c>
      <x:c r="H200" s="11" t="n">
        <x:v>1475</x:v>
      </x:c>
      <x:c r="I200" s="11" t="n">
        <x:v>23921390</x:v>
      </x:c>
      <x:c r="J200" s="11" t="n">
        <x:v>6059375.9199999515</x:v>
      </x:c>
      <x:c r="K200" s="12" t="n">
        <x:f>E200/D200</x:f>
        <x:v>0.4384220654265555</x:v>
      </x:c>
      <x:c r="L200" s="12" t="n">
        <x:f>F200/D200</x:f>
        <x:v>0.563181526619628</x:v>
      </x:c>
      <x:c r="M200" s="12" t="n">
        <x:f>G200/D200</x:f>
        <x:v>0.1433611289288005</x:v>
      </x:c>
      <x:c r="N200" s="12" t="n">
        <x:f>J200/I200</x:f>
        <x:v>0.2533036717347926</x:v>
      </x:c>
      <x:c r="O200" s="11" t="n">
        <x:v>0</x:v>
      </x:c>
      <x:c r="P200" s="11" t="n">
        <x:v>757</x:v>
      </x:c>
      <x:c r="Q200" s="11" t="n">
        <x:v>34</x:v>
      </x:c>
      <x:c r="R200" s="11" t="n">
        <x:v>0</x:v>
      </x:c>
      <x:c r="S200" s="11" t="n">
        <x:v>1756</x:v>
      </x:c>
      <x:c r="T200" s="11" t="n">
        <x:v>17</x:v>
      </x:c>
      <x:c r="U200" s="11" t="n">
        <x:v>366</x:v>
      </x:c>
      <x:c r="V200" s="11" t="n">
        <x:v>66</x:v>
      </x:c>
      <x:c r="W200" s="11" t="n">
        <x:v>122</x:v>
      </x:c>
      <x:c r="X200" s="11" t="n">
        <x:v>0</x:v>
      </x:c>
      <x:c r="Y200" s="11" t="n">
        <x:v>0</x:v>
      </x:c>
      <x:c r="Z200" s="11" t="n">
        <x:v>2885709</x:v>
      </x:c>
      <x:c r="AA200" s="11" t="n">
        <x:v>60678</x:v>
      </x:c>
      <x:c r="AB200" s="11" t="n">
        <x:v>0</x:v>
      </x:c>
      <x:c r="AC200" s="11" t="n">
        <x:v>11520498</x:v>
      </x:c>
      <x:c r="AD200" s="11" t="n">
        <x:v>200872</x:v>
      </x:c>
      <x:c r="AE200" s="11" t="n">
        <x:v>2624780</x:v>
      </x:c>
      <x:c r="AF200" s="11" t="n">
        <x:v>4369797</x:v>
      </x:c>
      <x:c r="AG200" s="11" t="n">
        <x:v>2259056</x:v>
      </x:c>
      <x:c r="AH200" s="11" t="n">
        <x:v>0</x:v>
      </x:c>
    </x:row>
    <x:row r="201" ht="23" customHeight="1">
      <x:c r="A201" s="10" t="str">
        <x:v>M9</x:v>
      </x:c>
      <x:c r="B201" s="10" t="str">
        <x:v>NC_H1</x:v>
      </x:c>
      <x:c r="C201" s="9" t="str">
        <x:v>主对照</x:v>
      </x:c>
      <x:c r="D201" s="11" t="n">
        <x:v>3118</x:v>
      </x:c>
      <x:c r="E201" s="11" t="n">
        <x:v>1367</x:v>
      </x:c>
      <x:c r="F201" s="11" t="n">
        <x:v>1756</x:v>
      </x:c>
      <x:c r="G201" s="11" t="n">
        <x:v>447</x:v>
      </x:c>
      <x:c r="H201" s="11" t="n">
        <x:v>1577</x:v>
      </x:c>
      <x:c r="I201" s="11" t="n">
        <x:v>23921390</x:v>
      </x:c>
      <x:c r="J201" s="11" t="n">
        <x:v>6078711.199999953</x:v>
      </x:c>
      <x:c r="K201" s="12" t="n">
        <x:f>E201/D201</x:f>
        <x:v>0.4384220654265555</x:v>
      </x:c>
      <x:c r="L201" s="12" t="n">
        <x:f>F201/D201</x:f>
        <x:v>0.563181526619628</x:v>
      </x:c>
      <x:c r="M201" s="12" t="n">
        <x:f>G201/D201</x:f>
        <x:v>0.1433611289288005</x:v>
      </x:c>
      <x:c r="N201" s="12" t="n">
        <x:f>J201/I201</x:f>
        <x:v>0.2541119558687832</x:v>
      </x:c>
      <x:c r="O201" s="11" t="n">
        <x:v>0</x:v>
      </x:c>
      <x:c r="P201" s="11" t="n">
        <x:v>752</x:v>
      </x:c>
      <x:c r="Q201" s="11" t="n">
        <x:v>29</x:v>
      </x:c>
      <x:c r="R201" s="11" t="n">
        <x:v>0</x:v>
      </x:c>
      <x:c r="S201" s="11" t="n">
        <x:v>1756</x:v>
      </x:c>
      <x:c r="T201" s="11" t="n">
        <x:v>22</x:v>
      </x:c>
      <x:c r="U201" s="11" t="n">
        <x:v>371</x:v>
      </x:c>
      <x:c r="V201" s="11" t="n">
        <x:v>66</x:v>
      </x:c>
      <x:c r="W201" s="11" t="n">
        <x:v>122</x:v>
      </x:c>
      <x:c r="X201" s="11" t="n">
        <x:v>0</x:v>
      </x:c>
      <x:c r="Y201" s="11" t="n">
        <x:v>0</x:v>
      </x:c>
      <x:c r="Z201" s="11" t="n">
        <x:v>2817839</x:v>
      </x:c>
      <x:c r="AA201" s="11" t="n">
        <x:v>19526</x:v>
      </x:c>
      <x:c r="AB201" s="11" t="n">
        <x:v>0</x:v>
      </x:c>
      <x:c r="AC201" s="11" t="n">
        <x:v>11520498</x:v>
      </x:c>
      <x:c r="AD201" s="11" t="n">
        <x:v>242024</x:v>
      </x:c>
      <x:c r="AE201" s="11" t="n">
        <x:v>2692650</x:v>
      </x:c>
      <x:c r="AF201" s="11" t="n">
        <x:v>4369797</x:v>
      </x:c>
      <x:c r="AG201" s="11" t="n">
        <x:v>2259056</x:v>
      </x:c>
      <x:c r="AH201" s="11" t="n">
        <x:v>0</x:v>
      </x:c>
    </x:row>
    <x:row r="202" ht="23" customHeight="1">
      <x:c r="A202" s="10" t="str">
        <x:v>M9</x:v>
      </x:c>
      <x:c r="B202" s="10" t="str">
        <x:v>NG_H0</x:v>
      </x:c>
      <x:c r="C202" s="9" t="str">
        <x:v>主对照</x:v>
      </x:c>
      <x:c r="D202" s="11" t="n">
        <x:v>3118</x:v>
      </x:c>
      <x:c r="E202" s="11" t="n">
        <x:v>1754</x:v>
      </x:c>
      <x:c r="F202" s="11" t="n">
        <x:v>2190</x:v>
      </x:c>
      <x:c r="G202" s="11" t="n">
        <x:v>0</x:v>
      </x:c>
      <x:c r="H202" s="11" t="n">
        <x:v>1754</x:v>
      </x:c>
      <x:c r="I202" s="11" t="n">
        <x:v>23921390</x:v>
      </x:c>
      <x:c r="J202" s="11" t="n">
        <x:v>6765497.065848945</x:v>
      </x:c>
      <x:c r="K202" s="12" t="n">
        <x:f>E202/D202</x:f>
        <x:v>0.5625400898011546</x:v>
      </x:c>
      <x:c r="L202" s="12" t="n">
        <x:f>F202/D202</x:f>
        <x:v>0.7023733162283515</x:v>
      </x:c>
      <x:c r="M202" s="12" t="n">
        <x:f>G202/D202</x:f>
        <x:v>0</x:v>
      </x:c>
      <x:c r="N202" s="12" t="n">
        <x:f>J202/I202</x:f>
        <x:v>0.28282207120275804</x:v>
      </x:c>
      <x:c r="O202" s="11" t="n">
        <x:v>0</x:v>
      </x:c>
      <x:c r="P202" s="11" t="n">
        <x:v>301</x:v>
      </x:c>
      <x:c r="Q202" s="11" t="n">
        <x:v>1181</x:v>
      </x:c>
      <x:c r="R202" s="11" t="n">
        <x:v>669</x:v>
      </x:c>
      <x:c r="S202" s="11" t="n">
        <x:v>241</x:v>
      </x:c>
      <x:c r="T202" s="11" t="n">
        <x:v>78</x:v>
      </x:c>
      <x:c r="U202" s="11" t="n">
        <x:v>399</x:v>
      </x:c>
      <x:c r="V202" s="11" t="n">
        <x:v>76</x:v>
      </x:c>
      <x:c r="W202" s="11" t="n">
        <x:v>173</x:v>
      </x:c>
      <x:c r="X202" s="11" t="n">
        <x:v>0</x:v>
      </x:c>
      <x:c r="Y202" s="11" t="n">
        <x:v>0</x:v>
      </x:c>
      <x:c r="Z202" s="11" t="n">
        <x:v>353012</x:v>
      </x:c>
      <x:c r="AA202" s="11" t="n">
        <x:v>2616806</x:v>
      </x:c>
      <x:c r="AB202" s="11" t="n">
        <x:v>2639218</x:v>
      </x:c>
      <x:c r="AC202" s="11" t="n">
        <x:v>6353369</x:v>
      </x:c>
      <x:c r="AD202" s="11" t="n">
        <x:v>1898830</x:v>
      </x:c>
      <x:c r="AE202" s="11" t="n">
        <x:v>2857454</x:v>
      </x:c>
      <x:c r="AF202" s="11" t="n">
        <x:v>4466997</x:v>
      </x:c>
      <x:c r="AG202" s="11" t="n">
        <x:v>2735704</x:v>
      </x:c>
      <x:c r="AH202" s="11" t="n">
        <x:v>0</x:v>
      </x:c>
    </x:row>
    <x:row r="203" ht="23" customHeight="1">
      <x:c r="A203" s="10" t="str">
        <x:v>M9</x:v>
      </x:c>
      <x:c r="B203" s="10" t="str">
        <x:v>NG_HT</x:v>
      </x:c>
      <x:c r="C203" s="9" t="str">
        <x:v>仅拓扑与尺度</x:v>
      </x:c>
      <x:c r="D203" s="11" t="n">
        <x:v>3118</x:v>
      </x:c>
      <x:c r="E203" s="11" t="n">
        <x:v>1754</x:v>
      </x:c>
      <x:c r="F203" s="11" t="n">
        <x:v>2190</x:v>
      </x:c>
      <x:c r="G203" s="11" t="n">
        <x:v>0</x:v>
      </x:c>
      <x:c r="H203" s="11" t="n">
        <x:v>1754</x:v>
      </x:c>
      <x:c r="I203" s="11" t="n">
        <x:v>23921390</x:v>
      </x:c>
      <x:c r="J203" s="11" t="n">
        <x:v>6783852.185848949</x:v>
      </x:c>
      <x:c r="K203" s="12" t="n">
        <x:f>E203/D203</x:f>
        <x:v>0.5625400898011546</x:v>
      </x:c>
      <x:c r="L203" s="12" t="n">
        <x:f>F203/D203</x:f>
        <x:v>0.7023733162283515</x:v>
      </x:c>
      <x:c r="M203" s="12" t="n">
        <x:f>G203/D203</x:f>
        <x:v>0</x:v>
      </x:c>
      <x:c r="N203" s="12" t="n">
        <x:f>J203/I203</x:f>
        <x:v>0.2835893811291463</x:v>
      </x:c>
      <x:c r="O203" s="11" t="n">
        <x:v>0</x:v>
      </x:c>
      <x:c r="P203" s="11" t="n">
        <x:v>241</x:v>
      </x:c>
      <x:c r="Q203" s="11" t="n">
        <x:v>1135</x:v>
      </x:c>
      <x:c r="R203" s="11" t="n">
        <x:v>759</x:v>
      </x:c>
      <x:c r="S203" s="11" t="n">
        <x:v>256</x:v>
      </x:c>
      <x:c r="T203" s="11" t="n">
        <x:v>79</x:v>
      </x:c>
      <x:c r="U203" s="11" t="n">
        <x:v>399</x:v>
      </x:c>
      <x:c r="V203" s="11" t="n">
        <x:v>76</x:v>
      </x:c>
      <x:c r="W203" s="11" t="n">
        <x:v>173</x:v>
      </x:c>
      <x:c r="X203" s="11" t="n">
        <x:v>0</x:v>
      </x:c>
      <x:c r="Y203" s="11" t="n">
        <x:v>0</x:v>
      </x:c>
      <x:c r="Z203" s="11" t="n">
        <x:v>265112</x:v>
      </x:c>
      <x:c r="AA203" s="11" t="n">
        <x:v>2440022</x:v>
      </x:c>
      <x:c r="AB203" s="11" t="n">
        <x:v>2862818</x:v>
      </x:c>
      <x:c r="AC203" s="11" t="n">
        <x:v>6305835</x:v>
      </x:c>
      <x:c r="AD203" s="11" t="n">
        <x:v>1987448</x:v>
      </x:c>
      <x:c r="AE203" s="11" t="n">
        <x:v>2857454</x:v>
      </x:c>
      <x:c r="AF203" s="11" t="n">
        <x:v>4466997</x:v>
      </x:c>
      <x:c r="AG203" s="11" t="n">
        <x:v>2735704</x:v>
      </x:c>
      <x:c r="AH203" s="11" t="n">
        <x:v>0</x:v>
      </x:c>
    </x:row>
    <x:row r="204" ht="23" customHeight="1">
      <x:c r="A204" s="10" t="str">
        <x:v>M9</x:v>
      </x:c>
      <x:c r="B204" s="10" t="str">
        <x:v>NG_H1</x:v>
      </x:c>
      <x:c r="C204" s="9" t="str">
        <x:v>主对照</x:v>
      </x:c>
      <x:c r="D204" s="11" t="n">
        <x:v>3118</x:v>
      </x:c>
      <x:c r="E204" s="11" t="n">
        <x:v>1754</x:v>
      </x:c>
      <x:c r="F204" s="11" t="n">
        <x:v>2190</x:v>
      </x:c>
      <x:c r="G204" s="11" t="n">
        <x:v>0</x:v>
      </x:c>
      <x:c r="H204" s="11" t="n">
        <x:v>1880</x:v>
      </x:c>
      <x:c r="I204" s="11" t="n">
        <x:v>23921390</x:v>
      </x:c>
      <x:c r="J204" s="11" t="n">
        <x:v>6787999.065848948</x:v>
      </x:c>
      <x:c r="K204" s="12" t="n">
        <x:f>E204/D204</x:f>
        <x:v>0.5625400898011546</x:v>
      </x:c>
      <x:c r="L204" s="12" t="n">
        <x:f>F204/D204</x:f>
        <x:v>0.7023733162283515</x:v>
      </x:c>
      <x:c r="M204" s="12" t="n">
        <x:f>G204/D204</x:f>
        <x:v>0</x:v>
      </x:c>
      <x:c r="N204" s="12" t="n">
        <x:f>J204/I204</x:f>
        <x:v>0.28376273560394893</x:v>
      </x:c>
      <x:c r="O204" s="11" t="n">
        <x:v>0</x:v>
      </x:c>
      <x:c r="P204" s="11" t="n">
        <x:v>241</x:v>
      </x:c>
      <x:c r="Q204" s="11" t="n">
        <x:v>1134</x:v>
      </x:c>
      <x:c r="R204" s="11" t="n">
        <x:v>755</x:v>
      </x:c>
      <x:c r="S204" s="11" t="n">
        <x:v>256</x:v>
      </x:c>
      <x:c r="T204" s="11" t="n">
        <x:v>84</x:v>
      </x:c>
      <x:c r="U204" s="11" t="n">
        <x:v>399</x:v>
      </x:c>
      <x:c r="V204" s="11" t="n">
        <x:v>76</x:v>
      </x:c>
      <x:c r="W204" s="11" t="n">
        <x:v>173</x:v>
      </x:c>
      <x:c r="X204" s="11" t="n">
        <x:v>0</x:v>
      </x:c>
      <x:c r="Y204" s="11" t="n">
        <x:v>0</x:v>
      </x:c>
      <x:c r="Z204" s="11" t="n">
        <x:v>265112</x:v>
      </x:c>
      <x:c r="AA204" s="11" t="n">
        <x:v>2439230</x:v>
      </x:c>
      <x:c r="AB204" s="11" t="n">
        <x:v>2822458</x:v>
      </x:c>
      <x:c r="AC204" s="11" t="n">
        <x:v>6305835</x:v>
      </x:c>
      <x:c r="AD204" s="11" t="n">
        <x:v>2028600</x:v>
      </x:c>
      <x:c r="AE204" s="11" t="n">
        <x:v>2857454</x:v>
      </x:c>
      <x:c r="AF204" s="11" t="n">
        <x:v>4466997</x:v>
      </x:c>
      <x:c r="AG204" s="11" t="n">
        <x:v>2735704</x:v>
      </x:c>
      <x:c r="AH204" s="11" t="n">
        <x:v>0</x:v>
      </x:c>
    </x:row>
    <x:row r="205" ht="23" customHeight="1">
      <x:c r="A205" s="10" t="str">
        <x:v>M9</x:v>
      </x:c>
      <x:c r="B205" s="10" t="str">
        <x:v>CG_H0</x:v>
      </x:c>
      <x:c r="C205" s="9" t="str">
        <x:v>主对照</x:v>
      </x:c>
      <x:c r="D205" s="11" t="n">
        <x:v>3118</x:v>
      </x:c>
      <x:c r="E205" s="11" t="n">
        <x:v>2331</x:v>
      </x:c>
      <x:c r="F205" s="11" t="n">
        <x:v>2345</x:v>
      </x:c>
      <x:c r="G205" s="11" t="n">
        <x:v>0</x:v>
      </x:c>
      <x:c r="H205" s="11" t="n">
        <x:v>2099</x:v>
      </x:c>
      <x:c r="I205" s="11" t="n">
        <x:v>23921390</x:v>
      </x:c>
      <x:c r="J205" s="11" t="n">
        <x:v>4849285.865848952</x:v>
      </x:c>
      <x:c r="K205" s="12" t="n">
        <x:f>E205/D205</x:f>
        <x:v>0.7475946119307249</x:v>
      </x:c>
      <x:c r="L205" s="12" t="n">
        <x:f>F205/D205</x:f>
        <x:v>0.7520846696600385</x:v>
      </x:c>
      <x:c r="M205" s="12" t="n">
        <x:f>G205/D205</x:f>
        <x:v>0</x:v>
      </x:c>
      <x:c r="N205" s="12" t="n">
        <x:f>J205/I205</x:f>
        <x:v>0.20271756222564624</x:v>
      </x:c>
      <x:c r="O205" s="11" t="n">
        <x:v>0</x:v>
      </x:c>
      <x:c r="P205" s="11" t="n">
        <x:v>424</x:v>
      </x:c>
      <x:c r="Q205" s="11" t="n">
        <x:v>1648</x:v>
      </x:c>
      <x:c r="R205" s="11" t="n">
        <x:v>721</x:v>
      </x:c>
      <x:c r="S205" s="11" t="n">
        <x:v>254</x:v>
      </x:c>
      <x:c r="T205" s="11" t="n">
        <x:v>62</x:v>
      </x:c>
      <x:c r="U205" s="11" t="n">
        <x:v>9</x:v>
      </x:c>
      <x:c r="V205" s="11" t="n">
        <x:v>0</x:v>
      </x:c>
      <x:c r="W205" s="11" t="n">
        <x:v>0</x:v>
      </x:c>
      <x:c r="X205" s="11" t="n">
        <x:v>0</x:v>
      </x:c>
      <x:c r="Y205" s="11" t="n">
        <x:v>0</x:v>
      </x:c>
      <x:c r="Z205" s="11" t="n">
        <x:v>778174</x:v>
      </x:c>
      <x:c r="AA205" s="11" t="n">
        <x:v>8032662</x:v>
      </x:c>
      <x:c r="AB205" s="11" t="n">
        <x:v>4007200</x:v>
      </x:c>
      <x:c r="AC205" s="11" t="n">
        <x:v>8875106</x:v>
      </x:c>
      <x:c r="AD205" s="11" t="n">
        <x:v>2169280</x:v>
      </x:c>
      <x:c r="AE205" s="11" t="n">
        <x:v>58968</x:v>
      </x:c>
      <x:c r="AF205" s="11" t="n">
        <x:v>0</x:v>
      </x:c>
      <x:c r="AG205" s="11" t="n">
        <x:v>0</x:v>
      </x:c>
      <x:c r="AH205" s="11" t="n">
        <x:v>0</x:v>
      </x:c>
    </x:row>
    <x:row r="206" ht="23" customHeight="1">
      <x:c r="A206" s="10" t="str">
        <x:v>M9</x:v>
      </x:c>
      <x:c r="B206" s="10" t="str">
        <x:v>CG_HT</x:v>
      </x:c>
      <x:c r="C206" s="9" t="str">
        <x:v>仅拓扑与尺度</x:v>
      </x:c>
      <x:c r="D206" s="11" t="n">
        <x:v>3118</x:v>
      </x:c>
      <x:c r="E206" s="11" t="n">
        <x:v>2346</x:v>
      </x:c>
      <x:c r="F206" s="11" t="n">
        <x:v>2360</x:v>
      </x:c>
      <x:c r="G206" s="11" t="n">
        <x:v>0</x:v>
      </x:c>
      <x:c r="H206" s="11" t="n">
        <x:v>2114</x:v>
      </x:c>
      <x:c r="I206" s="11" t="n">
        <x:v>23921390</x:v>
      </x:c>
      <x:c r="J206" s="11" t="n">
        <x:v>4909973.425848948</x:v>
      </x:c>
      <x:c r="K206" s="12" t="n">
        <x:f>E206/D206</x:f>
        <x:v>0.7524053880692751</x:v>
      </x:c>
      <x:c r="L206" s="12" t="n">
        <x:f>F206/D206</x:f>
        <x:v>0.7568954457985888</x:v>
      </x:c>
      <x:c r="M206" s="12" t="n">
        <x:f>G206/D206</x:f>
        <x:v>0</x:v>
      </x:c>
      <x:c r="N206" s="12" t="n">
        <x:f>J206/I206</x:f>
        <x:v>0.20525452015325815</x:v>
      </x:c>
      <x:c r="O206" s="11" t="n">
        <x:v>0</x:v>
      </x:c>
      <x:c r="P206" s="11" t="n">
        <x:v>339</x:v>
      </x:c>
      <x:c r="Q206" s="11" t="n">
        <x:v>1605</x:v>
      </x:c>
      <x:c r="R206" s="11" t="n">
        <x:v>827</x:v>
      </x:c>
      <x:c r="S206" s="11" t="n">
        <x:v>271</x:v>
      </x:c>
      <x:c r="T206" s="11" t="n">
        <x:v>63</x:v>
      </x:c>
      <x:c r="U206" s="11" t="n">
        <x:v>13</x:v>
      </x:c>
      <x:c r="V206" s="11" t="n">
        <x:v>0</x:v>
      </x:c>
      <x:c r="W206" s="11" t="n">
        <x:v>0</x:v>
      </x:c>
      <x:c r="X206" s="11" t="n">
        <x:v>0</x:v>
      </x:c>
      <x:c r="Y206" s="11" t="n">
        <x:v>0</x:v>
      </x:c>
      <x:c r="Z206" s="11" t="n">
        <x:v>531198</x:v>
      </x:c>
      <x:c r="AA206" s="11" t="n">
        <x:v>7876886</x:v>
      </x:c>
      <x:c r="AB206" s="11" t="n">
        <x:v>3873870</x:v>
      </x:c>
      <x:c r="AC206" s="11" t="n">
        <x:v>9256314</x:v>
      </x:c>
      <x:c r="AD206" s="11" t="n">
        <x:v>2292202</x:v>
      </x:c>
      <x:c r="AE206" s="11" t="n">
        <x:v>90920</x:v>
      </x:c>
      <x:c r="AF206" s="11" t="n">
        <x:v>0</x:v>
      </x:c>
      <x:c r="AG206" s="11" t="n">
        <x:v>0</x:v>
      </x:c>
      <x:c r="AH206" s="11" t="n">
        <x:v>0</x:v>
      </x:c>
    </x:row>
    <x:row r="207" ht="23" customHeight="1">
      <x:c r="A207" s="10" t="str">
        <x:v>M9</x:v>
      </x:c>
      <x:c r="B207" s="10" t="str">
        <x:v>CG_H1</x:v>
      </x:c>
      <x:c r="C207" s="9" t="str">
        <x:v>主对照</x:v>
      </x:c>
      <x:c r="D207" s="11" t="n">
        <x:v>3118</x:v>
      </x:c>
      <x:c r="E207" s="11" t="n">
        <x:v>2346</x:v>
      </x:c>
      <x:c r="F207" s="11" t="n">
        <x:v>2360</x:v>
      </x:c>
      <x:c r="G207" s="11" t="n">
        <x:v>0</x:v>
      </x:c>
      <x:c r="H207" s="11" t="n">
        <x:v>2122</x:v>
      </x:c>
      <x:c r="I207" s="11" t="n">
        <x:v>23921390</x:v>
      </x:c>
      <x:c r="J207" s="11" t="n">
        <x:v>4929519.985848949</x:v>
      </x:c>
      <x:c r="K207" s="12" t="n">
        <x:f>E207/D207</x:f>
        <x:v>0.7524053880692751</x:v>
      </x:c>
      <x:c r="L207" s="12" t="n">
        <x:f>F207/D207</x:f>
        <x:v>0.7568954457985888</x:v>
      </x:c>
      <x:c r="M207" s="12" t="n">
        <x:f>G207/D207</x:f>
        <x:v>0</x:v>
      </x:c>
      <x:c r="N207" s="12" t="n">
        <x:f>J207/I207</x:f>
        <x:v>0.20607163654992244</x:v>
      </x:c>
      <x:c r="O207" s="11" t="n">
        <x:v>0</x:v>
      </x:c>
      <x:c r="P207" s="11" t="n">
        <x:v>339</x:v>
      </x:c>
      <x:c r="Q207" s="11" t="n">
        <x:v>1597</x:v>
      </x:c>
      <x:c r="R207" s="11" t="n">
        <x:v>827</x:v>
      </x:c>
      <x:c r="S207" s="11" t="n">
        <x:v>271</x:v>
      </x:c>
      <x:c r="T207" s="11" t="n">
        <x:v>63</x:v>
      </x:c>
      <x:c r="U207" s="11" t="n">
        <x:v>21</x:v>
      </x:c>
      <x:c r="V207" s="11" t="n">
        <x:v>0</x:v>
      </x:c>
      <x:c r="W207" s="11" t="n">
        <x:v>0</x:v>
      </x:c>
      <x:c r="X207" s="11" t="n">
        <x:v>0</x:v>
      </x:c>
      <x:c r="Y207" s="11" t="n">
        <x:v>0</x:v>
      </x:c>
      <x:c r="Z207" s="11" t="n">
        <x:v>531198</x:v>
      </x:c>
      <x:c r="AA207" s="11" t="n">
        <x:v>7768294</x:v>
      </x:c>
      <x:c r="AB207" s="11" t="n">
        <x:v>3873870</x:v>
      </x:c>
      <x:c r="AC207" s="11" t="n">
        <x:v>9256314</x:v>
      </x:c>
      <x:c r="AD207" s="11" t="n">
        <x:v>2292202</x:v>
      </x:c>
      <x:c r="AE207" s="11" t="n">
        <x:v>199512</x:v>
      </x:c>
      <x:c r="AF207" s="11" t="n">
        <x:v>0</x:v>
      </x:c>
      <x:c r="AG207" s="11" t="n">
        <x:v>0</x:v>
      </x:c>
      <x:c r="AH207" s="11" t="n">
        <x:v>0</x:v>
      </x:c>
    </x:row>
    <x:row r="208" ht="23" customHeight="1">
      <x:c r="A208" s="10" t="str">
        <x:v>M9</x:v>
      </x:c>
      <x:c r="B208" s="10" t="str">
        <x:v>NCG_H0</x:v>
      </x:c>
      <x:c r="C208" s="9" t="str">
        <x:v>主对照</x:v>
      </x:c>
      <x:c r="D208" s="11" t="n">
        <x:v>3118</x:v>
      </x:c>
      <x:c r="E208" s="11" t="n">
        <x:v>1367</x:v>
      </x:c>
      <x:c r="F208" s="11" t="n">
        <x:v>1756</x:v>
      </x:c>
      <x:c r="G208" s="11" t="n">
        <x:v>447</x:v>
      </x:c>
      <x:c r="H208" s="11" t="n">
        <x:v>1475</x:v>
      </x:c>
      <x:c r="I208" s="11" t="n">
        <x:v>23921390</x:v>
      </x:c>
      <x:c r="J208" s="11" t="n">
        <x:v>6605249.86584894</x:v>
      </x:c>
      <x:c r="K208" s="12" t="n">
        <x:f>E208/D208</x:f>
        <x:v>0.4384220654265555</x:v>
      </x:c>
      <x:c r="L208" s="12" t="n">
        <x:f>F208/D208</x:f>
        <x:v>0.563181526619628</x:v>
      </x:c>
      <x:c r="M208" s="12" t="n">
        <x:f>G208/D208</x:f>
        <x:v>0.1433611289288005</x:v>
      </x:c>
      <x:c r="N208" s="12" t="n">
        <x:f>J208/I208</x:f>
        <x:v>0.2761231628199256</x:v>
      </x:c>
      <x:c r="O208" s="11" t="n">
        <x:v>0</x:v>
      </x:c>
      <x:c r="P208" s="11" t="n">
        <x:v>305</x:v>
      </x:c>
      <x:c r="Q208" s="11" t="n">
        <x:v>1187</x:v>
      </x:c>
      <x:c r="R208" s="11" t="n">
        <x:v>703</x:v>
      </x:c>
      <x:c r="S208" s="11" t="n">
        <x:v>277</x:v>
      </x:c>
      <x:c r="T208" s="11" t="n">
        <x:v>90</x:v>
      </x:c>
      <x:c r="U208" s="11" t="n">
        <x:v>368</x:v>
      </x:c>
      <x:c r="V208" s="11" t="n">
        <x:v>66</x:v>
      </x:c>
      <x:c r="W208" s="11" t="n">
        <x:v>122</x:v>
      </x:c>
      <x:c r="X208" s="11" t="n">
        <x:v>0</x:v>
      </x:c>
      <x:c r="Y208" s="11" t="n">
        <x:v>0</x:v>
      </x:c>
      <x:c r="Z208" s="11" t="n">
        <x:v>298622</x:v>
      </x:c>
      <x:c r="AA208" s="11" t="n">
        <x:v>3077454</x:v>
      </x:c>
      <x:c r="AB208" s="11" t="n">
        <x:v>2990662</x:v>
      </x:c>
      <x:c r="AC208" s="11" t="n">
        <x:v>6006865</x:v>
      </x:c>
      <x:c r="AD208" s="11" t="n">
        <x:v>2278178</x:v>
      </x:c>
      <x:c r="AE208" s="11" t="n">
        <x:v>2640756</x:v>
      </x:c>
      <x:c r="AF208" s="11" t="n">
        <x:v>4369797</x:v>
      </x:c>
      <x:c r="AG208" s="11" t="n">
        <x:v>2259056</x:v>
      </x:c>
      <x:c r="AH208" s="11" t="n">
        <x:v>0</x:v>
      </x:c>
    </x:row>
    <x:row r="209" ht="23" customHeight="1">
      <x:c r="A209" s="10" t="str">
        <x:v>M9</x:v>
      </x:c>
      <x:c r="B209" s="10" t="str">
        <x:v>NCG_HT</x:v>
      </x:c>
      <x:c r="C209" s="9" t="str">
        <x:v>仅拓扑与尺度</x:v>
      </x:c>
      <x:c r="D209" s="11" t="n">
        <x:v>3118</x:v>
      </x:c>
      <x:c r="E209" s="11" t="n">
        <x:v>1380</x:v>
      </x:c>
      <x:c r="F209" s="11" t="n">
        <x:v>1769</x:v>
      </x:c>
      <x:c r="G209" s="11" t="n">
        <x:v>447</x:v>
      </x:c>
      <x:c r="H209" s="11" t="n">
        <x:v>1480</x:v>
      </x:c>
      <x:c r="I209" s="11" t="n">
        <x:v>23921390</x:v>
      </x:c>
      <x:c r="J209" s="11" t="n">
        <x:v>6620377.785848943</x:v>
      </x:c>
      <x:c r="K209" s="12" t="n">
        <x:f>E209/D209</x:f>
        <x:v>0.44259140474663244</x:v>
      </x:c>
      <x:c r="L209" s="12" t="n">
        <x:f>F209/D209</x:f>
        <x:v>0.567350865939705</x:v>
      </x:c>
      <x:c r="M209" s="12" t="n">
        <x:f>G209/D209</x:f>
        <x:v>0.1433611289288005</x:v>
      </x:c>
      <x:c r="N209" s="12" t="n">
        <x:f>J209/I209</x:f>
        <x:v>0.2767555641979393</x:v>
      </x:c>
      <x:c r="O209" s="11" t="n">
        <x:v>0</x:v>
      </x:c>
      <x:c r="P209" s="11" t="n">
        <x:v>247</x:v>
      </x:c>
      <x:c r="Q209" s="11" t="n">
        <x:v>1137</x:v>
      </x:c>
      <x:c r="R209" s="11" t="n">
        <x:v>795</x:v>
      </x:c>
      <x:c r="S209" s="11" t="n">
        <x:v>293</x:v>
      </x:c>
      <x:c r="T209" s="11" t="n">
        <x:v>88</x:v>
      </x:c>
      <x:c r="U209" s="11" t="n">
        <x:v>370</x:v>
      </x:c>
      <x:c r="V209" s="11" t="n">
        <x:v>66</x:v>
      </x:c>
      <x:c r="W209" s="11" t="n">
        <x:v>122</x:v>
      </x:c>
      <x:c r="X209" s="11" t="n">
        <x:v>0</x:v>
      </x:c>
      <x:c r="Y209" s="11" t="n">
        <x:v>0</x:v>
      </x:c>
      <x:c r="Z209" s="11" t="n">
        <x:v>244726</x:v>
      </x:c>
      <x:c r="AA209" s="11" t="n">
        <x:v>2857702</x:v>
      </x:c>
      <x:c r="AB209" s="11" t="n">
        <x:v>3223226</x:v>
      </x:c>
      <x:c r="AC209" s="11" t="n">
        <x:v>6047949</x:v>
      </x:c>
      <x:c r="AD209" s="11" t="n">
        <x:v>2262202</x:v>
      </x:c>
      <x:c r="AE209" s="11" t="n">
        <x:v>2656732</x:v>
      </x:c>
      <x:c r="AF209" s="11" t="n">
        <x:v>4369797</x:v>
      </x:c>
      <x:c r="AG209" s="11" t="n">
        <x:v>2259056</x:v>
      </x:c>
      <x:c r="AH209" s="11" t="n">
        <x:v>0</x:v>
      </x:c>
    </x:row>
    <x:row r="210" ht="23" customHeight="1">
      <x:c r="A210" s="10" t="str">
        <x:v>M9</x:v>
      </x:c>
      <x:c r="B210" s="10" t="str">
        <x:v>NCG_H1</x:v>
      </x:c>
      <x:c r="C210" s="9" t="str">
        <x:v>主对照</x:v>
      </x:c>
      <x:c r="D210" s="11" t="n">
        <x:v>3118</x:v>
      </x:c>
      <x:c r="E210" s="11" t="n">
        <x:v>1380</x:v>
      </x:c>
      <x:c r="F210" s="11" t="n">
        <x:v>1769</x:v>
      </x:c>
      <x:c r="G210" s="11" t="n">
        <x:v>447</x:v>
      </x:c>
      <x:c r="H210" s="11" t="n">
        <x:v>1582</x:v>
      </x:c>
      <x:c r="I210" s="11" t="n">
        <x:v>23921390</x:v>
      </x:c>
      <x:c r="J210" s="11" t="n">
        <x:v>6636741.265848943</x:v>
      </x:c>
      <x:c r="K210" s="12" t="n">
        <x:f>E210/D210</x:f>
        <x:v>0.44259140474663244</x:v>
      </x:c>
      <x:c r="L210" s="12" t="n">
        <x:f>F210/D210</x:f>
        <x:v>0.567350865939705</x:v>
      </x:c>
      <x:c r="M210" s="12" t="n">
        <x:f>G210/D210</x:f>
        <x:v>0.1433611289288005</x:v>
      </x:c>
      <x:c r="N210" s="12" t="n">
        <x:f>J210/I210</x:f>
        <x:v>0.2774396164206571</x:v>
      </x:c>
      <x:c r="O210" s="11" t="n">
        <x:v>0</x:v>
      </x:c>
      <x:c r="P210" s="11" t="n">
        <x:v>247</x:v>
      </x:c>
      <x:c r="Q210" s="11" t="n">
        <x:v>1131</x:v>
      </x:c>
      <x:c r="R210" s="11" t="n">
        <x:v>791</x:v>
      </x:c>
      <x:c r="S210" s="11" t="n">
        <x:v>293</x:v>
      </x:c>
      <x:c r="T210" s="11" t="n">
        <x:v>93</x:v>
      </x:c>
      <x:c r="U210" s="11" t="n">
        <x:v>375</x:v>
      </x:c>
      <x:c r="V210" s="11" t="n">
        <x:v>66</x:v>
      </x:c>
      <x:c r="W210" s="11" t="n">
        <x:v>122</x:v>
      </x:c>
      <x:c r="X210" s="11" t="n">
        <x:v>0</x:v>
      </x:c>
      <x:c r="Y210" s="11" t="n">
        <x:v>0</x:v>
      </x:c>
      <x:c r="Z210" s="11" t="n">
        <x:v>244726</x:v>
      </x:c>
      <x:c r="AA210" s="11" t="n">
        <x:v>2789040</x:v>
      </x:c>
      <x:c r="AB210" s="11" t="n">
        <x:v>3182866</x:v>
      </x:c>
      <x:c r="AC210" s="11" t="n">
        <x:v>6047949</x:v>
      </x:c>
      <x:c r="AD210" s="11" t="n">
        <x:v>2303354</x:v>
      </x:c>
      <x:c r="AE210" s="11" t="n">
        <x:v>2724602</x:v>
      </x:c>
      <x:c r="AF210" s="11" t="n">
        <x:v>4369797</x:v>
      </x:c>
      <x:c r="AG210" s="11" t="n">
        <x:v>2259056</x:v>
      </x:c>
      <x:c r="AH210" s="11" t="n">
        <x:v>0</x:v>
      </x:c>
    </x:row>
    <x:row r="211" ht="23" customHeight="1">
      <x:c r="A211" s="10" t="str">
        <x:v>M9</x:v>
      </x:c>
      <x:c r="B211" s="10" t="str">
        <x:v>NCG_H0_M1</x:v>
      </x:c>
      <x:c r="C211" s="9" t="str">
        <x:v>叶名称辅助</x:v>
      </x:c>
      <x:c r="D211" s="11" t="n">
        <x:v>3118</x:v>
      </x:c>
      <x:c r="E211" s="11" t="n">
        <x:v>950</x:v>
      </x:c>
      <x:c r="F211" s="11" t="n">
        <x:v>1270</x:v>
      </x:c>
      <x:c r="G211" s="11" t="n">
        <x:v>447</x:v>
      </x:c>
      <x:c r="H211" s="11" t="n">
        <x:v>1816</x:v>
      </x:c>
      <x:c r="I211" s="11" t="n">
        <x:v>23921390</x:v>
      </x:c>
      <x:c r="J211" s="11" t="n">
        <x:v>7272889.265848941</x:v>
      </x:c>
      <x:c r="K211" s="12" t="n">
        <x:f>E211/D211</x:f>
        <x:v>0.30468248877485565</x:v>
      </x:c>
      <x:c r="L211" s="12" t="n">
        <x:f>F211/D211</x:f>
        <x:v>0.40731237973059653</x:v>
      </x:c>
      <x:c r="M211" s="12" t="n">
        <x:f>G211/D211</x:f>
        <x:v>0.1433611289288005</x:v>
      </x:c>
      <x:c r="N211" s="12" t="n">
        <x:f>J211/I211</x:f>
        <x:v>0.3040328871294244</x:v>
      </x:c>
      <x:c r="O211" s="11" t="n">
        <x:v>0</x:v>
      </x:c>
      <x:c r="P211" s="11" t="n">
        <x:v>284</x:v>
      </x:c>
      <x:c r="Q211" s="11" t="n">
        <x:v>991</x:v>
      </x:c>
      <x:c r="R211" s="11" t="n">
        <x:v>571</x:v>
      </x:c>
      <x:c r="S211" s="11" t="n">
        <x:v>235</x:v>
      </x:c>
      <x:c r="T211" s="11" t="n">
        <x:v>70</x:v>
      </x:c>
      <x:c r="U211" s="11" t="n">
        <x:v>476</x:v>
      </x:c>
      <x:c r="V211" s="11" t="n">
        <x:v>202</x:v>
      </x:c>
      <x:c r="W211" s="11" t="n">
        <x:v>275</x:v>
      </x:c>
      <x:c r="X211" s="11" t="n">
        <x:v>14</x:v>
      </x:c>
      <x:c r="Y211" s="11" t="n">
        <x:v>0</x:v>
      </x:c>
      <x:c r="Z211" s="11" t="n">
        <x:v>256574</x:v>
      </x:c>
      <x:c r="AA211" s="11" t="n">
        <x:v>2127904</x:v>
      </x:c>
      <x:c r="AB211" s="11" t="n">
        <x:v>2165468</x:v>
      </x:c>
      <x:c r="AC211" s="11" t="n">
        <x:v>3506860</x:v>
      </x:c>
      <x:c r="AD211" s="11" t="n">
        <x:v>1706118</x:v>
      </x:c>
      <x:c r="AE211" s="11" t="n">
        <x:v>5454194</x:v>
      </x:c>
      <x:c r="AF211" s="11" t="n">
        <x:v>5556652</x:v>
      </x:c>
      <x:c r="AG211" s="11" t="n">
        <x:v>2977992</x:v>
      </x:c>
      <x:c r="AH211" s="11" t="n">
        <x:v>169628</x:v>
      </x:c>
    </x:row>
    <x:row r="212" ht="23" customHeight="1">
      <x:c r="A212" s="10" t="str">
        <x:v>M9</x:v>
      </x:c>
      <x:c r="B212" s="10" t="str">
        <x:v>NCG_H1_M1</x:v>
      </x:c>
      <x:c r="C212" s="9" t="str">
        <x:v>叶名称辅助</x:v>
      </x:c>
      <x:c r="D212" s="11" t="n">
        <x:v>3118</x:v>
      </x:c>
      <x:c r="E212" s="11" t="n">
        <x:v>952</x:v>
      </x:c>
      <x:c r="F212" s="11" t="n">
        <x:v>1272</x:v>
      </x:c>
      <x:c r="G212" s="11" t="n">
        <x:v>447</x:v>
      </x:c>
      <x:c r="H212" s="11" t="n">
        <x:v>1847</x:v>
      </x:c>
      <x:c r="I212" s="11" t="n">
        <x:v>23921390</x:v>
      </x:c>
      <x:c r="J212" s="11" t="n">
        <x:v>7303567.025848936</x:v>
      </x:c>
      <x:c r="K212" s="12" t="n">
        <x:f>E212/D212</x:f>
        <x:v>0.30532392559332905</x:v>
      </x:c>
      <x:c r="L212" s="12" t="n">
        <x:f>F212/D212</x:f>
        <x:v>0.4079538165490699</x:v>
      </x:c>
      <x:c r="M212" s="12" t="n">
        <x:f>G212/D212</x:f>
        <x:v>0.1433611289288005</x:v>
      </x:c>
      <x:c r="N212" s="12" t="n">
        <x:f>J212/I212</x:f>
        <x:v>0.3053153276565006</x:v>
      </x:c>
      <x:c r="O212" s="11" t="n">
        <x:v>0</x:v>
      </x:c>
      <x:c r="P212" s="11" t="n">
        <x:v>248</x:v>
      </x:c>
      <x:c r="Q212" s="11" t="n">
        <x:v>907</x:v>
      </x:c>
      <x:c r="R212" s="11" t="n">
        <x:v>634</x:v>
      </x:c>
      <x:c r="S212" s="11" t="n">
        <x:v>251</x:v>
      </x:c>
      <x:c r="T212" s="11" t="n">
        <x:v>111</x:v>
      </x:c>
      <x:c r="U212" s="11" t="n">
        <x:v>476</x:v>
      </x:c>
      <x:c r="V212" s="11" t="n">
        <x:v>202</x:v>
      </x:c>
      <x:c r="W212" s="11" t="n">
        <x:v>275</x:v>
      </x:c>
      <x:c r="X212" s="11" t="n">
        <x:v>14</x:v>
      </x:c>
      <x:c r="Y212" s="11" t="n">
        <x:v>0</x:v>
      </x:c>
      <x:c r="Z212" s="11" t="n">
        <x:v>235058</x:v>
      </x:c>
      <x:c r="AA212" s="11" t="n">
        <x:v>1860800</x:v>
      </x:c>
      <x:c r="AB212" s="11" t="n">
        <x:v>2250628</x:v>
      </x:c>
      <x:c r="AC212" s="11" t="n">
        <x:v>3547944</x:v>
      </x:c>
      <x:c r="AD212" s="11" t="n">
        <x:v>1868494</x:v>
      </x:c>
      <x:c r="AE212" s="11" t="n">
        <x:v>5454194</x:v>
      </x:c>
      <x:c r="AF212" s="11" t="n">
        <x:v>5556652</x:v>
      </x:c>
      <x:c r="AG212" s="11" t="n">
        <x:v>2977992</x:v>
      </x:c>
      <x:c r="AH212" s="11" t="n">
        <x:v>169628</x:v>
      </x:c>
    </x:row>
    <x:row r="213" ht="23" customHeight="1">
      <x:c r="A213" s="10" t="str">
        <x:v>M10</x:v>
      </x:c>
      <x:c r="B213" s="10" t="str">
        <x:v>N_H0</x:v>
      </x:c>
      <x:c r="C213" s="9" t="str">
        <x:v>主对照</x:v>
      </x:c>
      <x:c r="D213" s="11" t="n">
        <x:v>5198</x:v>
      </x:c>
      <x:c r="E213" s="11" t="n">
        <x:v>3298</x:v>
      </x:c>
      <x:c r="F213" s="11" t="n">
        <x:v>4015</x:v>
      </x:c>
      <x:c r="G213" s="11" t="n">
        <x:v>0</x:v>
      </x:c>
      <x:c r="H213" s="11" t="n">
        <x:v>3298</x:v>
      </x:c>
      <x:c r="I213" s="11" t="n">
        <x:v>47591131</x:v>
      </x:c>
      <x:c r="J213" s="11" t="n">
        <x:v>12521132.779999888</x:v>
      </x:c>
      <x:c r="K213" s="12" t="n">
        <x:f>E213/D213</x:f>
        <x:v>0.6344747979992305</x:v>
      </x:c>
      <x:c r="L213" s="12" t="n">
        <x:f>F213/D213</x:f>
        <x:v>0.772412466333205</x:v>
      </x:c>
      <x:c r="M213" s="12" t="n">
        <x:f>G213/D213</x:f>
        <x:v>0</x:v>
      </x:c>
      <x:c r="N213" s="12" t="n">
        <x:f>J213/I213</x:f>
        <x:v>0.2630980293365982</x:v>
      </x:c>
      <x:c r="O213" s="11" t="n">
        <x:v>0</x:v>
      </x:c>
      <x:c r="P213" s="11" t="n">
        <x:v>537</x:v>
      </x:c>
      <x:c r="Q213" s="11" t="n">
        <x:v>207</x:v>
      </x:c>
      <x:c r="R213" s="11" t="n">
        <x:v>0</x:v>
      </x:c>
      <x:c r="S213" s="11" t="n">
        <x:v>4015</x:v>
      </x:c>
      <x:c r="T213" s="11" t="n">
        <x:v>35</x:v>
      </x:c>
      <x:c r="U213" s="11" t="n">
        <x:v>106</x:v>
      </x:c>
      <x:c r="V213" s="11" t="n">
        <x:v>106</x:v>
      </x:c>
      <x:c r="W213" s="11" t="n">
        <x:v>192</x:v>
      </x:c>
      <x:c r="X213" s="11" t="n">
        <x:v>0</x:v>
      </x:c>
      <x:c r="Y213" s="11" t="n">
        <x:v>0</x:v>
      </x:c>
      <x:c r="Z213" s="11" t="n">
        <x:v>1375996</x:v>
      </x:c>
      <x:c r="AA213" s="11" t="n">
        <x:v>660514</x:v>
      </x:c>
      <x:c r="AB213" s="11" t="n">
        <x:v>0</x:v>
      </x:c>
      <x:c r="AC213" s="11" t="n">
        <x:v>31101103</x:v>
      </x:c>
      <x:c r="AD213" s="11" t="n">
        <x:v>71982</x:v>
      </x:c>
      <x:c r="AE213" s="11" t="n">
        <x:v>452116</x:v>
      </x:c>
      <x:c r="AF213" s="11" t="n">
        <x:v>4401488</x:v>
      </x:c>
      <x:c r="AG213" s="11" t="n">
        <x:v>9527932</x:v>
      </x:c>
      <x:c r="AH213" s="11" t="n">
        <x:v>0</x:v>
      </x:c>
    </x:row>
    <x:row r="214" ht="23" customHeight="1">
      <x:c r="A214" s="10" t="str">
        <x:v>M10</x:v>
      </x:c>
      <x:c r="B214" s="10" t="str">
        <x:v>N_HT</x:v>
      </x:c>
      <x:c r="C214" s="9" t="str">
        <x:v>仅拓扑与尺度</x:v>
      </x:c>
      <x:c r="D214" s="11" t="n">
        <x:v>5198</x:v>
      </x:c>
      <x:c r="E214" s="11" t="n">
        <x:v>3298</x:v>
      </x:c>
      <x:c r="F214" s="11" t="n">
        <x:v>4015</x:v>
      </x:c>
      <x:c r="G214" s="11" t="n">
        <x:v>0</x:v>
      </x:c>
      <x:c r="H214" s="11" t="n">
        <x:v>3298</x:v>
      </x:c>
      <x:c r="I214" s="11" t="n">
        <x:v>47591131</x:v>
      </x:c>
      <x:c r="J214" s="11" t="n">
        <x:v>12521132.779999888</x:v>
      </x:c>
      <x:c r="K214" s="12" t="n">
        <x:f>E214/D214</x:f>
        <x:v>0.6344747979992305</x:v>
      </x:c>
      <x:c r="L214" s="12" t="n">
        <x:f>F214/D214</x:f>
        <x:v>0.772412466333205</x:v>
      </x:c>
      <x:c r="M214" s="12" t="n">
        <x:f>G214/D214</x:f>
        <x:v>0</x:v>
      </x:c>
      <x:c r="N214" s="12" t="n">
        <x:f>J214/I214</x:f>
        <x:v>0.2630980293365982</x:v>
      </x:c>
      <x:c r="O214" s="11" t="n">
        <x:v>0</x:v>
      </x:c>
      <x:c r="P214" s="11" t="n">
        <x:v>537</x:v>
      </x:c>
      <x:c r="Q214" s="11" t="n">
        <x:v>207</x:v>
      </x:c>
      <x:c r="R214" s="11" t="n">
        <x:v>0</x:v>
      </x:c>
      <x:c r="S214" s="11" t="n">
        <x:v>4015</x:v>
      </x:c>
      <x:c r="T214" s="11" t="n">
        <x:v>35</x:v>
      </x:c>
      <x:c r="U214" s="11" t="n">
        <x:v>106</x:v>
      </x:c>
      <x:c r="V214" s="11" t="n">
        <x:v>106</x:v>
      </x:c>
      <x:c r="W214" s="11" t="n">
        <x:v>192</x:v>
      </x:c>
      <x:c r="X214" s="11" t="n">
        <x:v>0</x:v>
      </x:c>
      <x:c r="Y214" s="11" t="n">
        <x:v>0</x:v>
      </x:c>
      <x:c r="Z214" s="11" t="n">
        <x:v>1375996</x:v>
      </x:c>
      <x:c r="AA214" s="11" t="n">
        <x:v>660514</x:v>
      </x:c>
      <x:c r="AB214" s="11" t="n">
        <x:v>0</x:v>
      </x:c>
      <x:c r="AC214" s="11" t="n">
        <x:v>31101103</x:v>
      </x:c>
      <x:c r="AD214" s="11" t="n">
        <x:v>71982</x:v>
      </x:c>
      <x:c r="AE214" s="11" t="n">
        <x:v>452116</x:v>
      </x:c>
      <x:c r="AF214" s="11" t="n">
        <x:v>4401488</x:v>
      </x:c>
      <x:c r="AG214" s="11" t="n">
        <x:v>9527932</x:v>
      </x:c>
      <x:c r="AH214" s="11" t="n">
        <x:v>0</x:v>
      </x:c>
    </x:row>
    <x:row r="215" ht="23" customHeight="1">
      <x:c r="A215" s="10" t="str">
        <x:v>M10</x:v>
      </x:c>
      <x:c r="B215" s="10" t="str">
        <x:v>N_H1</x:v>
      </x:c>
      <x:c r="C215" s="9" t="str">
        <x:v>主对照</x:v>
      </x:c>
      <x:c r="D215" s="11" t="n">
        <x:v>5198</x:v>
      </x:c>
      <x:c r="E215" s="11" t="n">
        <x:v>3298</x:v>
      </x:c>
      <x:c r="F215" s="11" t="n">
        <x:v>4015</x:v>
      </x:c>
      <x:c r="G215" s="11" t="n">
        <x:v>0</x:v>
      </x:c>
      <x:c r="H215" s="11" t="n">
        <x:v>3642</x:v>
      </x:c>
      <x:c r="I215" s="11" t="n">
        <x:v>47591131</x:v>
      </x:c>
      <x:c r="J215" s="11" t="n">
        <x:v>12548406.459999816</x:v>
      </x:c>
      <x:c r="K215" s="12" t="n">
        <x:f>E215/D215</x:f>
        <x:v>0.6344747979992305</x:v>
      </x:c>
      <x:c r="L215" s="12" t="n">
        <x:f>F215/D215</x:f>
        <x:v>0.772412466333205</x:v>
      </x:c>
      <x:c r="M215" s="12" t="n">
        <x:f>G215/D215</x:f>
        <x:v>0</x:v>
      </x:c>
      <x:c r="N215" s="12" t="n">
        <x:f>J215/I215</x:f>
        <x:v>0.2636711125860786</x:v>
      </x:c>
      <x:c r="O215" s="11" t="n">
        <x:v>0</x:v>
      </x:c>
      <x:c r="P215" s="11" t="n">
        <x:v>537</x:v>
      </x:c>
      <x:c r="Q215" s="11" t="n">
        <x:v>62</x:v>
      </x:c>
      <x:c r="R215" s="11" t="n">
        <x:v>0</x:v>
      </x:c>
      <x:c r="S215" s="11" t="n">
        <x:v>4015</x:v>
      </x:c>
      <x:c r="T215" s="11" t="n">
        <x:v>180</x:v>
      </x:c>
      <x:c r="U215" s="11" t="n">
        <x:v>106</x:v>
      </x:c>
      <x:c r="V215" s="11" t="n">
        <x:v>106</x:v>
      </x:c>
      <x:c r="W215" s="11" t="n">
        <x:v>192</x:v>
      </x:c>
      <x:c r="X215" s="11" t="n">
        <x:v>0</x:v>
      </x:c>
      <x:c r="Y215" s="11" t="n">
        <x:v>0</x:v>
      </x:c>
      <x:c r="Z215" s="11" t="n">
        <x:v>1375996</x:v>
      </x:c>
      <x:c r="AA215" s="11" t="n">
        <x:v>465702</x:v>
      </x:c>
      <x:c r="AB215" s="11" t="n">
        <x:v>0</x:v>
      </x:c>
      <x:c r="AC215" s="11" t="n">
        <x:v>31101103</x:v>
      </x:c>
      <x:c r="AD215" s="11" t="n">
        <x:v>266794</x:v>
      </x:c>
      <x:c r="AE215" s="11" t="n">
        <x:v>452116</x:v>
      </x:c>
      <x:c r="AF215" s="11" t="n">
        <x:v>4401488</x:v>
      </x:c>
      <x:c r="AG215" s="11" t="n">
        <x:v>9527932</x:v>
      </x:c>
      <x:c r="AH215" s="11" t="n">
        <x:v>0</x:v>
      </x:c>
    </x:row>
    <x:row r="216" ht="23" customHeight="1">
      <x:c r="A216" s="10" t="str">
        <x:v>M10</x:v>
      </x:c>
      <x:c r="B216" s="10" t="str">
        <x:v>C_H0</x:v>
      </x:c>
      <x:c r="C216" s="9" t="str">
        <x:v>主对照</x:v>
      </x:c>
      <x:c r="D216" s="11" t="n">
        <x:v>5198</x:v>
      </x:c>
      <x:c r="E216" s="11" t="n">
        <x:v>4031</x:v>
      </x:c>
      <x:c r="F216" s="11" t="n">
        <x:v>4032</x:v>
      </x:c>
      <x:c r="G216" s="11" t="n">
        <x:v>0</x:v>
      </x:c>
      <x:c r="H216" s="11" t="n">
        <x:v>3593</x:v>
      </x:c>
      <x:c r="I216" s="11" t="n">
        <x:v>47591131</x:v>
      </x:c>
      <x:c r="J216" s="11" t="n">
        <x:v>9581131.70000027</x:v>
      </x:c>
      <x:c r="K216" s="12" t="n">
        <x:f>E216/D216</x:f>
        <x:v>0.7754905732974221</x:v>
      </x:c>
      <x:c r="L216" s="12" t="n">
        <x:f>F216/D216</x:f>
        <x:v>0.7756829549826857</x:v>
      </x:c>
      <x:c r="M216" s="12" t="n">
        <x:f>G216/D216</x:f>
        <x:v>0</x:v>
      </x:c>
      <x:c r="N216" s="12" t="n">
        <x:f>J216/I216</x:f>
        <x:v>0.20132179039830486</x:v>
      </x:c>
      <x:c r="O216" s="11" t="n">
        <x:v>0</x:v>
      </x:c>
      <x:c r="P216" s="11" t="n">
        <x:v>1162</x:v>
      </x:c>
      <x:c r="Q216" s="11" t="n">
        <x:v>0</x:v>
      </x:c>
      <x:c r="R216" s="11" t="n">
        <x:v>0</x:v>
      </x:c>
      <x:c r="S216" s="11" t="n">
        <x:v>4032</x:v>
      </x:c>
      <x:c r="T216" s="11" t="n">
        <x:v>0</x:v>
      </x:c>
      <x:c r="U216" s="11" t="n">
        <x:v>4</x:v>
      </x:c>
      <x:c r="V216" s="11" t="n">
        <x:v>0</x:v>
      </x:c>
      <x:c r="W216" s="11" t="n">
        <x:v>0</x:v>
      </x:c>
      <x:c r="X216" s="11" t="n">
        <x:v>0</x:v>
      </x:c>
      <x:c r="Y216" s="11" t="n">
        <x:v>0</x:v>
      </x:c>
      <x:c r="Z216" s="11" t="n">
        <x:v>7421796</x:v>
      </x:c>
      <x:c r="AA216" s="11" t="n">
        <x:v>0</x:v>
      </x:c>
      <x:c r="AB216" s="11" t="n">
        <x:v>0</x:v>
      </x:c>
      <x:c r="AC216" s="11" t="n">
        <x:v>40148105</x:v>
      </x:c>
      <x:c r="AD216" s="11" t="n">
        <x:v>0</x:v>
      </x:c>
      <x:c r="AE216" s="11" t="n">
        <x:v>21230</x:v>
      </x:c>
      <x:c r="AF216" s="11" t="n">
        <x:v>0</x:v>
      </x:c>
      <x:c r="AG216" s="11" t="n">
        <x:v>0</x:v>
      </x:c>
      <x:c r="AH216" s="11" t="n">
        <x:v>0</x:v>
      </x:c>
    </x:row>
    <x:row r="217" ht="23" customHeight="1">
      <x:c r="A217" s="10" t="str">
        <x:v>M10</x:v>
      </x:c>
      <x:c r="B217" s="10" t="str">
        <x:v>C_HT</x:v>
      </x:c>
      <x:c r="C217" s="9" t="str">
        <x:v>仅拓扑与尺度</x:v>
      </x:c>
      <x:c r="D217" s="11" t="n">
        <x:v>5198</x:v>
      </x:c>
      <x:c r="E217" s="11" t="n">
        <x:v>4031</x:v>
      </x:c>
      <x:c r="F217" s="11" t="n">
        <x:v>4032</x:v>
      </x:c>
      <x:c r="G217" s="11" t="n">
        <x:v>0</x:v>
      </x:c>
      <x:c r="H217" s="11" t="n">
        <x:v>3593</x:v>
      </x:c>
      <x:c r="I217" s="11" t="n">
        <x:v>47591131</x:v>
      </x:c>
      <x:c r="J217" s="11" t="n">
        <x:v>9581131.70000027</x:v>
      </x:c>
      <x:c r="K217" s="12" t="n">
        <x:f>E217/D217</x:f>
        <x:v>0.7754905732974221</x:v>
      </x:c>
      <x:c r="L217" s="12" t="n">
        <x:f>F217/D217</x:f>
        <x:v>0.7756829549826857</x:v>
      </x:c>
      <x:c r="M217" s="12" t="n">
        <x:f>G217/D217</x:f>
        <x:v>0</x:v>
      </x:c>
      <x:c r="N217" s="12" t="n">
        <x:f>J217/I217</x:f>
        <x:v>0.20132179039830486</x:v>
      </x:c>
      <x:c r="O217" s="11" t="n">
        <x:v>0</x:v>
      </x:c>
      <x:c r="P217" s="11" t="n">
        <x:v>1162</x:v>
      </x:c>
      <x:c r="Q217" s="11" t="n">
        <x:v>0</x:v>
      </x:c>
      <x:c r="R217" s="11" t="n">
        <x:v>0</x:v>
      </x:c>
      <x:c r="S217" s="11" t="n">
        <x:v>4032</x:v>
      </x:c>
      <x:c r="T217" s="11" t="n">
        <x:v>0</x:v>
      </x:c>
      <x:c r="U217" s="11" t="n">
        <x:v>4</x:v>
      </x:c>
      <x:c r="V217" s="11" t="n">
        <x:v>0</x:v>
      </x:c>
      <x:c r="W217" s="11" t="n">
        <x:v>0</x:v>
      </x:c>
      <x:c r="X217" s="11" t="n">
        <x:v>0</x:v>
      </x:c>
      <x:c r="Y217" s="11" t="n">
        <x:v>0</x:v>
      </x:c>
      <x:c r="Z217" s="11" t="n">
        <x:v>7421796</x:v>
      </x:c>
      <x:c r="AA217" s="11" t="n">
        <x:v>0</x:v>
      </x:c>
      <x:c r="AB217" s="11" t="n">
        <x:v>0</x:v>
      </x:c>
      <x:c r="AC217" s="11" t="n">
        <x:v>40148105</x:v>
      </x:c>
      <x:c r="AD217" s="11" t="n">
        <x:v>0</x:v>
      </x:c>
      <x:c r="AE217" s="11" t="n">
        <x:v>21230</x:v>
      </x:c>
      <x:c r="AF217" s="11" t="n">
        <x:v>0</x:v>
      </x:c>
      <x:c r="AG217" s="11" t="n">
        <x:v>0</x:v>
      </x:c>
      <x:c r="AH217" s="11" t="n">
        <x:v>0</x:v>
      </x:c>
    </x:row>
    <x:row r="218" ht="23" customHeight="1">
      <x:c r="A218" s="10" t="str">
        <x:v>M10</x:v>
      </x:c>
      <x:c r="B218" s="10" t="str">
        <x:v>C_H1</x:v>
      </x:c>
      <x:c r="C218" s="9" t="str">
        <x:v>主对照</x:v>
      </x:c>
      <x:c r="D218" s="11" t="n">
        <x:v>5198</x:v>
      </x:c>
      <x:c r="E218" s="11" t="n">
        <x:v>4031</x:v>
      </x:c>
      <x:c r="F218" s="11" t="n">
        <x:v>4032</x:v>
      </x:c>
      <x:c r="G218" s="11" t="n">
        <x:v>0</x:v>
      </x:c>
      <x:c r="H218" s="11" t="n">
        <x:v>3593</x:v>
      </x:c>
      <x:c r="I218" s="11" t="n">
        <x:v>47591131</x:v>
      </x:c>
      <x:c r="J218" s="11" t="n">
        <x:v>9581131.70000027</x:v>
      </x:c>
      <x:c r="K218" s="12" t="n">
        <x:f>E218/D218</x:f>
        <x:v>0.7754905732974221</x:v>
      </x:c>
      <x:c r="L218" s="12" t="n">
        <x:f>F218/D218</x:f>
        <x:v>0.7756829549826857</x:v>
      </x:c>
      <x:c r="M218" s="12" t="n">
        <x:f>G218/D218</x:f>
        <x:v>0</x:v>
      </x:c>
      <x:c r="N218" s="12" t="n">
        <x:f>J218/I218</x:f>
        <x:v>0.20132179039830486</x:v>
      </x:c>
      <x:c r="O218" s="11" t="n">
        <x:v>0</x:v>
      </x:c>
      <x:c r="P218" s="11" t="n">
        <x:v>1162</x:v>
      </x:c>
      <x:c r="Q218" s="11" t="n">
        <x:v>0</x:v>
      </x:c>
      <x:c r="R218" s="11" t="n">
        <x:v>0</x:v>
      </x:c>
      <x:c r="S218" s="11" t="n">
        <x:v>4032</x:v>
      </x:c>
      <x:c r="T218" s="11" t="n">
        <x:v>0</x:v>
      </x:c>
      <x:c r="U218" s="11" t="n">
        <x:v>4</x:v>
      </x:c>
      <x:c r="V218" s="11" t="n">
        <x:v>0</x:v>
      </x:c>
      <x:c r="W218" s="11" t="n">
        <x:v>0</x:v>
      </x:c>
      <x:c r="X218" s="11" t="n">
        <x:v>0</x:v>
      </x:c>
      <x:c r="Y218" s="11" t="n">
        <x:v>0</x:v>
      </x:c>
      <x:c r="Z218" s="11" t="n">
        <x:v>7421796</x:v>
      </x:c>
      <x:c r="AA218" s="11" t="n">
        <x:v>0</x:v>
      </x:c>
      <x:c r="AB218" s="11" t="n">
        <x:v>0</x:v>
      </x:c>
      <x:c r="AC218" s="11" t="n">
        <x:v>40148105</x:v>
      </x:c>
      <x:c r="AD218" s="11" t="n">
        <x:v>0</x:v>
      </x:c>
      <x:c r="AE218" s="11" t="n">
        <x:v>21230</x:v>
      </x:c>
      <x:c r="AF218" s="11" t="n">
        <x:v>0</x:v>
      </x:c>
      <x:c r="AG218" s="11" t="n">
        <x:v>0</x:v>
      </x:c>
      <x:c r="AH218" s="11" t="n">
        <x:v>0</x:v>
      </x:c>
    </x:row>
    <x:row r="219" ht="23" customHeight="1">
      <x:c r="A219" s="10" t="str">
        <x:v>M10</x:v>
      </x:c>
      <x:c r="B219" s="10" t="str">
        <x:v>G_H0</x:v>
      </x:c>
      <x:c r="C219" s="9" t="str">
        <x:v>主对照</x:v>
      </x:c>
      <x:c r="D219" s="11" t="n">
        <x:v>5198</x:v>
      </x:c>
      <x:c r="E219" s="11" t="n">
        <x:v>5198</x:v>
      </x:c>
      <x:c r="F219" s="11" t="n">
        <x:v>5198</x:v>
      </x:c>
      <x:c r="G219" s="11" t="n">
        <x:v>0</x:v>
      </x:c>
      <x:c r="H219" s="11" t="n">
        <x:v>5198</x:v>
      </x:c>
      <x:c r="I219" s="11" t="n">
        <x:v>47591131</x:v>
      </x:c>
      <x:c r="J219" s="11" t="n">
        <x:v>8168735.347121978</x:v>
      </x:c>
      <x:c r="K219" s="12" t="n">
        <x:f>E219/D219</x:f>
        <x:v>1</x:v>
      </x:c>
      <x:c r="L219" s="12" t="n">
        <x:f>F219/D219</x:f>
        <x:v>1</x:v>
      </x:c>
      <x:c r="M219" s="12" t="n">
        <x:f>G219/D219</x:f>
        <x:v>0</x:v>
      </x:c>
      <x:c r="N219" s="12" t="n">
        <x:f>J219/I219</x:f>
        <x:v>0.17164406845304808</x:v>
      </x:c>
      <x:c r="O219" s="11" t="n">
        <x:v>0</x:v>
      </x:c>
      <x:c r="P219" s="11" t="n">
        <x:v>1350</x:v>
      </x:c>
      <x:c r="Q219" s="11" t="n">
        <x:v>2819</x:v>
      </x:c>
      <x:c r="R219" s="11" t="n">
        <x:v>764</x:v>
      </x:c>
      <x:c r="S219" s="11" t="n">
        <x:v>201</x:v>
      </x:c>
      <x:c r="T219" s="11" t="n">
        <x:v>64</x:v>
      </x:c>
      <x:c r="U219" s="11" t="n">
        <x:v>0</x:v>
      </x:c>
      <x:c r="V219" s="11" t="n">
        <x:v>0</x:v>
      </x:c>
      <x:c r="W219" s="11" t="n">
        <x:v>0</x:v>
      </x:c>
      <x:c r="X219" s="11" t="n">
        <x:v>0</x:v>
      </x:c>
      <x:c r="Y219" s="11" t="n">
        <x:v>0</x:v>
      </x:c>
      <x:c r="Z219" s="11" t="n">
        <x:v>2755786</x:v>
      </x:c>
      <x:c r="AA219" s="11" t="n">
        <x:v>28738495</x:v>
      </x:c>
      <x:c r="AB219" s="11" t="n">
        <x:v>5615096</x:v>
      </x:c>
      <x:c r="AC219" s="11" t="n">
        <x:v>6739966</x:v>
      </x:c>
      <x:c r="AD219" s="11" t="n">
        <x:v>3741788</x:v>
      </x:c>
      <x:c r="AE219" s="11" t="n">
        <x:v>0</x:v>
      </x:c>
      <x:c r="AF219" s="11" t="n">
        <x:v>0</x:v>
      </x:c>
      <x:c r="AG219" s="11" t="n">
        <x:v>0</x:v>
      </x:c>
      <x:c r="AH219" s="11" t="n">
        <x:v>0</x:v>
      </x:c>
    </x:row>
    <x:row r="220" ht="23" customHeight="1">
      <x:c r="A220" s="10" t="str">
        <x:v>M10</x:v>
      </x:c>
      <x:c r="B220" s="10" t="str">
        <x:v>G_HT</x:v>
      </x:c>
      <x:c r="C220" s="9" t="str">
        <x:v>仅拓扑与尺度</x:v>
      </x:c>
      <x:c r="D220" s="11" t="n">
        <x:v>5198</x:v>
      </x:c>
      <x:c r="E220" s="11" t="n">
        <x:v>5198</x:v>
      </x:c>
      <x:c r="F220" s="11" t="n">
        <x:v>5198</x:v>
      </x:c>
      <x:c r="G220" s="11" t="n">
        <x:v>0</x:v>
      </x:c>
      <x:c r="H220" s="11" t="n">
        <x:v>5198</x:v>
      </x:c>
      <x:c r="I220" s="11" t="n">
        <x:v>47591131</x:v>
      </x:c>
      <x:c r="J220" s="11" t="n">
        <x:v>8315971.5871219775</x:v>
      </x:c>
      <x:c r="K220" s="12" t="n">
        <x:f>E220/D220</x:f>
        <x:v>1</x:v>
      </x:c>
      <x:c r="L220" s="12" t="n">
        <x:f>F220/D220</x:f>
        <x:v>1</x:v>
      </x:c>
      <x:c r="M220" s="12" t="n">
        <x:f>G220/D220</x:f>
        <x:v>0</x:v>
      </x:c>
      <x:c r="N220" s="12" t="n">
        <x:f>J220/I220</x:f>
        <x:v>0.17473784321540872</x:v>
      </x:c>
      <x:c r="O220" s="11" t="n">
        <x:v>0</x:v>
      </x:c>
      <x:c r="P220" s="11" t="n">
        <x:v>835</x:v>
      </x:c>
      <x:c r="Q220" s="11" t="n">
        <x:v>3024</x:v>
      </x:c>
      <x:c r="R220" s="11" t="n">
        <x:v>1050</x:v>
      </x:c>
      <x:c r="S220" s="11" t="n">
        <x:v>212</x:v>
      </x:c>
      <x:c r="T220" s="11" t="n">
        <x:v>77</x:v>
      </x:c>
      <x:c r="U220" s="11" t="n">
        <x:v>0</x:v>
      </x:c>
      <x:c r="V220" s="11" t="n">
        <x:v>0</x:v>
      </x:c>
      <x:c r="W220" s="11" t="n">
        <x:v>0</x:v>
      </x:c>
      <x:c r="X220" s="11" t="n">
        <x:v>0</x:v>
      </x:c>
      <x:c r="Y220" s="11" t="n">
        <x:v>0</x:v>
      </x:c>
      <x:c r="Z220" s="11" t="n">
        <x:v>1537740</x:v>
      </x:c>
      <x:c r="AA220" s="11" t="n">
        <x:v>27176753</x:v>
      </x:c>
      <x:c r="AB220" s="11" t="n">
        <x:v>8310374</x:v>
      </x:c>
      <x:c r="AC220" s="11" t="n">
        <x:v>6659146</x:v>
      </x:c>
      <x:c r="AD220" s="11" t="n">
        <x:v>3907118</x:v>
      </x:c>
      <x:c r="AE220" s="11" t="n">
        <x:v>0</x:v>
      </x:c>
      <x:c r="AF220" s="11" t="n">
        <x:v>0</x:v>
      </x:c>
      <x:c r="AG220" s="11" t="n">
        <x:v>0</x:v>
      </x:c>
      <x:c r="AH220" s="11" t="n">
        <x:v>0</x:v>
      </x:c>
    </x:row>
    <x:row r="221" ht="23" customHeight="1">
      <x:c r="A221" s="10" t="str">
        <x:v>M10</x:v>
      </x:c>
      <x:c r="B221" s="10" t="str">
        <x:v>G_H1</x:v>
      </x:c>
      <x:c r="C221" s="9" t="str">
        <x:v>主对照</x:v>
      </x:c>
      <x:c r="D221" s="11" t="n">
        <x:v>5198</x:v>
      </x:c>
      <x:c r="E221" s="11" t="n">
        <x:v>5198</x:v>
      </x:c>
      <x:c r="F221" s="11" t="n">
        <x:v>5198</x:v>
      </x:c>
      <x:c r="G221" s="11" t="n">
        <x:v>0</x:v>
      </x:c>
      <x:c r="H221" s="11" t="n">
        <x:v>5198</x:v>
      </x:c>
      <x:c r="I221" s="11" t="n">
        <x:v>47591131</x:v>
      </x:c>
      <x:c r="J221" s="11" t="n">
        <x:v>8315971.5871219775</x:v>
      </x:c>
      <x:c r="K221" s="12" t="n">
        <x:f>E221/D221</x:f>
        <x:v>1</x:v>
      </x:c>
      <x:c r="L221" s="12" t="n">
        <x:f>F221/D221</x:f>
        <x:v>1</x:v>
      </x:c>
      <x:c r="M221" s="12" t="n">
        <x:f>G221/D221</x:f>
        <x:v>0</x:v>
      </x:c>
      <x:c r="N221" s="12" t="n">
        <x:f>J221/I221</x:f>
        <x:v>0.17473784321540872</x:v>
      </x:c>
      <x:c r="O221" s="11" t="n">
        <x:v>0</x:v>
      </x:c>
      <x:c r="P221" s="11" t="n">
        <x:v>835</x:v>
      </x:c>
      <x:c r="Q221" s="11" t="n">
        <x:v>3024</x:v>
      </x:c>
      <x:c r="R221" s="11" t="n">
        <x:v>1050</x:v>
      </x:c>
      <x:c r="S221" s="11" t="n">
        <x:v>212</x:v>
      </x:c>
      <x:c r="T221" s="11" t="n">
        <x:v>77</x:v>
      </x:c>
      <x:c r="U221" s="11" t="n">
        <x:v>0</x:v>
      </x:c>
      <x:c r="V221" s="11" t="n">
        <x:v>0</x:v>
      </x:c>
      <x:c r="W221" s="11" t="n">
        <x:v>0</x:v>
      </x:c>
      <x:c r="X221" s="11" t="n">
        <x:v>0</x:v>
      </x:c>
      <x:c r="Y221" s="11" t="n">
        <x:v>0</x:v>
      </x:c>
      <x:c r="Z221" s="11" t="n">
        <x:v>1537740</x:v>
      </x:c>
      <x:c r="AA221" s="11" t="n">
        <x:v>27176753</x:v>
      </x:c>
      <x:c r="AB221" s="11" t="n">
        <x:v>8310374</x:v>
      </x:c>
      <x:c r="AC221" s="11" t="n">
        <x:v>6659146</x:v>
      </x:c>
      <x:c r="AD221" s="11" t="n">
        <x:v>3907118</x:v>
      </x:c>
      <x:c r="AE221" s="11" t="n">
        <x:v>0</x:v>
      </x:c>
      <x:c r="AF221" s="11" t="n">
        <x:v>0</x:v>
      </x:c>
      <x:c r="AG221" s="11" t="n">
        <x:v>0</x:v>
      </x:c>
      <x:c r="AH221" s="11" t="n">
        <x:v>0</x:v>
      </x:c>
    </x:row>
    <x:row r="222" ht="23" customHeight="1">
      <x:c r="A222" s="10" t="str">
        <x:v>M10</x:v>
      </x:c>
      <x:c r="B222" s="10" t="str">
        <x:v>NC_H0</x:v>
      </x:c>
      <x:c r="C222" s="9" t="str">
        <x:v>主对照</x:v>
      </x:c>
      <x:c r="D222" s="11" t="n">
        <x:v>5198</x:v>
      </x:c>
      <x:c r="E222" s="11" t="n">
        <x:v>2885</x:v>
      </x:c>
      <x:c r="F222" s="11" t="n">
        <x:v>3507</x:v>
      </x:c>
      <x:c r="G222" s="11" t="n">
        <x:v>626</x:v>
      </x:c>
      <x:c r="H222" s="11" t="n">
        <x:v>2822</x:v>
      </x:c>
      <x:c r="I222" s="11" t="n">
        <x:v>47591131</x:v>
      </x:c>
      <x:c r="J222" s="11" t="n">
        <x:v>11726292.339999864</x:v>
      </x:c>
      <x:c r="K222" s="12" t="n">
        <x:f>E222/D222</x:f>
        <x:v>0.555021161985379</x:v>
      </x:c>
      <x:c r="L222" s="12" t="n">
        <x:f>F222/D222</x:f>
        <x:v>0.6746825702193151</x:v>
      </x:c>
      <x:c r="M222" s="12" t="n">
        <x:f>G222/D222</x:f>
        <x:v>0.12043093497499038</x:v>
      </x:c>
      <x:c r="N222" s="12" t="n">
        <x:f>J222/I222</x:f>
        <x:v>0.24639658889383956</x:v>
      </x:c>
      <x:c r="O222" s="11" t="n">
        <x:v>0</x:v>
      </x:c>
      <x:c r="P222" s="11" t="n">
        <x:v>1143</x:v>
      </x:c>
      <x:c r="Q222" s="11" t="n">
        <x:v>192</x:v>
      </x:c>
      <x:c r="R222" s="11" t="n">
        <x:v>0</x:v>
      </x:c>
      <x:c r="S222" s="11" t="n">
        <x:v>3507</x:v>
      </x:c>
      <x:c r="T222" s="11" t="n">
        <x:v>35</x:v>
      </x:c>
      <x:c r="U222" s="11" t="n">
        <x:v>96</x:v>
      </x:c>
      <x:c r="V222" s="11" t="n">
        <x:v>49</x:v>
      </x:c>
      <x:c r="W222" s="11" t="n">
        <x:v>176</x:v>
      </x:c>
      <x:c r="X222" s="11" t="n">
        <x:v>0</x:v>
      </x:c>
      <x:c r="Y222" s="11" t="n">
        <x:v>0</x:v>
      </x:c>
      <x:c r="Z222" s="11" t="n">
        <x:v>7640830</x:v>
      </x:c>
      <x:c r="AA222" s="11" t="n">
        <x:v>547110</x:v>
      </x:c>
      <x:c r="AB222" s="11" t="n">
        <x:v>0</x:v>
      </x:c>
      <x:c r="AC222" s="11" t="n">
        <x:v>25366333</x:v>
      </x:c>
      <x:c r="AD222" s="11" t="n">
        <x:v>71982</x:v>
      </x:c>
      <x:c r="AE222" s="11" t="n">
        <x:v>426558</x:v>
      </x:c>
      <x:c r="AF222" s="11" t="n">
        <x:v>4100784</x:v>
      </x:c>
      <x:c r="AG222" s="11" t="n">
        <x:v>9437534</x:v>
      </x:c>
      <x:c r="AH222" s="11" t="n">
        <x:v>0</x:v>
      </x:c>
    </x:row>
    <x:row r="223" ht="23" customHeight="1">
      <x:c r="A223" s="10" t="str">
        <x:v>M10</x:v>
      </x:c>
      <x:c r="B223" s="10" t="str">
        <x:v>NC_HT</x:v>
      </x:c>
      <x:c r="C223" s="9" t="str">
        <x:v>仅拓扑与尺度</x:v>
      </x:c>
      <x:c r="D223" s="11" t="n">
        <x:v>5198</x:v>
      </x:c>
      <x:c r="E223" s="11" t="n">
        <x:v>2885</x:v>
      </x:c>
      <x:c r="F223" s="11" t="n">
        <x:v>3507</x:v>
      </x:c>
      <x:c r="G223" s="11" t="n">
        <x:v>626</x:v>
      </x:c>
      <x:c r="H223" s="11" t="n">
        <x:v>2822</x:v>
      </x:c>
      <x:c r="I223" s="11" t="n">
        <x:v>47591131</x:v>
      </x:c>
      <x:c r="J223" s="11" t="n">
        <x:v>11726292.339999864</x:v>
      </x:c>
      <x:c r="K223" s="12" t="n">
        <x:f>E223/D223</x:f>
        <x:v>0.555021161985379</x:v>
      </x:c>
      <x:c r="L223" s="12" t="n">
        <x:f>F223/D223</x:f>
        <x:v>0.6746825702193151</x:v>
      </x:c>
      <x:c r="M223" s="12" t="n">
        <x:f>G223/D223</x:f>
        <x:v>0.12043093497499038</x:v>
      </x:c>
      <x:c r="N223" s="12" t="n">
        <x:f>J223/I223</x:f>
        <x:v>0.24639658889383956</x:v>
      </x:c>
      <x:c r="O223" s="11" t="n">
        <x:v>0</x:v>
      </x:c>
      <x:c r="P223" s="11" t="n">
        <x:v>1143</x:v>
      </x:c>
      <x:c r="Q223" s="11" t="n">
        <x:v>192</x:v>
      </x:c>
      <x:c r="R223" s="11" t="n">
        <x:v>0</x:v>
      </x:c>
      <x:c r="S223" s="11" t="n">
        <x:v>3507</x:v>
      </x:c>
      <x:c r="T223" s="11" t="n">
        <x:v>35</x:v>
      </x:c>
      <x:c r="U223" s="11" t="n">
        <x:v>96</x:v>
      </x:c>
      <x:c r="V223" s="11" t="n">
        <x:v>49</x:v>
      </x:c>
      <x:c r="W223" s="11" t="n">
        <x:v>176</x:v>
      </x:c>
      <x:c r="X223" s="11" t="n">
        <x:v>0</x:v>
      </x:c>
      <x:c r="Y223" s="11" t="n">
        <x:v>0</x:v>
      </x:c>
      <x:c r="Z223" s="11" t="n">
        <x:v>7640830</x:v>
      </x:c>
      <x:c r="AA223" s="11" t="n">
        <x:v>547110</x:v>
      </x:c>
      <x:c r="AB223" s="11" t="n">
        <x:v>0</x:v>
      </x:c>
      <x:c r="AC223" s="11" t="n">
        <x:v>25366333</x:v>
      </x:c>
      <x:c r="AD223" s="11" t="n">
        <x:v>71982</x:v>
      </x:c>
      <x:c r="AE223" s="11" t="n">
        <x:v>426558</x:v>
      </x:c>
      <x:c r="AF223" s="11" t="n">
        <x:v>4100784</x:v>
      </x:c>
      <x:c r="AG223" s="11" t="n">
        <x:v>9437534</x:v>
      </x:c>
      <x:c r="AH223" s="11" t="n">
        <x:v>0</x:v>
      </x:c>
    </x:row>
    <x:row r="224" ht="23" customHeight="1">
      <x:c r="A224" s="10" t="str">
        <x:v>M10</x:v>
      </x:c>
      <x:c r="B224" s="10" t="str">
        <x:v>NC_H1</x:v>
      </x:c>
      <x:c r="C224" s="9" t="str">
        <x:v>主对照</x:v>
      </x:c>
      <x:c r="D224" s="11" t="n">
        <x:v>5198</x:v>
      </x:c>
      <x:c r="E224" s="11" t="n">
        <x:v>2885</x:v>
      </x:c>
      <x:c r="F224" s="11" t="n">
        <x:v>3507</x:v>
      </x:c>
      <x:c r="G224" s="11" t="n">
        <x:v>626</x:v>
      </x:c>
      <x:c r="H224" s="11" t="n">
        <x:v>3099</x:v>
      </x:c>
      <x:c r="I224" s="11" t="n">
        <x:v>47591131</x:v>
      </x:c>
      <x:c r="J224" s="11" t="n">
        <x:v>11753237.859999796</x:v>
      </x:c>
      <x:c r="K224" s="12" t="n">
        <x:f>E224/D224</x:f>
        <x:v>0.555021161985379</x:v>
      </x:c>
      <x:c r="L224" s="12" t="n">
        <x:f>F224/D224</x:f>
        <x:v>0.6746825702193151</x:v>
      </x:c>
      <x:c r="M224" s="12" t="n">
        <x:f>G224/D224</x:f>
        <x:v>0.12043093497499038</x:v>
      </x:c>
      <x:c r="N224" s="12" t="n">
        <x:f>J224/I224</x:f>
        <x:v>0.2469627767408973</x:v>
      </x:c>
      <x:c r="O224" s="11" t="n">
        <x:v>0</x:v>
      </x:c>
      <x:c r="P224" s="11" t="n">
        <x:v>1143</x:v>
      </x:c>
      <x:c r="Q224" s="11" t="n">
        <x:v>51</x:v>
      </x:c>
      <x:c r="R224" s="11" t="n">
        <x:v>0</x:v>
      </x:c>
      <x:c r="S224" s="11" t="n">
        <x:v>3507</x:v>
      </x:c>
      <x:c r="T224" s="11" t="n">
        <x:v>176</x:v>
      </x:c>
      <x:c r="U224" s="11" t="n">
        <x:v>96</x:v>
      </x:c>
      <x:c r="V224" s="11" t="n">
        <x:v>49</x:v>
      </x:c>
      <x:c r="W224" s="11" t="n">
        <x:v>176</x:v>
      </x:c>
      <x:c r="X224" s="11" t="n">
        <x:v>0</x:v>
      </x:c>
      <x:c r="Y224" s="11" t="n">
        <x:v>0</x:v>
      </x:c>
      <x:c r="Z224" s="11" t="n">
        <x:v>7640830</x:v>
      </x:c>
      <x:c r="AA224" s="11" t="n">
        <x:v>354642</x:v>
      </x:c>
      <x:c r="AB224" s="11" t="n">
        <x:v>0</x:v>
      </x:c>
      <x:c r="AC224" s="11" t="n">
        <x:v>25366333</x:v>
      </x:c>
      <x:c r="AD224" s="11" t="n">
        <x:v>264450</x:v>
      </x:c>
      <x:c r="AE224" s="11" t="n">
        <x:v>426558</x:v>
      </x:c>
      <x:c r="AF224" s="11" t="n">
        <x:v>4100784</x:v>
      </x:c>
      <x:c r="AG224" s="11" t="n">
        <x:v>9437534</x:v>
      </x:c>
      <x:c r="AH224" s="11" t="n">
        <x:v>0</x:v>
      </x:c>
    </x:row>
    <x:row r="225" ht="23" customHeight="1">
      <x:c r="A225" s="10" t="str">
        <x:v>M10</x:v>
      </x:c>
      <x:c r="B225" s="10" t="str">
        <x:v>NG_H0</x:v>
      </x:c>
      <x:c r="C225" s="9" t="str">
        <x:v>主对照</x:v>
      </x:c>
      <x:c r="D225" s="11" t="n">
        <x:v>5198</x:v>
      </x:c>
      <x:c r="E225" s="11" t="n">
        <x:v>3298</x:v>
      </x:c>
      <x:c r="F225" s="11" t="n">
        <x:v>4015</x:v>
      </x:c>
      <x:c r="G225" s="11" t="n">
        <x:v>0</x:v>
      </x:c>
      <x:c r="H225" s="11" t="n">
        <x:v>3298</x:v>
      </x:c>
      <x:c r="I225" s="11" t="n">
        <x:v>47591131</x:v>
      </x:c>
      <x:c r="J225" s="11" t="n">
        <x:v>11511201.387122016</x:v>
      </x:c>
      <x:c r="K225" s="12" t="n">
        <x:f>E225/D225</x:f>
        <x:v>0.6344747979992305</x:v>
      </x:c>
      <x:c r="L225" s="12" t="n">
        <x:f>F225/D225</x:f>
        <x:v>0.772412466333205</x:v>
      </x:c>
      <x:c r="M225" s="12" t="n">
        <x:f>G225/D225</x:f>
        <x:v>0</x:v>
      </x:c>
      <x:c r="N225" s="12" t="n">
        <x:f>J225/I225</x:f>
        <x:v>0.24187702929611016</x:v>
      </x:c>
      <x:c r="O225" s="11" t="n">
        <x:v>209</x:v>
      </x:c>
      <x:c r="P225" s="11" t="n">
        <x:v>1202</x:v>
      </x:c>
      <x:c r="Q225" s="11" t="n">
        <x:v>2394</x:v>
      </x:c>
      <x:c r="R225" s="11" t="n">
        <x:v>701</x:v>
      </x:c>
      <x:c r="S225" s="11" t="n">
        <x:v>189</x:v>
      </x:c>
      <x:c r="T225" s="11" t="n">
        <x:v>99</x:v>
      </x:c>
      <x:c r="U225" s="11" t="n">
        <x:v>106</x:v>
      </x:c>
      <x:c r="V225" s="11" t="n">
        <x:v>106</x:v>
      </x:c>
      <x:c r="W225" s="11" t="n">
        <x:v>189</x:v>
      </x:c>
      <x:c r="X225" s="11" t="n">
        <x:v>3</x:v>
      </x:c>
      <x:c r="Y225" s="11" t="n">
        <x:v>606936</x:v>
      </x:c>
      <x:c r="Z225" s="11" t="n">
        <x:v>2560362</x:v>
      </x:c>
      <x:c r="AA225" s="11" t="n">
        <x:v>17663769</x:v>
      </x:c>
      <x:c r="AB225" s="11" t="n">
        <x:v>5403432</x:v>
      </x:c>
      <x:c r="AC225" s="11" t="n">
        <x:v>3161326</x:v>
      </x:c>
      <x:c r="AD225" s="11" t="n">
        <x:v>3813770</x:v>
      </x:c>
      <x:c r="AE225" s="11" t="n">
        <x:v>452116</x:v>
      </x:c>
      <x:c r="AF225" s="11" t="n">
        <x:v>4401488</x:v>
      </x:c>
      <x:c r="AG225" s="11" t="n">
        <x:v>9508446</x:v>
      </x:c>
      <x:c r="AH225" s="11" t="n">
        <x:v>19486</x:v>
      </x:c>
    </x:row>
    <x:row r="226" ht="23" customHeight="1">
      <x:c r="A226" s="10" t="str">
        <x:v>M10</x:v>
      </x:c>
      <x:c r="B226" s="10" t="str">
        <x:v>NG_HT</x:v>
      </x:c>
      <x:c r="C226" s="9" t="str">
        <x:v>仅拓扑与尺度</x:v>
      </x:c>
      <x:c r="D226" s="11" t="n">
        <x:v>5198</x:v>
      </x:c>
      <x:c r="E226" s="11" t="n">
        <x:v>3298</x:v>
      </x:c>
      <x:c r="F226" s="11" t="n">
        <x:v>4015</x:v>
      </x:c>
      <x:c r="G226" s="11" t="n">
        <x:v>0</x:v>
      </x:c>
      <x:c r="H226" s="11" t="n">
        <x:v>3298</x:v>
      </x:c>
      <x:c r="I226" s="11" t="n">
        <x:v>47591131</x:v>
      </x:c>
      <x:c r="J226" s="11" t="n">
        <x:v>11651524.227122046</x:v>
      </x:c>
      <x:c r="K226" s="12" t="n">
        <x:f>E226/D226</x:f>
        <x:v>0.6344747979992305</x:v>
      </x:c>
      <x:c r="L226" s="12" t="n">
        <x:f>F226/D226</x:f>
        <x:v>0.772412466333205</x:v>
      </x:c>
      <x:c r="M226" s="12" t="n">
        <x:f>G226/D226</x:f>
        <x:v>0</x:v>
      </x:c>
      <x:c r="N226" s="12" t="n">
        <x:f>J226/I226</x:f>
        <x:v>0.2448255374960945</x:v>
      </x:c>
      <x:c r="O226" s="11" t="n">
        <x:v>209</x:v>
      </x:c>
      <x:c r="P226" s="11" t="n">
        <x:v>696</x:v>
      </x:c>
      <x:c r="Q226" s="11" t="n">
        <x:v>2645</x:v>
      </x:c>
      <x:c r="R226" s="11" t="n">
        <x:v>932</x:v>
      </x:c>
      <x:c r="S226" s="11" t="n">
        <x:v>200</x:v>
      </x:c>
      <x:c r="T226" s="11" t="n">
        <x:v>112</x:v>
      </x:c>
      <x:c r="U226" s="11" t="n">
        <x:v>106</x:v>
      </x:c>
      <x:c r="V226" s="11" t="n">
        <x:v>106</x:v>
      </x:c>
      <x:c r="W226" s="11" t="n">
        <x:v>189</x:v>
      </x:c>
      <x:c r="X226" s="11" t="n">
        <x:v>3</x:v>
      </x:c>
      <x:c r="Y226" s="11" t="n">
        <x:v>606936</x:v>
      </x:c>
      <x:c r="Z226" s="11" t="n">
        <x:v>1243730</x:v>
      </x:c>
      <x:c r="AA226" s="11" t="n">
        <x:v>16422741</x:v>
      </x:c>
      <x:c r="AB226" s="11" t="n">
        <x:v>7876582</x:v>
      </x:c>
      <x:c r="AC226" s="11" t="n">
        <x:v>3080506</x:v>
      </x:c>
      <x:c r="AD226" s="11" t="n">
        <x:v>3979100</x:v>
      </x:c>
      <x:c r="AE226" s="11" t="n">
        <x:v>452116</x:v>
      </x:c>
      <x:c r="AF226" s="11" t="n">
        <x:v>4401488</x:v>
      </x:c>
      <x:c r="AG226" s="11" t="n">
        <x:v>9508446</x:v>
      </x:c>
      <x:c r="AH226" s="11" t="n">
        <x:v>19486</x:v>
      </x:c>
    </x:row>
    <x:row r="227" ht="23" customHeight="1">
      <x:c r="A227" s="10" t="str">
        <x:v>M10</x:v>
      </x:c>
      <x:c r="B227" s="10" t="str">
        <x:v>NG_H1</x:v>
      </x:c>
      <x:c r="C227" s="9" t="str">
        <x:v>主对照</x:v>
      </x:c>
      <x:c r="D227" s="11" t="n">
        <x:v>5198</x:v>
      </x:c>
      <x:c r="E227" s="11" t="n">
        <x:v>3298</x:v>
      </x:c>
      <x:c r="F227" s="11" t="n">
        <x:v>4015</x:v>
      </x:c>
      <x:c r="G227" s="11" t="n">
        <x:v>0</x:v>
      </x:c>
      <x:c r="H227" s="11" t="n">
        <x:v>3642</x:v>
      </x:c>
      <x:c r="I227" s="11" t="n">
        <x:v>47591131</x:v>
      </x:c>
      <x:c r="J227" s="11" t="n">
        <x:v>11678555.347122049</x:v>
      </x:c>
      <x:c r="K227" s="12" t="n">
        <x:f>E227/D227</x:f>
        <x:v>0.6344747979992305</x:v>
      </x:c>
      <x:c r="L227" s="12" t="n">
        <x:f>F227/D227</x:f>
        <x:v>0.772412466333205</x:v>
      </x:c>
      <x:c r="M227" s="12" t="n">
        <x:f>G227/D227</x:f>
        <x:v>0</x:v>
      </x:c>
      <x:c r="N227" s="12" t="n">
        <x:f>J227/I227</x:f>
        <x:v>0.2453935239976131</x:v>
      </x:c>
      <x:c r="O227" s="11" t="n">
        <x:v>209</x:v>
      </x:c>
      <x:c r="P227" s="11" t="n">
        <x:v>696</x:v>
      </x:c>
      <x:c r="Q227" s="11" t="n">
        <x:v>2506</x:v>
      </x:c>
      <x:c r="R227" s="11" t="n">
        <x:v>926</x:v>
      </x:c>
      <x:c r="S227" s="11" t="n">
        <x:v>200</x:v>
      </x:c>
      <x:c r="T227" s="11" t="n">
        <x:v>257</x:v>
      </x:c>
      <x:c r="U227" s="11" t="n">
        <x:v>106</x:v>
      </x:c>
      <x:c r="V227" s="11" t="n">
        <x:v>106</x:v>
      </x:c>
      <x:c r="W227" s="11" t="n">
        <x:v>189</x:v>
      </x:c>
      <x:c r="X227" s="11" t="n">
        <x:v>3</x:v>
      </x:c>
      <x:c r="Y227" s="11" t="n">
        <x:v>606936</x:v>
      </x:c>
      <x:c r="Z227" s="11" t="n">
        <x:v>1243730</x:v>
      </x:c>
      <x:c r="AA227" s="11" t="n">
        <x:v>16233993</x:v>
      </x:c>
      <x:c r="AB227" s="11" t="n">
        <x:v>7870518</x:v>
      </x:c>
      <x:c r="AC227" s="11" t="n">
        <x:v>3080506</x:v>
      </x:c>
      <x:c r="AD227" s="11" t="n">
        <x:v>4173912</x:v>
      </x:c>
      <x:c r="AE227" s="11" t="n">
        <x:v>452116</x:v>
      </x:c>
      <x:c r="AF227" s="11" t="n">
        <x:v>4401488</x:v>
      </x:c>
      <x:c r="AG227" s="11" t="n">
        <x:v>9508446</x:v>
      </x:c>
      <x:c r="AH227" s="11" t="n">
        <x:v>19486</x:v>
      </x:c>
    </x:row>
    <x:row r="228" ht="23" customHeight="1">
      <x:c r="A228" s="10" t="str">
        <x:v>M10</x:v>
      </x:c>
      <x:c r="B228" s="10" t="str">
        <x:v>CG_H0</x:v>
      </x:c>
      <x:c r="C228" s="9" t="str">
        <x:v>主对照</x:v>
      </x:c>
      <x:c r="D228" s="11" t="n">
        <x:v>5198</x:v>
      </x:c>
      <x:c r="E228" s="11" t="n">
        <x:v>4031</x:v>
      </x:c>
      <x:c r="F228" s="11" t="n">
        <x:v>4032</x:v>
      </x:c>
      <x:c r="G228" s="11" t="n">
        <x:v>0</x:v>
      </x:c>
      <x:c r="H228" s="11" t="n">
        <x:v>3593</x:v>
      </x:c>
      <x:c r="I228" s="11" t="n">
        <x:v>47591131</x:v>
      </x:c>
      <x:c r="J228" s="11" t="n">
        <x:v>8127021.38712197</x:v>
      </x:c>
      <x:c r="K228" s="12" t="n">
        <x:f>E228/D228</x:f>
        <x:v>0.7754905732974221</x:v>
      </x:c>
      <x:c r="L228" s="12" t="n">
        <x:f>F228/D228</x:f>
        <x:v>0.7756829549826857</x:v>
      </x:c>
      <x:c r="M228" s="12" t="n">
        <x:f>G228/D228</x:f>
        <x:v>0</x:v>
      </x:c>
      <x:c r="N228" s="12" t="n">
        <x:f>J228/I228</x:f>
        <x:v>0.170767561441689</x:v>
      </x:c>
      <x:c r="O228" s="11" t="n">
        <x:v>36</x:v>
      </x:c>
      <x:c r="P228" s="11" t="n">
        <x:v>1658</x:v>
      </x:c>
      <x:c r="Q228" s="11" t="n">
        <x:v>2543</x:v>
      </x:c>
      <x:c r="R228" s="11" t="n">
        <x:v>692</x:v>
      </x:c>
      <x:c r="S228" s="11" t="n">
        <x:v>201</x:v>
      </x:c>
      <x:c r="T228" s="11" t="n">
        <x:v>64</x:v>
      </x:c>
      <x:c r="U228" s="11" t="n">
        <x:v>4</x:v>
      </x:c>
      <x:c r="V228" s="11" t="n">
        <x:v>0</x:v>
      </x:c>
      <x:c r="W228" s="11" t="n">
        <x:v>0</x:v>
      </x:c>
      <x:c r="X228" s="11" t="n">
        <x:v>0</x:v>
      </x:c>
      <x:c r="Y228" s="11" t="n">
        <x:v>104544</x:v>
      </x:c>
      <x:c r="Z228" s="11" t="n">
        <x:v>3637734</x:v>
      </x:c>
      <x:c r="AA228" s="11" t="n">
        <x:v>28323639</x:v>
      </x:c>
      <x:c r="AB228" s="11" t="n">
        <x:v>5022230</x:v>
      </x:c>
      <x:c r="AC228" s="11" t="n">
        <x:v>6739966</x:v>
      </x:c>
      <x:c r="AD228" s="11" t="n">
        <x:v>3741788</x:v>
      </x:c>
      <x:c r="AE228" s="11" t="n">
        <x:v>21230</x:v>
      </x:c>
      <x:c r="AF228" s="11" t="n">
        <x:v>0</x:v>
      </x:c>
      <x:c r="AG228" s="11" t="n">
        <x:v>0</x:v>
      </x:c>
      <x:c r="AH228" s="11" t="n">
        <x:v>0</x:v>
      </x:c>
    </x:row>
    <x:row r="229" ht="23" customHeight="1">
      <x:c r="A229" s="10" t="str">
        <x:v>M10</x:v>
      </x:c>
      <x:c r="B229" s="10" t="str">
        <x:v>CG_HT</x:v>
      </x:c>
      <x:c r="C229" s="9" t="str">
        <x:v>仅拓扑与尺度</x:v>
      </x:c>
      <x:c r="D229" s="11" t="n">
        <x:v>5198</x:v>
      </x:c>
      <x:c r="E229" s="11" t="n">
        <x:v>4032</x:v>
      </x:c>
      <x:c r="F229" s="11" t="n">
        <x:v>4033</x:v>
      </x:c>
      <x:c r="G229" s="11" t="n">
        <x:v>0</x:v>
      </x:c>
      <x:c r="H229" s="11" t="n">
        <x:v>3594</x:v>
      </x:c>
      <x:c r="I229" s="11" t="n">
        <x:v>47591131</x:v>
      </x:c>
      <x:c r="J229" s="11" t="n">
        <x:v>8265666.467121969</x:v>
      </x:c>
      <x:c r="K229" s="12" t="n">
        <x:f>E229/D229</x:f>
        <x:v>0.7756829549826857</x:v>
      </x:c>
      <x:c r="L229" s="12" t="n">
        <x:f>F229/D229</x:f>
        <x:v>0.7758753366679492</x:v>
      </x:c>
      <x:c r="M229" s="12" t="n">
        <x:f>G229/D229</x:f>
        <x:v>0</x:v>
      </x:c>
      <x:c r="N229" s="12" t="n">
        <x:f>J229/I229</x:f>
        <x:v>0.1736808160142689</x:v>
      </x:c>
      <x:c r="O229" s="11" t="n">
        <x:v>36</x:v>
      </x:c>
      <x:c r="P229" s="11" t="n">
        <x:v>1097</x:v>
      </x:c>
      <x:c r="Q229" s="11" t="n">
        <x:v>2899</x:v>
      </x:c>
      <x:c r="R229" s="11" t="n">
        <x:v>873</x:v>
      </x:c>
      <x:c r="S229" s="11" t="n">
        <x:v>212</x:v>
      </x:c>
      <x:c r="T229" s="11" t="n">
        <x:v>76</x:v>
      </x:c>
      <x:c r="U229" s="11" t="n">
        <x:v>5</x:v>
      </x:c>
      <x:c r="V229" s="11" t="n">
        <x:v>0</x:v>
      </x:c>
      <x:c r="W229" s="11" t="n">
        <x:v>0</x:v>
      </x:c>
      <x:c r="X229" s="11" t="n">
        <x:v>0</x:v>
      </x:c>
      <x:c r="Y229" s="11" t="n">
        <x:v>104544</x:v>
      </x:c>
      <x:c r="Z229" s="11" t="n">
        <x:v>2065094</x:v>
      </x:c>
      <x:c r="AA229" s="11" t="n">
        <x:v>27534771</x:v>
      </x:c>
      <x:c r="AB229" s="11" t="n">
        <x:v>7299228</x:v>
      </x:c>
      <x:c r="AC229" s="11" t="n">
        <x:v>6659146</x:v>
      </x:c>
      <x:c r="AD229" s="11" t="n">
        <x:v>3880914</x:v>
      </x:c>
      <x:c r="AE229" s="11" t="n">
        <x:v>47434</x:v>
      </x:c>
      <x:c r="AF229" s="11" t="n">
        <x:v>0</x:v>
      </x:c>
      <x:c r="AG229" s="11" t="n">
        <x:v>0</x:v>
      </x:c>
      <x:c r="AH229" s="11" t="n">
        <x:v>0</x:v>
      </x:c>
    </x:row>
    <x:row r="230" ht="23" customHeight="1">
      <x:c r="A230" s="10" t="str">
        <x:v>M10</x:v>
      </x:c>
      <x:c r="B230" s="10" t="str">
        <x:v>CG_H1</x:v>
      </x:c>
      <x:c r="C230" s="9" t="str">
        <x:v>主对照</x:v>
      </x:c>
      <x:c r="D230" s="11" t="n">
        <x:v>5198</x:v>
      </x:c>
      <x:c r="E230" s="11" t="n">
        <x:v>4032</x:v>
      </x:c>
      <x:c r="F230" s="11" t="n">
        <x:v>4033</x:v>
      </x:c>
      <x:c r="G230" s="11" t="n">
        <x:v>0</x:v>
      </x:c>
      <x:c r="H230" s="11" t="n">
        <x:v>3594</x:v>
      </x:c>
      <x:c r="I230" s="11" t="n">
        <x:v>47591131</x:v>
      </x:c>
      <x:c r="J230" s="11" t="n">
        <x:v>8265666.467121969</x:v>
      </x:c>
      <x:c r="K230" s="12" t="n">
        <x:f>E230/D230</x:f>
        <x:v>0.7756829549826857</x:v>
      </x:c>
      <x:c r="L230" s="12" t="n">
        <x:f>F230/D230</x:f>
        <x:v>0.7758753366679492</x:v>
      </x:c>
      <x:c r="M230" s="12" t="n">
        <x:f>G230/D230</x:f>
        <x:v>0</x:v>
      </x:c>
      <x:c r="N230" s="12" t="n">
        <x:f>J230/I230</x:f>
        <x:v>0.1736808160142689</x:v>
      </x:c>
      <x:c r="O230" s="11" t="n">
        <x:v>36</x:v>
      </x:c>
      <x:c r="P230" s="11" t="n">
        <x:v>1097</x:v>
      </x:c>
      <x:c r="Q230" s="11" t="n">
        <x:v>2899</x:v>
      </x:c>
      <x:c r="R230" s="11" t="n">
        <x:v>873</x:v>
      </x:c>
      <x:c r="S230" s="11" t="n">
        <x:v>212</x:v>
      </x:c>
      <x:c r="T230" s="11" t="n">
        <x:v>76</x:v>
      </x:c>
      <x:c r="U230" s="11" t="n">
        <x:v>5</x:v>
      </x:c>
      <x:c r="V230" s="11" t="n">
        <x:v>0</x:v>
      </x:c>
      <x:c r="W230" s="11" t="n">
        <x:v>0</x:v>
      </x:c>
      <x:c r="X230" s="11" t="n">
        <x:v>0</x:v>
      </x:c>
      <x:c r="Y230" s="11" t="n">
        <x:v>104544</x:v>
      </x:c>
      <x:c r="Z230" s="11" t="n">
        <x:v>2065094</x:v>
      </x:c>
      <x:c r="AA230" s="11" t="n">
        <x:v>27534771</x:v>
      </x:c>
      <x:c r="AB230" s="11" t="n">
        <x:v>7299228</x:v>
      </x:c>
      <x:c r="AC230" s="11" t="n">
        <x:v>6659146</x:v>
      </x:c>
      <x:c r="AD230" s="11" t="n">
        <x:v>3880914</x:v>
      </x:c>
      <x:c r="AE230" s="11" t="n">
        <x:v>47434</x:v>
      </x:c>
      <x:c r="AF230" s="11" t="n">
        <x:v>0</x:v>
      </x:c>
      <x:c r="AG230" s="11" t="n">
        <x:v>0</x:v>
      </x:c>
      <x:c r="AH230" s="11" t="n">
        <x:v>0</x:v>
      </x:c>
    </x:row>
    <x:row r="231" ht="23" customHeight="1">
      <x:c r="A231" s="10" t="str">
        <x:v>M10</x:v>
      </x:c>
      <x:c r="B231" s="10" t="str">
        <x:v>NCG_H0</x:v>
      </x:c>
      <x:c r="C231" s="9" t="str">
        <x:v>主对照</x:v>
      </x:c>
      <x:c r="D231" s="11" t="n">
        <x:v>5198</x:v>
      </x:c>
      <x:c r="E231" s="11" t="n">
        <x:v>2885</x:v>
      </x:c>
      <x:c r="F231" s="11" t="n">
        <x:v>3507</x:v>
      </x:c>
      <x:c r="G231" s="11" t="n">
        <x:v>626</x:v>
      </x:c>
      <x:c r="H231" s="11" t="n">
        <x:v>2822</x:v>
      </x:c>
      <x:c r="I231" s="11" t="n">
        <x:v>47591131</x:v>
      </x:c>
      <x:c r="J231" s="11" t="n">
        <x:v>11428222.707122069</x:v>
      </x:c>
      <x:c r="K231" s="12" t="n">
        <x:f>E231/D231</x:f>
        <x:v>0.555021161985379</x:v>
      </x:c>
      <x:c r="L231" s="12" t="n">
        <x:f>F231/D231</x:f>
        <x:v>0.6746825702193151</x:v>
      </x:c>
      <x:c r="M231" s="12" t="n">
        <x:f>G231/D231</x:f>
        <x:v>0.12043093497499038</x:v>
      </x:c>
      <x:c r="N231" s="12" t="n">
        <x:f>J231/I231</x:f>
        <x:v>0.24013345484733425</x:v>
      </x:c>
      <x:c r="O231" s="11" t="n">
        <x:v>150</x:v>
      </x:c>
      <x:c r="P231" s="11" t="n">
        <x:v>1246</x:v>
      </x:c>
      <x:c r="Q231" s="11" t="n">
        <x:v>2373</x:v>
      </x:c>
      <x:c r="R231" s="11" t="n">
        <x:v>796</x:v>
      </x:c>
      <x:c r="S231" s="11" t="n">
        <x:v>205</x:v>
      </x:c>
      <x:c r="T231" s="11" t="n">
        <x:v>107</x:v>
      </x:c>
      <x:c r="U231" s="11" t="n">
        <x:v>96</x:v>
      </x:c>
      <x:c r="V231" s="11" t="n">
        <x:v>49</x:v>
      </x:c>
      <x:c r="W231" s="11" t="n">
        <x:v>175</x:v>
      </x:c>
      <x:c r="X231" s="11" t="n">
        <x:v>1</x:v>
      </x:c>
      <x:c r="Y231" s="11" t="n">
        <x:v>435600</x:v>
      </x:c>
      <x:c r="Z231" s="11" t="n">
        <x:v>2856678</x:v>
      </x:c>
      <x:c r="AA231" s="11" t="n">
        <x:v>18178341</x:v>
      </x:c>
      <x:c r="AB231" s="11" t="n">
        <x:v>5032640</x:v>
      </x:c>
      <x:c r="AC231" s="11" t="n">
        <x:v>2990888</x:v>
      </x:c>
      <x:c r="AD231" s="11" t="n">
        <x:v>4132108</x:v>
      </x:c>
      <x:c r="AE231" s="11" t="n">
        <x:v>426558</x:v>
      </x:c>
      <x:c r="AF231" s="11" t="n">
        <x:v>4100784</x:v>
      </x:c>
      <x:c r="AG231" s="11" t="n">
        <x:v>9424684</x:v>
      </x:c>
      <x:c r="AH231" s="11" t="n">
        <x:v>12850</x:v>
      </x:c>
    </x:row>
    <x:row r="232" ht="23" customHeight="1">
      <x:c r="A232" s="10" t="str">
        <x:v>M10</x:v>
      </x:c>
      <x:c r="B232" s="10" t="str">
        <x:v>NCG_HT</x:v>
      </x:c>
      <x:c r="C232" s="9" t="str">
        <x:v>仅拓扑与尺度</x:v>
      </x:c>
      <x:c r="D232" s="11" t="n">
        <x:v>5198</x:v>
      </x:c>
      <x:c r="E232" s="11" t="n">
        <x:v>2886</x:v>
      </x:c>
      <x:c r="F232" s="11" t="n">
        <x:v>3508</x:v>
      </x:c>
      <x:c r="G232" s="11" t="n">
        <x:v>626</x:v>
      </x:c>
      <x:c r="H232" s="11" t="n">
        <x:v>2823</x:v>
      </x:c>
      <x:c r="I232" s="11" t="n">
        <x:v>47591131</x:v>
      </x:c>
      <x:c r="J232" s="11" t="n">
        <x:v>11585918.907122081</x:v>
      </x:c>
      <x:c r="K232" s="12" t="n">
        <x:f>E232/D232</x:f>
        <x:v>0.5552135436706426</x:v>
      </x:c>
      <x:c r="L232" s="12" t="n">
        <x:f>F232/D232</x:f>
        <x:v>0.6748749519045787</x:v>
      </x:c>
      <x:c r="M232" s="12" t="n">
        <x:f>G232/D232</x:f>
        <x:v>0.12043093497499038</x:v>
      </x:c>
      <x:c r="N232" s="12" t="n">
        <x:f>J232/I232</x:f>
        <x:v>0.24344701762019652</x:v>
      </x:c>
      <x:c r="O232" s="11" t="n">
        <x:v>150</x:v>
      </x:c>
      <x:c r="P232" s="11" t="n">
        <x:v>736</x:v>
      </x:c>
      <x:c r="Q232" s="11" t="n">
        <x:v>2641</x:v>
      </x:c>
      <x:c r="R232" s="11" t="n">
        <x:v>985</x:v>
      </x:c>
      <x:c r="S232" s="11" t="n">
        <x:v>250</x:v>
      </x:c>
      <x:c r="T232" s="11" t="n">
        <x:v>114</x:v>
      </x:c>
      <x:c r="U232" s="11" t="n">
        <x:v>97</x:v>
      </x:c>
      <x:c r="V232" s="11" t="n">
        <x:v>49</x:v>
      </x:c>
      <x:c r="W232" s="11" t="n">
        <x:v>175</x:v>
      </x:c>
      <x:c r="X232" s="11" t="n">
        <x:v>1</x:v>
      </x:c>
      <x:c r="Y232" s="11" t="n">
        <x:v>435600</x:v>
      </x:c>
      <x:c r="Z232" s="11" t="n">
        <x:v>1359418</x:v>
      </x:c>
      <x:c r="AA232" s="11" t="n">
        <x:v>16801809</x:v>
      </x:c>
      <x:c r="AB232" s="11" t="n">
        <x:v>7750038</x:v>
      </x:c>
      <x:c r="AC232" s="11" t="n">
        <x:v>3088094</x:v>
      </x:c>
      <x:c r="AD232" s="11" t="n">
        <x:v>4165092</x:v>
      </x:c>
      <x:c r="AE232" s="11" t="n">
        <x:v>452762</x:v>
      </x:c>
      <x:c r="AF232" s="11" t="n">
        <x:v>4100784</x:v>
      </x:c>
      <x:c r="AG232" s="11" t="n">
        <x:v>9424684</x:v>
      </x:c>
      <x:c r="AH232" s="11" t="n">
        <x:v>12850</x:v>
      </x:c>
    </x:row>
    <x:row r="233" ht="23" customHeight="1">
      <x:c r="A233" s="10" t="str">
        <x:v>M10</x:v>
      </x:c>
      <x:c r="B233" s="10" t="str">
        <x:v>NCG_H1</x:v>
      </x:c>
      <x:c r="C233" s="9" t="str">
        <x:v>主对照</x:v>
      </x:c>
      <x:c r="D233" s="11" t="n">
        <x:v>5198</x:v>
      </x:c>
      <x:c r="E233" s="11" t="n">
        <x:v>2886</x:v>
      </x:c>
      <x:c r="F233" s="11" t="n">
        <x:v>3508</x:v>
      </x:c>
      <x:c r="G233" s="11" t="n">
        <x:v>626</x:v>
      </x:c>
      <x:c r="H233" s="11" t="n">
        <x:v>3100</x:v>
      </x:c>
      <x:c r="I233" s="11" t="n">
        <x:v>47591131</x:v>
      </x:c>
      <x:c r="J233" s="11" t="n">
        <x:v>11612715.627122086</x:v>
      </x:c>
      <x:c r="K233" s="12" t="n">
        <x:f>E233/D233</x:f>
        <x:v>0.5552135436706426</x:v>
      </x:c>
      <x:c r="L233" s="12" t="n">
        <x:f>F233/D233</x:f>
        <x:v>0.6748749519045787</x:v>
      </x:c>
      <x:c r="M233" s="12" t="n">
        <x:f>G233/D233</x:f>
        <x:v>0.12043093497499038</x:v>
      </x:c>
      <x:c r="N233" s="12" t="n">
        <x:f>J233/I233</x:f>
        <x:v>0.2440100788342703</x:v>
      </x:c>
      <x:c r="O233" s="11" t="n">
        <x:v>150</x:v>
      </x:c>
      <x:c r="P233" s="11" t="n">
        <x:v>736</x:v>
      </x:c>
      <x:c r="Q233" s="11" t="n">
        <x:v>2502</x:v>
      </x:c>
      <x:c r="R233" s="11" t="n">
        <x:v>983</x:v>
      </x:c>
      <x:c r="S233" s="11" t="n">
        <x:v>250</x:v>
      </x:c>
      <x:c r="T233" s="11" t="n">
        <x:v>255</x:v>
      </x:c>
      <x:c r="U233" s="11" t="n">
        <x:v>97</x:v>
      </x:c>
      <x:c r="V233" s="11" t="n">
        <x:v>49</x:v>
      </x:c>
      <x:c r="W233" s="11" t="n">
        <x:v>175</x:v>
      </x:c>
      <x:c r="X233" s="11" t="n">
        <x:v>1</x:v>
      </x:c>
      <x:c r="Y233" s="11" t="n">
        <x:v>435600</x:v>
      </x:c>
      <x:c r="Z233" s="11" t="n">
        <x:v>1359418</x:v>
      </x:c>
      <x:c r="AA233" s="11" t="n">
        <x:v>16613061</x:v>
      </x:c>
      <x:c r="AB233" s="11" t="n">
        <x:v>7746318</x:v>
      </x:c>
      <x:c r="AC233" s="11" t="n">
        <x:v>3088094</x:v>
      </x:c>
      <x:c r="AD233" s="11" t="n">
        <x:v>4357560</x:v>
      </x:c>
      <x:c r="AE233" s="11" t="n">
        <x:v>452762</x:v>
      </x:c>
      <x:c r="AF233" s="11" t="n">
        <x:v>4100784</x:v>
      </x:c>
      <x:c r="AG233" s="11" t="n">
        <x:v>9424684</x:v>
      </x:c>
      <x:c r="AH233" s="11" t="n">
        <x:v>12850</x:v>
      </x:c>
    </x:row>
    <x:row r="234" ht="23" customHeight="1">
      <x:c r="A234" s="10" t="str">
        <x:v>M10</x:v>
      </x:c>
      <x:c r="B234" s="10" t="str">
        <x:v>NCG_H0_M1</x:v>
      </x:c>
      <x:c r="C234" s="9" t="str">
        <x:v>叶名称辅助</x:v>
      </x:c>
      <x:c r="D234" s="11" t="n">
        <x:v>5198</x:v>
      </x:c>
      <x:c r="E234" s="11" t="n">
        <x:v>1712</x:v>
      </x:c>
      <x:c r="F234" s="11" t="n">
        <x:v>3001</x:v>
      </x:c>
      <x:c r="G234" s="11" t="n">
        <x:v>626</x:v>
      </x:c>
      <x:c r="H234" s="11" t="n">
        <x:v>4044</x:v>
      </x:c>
      <x:c r="I234" s="11" t="n">
        <x:v>47591131</x:v>
      </x:c>
      <x:c r="J234" s="11" t="n">
        <x:v>12080882.587122021</x:v>
      </x:c>
      <x:c r="K234" s="12" t="n">
        <x:f>E234/D234</x:f>
        <x:v>0.3293574451712197</x:v>
      </x:c>
      <x:c r="L234" s="12" t="n">
        <x:f>F234/D234</x:f>
        <x:v>0.5773374374759523</x:v>
      </x:c>
      <x:c r="M234" s="12" t="n">
        <x:f>G234/D234</x:f>
        <x:v>0.12043093497499038</x:v>
      </x:c>
      <x:c r="N234" s="12" t="n">
        <x:f>J234/I234</x:f>
        <x:v>0.25384735208587544</x:v>
      </x:c>
      <x:c r="O234" s="11" t="n">
        <x:v>244</x:v>
      </x:c>
      <x:c r="P234" s="11" t="n">
        <x:v>933</x:v>
      </x:c>
      <x:c r="Q234" s="11" t="n">
        <x:v>2238</x:v>
      </x:c>
      <x:c r="R234" s="11" t="n">
        <x:v>773</x:v>
      </x:c>
      <x:c r="S234" s="11" t="n">
        <x:v>199</x:v>
      </x:c>
      <x:c r="T234" s="11" t="n">
        <x:v>79</x:v>
      </x:c>
      <x:c r="U234" s="11" t="n">
        <x:v>123</x:v>
      </x:c>
      <x:c r="V234" s="11" t="n">
        <x:v>120</x:v>
      </x:c>
      <x:c r="W234" s="11" t="n">
        <x:v>488</x:v>
      </x:c>
      <x:c r="X234" s="11" t="n">
        <x:v>1</x:v>
      </x:c>
      <x:c r="Y234" s="11" t="n">
        <x:v>708576</x:v>
      </x:c>
      <x:c r="Z234" s="11" t="n">
        <x:v>2158956</x:v>
      </x:c>
      <x:c r="AA234" s="11" t="n">
        <x:v>17710553</x:v>
      </x:c>
      <x:c r="AB234" s="11" t="n">
        <x:v>3308402</x:v>
      </x:c>
      <x:c r="AC234" s="11" t="n">
        <x:v>2983000</x:v>
      </x:c>
      <x:c r="AD234" s="11" t="n">
        <x:v>4083724</x:v>
      </x:c>
      <x:c r="AE234" s="11" t="n">
        <x:v>512436</x:v>
      </x:c>
      <x:c r="AF234" s="11" t="n">
        <x:v>4329250</x:v>
      </x:c>
      <x:c r="AG234" s="11" t="n">
        <x:v>11783384</x:v>
      </x:c>
      <x:c r="AH234" s="11" t="n">
        <x:v>12850</x:v>
      </x:c>
    </x:row>
    <x:row r="235" ht="23" customHeight="1">
      <x:c r="A235" s="10" t="str">
        <x:v>M10</x:v>
      </x:c>
      <x:c r="B235" s="10" t="str">
        <x:v>NCG_H1_M1</x:v>
      </x:c>
      <x:c r="C235" s="9" t="str">
        <x:v>叶名称辅助</x:v>
      </x:c>
      <x:c r="D235" s="11" t="n">
        <x:v>5198</x:v>
      </x:c>
      <x:c r="E235" s="11" t="n">
        <x:v>1713</x:v>
      </x:c>
      <x:c r="F235" s="11" t="n">
        <x:v>3002</x:v>
      </x:c>
      <x:c r="G235" s="11" t="n">
        <x:v>626</x:v>
      </x:c>
      <x:c r="H235" s="11" t="n">
        <x:v>4170</x:v>
      </x:c>
      <x:c r="I235" s="11" t="n">
        <x:v>47591131</x:v>
      </x:c>
      <x:c r="J235" s="11" t="n">
        <x:v>12260439.467122048</x:v>
      </x:c>
      <x:c r="K235" s="12" t="n">
        <x:f>E235/D235</x:f>
        <x:v>0.32954982685648326</x:v>
      </x:c>
      <x:c r="L235" s="12" t="n">
        <x:f>F235/D235</x:f>
        <x:v>0.5775298191612158</x:v>
      </x:c>
      <x:c r="M235" s="12" t="n">
        <x:f>G235/D235</x:f>
        <x:v>0.12043093497499038</x:v>
      </x:c>
      <x:c r="N235" s="12" t="n">
        <x:f>J235/I235</x:f>
        <x:v>0.25762025842844644</x:v>
      </x:c>
      <x:c r="O235" s="11" t="n">
        <x:v>244</x:v>
      </x:c>
      <x:c r="P235" s="11" t="n">
        <x:v>499</x:v>
      </x:c>
      <x:c r="Q235" s="11" t="n">
        <x:v>2361</x:v>
      </x:c>
      <x:c r="R235" s="11" t="n">
        <x:v>938</x:v>
      </x:c>
      <x:c r="S235" s="11" t="n">
        <x:v>218</x:v>
      </x:c>
      <x:c r="T235" s="11" t="n">
        <x:v>171</x:v>
      </x:c>
      <x:c r="U235" s="11" t="n">
        <x:v>158</x:v>
      </x:c>
      <x:c r="V235" s="11" t="n">
        <x:v>120</x:v>
      </x:c>
      <x:c r="W235" s="11" t="n">
        <x:v>488</x:v>
      </x:c>
      <x:c r="X235" s="11" t="n">
        <x:v>1</x:v>
      </x:c>
      <x:c r="Y235" s="11" t="n">
        <x:v>708576</x:v>
      </x:c>
      <x:c r="Z235" s="11" t="n">
        <x:v>704014</x:v>
      </x:c>
      <x:c r="AA235" s="11" t="n">
        <x:v>16177271</x:v>
      </x:c>
      <x:c r="AB235" s="11" t="n">
        <x:v>6010968</x:v>
      </x:c>
      <x:c r="AC235" s="11" t="n">
        <x:v>3004680</x:v>
      </x:c>
      <x:c r="AD235" s="11" t="n">
        <x:v>4266940</x:v>
      </x:c>
      <x:c r="AE235" s="11" t="n">
        <x:v>593198</x:v>
      </x:c>
      <x:c r="AF235" s="11" t="n">
        <x:v>4329250</x:v>
      </x:c>
      <x:c r="AG235" s="11" t="n">
        <x:v>11783384</x:v>
      </x:c>
      <x:c r="AH235" s="11" t="n">
        <x:v>12850</x:v>
      </x:c>
    </x:row>
    <x:row r="236" ht="23" customHeight="1">
      <x:c r="A236" s="10" t="str">
        <x:v>M11</x:v>
      </x:c>
      <x:c r="B236" s="10" t="str">
        <x:v>N_H0</x:v>
      </x:c>
      <x:c r="C236" s="9" t="str">
        <x:v>主对照</x:v>
      </x:c>
      <x:c r="D236" s="11" t="n">
        <x:v>15723</x:v>
      </x:c>
      <x:c r="E236" s="11" t="n">
        <x:v>9841</x:v>
      </x:c>
      <x:c r="F236" s="11" t="n">
        <x:v>11471</x:v>
      </x:c>
      <x:c r="G236" s="11" t="n">
        <x:v>0</x:v>
      </x:c>
      <x:c r="H236" s="11" t="n">
        <x:v>9841</x:v>
      </x:c>
      <x:c r="I236" s="11" t="n">
        <x:v>37068620</x:v>
      </x:c>
      <x:c r="J236" s="11" t="n">
        <x:v>8582467.00000012</x:v>
      </x:c>
      <x:c r="K236" s="12" t="n">
        <x:f>E236/D236</x:f>
        <x:v>0.6258983654518858</x:v>
      </x:c>
      <x:c r="L236" s="12" t="n">
        <x:f>F236/D236</x:f>
        <x:v>0.7295681485721555</x:v>
      </x:c>
      <x:c r="M236" s="12" t="n">
        <x:f>G236/D236</x:f>
        <x:v>0</x:v>
      </x:c>
      <x:c r="N236" s="12" t="n">
        <x:f>J236/I236</x:f>
        <x:v>0.23152917481147448</x:v>
      </x:c>
      <x:c r="O236" s="11" t="n">
        <x:v>0</x:v>
      </x:c>
      <x:c r="P236" s="11" t="n">
        <x:v>1461</x:v>
      </x:c>
      <x:c r="Q236" s="11" t="n">
        <x:v>321</x:v>
      </x:c>
      <x:c r="R236" s="11" t="n">
        <x:v>0</x:v>
      </x:c>
      <x:c r="S236" s="11" t="n">
        <x:v>11471</x:v>
      </x:c>
      <x:c r="T236" s="11" t="n">
        <x:v>61</x:v>
      </x:c>
      <x:c r="U236" s="11" t="n">
        <x:v>270</x:v>
      </x:c>
      <x:c r="V236" s="11" t="n">
        <x:v>1521</x:v>
      </x:c>
      <x:c r="W236" s="11" t="n">
        <x:v>618</x:v>
      </x:c>
      <x:c r="X236" s="11" t="n">
        <x:v>0</x:v>
      </x:c>
      <x:c r="Y236" s="11" t="n">
        <x:v>0</x:v>
      </x:c>
      <x:c r="Z236" s="11" t="n">
        <x:v>898462</x:v>
      </x:c>
      <x:c r="AA236" s="11" t="n">
        <x:v>353858</x:v>
      </x:c>
      <x:c r="AB236" s="11" t="n">
        <x:v>0</x:v>
      </x:c>
      <x:c r="AC236" s="11" t="n">
        <x:v>31356213</x:v>
      </x:c>
      <x:c r="AD236" s="11" t="n">
        <x:v>275196</x:v>
      </x:c>
      <x:c r="AE236" s="11" t="n">
        <x:v>583397</x:v>
      </x:c>
      <x:c r="AF236" s="11" t="n">
        <x:v>2256278</x:v>
      </x:c>
      <x:c r="AG236" s="11" t="n">
        <x:v>1345216</x:v>
      </x:c>
      <x:c r="AH236" s="11" t="n">
        <x:v>0</x:v>
      </x:c>
    </x:row>
    <x:row r="237" ht="23" customHeight="1">
      <x:c r="A237" s="10" t="str">
        <x:v>M11</x:v>
      </x:c>
      <x:c r="B237" s="10" t="str">
        <x:v>N_HT</x:v>
      </x:c>
      <x:c r="C237" s="9" t="str">
        <x:v>仅拓扑与尺度</x:v>
      </x:c>
      <x:c r="D237" s="11" t="n">
        <x:v>15723</x:v>
      </x:c>
      <x:c r="E237" s="11" t="n">
        <x:v>9841</x:v>
      </x:c>
      <x:c r="F237" s="11" t="n">
        <x:v>11471</x:v>
      </x:c>
      <x:c r="G237" s="11" t="n">
        <x:v>0</x:v>
      </x:c>
      <x:c r="H237" s="11" t="n">
        <x:v>9841</x:v>
      </x:c>
      <x:c r="I237" s="11" t="n">
        <x:v>37068620</x:v>
      </x:c>
      <x:c r="J237" s="11" t="n">
        <x:v>8582467.00000012</x:v>
      </x:c>
      <x:c r="K237" s="12" t="n">
        <x:f>E237/D237</x:f>
        <x:v>0.6258983654518858</x:v>
      </x:c>
      <x:c r="L237" s="12" t="n">
        <x:f>F237/D237</x:f>
        <x:v>0.7295681485721555</x:v>
      </x:c>
      <x:c r="M237" s="12" t="n">
        <x:f>G237/D237</x:f>
        <x:v>0</x:v>
      </x:c>
      <x:c r="N237" s="12" t="n">
        <x:f>J237/I237</x:f>
        <x:v>0.23152917481147448</x:v>
      </x:c>
      <x:c r="O237" s="11" t="n">
        <x:v>0</x:v>
      </x:c>
      <x:c r="P237" s="11" t="n">
        <x:v>1461</x:v>
      </x:c>
      <x:c r="Q237" s="11" t="n">
        <x:v>321</x:v>
      </x:c>
      <x:c r="R237" s="11" t="n">
        <x:v>0</x:v>
      </x:c>
      <x:c r="S237" s="11" t="n">
        <x:v>11471</x:v>
      </x:c>
      <x:c r="T237" s="11" t="n">
        <x:v>61</x:v>
      </x:c>
      <x:c r="U237" s="11" t="n">
        <x:v>270</x:v>
      </x:c>
      <x:c r="V237" s="11" t="n">
        <x:v>1521</x:v>
      </x:c>
      <x:c r="W237" s="11" t="n">
        <x:v>618</x:v>
      </x:c>
      <x:c r="X237" s="11" t="n">
        <x:v>0</x:v>
      </x:c>
      <x:c r="Y237" s="11" t="n">
        <x:v>0</x:v>
      </x:c>
      <x:c r="Z237" s="11" t="n">
        <x:v>898462</x:v>
      </x:c>
      <x:c r="AA237" s="11" t="n">
        <x:v>353858</x:v>
      </x:c>
      <x:c r="AB237" s="11" t="n">
        <x:v>0</x:v>
      </x:c>
      <x:c r="AC237" s="11" t="n">
        <x:v>31356213</x:v>
      </x:c>
      <x:c r="AD237" s="11" t="n">
        <x:v>275196</x:v>
      </x:c>
      <x:c r="AE237" s="11" t="n">
        <x:v>583397</x:v>
      </x:c>
      <x:c r="AF237" s="11" t="n">
        <x:v>2256278</x:v>
      </x:c>
      <x:c r="AG237" s="11" t="n">
        <x:v>1345216</x:v>
      </x:c>
      <x:c r="AH237" s="11" t="n">
        <x:v>0</x:v>
      </x:c>
    </x:row>
    <x:row r="238" ht="23" customHeight="1">
      <x:c r="A238" s="10" t="str">
        <x:v>M11</x:v>
      </x:c>
      <x:c r="B238" s="10" t="str">
        <x:v>N_H1</x:v>
      </x:c>
      <x:c r="C238" s="9" t="str">
        <x:v>主对照</x:v>
      </x:c>
      <x:c r="D238" s="11" t="n">
        <x:v>15723</x:v>
      </x:c>
      <x:c r="E238" s="11" t="n">
        <x:v>9841</x:v>
      </x:c>
      <x:c r="F238" s="11" t="n">
        <x:v>11471</x:v>
      </x:c>
      <x:c r="G238" s="11" t="n">
        <x:v>0</x:v>
      </x:c>
      <x:c r="H238" s="11" t="n">
        <x:v>12231</x:v>
      </x:c>
      <x:c r="I238" s="11" t="n">
        <x:v>37068620</x:v>
      </x:c>
      <x:c r="J238" s="11" t="n">
        <x:v>8638091.400000134</x:v>
      </x:c>
      <x:c r="K238" s="12" t="n">
        <x:f>E238/D238</x:f>
        <x:v>0.6258983654518858</x:v>
      </x:c>
      <x:c r="L238" s="12" t="n">
        <x:f>F238/D238</x:f>
        <x:v>0.7295681485721555</x:v>
      </x:c>
      <x:c r="M238" s="12" t="n">
        <x:f>G238/D238</x:f>
        <x:v>0</x:v>
      </x:c>
      <x:c r="N238" s="12" t="n">
        <x:f>J238/I238</x:f>
        <x:v>0.23302975400757123</x:v>
      </x:c>
      <x:c r="O238" s="11" t="n">
        <x:v>0</x:v>
      </x:c>
      <x:c r="P238" s="11" t="n">
        <x:v>1290</x:v>
      </x:c>
      <x:c r="Q238" s="11" t="n">
        <x:v>108</x:v>
      </x:c>
      <x:c r="R238" s="11" t="n">
        <x:v>0</x:v>
      </x:c>
      <x:c r="S238" s="11" t="n">
        <x:v>11471</x:v>
      </x:c>
      <x:c r="T238" s="11" t="n">
        <x:v>269</x:v>
      </x:c>
      <x:c r="U238" s="11" t="n">
        <x:v>446</x:v>
      </x:c>
      <x:c r="V238" s="11" t="n">
        <x:v>1521</x:v>
      </x:c>
      <x:c r="W238" s="11" t="n">
        <x:v>618</x:v>
      </x:c>
      <x:c r="X238" s="11" t="n">
        <x:v>0</x:v>
      </x:c>
      <x:c r="Y238" s="11" t="n">
        <x:v>0</x:v>
      </x:c>
      <x:c r="Z238" s="11" t="n">
        <x:v>818658</x:v>
      </x:c>
      <x:c r="AA238" s="11" t="n">
        <x:v>71030</x:v>
      </x:c>
      <x:c r="AB238" s="11" t="n">
        <x:v>0</x:v>
      </x:c>
      <x:c r="AC238" s="11" t="n">
        <x:v>31356213</x:v>
      </x:c>
      <x:c r="AD238" s="11" t="n">
        <x:v>556332</x:v>
      </x:c>
      <x:c r="AE238" s="11" t="n">
        <x:v>664893</x:v>
      </x:c>
      <x:c r="AF238" s="11" t="n">
        <x:v>2256278</x:v>
      </x:c>
      <x:c r="AG238" s="11" t="n">
        <x:v>1345216</x:v>
      </x:c>
      <x:c r="AH238" s="11" t="n">
        <x:v>0</x:v>
      </x:c>
    </x:row>
    <x:row r="239" ht="23" customHeight="1">
      <x:c r="A239" s="10" t="str">
        <x:v>M11</x:v>
      </x:c>
      <x:c r="B239" s="10" t="str">
        <x:v>C_H0</x:v>
      </x:c>
      <x:c r="C239" s="9" t="str">
        <x:v>主对照</x:v>
      </x:c>
      <x:c r="D239" s="11" t="n">
        <x:v>15723</x:v>
      </x:c>
      <x:c r="E239" s="11" t="n">
        <x:v>11234</x:v>
      </x:c>
      <x:c r="F239" s="11" t="n">
        <x:v>11234</x:v>
      </x:c>
      <x:c r="G239" s="11" t="n">
        <x:v>0</x:v>
      </x:c>
      <x:c r="H239" s="11" t="n">
        <x:v>9513</x:v>
      </x:c>
      <x:c r="I239" s="11" t="n">
        <x:v>37068620</x:v>
      </x:c>
      <x:c r="J239" s="11" t="n">
        <x:v>7351675.879999716</x:v>
      </x:c>
      <x:c r="K239" s="12" t="n">
        <x:f>E239/D239</x:f>
        <x:v>0.7144946893086561</x:v>
      </x:c>
      <x:c r="L239" s="12" t="n">
        <x:f>F239/D239</x:f>
        <x:v>0.7144946893086561</x:v>
      </x:c>
      <x:c r="M239" s="12" t="n">
        <x:f>G239/D239</x:f>
        <x:v>0</x:v>
      </x:c>
      <x:c r="N239" s="12" t="n">
        <x:f>J239/I239</x:f>
        <x:v>0.19832612813748438</x:v>
      </x:c>
      <x:c r="O239" s="11" t="n">
        <x:v>0</x:v>
      </x:c>
      <x:c r="P239" s="11" t="n">
        <x:v>4481</x:v>
      </x:c>
      <x:c r="Q239" s="11" t="n">
        <x:v>0</x:v>
      </x:c>
      <x:c r="R239" s="11" t="n">
        <x:v>0</x:v>
      </x:c>
      <x:c r="S239" s="11" t="n">
        <x:v>11234</x:v>
      </x:c>
      <x:c r="T239" s="11" t="n">
        <x:v>0</x:v>
      </x:c>
      <x:c r="U239" s="11" t="n">
        <x:v>1</x:v>
      </x:c>
      <x:c r="V239" s="11" t="n">
        <x:v>0</x:v>
      </x:c>
      <x:c r="W239" s="11" t="n">
        <x:v>7</x:v>
      </x:c>
      <x:c r="X239" s="11" t="n">
        <x:v>0</x:v>
      </x:c>
      <x:c r="Y239" s="11" t="n">
        <x:v>0</x:v>
      </x:c>
      <x:c r="Z239" s="11" t="n">
        <x:v>6721600</x:v>
      </x:c>
      <x:c r="AA239" s="11" t="n">
        <x:v>0</x:v>
      </x:c>
      <x:c r="AB239" s="11" t="n">
        <x:v>0</x:v>
      </x:c>
      <x:c r="AC239" s="11" t="n">
        <x:v>30327824</x:v>
      </x:c>
      <x:c r="AD239" s="11" t="n">
        <x:v>0</x:v>
      </x:c>
      <x:c r="AE239" s="11" t="n">
        <x:v>2838</x:v>
      </x:c>
      <x:c r="AF239" s="11" t="n">
        <x:v>0</x:v>
      </x:c>
      <x:c r="AG239" s="11" t="n">
        <x:v>16358</x:v>
      </x:c>
      <x:c r="AH239" s="11" t="n">
        <x:v>0</x:v>
      </x:c>
    </x:row>
    <x:row r="240" ht="23" customHeight="1">
      <x:c r="A240" s="10" t="str">
        <x:v>M11</x:v>
      </x:c>
      <x:c r="B240" s="10" t="str">
        <x:v>C_HT</x:v>
      </x:c>
      <x:c r="C240" s="9" t="str">
        <x:v>仅拓扑与尺度</x:v>
      </x:c>
      <x:c r="D240" s="11" t="n">
        <x:v>15723</x:v>
      </x:c>
      <x:c r="E240" s="11" t="n">
        <x:v>11234</x:v>
      </x:c>
      <x:c r="F240" s="11" t="n">
        <x:v>11234</x:v>
      </x:c>
      <x:c r="G240" s="11" t="n">
        <x:v>0</x:v>
      </x:c>
      <x:c r="H240" s="11" t="n">
        <x:v>9513</x:v>
      </x:c>
      <x:c r="I240" s="11" t="n">
        <x:v>37068620</x:v>
      </x:c>
      <x:c r="J240" s="11" t="n">
        <x:v>7351675.879999716</x:v>
      </x:c>
      <x:c r="K240" s="12" t="n">
        <x:f>E240/D240</x:f>
        <x:v>0.7144946893086561</x:v>
      </x:c>
      <x:c r="L240" s="12" t="n">
        <x:f>F240/D240</x:f>
        <x:v>0.7144946893086561</x:v>
      </x:c>
      <x:c r="M240" s="12" t="n">
        <x:f>G240/D240</x:f>
        <x:v>0</x:v>
      </x:c>
      <x:c r="N240" s="12" t="n">
        <x:f>J240/I240</x:f>
        <x:v>0.19832612813748438</x:v>
      </x:c>
      <x:c r="O240" s="11" t="n">
        <x:v>0</x:v>
      </x:c>
      <x:c r="P240" s="11" t="n">
        <x:v>4481</x:v>
      </x:c>
      <x:c r="Q240" s="11" t="n">
        <x:v>0</x:v>
      </x:c>
      <x:c r="R240" s="11" t="n">
        <x:v>0</x:v>
      </x:c>
      <x:c r="S240" s="11" t="n">
        <x:v>11234</x:v>
      </x:c>
      <x:c r="T240" s="11" t="n">
        <x:v>0</x:v>
      </x:c>
      <x:c r="U240" s="11" t="n">
        <x:v>1</x:v>
      </x:c>
      <x:c r="V240" s="11" t="n">
        <x:v>0</x:v>
      </x:c>
      <x:c r="W240" s="11" t="n">
        <x:v>7</x:v>
      </x:c>
      <x:c r="X240" s="11" t="n">
        <x:v>0</x:v>
      </x:c>
      <x:c r="Y240" s="11" t="n">
        <x:v>0</x:v>
      </x:c>
      <x:c r="Z240" s="11" t="n">
        <x:v>6721600</x:v>
      </x:c>
      <x:c r="AA240" s="11" t="n">
        <x:v>0</x:v>
      </x:c>
      <x:c r="AB240" s="11" t="n">
        <x:v>0</x:v>
      </x:c>
      <x:c r="AC240" s="11" t="n">
        <x:v>30327824</x:v>
      </x:c>
      <x:c r="AD240" s="11" t="n">
        <x:v>0</x:v>
      </x:c>
      <x:c r="AE240" s="11" t="n">
        <x:v>2838</x:v>
      </x:c>
      <x:c r="AF240" s="11" t="n">
        <x:v>0</x:v>
      </x:c>
      <x:c r="AG240" s="11" t="n">
        <x:v>16358</x:v>
      </x:c>
      <x:c r="AH240" s="11" t="n">
        <x:v>0</x:v>
      </x:c>
    </x:row>
    <x:row r="241" ht="23" customHeight="1">
      <x:c r="A241" s="10" t="str">
        <x:v>M11</x:v>
      </x:c>
      <x:c r="B241" s="10" t="str">
        <x:v>C_H1</x:v>
      </x:c>
      <x:c r="C241" s="9" t="str">
        <x:v>主对照</x:v>
      </x:c>
      <x:c r="D241" s="11" t="n">
        <x:v>15723</x:v>
      </x:c>
      <x:c r="E241" s="11" t="n">
        <x:v>11234</x:v>
      </x:c>
      <x:c r="F241" s="11" t="n">
        <x:v>11234</x:v>
      </x:c>
      <x:c r="G241" s="11" t="n">
        <x:v>0</x:v>
      </x:c>
      <x:c r="H241" s="11" t="n">
        <x:v>9707</x:v>
      </x:c>
      <x:c r="I241" s="11" t="n">
        <x:v>37068620</x:v>
      </x:c>
      <x:c r="J241" s="11" t="n">
        <x:v>7362230.279999714</x:v>
      </x:c>
      <x:c r="K241" s="12" t="n">
        <x:f>E241/D241</x:f>
        <x:v>0.7144946893086561</x:v>
      </x:c>
      <x:c r="L241" s="12" t="n">
        <x:f>F241/D241</x:f>
        <x:v>0.7144946893086561</x:v>
      </x:c>
      <x:c r="M241" s="12" t="n">
        <x:f>G241/D241</x:f>
        <x:v>0</x:v>
      </x:c>
      <x:c r="N241" s="12" t="n">
        <x:f>J241/I241</x:f>
        <x:v>0.19861085414023275</x:v>
      </x:c>
      <x:c r="O241" s="11" t="n">
        <x:v>0</x:v>
      </x:c>
      <x:c r="P241" s="11" t="n">
        <x:v>4294</x:v>
      </x:c>
      <x:c r="Q241" s="11" t="n">
        <x:v>0</x:v>
      </x:c>
      <x:c r="R241" s="11" t="n">
        <x:v>0</x:v>
      </x:c>
      <x:c r="S241" s="11" t="n">
        <x:v>11234</x:v>
      </x:c>
      <x:c r="T241" s="11" t="n">
        <x:v>0</x:v>
      </x:c>
      <x:c r="U241" s="11" t="n">
        <x:v>188</x:v>
      </x:c>
      <x:c r="V241" s="11" t="n">
        <x:v>0</x:v>
      </x:c>
      <x:c r="W241" s="11" t="n">
        <x:v>7</x:v>
      </x:c>
      <x:c r="X241" s="11" t="n">
        <x:v>0</x:v>
      </x:c>
      <x:c r="Y241" s="11" t="n">
        <x:v>0</x:v>
      </x:c>
      <x:c r="Z241" s="11" t="n">
        <x:v>6668828</x:v>
      </x:c>
      <x:c r="AA241" s="11" t="n">
        <x:v>0</x:v>
      </x:c>
      <x:c r="AB241" s="11" t="n">
        <x:v>0</x:v>
      </x:c>
      <x:c r="AC241" s="11" t="n">
        <x:v>30327824</x:v>
      </x:c>
      <x:c r="AD241" s="11" t="n">
        <x:v>0</x:v>
      </x:c>
      <x:c r="AE241" s="11" t="n">
        <x:v>55610</x:v>
      </x:c>
      <x:c r="AF241" s="11" t="n">
        <x:v>0</x:v>
      </x:c>
      <x:c r="AG241" s="11" t="n">
        <x:v>16358</x:v>
      </x:c>
      <x:c r="AH241" s="11" t="n">
        <x:v>0</x:v>
      </x:c>
    </x:row>
    <x:row r="242" ht="23" customHeight="1">
      <x:c r="A242" s="10" t="str">
        <x:v>M11</x:v>
      </x:c>
      <x:c r="B242" s="10" t="str">
        <x:v>G_H0</x:v>
      </x:c>
      <x:c r="C242" s="9" t="str">
        <x:v>主对照</x:v>
      </x:c>
      <x:c r="D242" s="11" t="n">
        <x:v>15723</x:v>
      </x:c>
      <x:c r="E242" s="11" t="n">
        <x:v>15723</x:v>
      </x:c>
      <x:c r="F242" s="11" t="n">
        <x:v>15723</x:v>
      </x:c>
      <x:c r="G242" s="11" t="n">
        <x:v>0</x:v>
      </x:c>
      <x:c r="H242" s="11" t="n">
        <x:v>15723</x:v>
      </x:c>
      <x:c r="I242" s="11" t="n">
        <x:v>37068620</x:v>
      </x:c>
      <x:c r="J242" s="11" t="n">
        <x:v>6090174.379445562</x:v>
      </x:c>
      <x:c r="K242" s="12" t="n">
        <x:f>E242/D242</x:f>
        <x:v>1</x:v>
      </x:c>
      <x:c r="L242" s="12" t="n">
        <x:f>F242/D242</x:f>
        <x:v>1</x:v>
      </x:c>
      <x:c r="M242" s="12" t="n">
        <x:f>G242/D242</x:f>
        <x:v>0</x:v>
      </x:c>
      <x:c r="N242" s="12" t="n">
        <x:f>J242/I242</x:f>
        <x:v>0.16429460766129309</x:v>
      </x:c>
      <x:c r="O242" s="11" t="n">
        <x:v>0</x:v>
      </x:c>
      <x:c r="P242" s="11" t="n">
        <x:v>7185</x:v>
      </x:c>
      <x:c r="Q242" s="11" t="n">
        <x:v>6207</x:v>
      </x:c>
      <x:c r="R242" s="11" t="n">
        <x:v>1856</x:v>
      </x:c>
      <x:c r="S242" s="11" t="n">
        <x:v>429</x:v>
      </x:c>
      <x:c r="T242" s="11" t="n">
        <x:v>46</x:v>
      </x:c>
      <x:c r="U242" s="11" t="n">
        <x:v>0</x:v>
      </x:c>
      <x:c r="V242" s="11" t="n">
        <x:v>0</x:v>
      </x:c>
      <x:c r="W242" s="11" t="n">
        <x:v>0</x:v>
      </x:c>
      <x:c r="X242" s="11" t="n">
        <x:v>0</x:v>
      </x:c>
      <x:c r="Y242" s="11" t="n">
        <x:v>0</x:v>
      </x:c>
      <x:c r="Z242" s="11" t="n">
        <x:v>6732126</x:v>
      </x:c>
      <x:c r="AA242" s="11" t="n">
        <x:v>10969697</x:v>
      </x:c>
      <x:c r="AB242" s="11" t="n">
        <x:v>15511455</x:v>
      </x:c>
      <x:c r="AC242" s="11" t="n">
        <x:v>3256484</x:v>
      </x:c>
      <x:c r="AD242" s="11" t="n">
        <x:v>598858</x:v>
      </x:c>
      <x:c r="AE242" s="11" t="n">
        <x:v>0</x:v>
      </x:c>
      <x:c r="AF242" s="11" t="n">
        <x:v>0</x:v>
      </x:c>
      <x:c r="AG242" s="11" t="n">
        <x:v>0</x:v>
      </x:c>
      <x:c r="AH242" s="11" t="n">
        <x:v>0</x:v>
      </x:c>
    </x:row>
    <x:row r="243" ht="23" customHeight="1">
      <x:c r="A243" s="10" t="str">
        <x:v>M11</x:v>
      </x:c>
      <x:c r="B243" s="10" t="str">
        <x:v>G_HT</x:v>
      </x:c>
      <x:c r="C243" s="9" t="str">
        <x:v>仅拓扑与尺度</x:v>
      </x:c>
      <x:c r="D243" s="11" t="n">
        <x:v>15723</x:v>
      </x:c>
      <x:c r="E243" s="11" t="n">
        <x:v>15723</x:v>
      </x:c>
      <x:c r="F243" s="11" t="n">
        <x:v>15723</x:v>
      </x:c>
      <x:c r="G243" s="11" t="n">
        <x:v>0</x:v>
      </x:c>
      <x:c r="H243" s="11" t="n">
        <x:v>15723</x:v>
      </x:c>
      <x:c r="I243" s="11" t="n">
        <x:v>37068620</x:v>
      </x:c>
      <x:c r="J243" s="11" t="n">
        <x:v>6246590.019445533</x:v>
      </x:c>
      <x:c r="K243" s="12" t="n">
        <x:f>E243/D243</x:f>
        <x:v>1</x:v>
      </x:c>
      <x:c r="L243" s="12" t="n">
        <x:f>F243/D243</x:f>
        <x:v>1</x:v>
      </x:c>
      <x:c r="M243" s="12" t="n">
        <x:f>G243/D243</x:f>
        <x:v>0</x:v>
      </x:c>
      <x:c r="N243" s="12" t="n">
        <x:f>J243/I243</x:f>
        <x:v>0.1685142316990903</x:v>
      </x:c>
      <x:c r="O243" s="11" t="n">
        <x:v>0</x:v>
      </x:c>
      <x:c r="P243" s="11" t="n">
        <x:v>4713</x:v>
      </x:c>
      <x:c r="Q243" s="11" t="n">
        <x:v>7608</x:v>
      </x:c>
      <x:c r="R243" s="11" t="n">
        <x:v>2792</x:v>
      </x:c>
      <x:c r="S243" s="11" t="n">
        <x:v>555</x:v>
      </x:c>
      <x:c r="T243" s="11" t="n">
        <x:v>55</x:v>
      </x:c>
      <x:c r="U243" s="11" t="n">
        <x:v>0</x:v>
      </x:c>
      <x:c r="V243" s="11" t="n">
        <x:v>0</x:v>
      </x:c>
      <x:c r="W243" s="11" t="n">
        <x:v>0</x:v>
      </x:c>
      <x:c r="X243" s="11" t="n">
        <x:v>0</x:v>
      </x:c>
      <x:c r="Y243" s="11" t="n">
        <x:v>0</x:v>
      </x:c>
      <x:c r="Z243" s="11" t="n">
        <x:v>2953524</x:v>
      </x:c>
      <x:c r="AA243" s="11" t="n">
        <x:v>13570855</x:v>
      </x:c>
      <x:c r="AB243" s="11" t="n">
        <x:v>16148399</x:v>
      </x:c>
      <x:c r="AC243" s="11" t="n">
        <x:v>3764088</x:v>
      </x:c>
      <x:c r="AD243" s="11" t="n">
        <x:v>631754</x:v>
      </x:c>
      <x:c r="AE243" s="11" t="n">
        <x:v>0</x:v>
      </x:c>
      <x:c r="AF243" s="11" t="n">
        <x:v>0</x:v>
      </x:c>
      <x:c r="AG243" s="11" t="n">
        <x:v>0</x:v>
      </x:c>
      <x:c r="AH243" s="11" t="n">
        <x:v>0</x:v>
      </x:c>
    </x:row>
    <x:row r="244" ht="23" customHeight="1">
      <x:c r="A244" s="10" t="str">
        <x:v>M11</x:v>
      </x:c>
      <x:c r="B244" s="10" t="str">
        <x:v>G_H1</x:v>
      </x:c>
      <x:c r="C244" s="9" t="str">
        <x:v>主对照</x:v>
      </x:c>
      <x:c r="D244" s="11" t="n">
        <x:v>15723</x:v>
      </x:c>
      <x:c r="E244" s="11" t="n">
        <x:v>15723</x:v>
      </x:c>
      <x:c r="F244" s="11" t="n">
        <x:v>15723</x:v>
      </x:c>
      <x:c r="G244" s="11" t="n">
        <x:v>0</x:v>
      </x:c>
      <x:c r="H244" s="11" t="n">
        <x:v>15723</x:v>
      </x:c>
      <x:c r="I244" s="11" t="n">
        <x:v>37068620</x:v>
      </x:c>
      <x:c r="J244" s="11" t="n">
        <x:v>6246590.019445533</x:v>
      </x:c>
      <x:c r="K244" s="12" t="n">
        <x:f>E244/D244</x:f>
        <x:v>1</x:v>
      </x:c>
      <x:c r="L244" s="12" t="n">
        <x:f>F244/D244</x:f>
        <x:v>1</x:v>
      </x:c>
      <x:c r="M244" s="12" t="n">
        <x:f>G244/D244</x:f>
        <x:v>0</x:v>
      </x:c>
      <x:c r="N244" s="12" t="n">
        <x:f>J244/I244</x:f>
        <x:v>0.1685142316990903</x:v>
      </x:c>
      <x:c r="O244" s="11" t="n">
        <x:v>0</x:v>
      </x:c>
      <x:c r="P244" s="11" t="n">
        <x:v>4713</x:v>
      </x:c>
      <x:c r="Q244" s="11" t="n">
        <x:v>7608</x:v>
      </x:c>
      <x:c r="R244" s="11" t="n">
        <x:v>2792</x:v>
      </x:c>
      <x:c r="S244" s="11" t="n">
        <x:v>555</x:v>
      </x:c>
      <x:c r="T244" s="11" t="n">
        <x:v>55</x:v>
      </x:c>
      <x:c r="U244" s="11" t="n">
        <x:v>0</x:v>
      </x:c>
      <x:c r="V244" s="11" t="n">
        <x:v>0</x:v>
      </x:c>
      <x:c r="W244" s="11" t="n">
        <x:v>0</x:v>
      </x:c>
      <x:c r="X244" s="11" t="n">
        <x:v>0</x:v>
      </x:c>
      <x:c r="Y244" s="11" t="n">
        <x:v>0</x:v>
      </x:c>
      <x:c r="Z244" s="11" t="n">
        <x:v>2953524</x:v>
      </x:c>
      <x:c r="AA244" s="11" t="n">
        <x:v>13570855</x:v>
      </x:c>
      <x:c r="AB244" s="11" t="n">
        <x:v>16148399</x:v>
      </x:c>
      <x:c r="AC244" s="11" t="n">
        <x:v>3764088</x:v>
      </x:c>
      <x:c r="AD244" s="11" t="n">
        <x:v>631754</x:v>
      </x:c>
      <x:c r="AE244" s="11" t="n">
        <x:v>0</x:v>
      </x:c>
      <x:c r="AF244" s="11" t="n">
        <x:v>0</x:v>
      </x:c>
      <x:c r="AG244" s="11" t="n">
        <x:v>0</x:v>
      </x:c>
      <x:c r="AH244" s="11" t="n">
        <x:v>0</x:v>
      </x:c>
    </x:row>
    <x:row r="245" ht="23" customHeight="1">
      <x:c r="A245" s="10" t="str">
        <x:v>M11</x:v>
      </x:c>
      <x:c r="B245" s="10" t="str">
        <x:v>NC_H0</x:v>
      </x:c>
      <x:c r="C245" s="9" t="str">
        <x:v>主对照</x:v>
      </x:c>
      <x:c r="D245" s="11" t="n">
        <x:v>15723</x:v>
      </x:c>
      <x:c r="E245" s="11" t="n">
        <x:v>9082</x:v>
      </x:c>
      <x:c r="F245" s="11" t="n">
        <x:v>10405</x:v>
      </x:c>
      <x:c r="G245" s="11" t="n">
        <x:v>2873</x:v>
      </x:c>
      <x:c r="H245" s="11" t="n">
        <x:v>8753</x:v>
      </x:c>
      <x:c r="I245" s="11" t="n">
        <x:v>37068620</x:v>
      </x:c>
      <x:c r="J245" s="11" t="n">
        <x:v>7992870.959999894</x:v>
      </x:c>
      <x:c r="K245" s="12" t="n">
        <x:f>E245/D245</x:f>
        <x:v>0.5776251351523246</x:v>
      </x:c>
      <x:c r="L245" s="12" t="n">
        <x:f>F245/D245</x:f>
        <x:v>0.6617693824333779</x:v>
      </x:c>
      <x:c r="M245" s="12" t="n">
        <x:f>G245/D245</x:f>
        <x:v>0.18272594288621763</x:v>
      </x:c>
      <x:c r="N245" s="12" t="n">
        <x:f>J245/I245</x:f>
        <x:v>0.21562364501294878</x:v>
      </x:c>
      <x:c r="O245" s="11" t="n">
        <x:v>0</x:v>
      </x:c>
      <x:c r="P245" s="11" t="n">
        <x:v>3824</x:v>
      </x:c>
      <x:c r="Q245" s="11" t="n">
        <x:v>268</x:v>
      </x:c>
      <x:c r="R245" s="11" t="n">
        <x:v>0</x:v>
      </x:c>
      <x:c r="S245" s="11" t="n">
        <x:v>10405</x:v>
      </x:c>
      <x:c r="T245" s="11" t="n">
        <x:v>60</x:v>
      </x:c>
      <x:c r="U245" s="11" t="n">
        <x:v>250</x:v>
      </x:c>
      <x:c r="V245" s="11" t="n">
        <x:v>467</x:v>
      </x:c>
      <x:c r="W245" s="11" t="n">
        <x:v>449</x:v>
      </x:c>
      <x:c r="X245" s="11" t="n">
        <x:v>0</x:v>
      </x:c>
      <x:c r="Y245" s="11" t="n">
        <x:v>0</x:v>
      </x:c>
      <x:c r="Z245" s="11" t="n">
        <x:v>4646138</x:v>
      </x:c>
      <x:c r="AA245" s="11" t="n">
        <x:v>324880</x:v>
      </x:c>
      <x:c r="AB245" s="11" t="n">
        <x:v>0</x:v>
      </x:c>
      <x:c r="AC245" s="11" t="n">
        <x:v>28686665</x:v>
      </x:c>
      <x:c r="AD245" s="11" t="n">
        <x:v>272042</x:v>
      </x:c>
      <x:c r="AE245" s="11" t="n">
        <x:v>542265</x:v>
      </x:c>
      <x:c r="AF245" s="11" t="n">
        <x:v>1564286</x:v>
      </x:c>
      <x:c r="AG245" s="11" t="n">
        <x:v>1032344</x:v>
      </x:c>
      <x:c r="AH245" s="11" t="n">
        <x:v>0</x:v>
      </x:c>
    </x:row>
    <x:row r="246" ht="23" customHeight="1">
      <x:c r="A246" s="10" t="str">
        <x:v>M11</x:v>
      </x:c>
      <x:c r="B246" s="10" t="str">
        <x:v>NC_HT</x:v>
      </x:c>
      <x:c r="C246" s="9" t="str">
        <x:v>仅拓扑与尺度</x:v>
      </x:c>
      <x:c r="D246" s="11" t="n">
        <x:v>15723</x:v>
      </x:c>
      <x:c r="E246" s="11" t="n">
        <x:v>9082</x:v>
      </x:c>
      <x:c r="F246" s="11" t="n">
        <x:v>10405</x:v>
      </x:c>
      <x:c r="G246" s="11" t="n">
        <x:v>2873</x:v>
      </x:c>
      <x:c r="H246" s="11" t="n">
        <x:v>8753</x:v>
      </x:c>
      <x:c r="I246" s="11" t="n">
        <x:v>37068620</x:v>
      </x:c>
      <x:c r="J246" s="11" t="n">
        <x:v>7992870.959999894</x:v>
      </x:c>
      <x:c r="K246" s="12" t="n">
        <x:f>E246/D246</x:f>
        <x:v>0.5776251351523246</x:v>
      </x:c>
      <x:c r="L246" s="12" t="n">
        <x:f>F246/D246</x:f>
        <x:v>0.6617693824333779</x:v>
      </x:c>
      <x:c r="M246" s="12" t="n">
        <x:f>G246/D246</x:f>
        <x:v>0.18272594288621763</x:v>
      </x:c>
      <x:c r="N246" s="12" t="n">
        <x:f>J246/I246</x:f>
        <x:v>0.21562364501294878</x:v>
      </x:c>
      <x:c r="O246" s="11" t="n">
        <x:v>0</x:v>
      </x:c>
      <x:c r="P246" s="11" t="n">
        <x:v>3824</x:v>
      </x:c>
      <x:c r="Q246" s="11" t="n">
        <x:v>268</x:v>
      </x:c>
      <x:c r="R246" s="11" t="n">
        <x:v>0</x:v>
      </x:c>
      <x:c r="S246" s="11" t="n">
        <x:v>10405</x:v>
      </x:c>
      <x:c r="T246" s="11" t="n">
        <x:v>60</x:v>
      </x:c>
      <x:c r="U246" s="11" t="n">
        <x:v>250</x:v>
      </x:c>
      <x:c r="V246" s="11" t="n">
        <x:v>467</x:v>
      </x:c>
      <x:c r="W246" s="11" t="n">
        <x:v>449</x:v>
      </x:c>
      <x:c r="X246" s="11" t="n">
        <x:v>0</x:v>
      </x:c>
      <x:c r="Y246" s="11" t="n">
        <x:v>0</x:v>
      </x:c>
      <x:c r="Z246" s="11" t="n">
        <x:v>4646138</x:v>
      </x:c>
      <x:c r="AA246" s="11" t="n">
        <x:v>324880</x:v>
      </x:c>
      <x:c r="AB246" s="11" t="n">
        <x:v>0</x:v>
      </x:c>
      <x:c r="AC246" s="11" t="n">
        <x:v>28686665</x:v>
      </x:c>
      <x:c r="AD246" s="11" t="n">
        <x:v>272042</x:v>
      </x:c>
      <x:c r="AE246" s="11" t="n">
        <x:v>542265</x:v>
      </x:c>
      <x:c r="AF246" s="11" t="n">
        <x:v>1564286</x:v>
      </x:c>
      <x:c r="AG246" s="11" t="n">
        <x:v>1032344</x:v>
      </x:c>
      <x:c r="AH246" s="11" t="n">
        <x:v>0</x:v>
      </x:c>
    </x:row>
    <x:row r="247" ht="23" customHeight="1">
      <x:c r="A247" s="10" t="str">
        <x:v>M11</x:v>
      </x:c>
      <x:c r="B247" s="10" t="str">
        <x:v>NC_H1</x:v>
      </x:c>
      <x:c r="C247" s="9" t="str">
        <x:v>主对照</x:v>
      </x:c>
      <x:c r="D247" s="11" t="n">
        <x:v>15723</x:v>
      </x:c>
      <x:c r="E247" s="11" t="n">
        <x:v>9082</x:v>
      </x:c>
      <x:c r="F247" s="11" t="n">
        <x:v>10405</x:v>
      </x:c>
      <x:c r="G247" s="11" t="n">
        <x:v>2873</x:v>
      </x:c>
      <x:c r="H247" s="11" t="n">
        <x:v>9920</x:v>
      </x:c>
      <x:c r="I247" s="11" t="n">
        <x:v>37068620</x:v>
      </x:c>
      <x:c r="J247" s="11" t="n">
        <x:v>8049792.279999903</x:v>
      </x:c>
      <x:c r="K247" s="12" t="n">
        <x:f>E247/D247</x:f>
        <x:v>0.5776251351523246</x:v>
      </x:c>
      <x:c r="L247" s="12" t="n">
        <x:f>F247/D247</x:f>
        <x:v>0.6617693824333779</x:v>
      </x:c>
      <x:c r="M247" s="12" t="n">
        <x:f>G247/D247</x:f>
        <x:v>0.18272594288621763</x:v>
      </x:c>
      <x:c r="N247" s="12" t="n">
        <x:f>J247/I247</x:f>
        <x:v>0.21715921121422657</x:v>
      </x:c>
      <x:c r="O247" s="11" t="n">
        <x:v>0</x:v>
      </x:c>
      <x:c r="P247" s="11" t="n">
        <x:v>3563</x:v>
      </x:c>
      <x:c r="Q247" s="11" t="n">
        <x:v>90</x:v>
      </x:c>
      <x:c r="R247" s="11" t="n">
        <x:v>0</x:v>
      </x:c>
      <x:c r="S247" s="11" t="n">
        <x:v>10405</x:v>
      </x:c>
      <x:c r="T247" s="11" t="n">
        <x:v>233</x:v>
      </x:c>
      <x:c r="U247" s="11" t="n">
        <x:v>516</x:v>
      </x:c>
      <x:c r="V247" s="11" t="n">
        <x:v>467</x:v>
      </x:c>
      <x:c r="W247" s="11" t="n">
        <x:v>449</x:v>
      </x:c>
      <x:c r="X247" s="11" t="n">
        <x:v>0</x:v>
      </x:c>
      <x:c r="Y247" s="11" t="n">
        <x:v>0</x:v>
      </x:c>
      <x:c r="Z247" s="11" t="n">
        <x:v>4545582</x:v>
      </x:c>
      <x:c r="AA247" s="11" t="n">
        <x:v>62434</x:v>
      </x:c>
      <x:c r="AB247" s="11" t="n">
        <x:v>0</x:v>
      </x:c>
      <x:c r="AC247" s="11" t="n">
        <x:v>28686665</x:v>
      </x:c>
      <x:c r="AD247" s="11" t="n">
        <x:v>532796</x:v>
      </x:c>
      <x:c r="AE247" s="11" t="n">
        <x:v>644513</x:v>
      </x:c>
      <x:c r="AF247" s="11" t="n">
        <x:v>1564286</x:v>
      </x:c>
      <x:c r="AG247" s="11" t="n">
        <x:v>1032344</x:v>
      </x:c>
      <x:c r="AH247" s="11" t="n">
        <x:v>0</x:v>
      </x:c>
    </x:row>
    <x:row r="248" ht="23" customHeight="1">
      <x:c r="A248" s="10" t="str">
        <x:v>M11</x:v>
      </x:c>
      <x:c r="B248" s="10" t="str">
        <x:v>NG_H0</x:v>
      </x:c>
      <x:c r="C248" s="9" t="str">
        <x:v>主对照</x:v>
      </x:c>
      <x:c r="D248" s="11" t="n">
        <x:v>15723</x:v>
      </x:c>
      <x:c r="E248" s="11" t="n">
        <x:v>9841</x:v>
      </x:c>
      <x:c r="F248" s="11" t="n">
        <x:v>11471</x:v>
      </x:c>
      <x:c r="G248" s="11" t="n">
        <x:v>0</x:v>
      </x:c>
      <x:c r="H248" s="11" t="n">
        <x:v>9841</x:v>
      </x:c>
      <x:c r="I248" s="11" t="n">
        <x:v>37068620</x:v>
      </x:c>
      <x:c r="J248" s="11" t="n">
        <x:v>7101068.199445509</x:v>
      </x:c>
      <x:c r="K248" s="12" t="n">
        <x:f>E248/D248</x:f>
        <x:v>0.6258983654518858</x:v>
      </x:c>
      <x:c r="L248" s="12" t="n">
        <x:f>F248/D248</x:f>
        <x:v>0.7295681485721555</x:v>
      </x:c>
      <x:c r="M248" s="12" t="n">
        <x:f>G248/D248</x:f>
        <x:v>0</x:v>
      </x:c>
      <x:c r="N248" s="12" t="n">
        <x:f>J248/I248</x:f>
        <x:v>0.19156548583263983</x:v>
      </x:c>
      <x:c r="O248" s="11" t="n">
        <x:v>48</x:v>
      </x:c>
      <x:c r="P248" s="11" t="n">
        <x:v>6171</x:v>
      </x:c>
      <x:c r="Q248" s="11" t="n">
        <x:v>4793</x:v>
      </x:c>
      <x:c r="R248" s="11" t="n">
        <x:v>1768</x:v>
      </x:c>
      <x:c r="S248" s="11" t="n">
        <x:v>428</x:v>
      </x:c>
      <x:c r="T248" s="11" t="n">
        <x:v>106</x:v>
      </x:c>
      <x:c r="U248" s="11" t="n">
        <x:v>270</x:v>
      </x:c>
      <x:c r="V248" s="11" t="n">
        <x:v>1521</x:v>
      </x:c>
      <x:c r="W248" s="11" t="n">
        <x:v>618</x:v>
      </x:c>
      <x:c r="X248" s="11" t="n">
        <x:v>0</x:v>
      </x:c>
      <x:c r="Y248" s="11" t="n">
        <x:v>14496</x:v>
      </x:c>
      <x:c r="Z248" s="11" t="n">
        <x:v>4608340</x:v>
      </x:c>
      <x:c r="AA248" s="11" t="n">
        <x:v>9645869</x:v>
      </x:c>
      <x:c r="AB248" s="11" t="n">
        <x:v>14553854</x:v>
      </x:c>
      <x:c r="AC248" s="11" t="n">
        <x:v>3245660</x:v>
      </x:c>
      <x:c r="AD248" s="11" t="n">
        <x:v>815510</x:v>
      </x:c>
      <x:c r="AE248" s="11" t="n">
        <x:v>583397</x:v>
      </x:c>
      <x:c r="AF248" s="11" t="n">
        <x:v>2256278</x:v>
      </x:c>
      <x:c r="AG248" s="11" t="n">
        <x:v>1345216</x:v>
      </x:c>
      <x:c r="AH248" s="11" t="n">
        <x:v>0</x:v>
      </x:c>
    </x:row>
    <x:row r="249" ht="23" customHeight="1">
      <x:c r="A249" s="10" t="str">
        <x:v>M11</x:v>
      </x:c>
      <x:c r="B249" s="10" t="str">
        <x:v>NG_HT</x:v>
      </x:c>
      <x:c r="C249" s="9" t="str">
        <x:v>仅拓扑与尺度</x:v>
      </x:c>
      <x:c r="D249" s="11" t="n">
        <x:v>15723</x:v>
      </x:c>
      <x:c r="E249" s="11" t="n">
        <x:v>9841</x:v>
      </x:c>
      <x:c r="F249" s="11" t="n">
        <x:v>11471</x:v>
      </x:c>
      <x:c r="G249" s="11" t="n">
        <x:v>0</x:v>
      </x:c>
      <x:c r="H249" s="11" t="n">
        <x:v>9841</x:v>
      </x:c>
      <x:c r="I249" s="11" t="n">
        <x:v>37068620</x:v>
      </x:c>
      <x:c r="J249" s="11" t="n">
        <x:v>7187395.159445482</x:v>
      </x:c>
      <x:c r="K249" s="12" t="n">
        <x:f>E249/D249</x:f>
        <x:v>0.6258983654518858</x:v>
      </x:c>
      <x:c r="L249" s="12" t="n">
        <x:f>F249/D249</x:f>
        <x:v>0.7295681485721555</x:v>
      </x:c>
      <x:c r="M249" s="12" t="n">
        <x:f>G249/D249</x:f>
        <x:v>0</x:v>
      </x:c>
      <x:c r="N249" s="12" t="n">
        <x:f>J249/I249</x:f>
        <x:v>0.1938943278558922</x:v>
      </x:c>
      <x:c r="O249" s="11" t="n">
        <x:v>48</x:v>
      </x:c>
      <x:c r="P249" s="11" t="n">
        <x:v>4801</x:v>
      </x:c>
      <x:c r="Q249" s="11" t="n">
        <x:v>5277</x:v>
      </x:c>
      <x:c r="R249" s="11" t="n">
        <x:v>2521</x:v>
      </x:c>
      <x:c r="S249" s="11" t="n">
        <x:v>552</x:v>
      </x:c>
      <x:c r="T249" s="11" t="n">
        <x:v>115</x:v>
      </x:c>
      <x:c r="U249" s="11" t="n">
        <x:v>270</x:v>
      </x:c>
      <x:c r="V249" s="11" t="n">
        <x:v>1521</x:v>
      </x:c>
      <x:c r="W249" s="11" t="n">
        <x:v>618</x:v>
      </x:c>
      <x:c r="X249" s="11" t="n">
        <x:v>0</x:v>
      </x:c>
      <x:c r="Y249" s="11" t="n">
        <x:v>14496</x:v>
      </x:c>
      <x:c r="Z249" s="11" t="n">
        <x:v>2920788</x:v>
      </x:c>
      <x:c r="AA249" s="11" t="n">
        <x:v>10621703</x:v>
      </x:c>
      <x:c r="AB249" s="11" t="n">
        <x:v>14885716</x:v>
      </x:c>
      <x:c r="AC249" s="11" t="n">
        <x:v>3592620</x:v>
      </x:c>
      <x:c r="AD249" s="11" t="n">
        <x:v>848406</x:v>
      </x:c>
      <x:c r="AE249" s="11" t="n">
        <x:v>583397</x:v>
      </x:c>
      <x:c r="AF249" s="11" t="n">
        <x:v>2256278</x:v>
      </x:c>
      <x:c r="AG249" s="11" t="n">
        <x:v>1345216</x:v>
      </x:c>
      <x:c r="AH249" s="11" t="n">
        <x:v>0</x:v>
      </x:c>
    </x:row>
    <x:row r="250" ht="23" customHeight="1">
      <x:c r="A250" s="10" t="str">
        <x:v>M11</x:v>
      </x:c>
      <x:c r="B250" s="10" t="str">
        <x:v>NG_H1</x:v>
      </x:c>
      <x:c r="C250" s="9" t="str">
        <x:v>主对照</x:v>
      </x:c>
      <x:c r="D250" s="11" t="n">
        <x:v>15723</x:v>
      </x:c>
      <x:c r="E250" s="11" t="n">
        <x:v>9841</x:v>
      </x:c>
      <x:c r="F250" s="11" t="n">
        <x:v>11471</x:v>
      </x:c>
      <x:c r="G250" s="11" t="n">
        <x:v>0</x:v>
      </x:c>
      <x:c r="H250" s="11" t="n">
        <x:v>12231</x:v>
      </x:c>
      <x:c r="I250" s="11" t="n">
        <x:v>37068620</x:v>
      </x:c>
      <x:c r="J250" s="11" t="n">
        <x:v>7236365.559445487</x:v>
      </x:c>
      <x:c r="K250" s="12" t="n">
        <x:f>E250/D250</x:f>
        <x:v>0.6258983654518858</x:v>
      </x:c>
      <x:c r="L250" s="12" t="n">
        <x:f>F250/D250</x:f>
        <x:v>0.7295681485721555</x:v>
      </x:c>
      <x:c r="M250" s="12" t="n">
        <x:f>G250/D250</x:f>
        <x:v>0</x:v>
      </x:c>
      <x:c r="N250" s="12" t="n">
        <x:f>J250/I250</x:f>
        <x:v>0.19521540212302177</x:v>
      </x:c>
      <x:c r="O250" s="11" t="n">
        <x:v>48</x:v>
      </x:c>
      <x:c r="P250" s="11" t="n">
        <x:v>4630</x:v>
      </x:c>
      <x:c r="Q250" s="11" t="n">
        <x:v>5073</x:v>
      </x:c>
      <x:c r="R250" s="11" t="n">
        <x:v>2512</x:v>
      </x:c>
      <x:c r="S250" s="11" t="n">
        <x:v>552</x:v>
      </x:c>
      <x:c r="T250" s="11" t="n">
        <x:v>323</x:v>
      </x:c>
      <x:c r="U250" s="11" t="n">
        <x:v>446</x:v>
      </x:c>
      <x:c r="V250" s="11" t="n">
        <x:v>1521</x:v>
      </x:c>
      <x:c r="W250" s="11" t="n">
        <x:v>618</x:v>
      </x:c>
      <x:c r="X250" s="11" t="n">
        <x:v>0</x:v>
      </x:c>
      <x:c r="Y250" s="11" t="n">
        <x:v>14496</x:v>
      </x:c>
      <x:c r="Z250" s="11" t="n">
        <x:v>2840984</x:v>
      </x:c>
      <x:c r="AA250" s="11" t="n">
        <x:v>10505225</x:v>
      </x:c>
      <x:c r="AB250" s="11" t="n">
        <x:v>14719366</x:v>
      </x:c>
      <x:c r="AC250" s="11" t="n">
        <x:v>3592620</x:v>
      </x:c>
      <x:c r="AD250" s="11" t="n">
        <x:v>1129542</x:v>
      </x:c>
      <x:c r="AE250" s="11" t="n">
        <x:v>664893</x:v>
      </x:c>
      <x:c r="AF250" s="11" t="n">
        <x:v>2256278</x:v>
      </x:c>
      <x:c r="AG250" s="11" t="n">
        <x:v>1345216</x:v>
      </x:c>
      <x:c r="AH250" s="11" t="n">
        <x:v>0</x:v>
      </x:c>
    </x:row>
    <x:row r="251" ht="23" customHeight="1">
      <x:c r="A251" s="10" t="str">
        <x:v>M11</x:v>
      </x:c>
      <x:c r="B251" s="10" t="str">
        <x:v>CG_H0</x:v>
      </x:c>
      <x:c r="C251" s="9" t="str">
        <x:v>主对照</x:v>
      </x:c>
      <x:c r="D251" s="11" t="n">
        <x:v>15723</x:v>
      </x:c>
      <x:c r="E251" s="11" t="n">
        <x:v>11234</x:v>
      </x:c>
      <x:c r="F251" s="11" t="n">
        <x:v>11234</x:v>
      </x:c>
      <x:c r="G251" s="11" t="n">
        <x:v>0</x:v>
      </x:c>
      <x:c r="H251" s="11" t="n">
        <x:v>9513</x:v>
      </x:c>
      <x:c r="I251" s="11" t="n">
        <x:v>37068620</x:v>
      </x:c>
      <x:c r="J251" s="11" t="n">
        <x:v>6061294.419445522</x:v>
      </x:c>
      <x:c r="K251" s="12" t="n">
        <x:f>E251/D251</x:f>
        <x:v>0.7144946893086561</x:v>
      </x:c>
      <x:c r="L251" s="12" t="n">
        <x:f>F251/D251</x:f>
        <x:v>0.7144946893086561</x:v>
      </x:c>
      <x:c r="M251" s="12" t="n">
        <x:f>G251/D251</x:f>
        <x:v>0</x:v>
      </x:c>
      <x:c r="N251" s="12" t="n">
        <x:f>J251/I251</x:f>
        <x:v>0.16351551310638276</x:v>
      </x:c>
      <x:c r="O251" s="11" t="n">
        <x:v>28</x:v>
      </x:c>
      <x:c r="P251" s="11" t="n">
        <x:v>9385</x:v>
      </x:c>
      <x:c r="Q251" s="11" t="n">
        <x:v>4170</x:v>
      </x:c>
      <x:c r="R251" s="11" t="n">
        <x:v>1657</x:v>
      </x:c>
      <x:c r="S251" s="11" t="n">
        <x:v>429</x:v>
      </x:c>
      <x:c r="T251" s="11" t="n">
        <x:v>46</x:v>
      </x:c>
      <x:c r="U251" s="11" t="n">
        <x:v>1</x:v>
      </x:c>
      <x:c r="V251" s="11" t="n">
        <x:v>0</x:v>
      </x:c>
      <x:c r="W251" s="11" t="n">
        <x:v>7</x:v>
      </x:c>
      <x:c r="X251" s="11" t="n">
        <x:v>0</x:v>
      </x:c>
      <x:c r="Y251" s="11" t="n">
        <x:v>10304</x:v>
      </x:c>
      <x:c r="Z251" s="11" t="n">
        <x:v>8253078</x:v>
      </x:c>
      <x:c r="AA251" s="11" t="n">
        <x:v>9497741</x:v>
      </x:c>
      <x:c r="AB251" s="11" t="n">
        <x:v>15432959</x:v>
      </x:c>
      <x:c r="AC251" s="11" t="n">
        <x:v>3256484</x:v>
      </x:c>
      <x:c r="AD251" s="11" t="n">
        <x:v>598858</x:v>
      </x:c>
      <x:c r="AE251" s="11" t="n">
        <x:v>2838</x:v>
      </x:c>
      <x:c r="AF251" s="11" t="n">
        <x:v>0</x:v>
      </x:c>
      <x:c r="AG251" s="11" t="n">
        <x:v>16358</x:v>
      </x:c>
      <x:c r="AH251" s="11" t="n">
        <x:v>0</x:v>
      </x:c>
    </x:row>
    <x:row r="252" ht="23" customHeight="1">
      <x:c r="A252" s="10" t="str">
        <x:v>M11</x:v>
      </x:c>
      <x:c r="B252" s="10" t="str">
        <x:v>CG_HT</x:v>
      </x:c>
      <x:c r="C252" s="9" t="str">
        <x:v>仅拓扑与尺度</x:v>
      </x:c>
      <x:c r="D252" s="11" t="n">
        <x:v>15723</x:v>
      </x:c>
      <x:c r="E252" s="11" t="n">
        <x:v>11243</x:v>
      </x:c>
      <x:c r="F252" s="11" t="n">
        <x:v>11243</x:v>
      </x:c>
      <x:c r="G252" s="11" t="n">
        <x:v>0</x:v>
      </x:c>
      <x:c r="H252" s="11" t="n">
        <x:v>9522</x:v>
      </x:c>
      <x:c r="I252" s="11" t="n">
        <x:v>37068620</x:v>
      </x:c>
      <x:c r="J252" s="11" t="n">
        <x:v>6209350.459445512</x:v>
      </x:c>
      <x:c r="K252" s="12" t="n">
        <x:f>E252/D252</x:f>
        <x:v>0.7150670991541055</x:v>
      </x:c>
      <x:c r="L252" s="12" t="n">
        <x:f>F252/D252</x:f>
        <x:v>0.7150670991541055</x:v>
      </x:c>
      <x:c r="M252" s="12" t="n">
        <x:f>G252/D252</x:f>
        <x:v>0</x:v>
      </x:c>
      <x:c r="N252" s="12" t="n">
        <x:f>J252/I252</x:f>
        <x:v>0.1675096202514556</x:v>
      </x:c>
      <x:c r="O252" s="11" t="n">
        <x:v>28</x:v>
      </x:c>
      <x:c r="P252" s="11" t="n">
        <x:v>7040</x:v>
      </x:c>
      <x:c r="Q252" s="11" t="n">
        <x:v>5651</x:v>
      </x:c>
      <x:c r="R252" s="11" t="n">
        <x:v>2386</x:v>
      </x:c>
      <x:c r="S252" s="11" t="n">
        <x:v>555</x:v>
      </x:c>
      <x:c r="T252" s="11" t="n">
        <x:v>55</x:v>
      </x:c>
      <x:c r="U252" s="11" t="n">
        <x:v>1</x:v>
      </x:c>
      <x:c r="V252" s="11" t="n">
        <x:v>0</x:v>
      </x:c>
      <x:c r="W252" s="11" t="n">
        <x:v>7</x:v>
      </x:c>
      <x:c r="X252" s="11" t="n">
        <x:v>0</x:v>
      </x:c>
      <x:c r="Y252" s="11" t="n">
        <x:v>10304</x:v>
      </x:c>
      <x:c r="Z252" s="11" t="n">
        <x:v>4787596</x:v>
      </x:c>
      <x:c r="AA252" s="11" t="n">
        <x:v>11838209</x:v>
      </x:c>
      <x:c r="AB252" s="11" t="n">
        <x:v>16017473</x:v>
      </x:c>
      <x:c r="AC252" s="11" t="n">
        <x:v>3764088</x:v>
      </x:c>
      <x:c r="AD252" s="11" t="n">
        <x:v>631754</x:v>
      </x:c>
      <x:c r="AE252" s="11" t="n">
        <x:v>2838</x:v>
      </x:c>
      <x:c r="AF252" s="11" t="n">
        <x:v>0</x:v>
      </x:c>
      <x:c r="AG252" s="11" t="n">
        <x:v>16358</x:v>
      </x:c>
      <x:c r="AH252" s="11" t="n">
        <x:v>0</x:v>
      </x:c>
    </x:row>
    <x:row r="253" ht="23" customHeight="1">
      <x:c r="A253" s="10" t="str">
        <x:v>M11</x:v>
      </x:c>
      <x:c r="B253" s="10" t="str">
        <x:v>CG_H1</x:v>
      </x:c>
      <x:c r="C253" s="9" t="str">
        <x:v>主对照</x:v>
      </x:c>
      <x:c r="D253" s="11" t="n">
        <x:v>15723</x:v>
      </x:c>
      <x:c r="E253" s="11" t="n">
        <x:v>11243</x:v>
      </x:c>
      <x:c r="F253" s="11" t="n">
        <x:v>11243</x:v>
      </x:c>
      <x:c r="G253" s="11" t="n">
        <x:v>0</x:v>
      </x:c>
      <x:c r="H253" s="11" t="n">
        <x:v>9716</x:v>
      </x:c>
      <x:c r="I253" s="11" t="n">
        <x:v>37068620</x:v>
      </x:c>
      <x:c r="J253" s="11" t="n">
        <x:v>6219843.059445512</x:v>
      </x:c>
      <x:c r="K253" s="12" t="n">
        <x:f>E253/D253</x:f>
        <x:v>0.7150670991541055</x:v>
      </x:c>
      <x:c r="L253" s="12" t="n">
        <x:f>F253/D253</x:f>
        <x:v>0.7150670991541055</x:v>
      </x:c>
      <x:c r="M253" s="12" t="n">
        <x:f>G253/D253</x:f>
        <x:v>0</x:v>
      </x:c>
      <x:c r="N253" s="12" t="n">
        <x:f>J253/I253</x:f>
        <x:v>0.16779267907587364</x:v>
      </x:c>
      <x:c r="O253" s="11" t="n">
        <x:v>28</x:v>
      </x:c>
      <x:c r="P253" s="11" t="n">
        <x:v>6854</x:v>
      </x:c>
      <x:c r="Q253" s="11" t="n">
        <x:v>5650</x:v>
      </x:c>
      <x:c r="R253" s="11" t="n">
        <x:v>2386</x:v>
      </x:c>
      <x:c r="S253" s="11" t="n">
        <x:v>555</x:v>
      </x:c>
      <x:c r="T253" s="11" t="n">
        <x:v>55</x:v>
      </x:c>
      <x:c r="U253" s="11" t="n">
        <x:v>188</x:v>
      </x:c>
      <x:c r="V253" s="11" t="n">
        <x:v>0</x:v>
      </x:c>
      <x:c r="W253" s="11" t="n">
        <x:v>7</x:v>
      </x:c>
      <x:c r="X253" s="11" t="n">
        <x:v>0</x:v>
      </x:c>
      <x:c r="Y253" s="11" t="n">
        <x:v>10304</x:v>
      </x:c>
      <x:c r="Z253" s="11" t="n">
        <x:v>4737914</x:v>
      </x:c>
      <x:c r="AA253" s="11" t="n">
        <x:v>11835119</x:v>
      </x:c>
      <x:c r="AB253" s="11" t="n">
        <x:v>16017473</x:v>
      </x:c>
      <x:c r="AC253" s="11" t="n">
        <x:v>3764088</x:v>
      </x:c>
      <x:c r="AD253" s="11" t="n">
        <x:v>631754</x:v>
      </x:c>
      <x:c r="AE253" s="11" t="n">
        <x:v>55610</x:v>
      </x:c>
      <x:c r="AF253" s="11" t="n">
        <x:v>0</x:v>
      </x:c>
      <x:c r="AG253" s="11" t="n">
        <x:v>16358</x:v>
      </x:c>
      <x:c r="AH253" s="11" t="n">
        <x:v>0</x:v>
      </x:c>
    </x:row>
    <x:row r="254" ht="23" customHeight="1">
      <x:c r="A254" s="10" t="str">
        <x:v>M11</x:v>
      </x:c>
      <x:c r="B254" s="10" t="str">
        <x:v>NCG_H0</x:v>
      </x:c>
      <x:c r="C254" s="9" t="str">
        <x:v>主对照</x:v>
      </x:c>
      <x:c r="D254" s="11" t="n">
        <x:v>15723</x:v>
      </x:c>
      <x:c r="E254" s="11" t="n">
        <x:v>9082</x:v>
      </x:c>
      <x:c r="F254" s="11" t="n">
        <x:v>10405</x:v>
      </x:c>
      <x:c r="G254" s="11" t="n">
        <x:v>2873</x:v>
      </x:c>
      <x:c r="H254" s="11" t="n">
        <x:v>8753</x:v>
      </x:c>
      <x:c r="I254" s="11" t="n">
        <x:v>37068620</x:v>
      </x:c>
      <x:c r="J254" s="11" t="n">
        <x:v>6890482.639445538</x:v>
      </x:c>
      <x:c r="K254" s="12" t="n">
        <x:f>E254/D254</x:f>
        <x:v>0.5776251351523246</x:v>
      </x:c>
      <x:c r="L254" s="12" t="n">
        <x:f>F254/D254</x:f>
        <x:v>0.6617693824333779</x:v>
      </x:c>
      <x:c r="M254" s="12" t="n">
        <x:f>G254/D254</x:f>
        <x:v>0.18272594288621763</x:v>
      </x:c>
      <x:c r="N254" s="12" t="n">
        <x:f>J254/I254</x:f>
        <x:v>0.18588452009936</x:v>
      </x:c>
      <x:c r="O254" s="11" t="n">
        <x:v>28</x:v>
      </x:c>
      <x:c r="P254" s="11" t="n">
        <x:v>6307</x:v>
      </x:c>
      <x:c r="Q254" s="11" t="n">
        <x:v>5577</x:v>
      </x:c>
      <x:c r="R254" s="11" t="n">
        <x:v>2081</x:v>
      </x:c>
      <x:c r="S254" s="11" t="n">
        <x:v>453</x:v>
      </x:c>
      <x:c r="T254" s="11" t="n">
        <x:v>111</x:v>
      </x:c>
      <x:c r="U254" s="11" t="n">
        <x:v>250</x:v>
      </x:c>
      <x:c r="V254" s="11" t="n">
        <x:v>467</x:v>
      </x:c>
      <x:c r="W254" s="11" t="n">
        <x:v>449</x:v>
      </x:c>
      <x:c r="X254" s="11" t="n">
        <x:v>0</x:v>
      </x:c>
      <x:c r="Y254" s="11" t="n">
        <x:v>10304</x:v>
      </x:c>
      <x:c r="Z254" s="11" t="n">
        <x:v>4536590</x:v>
      </x:c>
      <x:c r="AA254" s="11" t="n">
        <x:v>9951343</x:v>
      </x:c>
      <x:c r="AB254" s="11" t="n">
        <x:v>15332058</x:v>
      </x:c>
      <x:c r="AC254" s="11" t="n">
        <x:v>3281326</x:v>
      </x:c>
      <x:c r="AD254" s="11" t="n">
        <x:v>818104</x:v>
      </x:c>
      <x:c r="AE254" s="11" t="n">
        <x:v>542265</x:v>
      </x:c>
      <x:c r="AF254" s="11" t="n">
        <x:v>1564286</x:v>
      </x:c>
      <x:c r="AG254" s="11" t="n">
        <x:v>1032344</x:v>
      </x:c>
      <x:c r="AH254" s="11" t="n">
        <x:v>0</x:v>
      </x:c>
    </x:row>
    <x:row r="255" ht="23" customHeight="1">
      <x:c r="A255" s="10" t="str">
        <x:v>M11</x:v>
      </x:c>
      <x:c r="B255" s="10" t="str">
        <x:v>NCG_HT</x:v>
      </x:c>
      <x:c r="C255" s="9" t="str">
        <x:v>仅拓扑与尺度</x:v>
      </x:c>
      <x:c r="D255" s="11" t="n">
        <x:v>15723</x:v>
      </x:c>
      <x:c r="E255" s="11" t="n">
        <x:v>9091</x:v>
      </x:c>
      <x:c r="F255" s="11" t="n">
        <x:v>10414</x:v>
      </x:c>
      <x:c r="G255" s="11" t="n">
        <x:v>2873</x:v>
      </x:c>
      <x:c r="H255" s="11" t="n">
        <x:v>8762</x:v>
      </x:c>
      <x:c r="I255" s="11" t="n">
        <x:v>37068620</x:v>
      </x:c>
      <x:c r="J255" s="11" t="n">
        <x:v>6968195.5194455255</x:v>
      </x:c>
      <x:c r="K255" s="12" t="n">
        <x:f>E255/D255</x:f>
        <x:v>0.578197544997774</x:v>
      </x:c>
      <x:c r="L255" s="12" t="n">
        <x:f>F255/D255</x:f>
        <x:v>0.6623417922788272</x:v>
      </x:c>
      <x:c r="M255" s="12" t="n">
        <x:f>G255/D255</x:f>
        <x:v>0.18272594288621763</x:v>
      </x:c>
      <x:c r="N255" s="12" t="n">
        <x:f>J255/I255</x:f>
        <x:v>0.18798098012403822</x:v>
      </x:c>
      <x:c r="O255" s="11" t="n">
        <x:v>28</x:v>
      </x:c>
      <x:c r="P255" s="11" t="n">
        <x:v>5215</x:v>
      </x:c>
      <x:c r="Q255" s="11" t="n">
        <x:v>5797</x:v>
      </x:c>
      <x:c r="R255" s="11" t="n">
        <x:v>2806</x:v>
      </x:c>
      <x:c r="S255" s="11" t="n">
        <x:v>593</x:v>
      </x:c>
      <x:c r="T255" s="11" t="n">
        <x:v>118</x:v>
      </x:c>
      <x:c r="U255" s="11" t="n">
        <x:v>250</x:v>
      </x:c>
      <x:c r="V255" s="11" t="n">
        <x:v>467</x:v>
      </x:c>
      <x:c r="W255" s="11" t="n">
        <x:v>449</x:v>
      </x:c>
      <x:c r="X255" s="11" t="n">
        <x:v>0</x:v>
      </x:c>
      <x:c r="Y255" s="11" t="n">
        <x:v>10304</x:v>
      </x:c>
      <x:c r="Z255" s="11" t="n">
        <x:v>3311578</x:v>
      </x:c>
      <x:c r="AA255" s="11" t="n">
        <x:v>10465979</x:v>
      </x:c>
      <x:c r="AB255" s="11" t="n">
        <x:v>15652282</x:v>
      </x:c>
      <x:c r="AC255" s="11" t="n">
        <x:v>3636766</x:v>
      </x:c>
      <x:c r="AD255" s="11" t="n">
        <x:v>852816</x:v>
      </x:c>
      <x:c r="AE255" s="11" t="n">
        <x:v>542265</x:v>
      </x:c>
      <x:c r="AF255" s="11" t="n">
        <x:v>1564286</x:v>
      </x:c>
      <x:c r="AG255" s="11" t="n">
        <x:v>1032344</x:v>
      </x:c>
      <x:c r="AH255" s="11" t="n">
        <x:v>0</x:v>
      </x:c>
    </x:row>
    <x:row r="256" ht="23" customHeight="1">
      <x:c r="A256" s="10" t="str">
        <x:v>M11</x:v>
      </x:c>
      <x:c r="B256" s="10" t="str">
        <x:v>NCG_H1</x:v>
      </x:c>
      <x:c r="C256" s="9" t="str">
        <x:v>主对照</x:v>
      </x:c>
      <x:c r="D256" s="11" t="n">
        <x:v>15723</x:v>
      </x:c>
      <x:c r="E256" s="11" t="n">
        <x:v>9091</x:v>
      </x:c>
      <x:c r="F256" s="11" t="n">
        <x:v>10414</x:v>
      </x:c>
      <x:c r="G256" s="11" t="n">
        <x:v>2873</x:v>
      </x:c>
      <x:c r="H256" s="11" t="n">
        <x:v>9929</x:v>
      </x:c>
      <x:c r="I256" s="11" t="n">
        <x:v>37068620</x:v>
      </x:c>
      <x:c r="J256" s="11" t="n">
        <x:v>7018118.319445519</x:v>
      </x:c>
      <x:c r="K256" s="12" t="n">
        <x:f>E256/D256</x:f>
        <x:v>0.578197544997774</x:v>
      </x:c>
      <x:c r="L256" s="12" t="n">
        <x:f>F256/D256</x:f>
        <x:v>0.6623417922788272</x:v>
      </x:c>
      <x:c r="M256" s="12" t="n">
        <x:f>G256/D256</x:f>
        <x:v>0.18272594288621763</x:v>
      </x:c>
      <x:c r="N256" s="12" t="n">
        <x:f>J256/I256</x:f>
        <x:v>0.18932774728181193</x:v>
      </x:c>
      <x:c r="O256" s="11" t="n">
        <x:v>28</x:v>
      </x:c>
      <x:c r="P256" s="11" t="n">
        <x:v>5041</x:v>
      </x:c>
      <x:c r="Q256" s="11" t="n">
        <x:v>5539</x:v>
      </x:c>
      <x:c r="R256" s="11" t="n">
        <x:v>2799</x:v>
      </x:c>
      <x:c r="S256" s="11" t="n">
        <x:v>593</x:v>
      </x:c>
      <x:c r="T256" s="11" t="n">
        <x:v>291</x:v>
      </x:c>
      <x:c r="U256" s="11" t="n">
        <x:v>516</x:v>
      </x:c>
      <x:c r="V256" s="11" t="n">
        <x:v>467</x:v>
      </x:c>
      <x:c r="W256" s="11" t="n">
        <x:v>449</x:v>
      </x:c>
      <x:c r="X256" s="11" t="n">
        <x:v>0</x:v>
      </x:c>
      <x:c r="Y256" s="11" t="n">
        <x:v>10304</x:v>
      </x:c>
      <x:c r="Z256" s="11" t="n">
        <x:v>3230048</x:v>
      </x:c>
      <x:c r="AA256" s="11" t="n">
        <x:v>10349957</x:v>
      </x:c>
      <x:c r="AB256" s="11" t="n">
        <x:v>15486832</x:v>
      </x:c>
      <x:c r="AC256" s="11" t="n">
        <x:v>3636766</x:v>
      </x:c>
      <x:c r="AD256" s="11" t="n">
        <x:v>1113570</x:v>
      </x:c>
      <x:c r="AE256" s="11" t="n">
        <x:v>644513</x:v>
      </x:c>
      <x:c r="AF256" s="11" t="n">
        <x:v>1564286</x:v>
      </x:c>
      <x:c r="AG256" s="11" t="n">
        <x:v>1032344</x:v>
      </x:c>
      <x:c r="AH256" s="11" t="n">
        <x:v>0</x:v>
      </x:c>
    </x:row>
    <x:row r="257" ht="23" customHeight="1">
      <x:c r="A257" s="10" t="str">
        <x:v>M11</x:v>
      </x:c>
      <x:c r="B257" s="10" t="str">
        <x:v>NCG_H0_M1</x:v>
      </x:c>
      <x:c r="C257" s="9" t="str">
        <x:v>叶名称辅助</x:v>
      </x:c>
      <x:c r="D257" s="11" t="n">
        <x:v>15723</x:v>
      </x:c>
      <x:c r="E257" s="11" t="n">
        <x:v>7174</x:v>
      </x:c>
      <x:c r="F257" s="11" t="n">
        <x:v>8070</x:v>
      </x:c>
      <x:c r="G257" s="11" t="n">
        <x:v>2873</x:v>
      </x:c>
      <x:c r="H257" s="11" t="n">
        <x:v>10989</x:v>
      </x:c>
      <x:c r="I257" s="11" t="n">
        <x:v>37068620</x:v>
      </x:c>
      <x:c r="J257" s="11" t="n">
        <x:v>8149070.639445517</x:v>
      </x:c>
      <x:c r="K257" s="12" t="n">
        <x:f>E257/D257</x:f>
        <x:v>0.45627424791706417</x:v>
      </x:c>
      <x:c r="L257" s="12" t="n">
        <x:f>F257/D257</x:f>
        <x:v>0.5132608280862431</x:v>
      </x:c>
      <x:c r="M257" s="12" t="n">
        <x:f>G257/D257</x:f>
        <x:v>0.18272594288621763</x:v>
      </x:c>
      <x:c r="N257" s="12" t="n">
        <x:f>J257/I257</x:f>
        <x:v>0.21983744308381367</x:v>
      </x:c>
      <x:c r="O257" s="11" t="n">
        <x:v>28</x:v>
      </x:c>
      <x:c r="P257" s="11" t="n">
        <x:v>5665</x:v>
      </x:c>
      <x:c r="Q257" s="11" t="n">
        <x:v>4849</x:v>
      </x:c>
      <x:c r="R257" s="11" t="n">
        <x:v>2030</x:v>
      </x:c>
      <x:c r="S257" s="11" t="n">
        <x:v>451</x:v>
      </x:c>
      <x:c r="T257" s="11" t="n">
        <x:v>95</x:v>
      </x:c>
      <x:c r="U257" s="11" t="n">
        <x:v>358</x:v>
      </x:c>
      <x:c r="V257" s="11" t="n">
        <x:v>730</x:v>
      </x:c>
      <x:c r="W257" s="11" t="n">
        <x:v>1502</x:v>
      </x:c>
      <x:c r="X257" s="11" t="n">
        <x:v>15</x:v>
      </x:c>
      <x:c r="Y257" s="11" t="n">
        <x:v>10304</x:v>
      </x:c>
      <x:c r="Z257" s="11" t="n">
        <x:v>4031050</x:v>
      </x:c>
      <x:c r="AA257" s="11" t="n">
        <x:v>6813103</x:v>
      </x:c>
      <x:c r="AB257" s="11" t="n">
        <x:v>13944694</x:v>
      </x:c>
      <x:c r="AC257" s="11" t="n">
        <x:v>3304260</x:v>
      </x:c>
      <x:c r="AD257" s="11" t="n">
        <x:v>788902</x:v>
      </x:c>
      <x:c r="AE257" s="11" t="n">
        <x:v>733259</x:v>
      </x:c>
      <x:c r="AF257" s="11" t="n">
        <x:v>3067684</x:v>
      </x:c>
      <x:c r="AG257" s="11" t="n">
        <x:v>4317932</x:v>
      </x:c>
      <x:c r="AH257" s="11" t="n">
        <x:v>57432</x:v>
      </x:c>
    </x:row>
    <x:row r="258" ht="23" customHeight="1">
      <x:c r="A258" s="10" t="str">
        <x:v>M11</x:v>
      </x:c>
      <x:c r="B258" s="10" t="str">
        <x:v>NCG_H1_M1</x:v>
      </x:c>
      <x:c r="C258" s="9" t="str">
        <x:v>叶名称辅助</x:v>
      </x:c>
      <x:c r="D258" s="11" t="n">
        <x:v>15723</x:v>
      </x:c>
      <x:c r="E258" s="11" t="n">
        <x:v>7183</x:v>
      </x:c>
      <x:c r="F258" s="11" t="n">
        <x:v>8079</x:v>
      </x:c>
      <x:c r="G258" s="11" t="n">
        <x:v>2873</x:v>
      </x:c>
      <x:c r="H258" s="11" t="n">
        <x:v>11664</x:v>
      </x:c>
      <x:c r="I258" s="11" t="n">
        <x:v>37068620</x:v>
      </x:c>
      <x:c r="J258" s="11" t="n">
        <x:v>8339451.639445508</x:v>
      </x:c>
      <x:c r="K258" s="12" t="n">
        <x:f>E258/D258</x:f>
        <x:v>0.45684665776251354</x:v>
      </x:c>
      <x:c r="L258" s="12" t="n">
        <x:f>F258/D258</x:f>
        <x:v>0.5138332379316924</x:v>
      </x:c>
      <x:c r="M258" s="12" t="n">
        <x:f>G258/D258</x:f>
        <x:v>0.18272594288621763</x:v>
      </x:c>
      <x:c r="N258" s="12" t="n">
        <x:f>J258/I258</x:f>
        <x:v>0.22497335049013176</x:v>
      </x:c>
      <x:c r="O258" s="11" t="n">
        <x:v>28</x:v>
      </x:c>
      <x:c r="P258" s="11" t="n">
        <x:v>4693</x:v>
      </x:c>
      <x:c r="Q258" s="11" t="n">
        <x:v>4174</x:v>
      </x:c>
      <x:c r="R258" s="11" t="n">
        <x:v>2688</x:v>
      </x:c>
      <x:c r="S258" s="11" t="n">
        <x:v>578</x:v>
      </x:c>
      <x:c r="T258" s="11" t="n">
        <x:v>637</x:v>
      </x:c>
      <x:c r="U258" s="11" t="n">
        <x:v>678</x:v>
      </x:c>
      <x:c r="V258" s="11" t="n">
        <x:v>730</x:v>
      </x:c>
      <x:c r="W258" s="11" t="n">
        <x:v>1502</x:v>
      </x:c>
      <x:c r="X258" s="11" t="n">
        <x:v>15</x:v>
      </x:c>
      <x:c r="Y258" s="11" t="n">
        <x:v>10304</x:v>
      </x:c>
      <x:c r="Z258" s="11" t="n">
        <x:v>3027552</x:v>
      </x:c>
      <x:c r="AA258" s="11" t="n">
        <x:v>6558907</x:v>
      </x:c>
      <x:c r="AB258" s="11" t="n">
        <x:v>13966836</x:v>
      </x:c>
      <x:c r="AC258" s="11" t="n">
        <x:v>3540754</x:v>
      </x:c>
      <x:c r="AD258" s="11" t="n">
        <x:v>1640264</x:v>
      </x:c>
      <x:c r="AE258" s="11" t="n">
        <x:v>880955</x:v>
      </x:c>
      <x:c r="AF258" s="11" t="n">
        <x:v>3067684</x:v>
      </x:c>
      <x:c r="AG258" s="11" t="n">
        <x:v>4317932</x:v>
      </x:c>
      <x:c r="AH258" s="11" t="n">
        <x:v>57432</x:v>
      </x:c>
    </x:row>
    <x:row r="259" ht="23" customHeight="1">
      <x:c r="A259" s="10" t="str">
        <x:v>M12</x:v>
      </x:c>
      <x:c r="B259" s="10" t="str">
        <x:v>N_H0</x:v>
      </x:c>
      <x:c r="C259" s="9" t="str">
        <x:v>主对照</x:v>
      </x:c>
      <x:c r="D259" s="11" t="n">
        <x:v>7163</x:v>
      </x:c>
      <x:c r="E259" s="11" t="n">
        <x:v>5025</x:v>
      </x:c>
      <x:c r="F259" s="11" t="n">
        <x:v>5328</x:v>
      </x:c>
      <x:c r="G259" s="11" t="n">
        <x:v>0</x:v>
      </x:c>
      <x:c r="H259" s="11" t="n">
        <x:v>5025</x:v>
      </x:c>
      <x:c r="I259" s="11" t="n">
        <x:v>51857040</x:v>
      </x:c>
      <x:c r="J259" s="11" t="n">
        <x:v>13119086.959999507</x:v>
      </x:c>
      <x:c r="K259" s="12" t="n">
        <x:f>E259/D259</x:f>
        <x:v>0.7015217087812369</x:v>
      </x:c>
      <x:c r="L259" s="12" t="n">
        <x:f>F259/D259</x:f>
        <x:v>0.743822420773419</x:v>
      </x:c>
      <x:c r="M259" s="12" t="n">
        <x:f>G259/D259</x:f>
        <x:v>0</x:v>
      </x:c>
      <x:c r="N259" s="12" t="n">
        <x:f>J259/I259</x:f>
        <x:v>0.25298564977868976</x:v>
      </x:c>
      <x:c r="O259" s="11" t="n">
        <x:v>0</x:v>
      </x:c>
      <x:c r="P259" s="11" t="n">
        <x:v>347</x:v>
      </x:c>
      <x:c r="Q259" s="11" t="n">
        <x:v>1085</x:v>
      </x:c>
      <x:c r="R259" s="11" t="n">
        <x:v>0</x:v>
      </x:c>
      <x:c r="S259" s="11" t="n">
        <x:v>5328</x:v>
      </x:c>
      <x:c r="T259" s="11" t="n">
        <x:v>40</x:v>
      </x:c>
      <x:c r="U259" s="11" t="n">
        <x:v>42</x:v>
      </x:c>
      <x:c r="V259" s="11" t="n">
        <x:v>71</x:v>
      </x:c>
      <x:c r="W259" s="11" t="n">
        <x:v>250</x:v>
      </x:c>
      <x:c r="X259" s="11" t="n">
        <x:v>0</x:v>
      </x:c>
      <x:c r="Y259" s="11" t="n">
        <x:v>0</x:v>
      </x:c>
      <x:c r="Z259" s="11" t="n">
        <x:v>389926</x:v>
      </x:c>
      <x:c r="AA259" s="11" t="n">
        <x:v>1831052</x:v>
      </x:c>
      <x:c r="AB259" s="11" t="n">
        <x:v>0</x:v>
      </x:c>
      <x:c r="AC259" s="11" t="n">
        <x:v>32232948</x:v>
      </x:c>
      <x:c r="AD259" s="11" t="n">
        <x:v>1705298</x:v>
      </x:c>
      <x:c r="AE259" s="11" t="n">
        <x:v>515194</x:v>
      </x:c>
      <x:c r="AF259" s="11" t="n">
        <x:v>15031082</x:v>
      </x:c>
      <x:c r="AG259" s="11" t="n">
        <x:v>151540</x:v>
      </x:c>
      <x:c r="AH259" s="11" t="n">
        <x:v>0</x:v>
      </x:c>
    </x:row>
    <x:row r="260" ht="23" customHeight="1">
      <x:c r="A260" s="10" t="str">
        <x:v>M12</x:v>
      </x:c>
      <x:c r="B260" s="10" t="str">
        <x:v>N_HT</x:v>
      </x:c>
      <x:c r="C260" s="9" t="str">
        <x:v>仅拓扑与尺度</x:v>
      </x:c>
      <x:c r="D260" s="11" t="n">
        <x:v>7163</x:v>
      </x:c>
      <x:c r="E260" s="11" t="n">
        <x:v>5025</x:v>
      </x:c>
      <x:c r="F260" s="11" t="n">
        <x:v>5328</x:v>
      </x:c>
      <x:c r="G260" s="11" t="n">
        <x:v>0</x:v>
      </x:c>
      <x:c r="H260" s="11" t="n">
        <x:v>5025</x:v>
      </x:c>
      <x:c r="I260" s="11" t="n">
        <x:v>51857040</x:v>
      </x:c>
      <x:c r="J260" s="11" t="n">
        <x:v>13119086.959999507</x:v>
      </x:c>
      <x:c r="K260" s="12" t="n">
        <x:f>E260/D260</x:f>
        <x:v>0.7015217087812369</x:v>
      </x:c>
      <x:c r="L260" s="12" t="n">
        <x:f>F260/D260</x:f>
        <x:v>0.743822420773419</x:v>
      </x:c>
      <x:c r="M260" s="12" t="n">
        <x:f>G260/D260</x:f>
        <x:v>0</x:v>
      </x:c>
      <x:c r="N260" s="12" t="n">
        <x:f>J260/I260</x:f>
        <x:v>0.25298564977868976</x:v>
      </x:c>
      <x:c r="O260" s="11" t="n">
        <x:v>0</x:v>
      </x:c>
      <x:c r="P260" s="11" t="n">
        <x:v>347</x:v>
      </x:c>
      <x:c r="Q260" s="11" t="n">
        <x:v>1085</x:v>
      </x:c>
      <x:c r="R260" s="11" t="n">
        <x:v>0</x:v>
      </x:c>
      <x:c r="S260" s="11" t="n">
        <x:v>5328</x:v>
      </x:c>
      <x:c r="T260" s="11" t="n">
        <x:v>40</x:v>
      </x:c>
      <x:c r="U260" s="11" t="n">
        <x:v>42</x:v>
      </x:c>
      <x:c r="V260" s="11" t="n">
        <x:v>71</x:v>
      </x:c>
      <x:c r="W260" s="11" t="n">
        <x:v>250</x:v>
      </x:c>
      <x:c r="X260" s="11" t="n">
        <x:v>0</x:v>
      </x:c>
      <x:c r="Y260" s="11" t="n">
        <x:v>0</x:v>
      </x:c>
      <x:c r="Z260" s="11" t="n">
        <x:v>389926</x:v>
      </x:c>
      <x:c r="AA260" s="11" t="n">
        <x:v>1831052</x:v>
      </x:c>
      <x:c r="AB260" s="11" t="n">
        <x:v>0</x:v>
      </x:c>
      <x:c r="AC260" s="11" t="n">
        <x:v>32232948</x:v>
      </x:c>
      <x:c r="AD260" s="11" t="n">
        <x:v>1705298</x:v>
      </x:c>
      <x:c r="AE260" s="11" t="n">
        <x:v>515194</x:v>
      </x:c>
      <x:c r="AF260" s="11" t="n">
        <x:v>15031082</x:v>
      </x:c>
      <x:c r="AG260" s="11" t="n">
        <x:v>151540</x:v>
      </x:c>
      <x:c r="AH260" s="11" t="n">
        <x:v>0</x:v>
      </x:c>
    </x:row>
    <x:row r="261" ht="23" customHeight="1">
      <x:c r="A261" s="10" t="str">
        <x:v>M12</x:v>
      </x:c>
      <x:c r="B261" s="10" t="str">
        <x:v>N_H1</x:v>
      </x:c>
      <x:c r="C261" s="9" t="str">
        <x:v>主对照</x:v>
      </x:c>
      <x:c r="D261" s="11" t="n">
        <x:v>7163</x:v>
      </x:c>
      <x:c r="E261" s="11" t="n">
        <x:v>5025</x:v>
      </x:c>
      <x:c r="F261" s="11" t="n">
        <x:v>5328</x:v>
      </x:c>
      <x:c r="G261" s="11" t="n">
        <x:v>0</x:v>
      </x:c>
      <x:c r="H261" s="11" t="n">
        <x:v>5038</x:v>
      </x:c>
      <x:c r="I261" s="11" t="n">
        <x:v>51857040</x:v>
      </x:c>
      <x:c r="J261" s="11" t="n">
        <x:v>13119086.959999507</x:v>
      </x:c>
      <x:c r="K261" s="12" t="n">
        <x:f>E261/D261</x:f>
        <x:v>0.7015217087812369</x:v>
      </x:c>
      <x:c r="L261" s="12" t="n">
        <x:f>F261/D261</x:f>
        <x:v>0.743822420773419</x:v>
      </x:c>
      <x:c r="M261" s="12" t="n">
        <x:f>G261/D261</x:f>
        <x:v>0</x:v>
      </x:c>
      <x:c r="N261" s="12" t="n">
        <x:f>J261/I261</x:f>
        <x:v>0.25298564977868976</x:v>
      </x:c>
      <x:c r="O261" s="11" t="n">
        <x:v>0</x:v>
      </x:c>
      <x:c r="P261" s="11" t="n">
        <x:v>347</x:v>
      </x:c>
      <x:c r="Q261" s="11" t="n">
        <x:v>1085</x:v>
      </x:c>
      <x:c r="R261" s="11" t="n">
        <x:v>0</x:v>
      </x:c>
      <x:c r="S261" s="11" t="n">
        <x:v>5328</x:v>
      </x:c>
      <x:c r="T261" s="11" t="n">
        <x:v>40</x:v>
      </x:c>
      <x:c r="U261" s="11" t="n">
        <x:v>42</x:v>
      </x:c>
      <x:c r="V261" s="11" t="n">
        <x:v>71</x:v>
      </x:c>
      <x:c r="W261" s="11" t="n">
        <x:v>250</x:v>
      </x:c>
      <x:c r="X261" s="11" t="n">
        <x:v>0</x:v>
      </x:c>
      <x:c r="Y261" s="11" t="n">
        <x:v>0</x:v>
      </x:c>
      <x:c r="Z261" s="11" t="n">
        <x:v>389926</x:v>
      </x:c>
      <x:c r="AA261" s="11" t="n">
        <x:v>1831052</x:v>
      </x:c>
      <x:c r="AB261" s="11" t="n">
        <x:v>0</x:v>
      </x:c>
      <x:c r="AC261" s="11" t="n">
        <x:v>32232948</x:v>
      </x:c>
      <x:c r="AD261" s="11" t="n">
        <x:v>1705298</x:v>
      </x:c>
      <x:c r="AE261" s="11" t="n">
        <x:v>515194</x:v>
      </x:c>
      <x:c r="AF261" s="11" t="n">
        <x:v>15031082</x:v>
      </x:c>
      <x:c r="AG261" s="11" t="n">
        <x:v>151540</x:v>
      </x:c>
      <x:c r="AH261" s="11" t="n">
        <x:v>0</x:v>
      </x:c>
    </x:row>
    <x:row r="262" ht="23" customHeight="1">
      <x:c r="A262" s="10" t="str">
        <x:v>M12</x:v>
      </x:c>
      <x:c r="B262" s="10" t="str">
        <x:v>C_H0</x:v>
      </x:c>
      <x:c r="C262" s="9" t="str">
        <x:v>主对照</x:v>
      </x:c>
      <x:c r="D262" s="11" t="n">
        <x:v>7163</x:v>
      </x:c>
      <x:c r="E262" s="11" t="n">
        <x:v>5547</x:v>
      </x:c>
      <x:c r="F262" s="11" t="n">
        <x:v>5547</x:v>
      </x:c>
      <x:c r="G262" s="11" t="n">
        <x:v>0</x:v>
      </x:c>
      <x:c r="H262" s="11" t="n">
        <x:v>4161</x:v>
      </x:c>
      <x:c r="I262" s="11" t="n">
        <x:v>51857040</x:v>
      </x:c>
      <x:c r="J262" s="11" t="n">
        <x:v>11219014.80000034</x:v>
      </x:c>
      <x:c r="K262" s="12" t="n">
        <x:f>E262/D262</x:f>
        <x:v>0.7743962027083624</x:v>
      </x:c>
      <x:c r="L262" s="12" t="n">
        <x:f>F262/D262</x:f>
        <x:v>0.7743962027083624</x:v>
      </x:c>
      <x:c r="M262" s="12" t="n">
        <x:f>G262/D262</x:f>
        <x:v>0</x:v>
      </x:c>
      <x:c r="N262" s="12" t="n">
        <x:f>J262/I262</x:f>
        <x:v>0.21634506713071822</x:v>
      </x:c>
      <x:c r="O262" s="11" t="n">
        <x:v>0</x:v>
      </x:c>
      <x:c r="P262" s="11" t="n">
        <x:v>1616</x:v>
      </x:c>
      <x:c r="Q262" s="11" t="n">
        <x:v>0</x:v>
      </x:c>
      <x:c r="R262" s="11" t="n">
        <x:v>0</x:v>
      </x:c>
      <x:c r="S262" s="11" t="n">
        <x:v>5547</x:v>
      </x:c>
      <x:c r="T262" s="11" t="n">
        <x:v>0</x:v>
      </x:c>
      <x:c r="U262" s="11" t="n">
        <x:v>0</x:v>
      </x:c>
      <x:c r="V262" s="11" t="n">
        <x:v>0</x:v>
      </x:c>
      <x:c r="W262" s="11" t="n">
        <x:v>0</x:v>
      </x:c>
      <x:c r="X262" s="11" t="n">
        <x:v>0</x:v>
      </x:c>
      <x:c r="Y262" s="11" t="n">
        <x:v>0</x:v>
      </x:c>
      <x:c r="Z262" s="11" t="n">
        <x:v>1579450</x:v>
      </x:c>
      <x:c r="AA262" s="11" t="n">
        <x:v>0</x:v>
      </x:c>
      <x:c r="AB262" s="11" t="n">
        <x:v>0</x:v>
      </x:c>
      <x:c r="AC262" s="11" t="n">
        <x:v>50277590</x:v>
      </x:c>
      <x:c r="AD262" s="11" t="n">
        <x:v>0</x:v>
      </x:c>
      <x:c r="AE262" s="11" t="n">
        <x:v>0</x:v>
      </x:c>
      <x:c r="AF262" s="11" t="n">
        <x:v>0</x:v>
      </x:c>
      <x:c r="AG262" s="11" t="n">
        <x:v>0</x:v>
      </x:c>
      <x:c r="AH262" s="11" t="n">
        <x:v>0</x:v>
      </x:c>
    </x:row>
    <x:row r="263" ht="23" customHeight="1">
      <x:c r="A263" s="10" t="str">
        <x:v>M12</x:v>
      </x:c>
      <x:c r="B263" s="10" t="str">
        <x:v>C_HT</x:v>
      </x:c>
      <x:c r="C263" s="9" t="str">
        <x:v>仅拓扑与尺度</x:v>
      </x:c>
      <x:c r="D263" s="11" t="n">
        <x:v>7163</x:v>
      </x:c>
      <x:c r="E263" s="11" t="n">
        <x:v>5547</x:v>
      </x:c>
      <x:c r="F263" s="11" t="n">
        <x:v>5547</x:v>
      </x:c>
      <x:c r="G263" s="11" t="n">
        <x:v>0</x:v>
      </x:c>
      <x:c r="H263" s="11" t="n">
        <x:v>4161</x:v>
      </x:c>
      <x:c r="I263" s="11" t="n">
        <x:v>51857040</x:v>
      </x:c>
      <x:c r="J263" s="11" t="n">
        <x:v>11219014.80000034</x:v>
      </x:c>
      <x:c r="K263" s="12" t="n">
        <x:f>E263/D263</x:f>
        <x:v>0.7743962027083624</x:v>
      </x:c>
      <x:c r="L263" s="12" t="n">
        <x:f>F263/D263</x:f>
        <x:v>0.7743962027083624</x:v>
      </x:c>
      <x:c r="M263" s="12" t="n">
        <x:f>G263/D263</x:f>
        <x:v>0</x:v>
      </x:c>
      <x:c r="N263" s="12" t="n">
        <x:f>J263/I263</x:f>
        <x:v>0.21634506713071822</x:v>
      </x:c>
      <x:c r="O263" s="11" t="n">
        <x:v>0</x:v>
      </x:c>
      <x:c r="P263" s="11" t="n">
        <x:v>1616</x:v>
      </x:c>
      <x:c r="Q263" s="11" t="n">
        <x:v>0</x:v>
      </x:c>
      <x:c r="R263" s="11" t="n">
        <x:v>0</x:v>
      </x:c>
      <x:c r="S263" s="11" t="n">
        <x:v>5547</x:v>
      </x:c>
      <x:c r="T263" s="11" t="n">
        <x:v>0</x:v>
      </x:c>
      <x:c r="U263" s="11" t="n">
        <x:v>0</x:v>
      </x:c>
      <x:c r="V263" s="11" t="n">
        <x:v>0</x:v>
      </x:c>
      <x:c r="W263" s="11" t="n">
        <x:v>0</x:v>
      </x:c>
      <x:c r="X263" s="11" t="n">
        <x:v>0</x:v>
      </x:c>
      <x:c r="Y263" s="11" t="n">
        <x:v>0</x:v>
      </x:c>
      <x:c r="Z263" s="11" t="n">
        <x:v>1579450</x:v>
      </x:c>
      <x:c r="AA263" s="11" t="n">
        <x:v>0</x:v>
      </x:c>
      <x:c r="AB263" s="11" t="n">
        <x:v>0</x:v>
      </x:c>
      <x:c r="AC263" s="11" t="n">
        <x:v>50277590</x:v>
      </x:c>
      <x:c r="AD263" s="11" t="n">
        <x:v>0</x:v>
      </x:c>
      <x:c r="AE263" s="11" t="n">
        <x:v>0</x:v>
      </x:c>
      <x:c r="AF263" s="11" t="n">
        <x:v>0</x:v>
      </x:c>
      <x:c r="AG263" s="11" t="n">
        <x:v>0</x:v>
      </x:c>
      <x:c r="AH263" s="11" t="n">
        <x:v>0</x:v>
      </x:c>
    </x:row>
    <x:row r="264" ht="23" customHeight="1">
      <x:c r="A264" s="10" t="str">
        <x:v>M12</x:v>
      </x:c>
      <x:c r="B264" s="10" t="str">
        <x:v>C_H1</x:v>
      </x:c>
      <x:c r="C264" s="9" t="str">
        <x:v>主对照</x:v>
      </x:c>
      <x:c r="D264" s="11" t="n">
        <x:v>7163</x:v>
      </x:c>
      <x:c r="E264" s="11" t="n">
        <x:v>5547</x:v>
      </x:c>
      <x:c r="F264" s="11" t="n">
        <x:v>5547</x:v>
      </x:c>
      <x:c r="G264" s="11" t="n">
        <x:v>0</x:v>
      </x:c>
      <x:c r="H264" s="11" t="n">
        <x:v>4161</x:v>
      </x:c>
      <x:c r="I264" s="11" t="n">
        <x:v>51857040</x:v>
      </x:c>
      <x:c r="J264" s="11" t="n">
        <x:v>11219014.80000034</x:v>
      </x:c>
      <x:c r="K264" s="12" t="n">
        <x:f>E264/D264</x:f>
        <x:v>0.7743962027083624</x:v>
      </x:c>
      <x:c r="L264" s="12" t="n">
        <x:f>F264/D264</x:f>
        <x:v>0.7743962027083624</x:v>
      </x:c>
      <x:c r="M264" s="12" t="n">
        <x:f>G264/D264</x:f>
        <x:v>0</x:v>
      </x:c>
      <x:c r="N264" s="12" t="n">
        <x:f>J264/I264</x:f>
        <x:v>0.21634506713071822</x:v>
      </x:c>
      <x:c r="O264" s="11" t="n">
        <x:v>0</x:v>
      </x:c>
      <x:c r="P264" s="11" t="n">
        <x:v>1616</x:v>
      </x:c>
      <x:c r="Q264" s="11" t="n">
        <x:v>0</x:v>
      </x:c>
      <x:c r="R264" s="11" t="n">
        <x:v>0</x:v>
      </x:c>
      <x:c r="S264" s="11" t="n">
        <x:v>5547</x:v>
      </x:c>
      <x:c r="T264" s="11" t="n">
        <x:v>0</x:v>
      </x:c>
      <x:c r="U264" s="11" t="n">
        <x:v>0</x:v>
      </x:c>
      <x:c r="V264" s="11" t="n">
        <x:v>0</x:v>
      </x:c>
      <x:c r="W264" s="11" t="n">
        <x:v>0</x:v>
      </x:c>
      <x:c r="X264" s="11" t="n">
        <x:v>0</x:v>
      </x:c>
      <x:c r="Y264" s="11" t="n">
        <x:v>0</x:v>
      </x:c>
      <x:c r="Z264" s="11" t="n">
        <x:v>1579450</x:v>
      </x:c>
      <x:c r="AA264" s="11" t="n">
        <x:v>0</x:v>
      </x:c>
      <x:c r="AB264" s="11" t="n">
        <x:v>0</x:v>
      </x:c>
      <x:c r="AC264" s="11" t="n">
        <x:v>50277590</x:v>
      </x:c>
      <x:c r="AD264" s="11" t="n">
        <x:v>0</x:v>
      </x:c>
      <x:c r="AE264" s="11" t="n">
        <x:v>0</x:v>
      </x:c>
      <x:c r="AF264" s="11" t="n">
        <x:v>0</x:v>
      </x:c>
      <x:c r="AG264" s="11" t="n">
        <x:v>0</x:v>
      </x:c>
      <x:c r="AH264" s="11" t="n">
        <x:v>0</x:v>
      </x:c>
    </x:row>
    <x:row r="265" ht="23" customHeight="1">
      <x:c r="A265" s="10" t="str">
        <x:v>M12</x:v>
      </x:c>
      <x:c r="B265" s="10" t="str">
        <x:v>G_H0</x:v>
      </x:c>
      <x:c r="C265" s="9" t="str">
        <x:v>主对照</x:v>
      </x:c>
      <x:c r="D265" s="11" t="n">
        <x:v>7163</x:v>
      </x:c>
      <x:c r="E265" s="11" t="n">
        <x:v>7163</x:v>
      </x:c>
      <x:c r="F265" s="11" t="n">
        <x:v>7163</x:v>
      </x:c>
      <x:c r="G265" s="11" t="n">
        <x:v>0</x:v>
      </x:c>
      <x:c r="H265" s="11" t="n">
        <x:v>7163</x:v>
      </x:c>
      <x:c r="I265" s="11" t="n">
        <x:v>51857040</x:v>
      </x:c>
      <x:c r="J265" s="11" t="n">
        <x:v>11131484.388476172</x:v>
      </x:c>
      <x:c r="K265" s="12" t="n">
        <x:f>E265/D265</x:f>
        <x:v>1</x:v>
      </x:c>
      <x:c r="L265" s="12" t="n">
        <x:f>F265/D265</x:f>
        <x:v>1</x:v>
      </x:c>
      <x:c r="M265" s="12" t="n">
        <x:f>G265/D265</x:f>
        <x:v>0</x:v>
      </x:c>
      <x:c r="N265" s="12" t="n">
        <x:f>J265/I265</x:f>
        <x:v>0.21465714951096654</x:v>
      </x:c>
      <x:c r="O265" s="11" t="n">
        <x:v>0</x:v>
      </x:c>
      <x:c r="P265" s="11" t="n">
        <x:v>5060</x:v>
      </x:c>
      <x:c r="Q265" s="11" t="n">
        <x:v>1554</x:v>
      </x:c>
      <x:c r="R265" s="11" t="n">
        <x:v>279</x:v>
      </x:c>
      <x:c r="S265" s="11" t="n">
        <x:v>250</x:v>
      </x:c>
      <x:c r="T265" s="11" t="n">
        <x:v>20</x:v>
      </x:c>
      <x:c r="U265" s="11" t="n">
        <x:v>0</x:v>
      </x:c>
      <x:c r="V265" s="11" t="n">
        <x:v>0</x:v>
      </x:c>
      <x:c r="W265" s="11" t="n">
        <x:v>0</x:v>
      </x:c>
      <x:c r="X265" s="11" t="n">
        <x:v>0</x:v>
      </x:c>
      <x:c r="Y265" s="11" t="n">
        <x:v>0</x:v>
      </x:c>
      <x:c r="Z265" s="11" t="n">
        <x:v>12587462</x:v>
      </x:c>
      <x:c r="AA265" s="11" t="n">
        <x:v>3423546</x:v>
      </x:c>
      <x:c r="AB265" s="11" t="n">
        <x:v>1908052</x:v>
      </x:c>
      <x:c r="AC265" s="11" t="n">
        <x:v>27046872</x:v>
      </x:c>
      <x:c r="AD265" s="11" t="n">
        <x:v>6891108</x:v>
      </x:c>
      <x:c r="AE265" s="11" t="n">
        <x:v>0</x:v>
      </x:c>
      <x:c r="AF265" s="11" t="n">
        <x:v>0</x:v>
      </x:c>
      <x:c r="AG265" s="11" t="n">
        <x:v>0</x:v>
      </x:c>
      <x:c r="AH265" s="11" t="n">
        <x:v>0</x:v>
      </x:c>
    </x:row>
    <x:row r="266" ht="23" customHeight="1">
      <x:c r="A266" s="10" t="str">
        <x:v>M12</x:v>
      </x:c>
      <x:c r="B266" s="10" t="str">
        <x:v>G_HT</x:v>
      </x:c>
      <x:c r="C266" s="9" t="str">
        <x:v>仅拓扑与尺度</x:v>
      </x:c>
      <x:c r="D266" s="11" t="n">
        <x:v>7163</x:v>
      </x:c>
      <x:c r="E266" s="11" t="n">
        <x:v>7163</x:v>
      </x:c>
      <x:c r="F266" s="11" t="n">
        <x:v>7163</x:v>
      </x:c>
      <x:c r="G266" s="11" t="n">
        <x:v>0</x:v>
      </x:c>
      <x:c r="H266" s="11" t="n">
        <x:v>7163</x:v>
      </x:c>
      <x:c r="I266" s="11" t="n">
        <x:v>51857040</x:v>
      </x:c>
      <x:c r="J266" s="11" t="n">
        <x:v>11494826.628476346</x:v>
      </x:c>
      <x:c r="K266" s="12" t="n">
        <x:f>E266/D266</x:f>
        <x:v>1</x:v>
      </x:c>
      <x:c r="L266" s="12" t="n">
        <x:f>F266/D266</x:f>
        <x:v>1</x:v>
      </x:c>
      <x:c r="M266" s="12" t="n">
        <x:f>G266/D266</x:f>
        <x:v>0</x:v>
      </x:c>
      <x:c r="N266" s="12" t="n">
        <x:f>J266/I266</x:f>
        <x:v>0.22166376307780672</x:v>
      </x:c>
      <x:c r="O266" s="11" t="n">
        <x:v>0</x:v>
      </x:c>
      <x:c r="P266" s="11" t="n">
        <x:v>1949</x:v>
      </x:c>
      <x:c r="Q266" s="11" t="n">
        <x:v>3971</x:v>
      </x:c>
      <x:c r="R266" s="11" t="n">
        <x:v>960</x:v>
      </x:c>
      <x:c r="S266" s="11" t="n">
        <x:v>259</x:v>
      </x:c>
      <x:c r="T266" s="11" t="n">
        <x:v>24</x:v>
      </x:c>
      <x:c r="U266" s="11" t="n">
        <x:v>0</x:v>
      </x:c>
      <x:c r="V266" s="11" t="n">
        <x:v>0</x:v>
      </x:c>
      <x:c r="W266" s="11" t="n">
        <x:v>0</x:v>
      </x:c>
      <x:c r="X266" s="11" t="n">
        <x:v>0</x:v>
      </x:c>
      <x:c r="Y266" s="11" t="n">
        <x:v>0</x:v>
      </x:c>
      <x:c r="Z266" s="11" t="n">
        <x:v>3710214</x:v>
      </x:c>
      <x:c r="AA266" s="11" t="n">
        <x:v>11717894</x:v>
      </x:c>
      <x:c r="AB266" s="11" t="n">
        <x:v>2476632</x:v>
      </x:c>
      <x:c r="AC266" s="11" t="n">
        <x:v>23020640</x:v>
      </x:c>
      <x:c r="AD266" s="11" t="n">
        <x:v>10931660</x:v>
      </x:c>
      <x:c r="AE266" s="11" t="n">
        <x:v>0</x:v>
      </x:c>
      <x:c r="AF266" s="11" t="n">
        <x:v>0</x:v>
      </x:c>
      <x:c r="AG266" s="11" t="n">
        <x:v>0</x:v>
      </x:c>
      <x:c r="AH266" s="11" t="n">
        <x:v>0</x:v>
      </x:c>
    </x:row>
    <x:row r="267" ht="23" customHeight="1">
      <x:c r="A267" s="10" t="str">
        <x:v>M12</x:v>
      </x:c>
      <x:c r="B267" s="10" t="str">
        <x:v>G_H1</x:v>
      </x:c>
      <x:c r="C267" s="9" t="str">
        <x:v>主对照</x:v>
      </x:c>
      <x:c r="D267" s="11" t="n">
        <x:v>7163</x:v>
      </x:c>
      <x:c r="E267" s="11" t="n">
        <x:v>7163</x:v>
      </x:c>
      <x:c r="F267" s="11" t="n">
        <x:v>7163</x:v>
      </x:c>
      <x:c r="G267" s="11" t="n">
        <x:v>0</x:v>
      </x:c>
      <x:c r="H267" s="11" t="n">
        <x:v>7163</x:v>
      </x:c>
      <x:c r="I267" s="11" t="n">
        <x:v>51857040</x:v>
      </x:c>
      <x:c r="J267" s="11" t="n">
        <x:v>11494826.628476346</x:v>
      </x:c>
      <x:c r="K267" s="12" t="n">
        <x:f>E267/D267</x:f>
        <x:v>1</x:v>
      </x:c>
      <x:c r="L267" s="12" t="n">
        <x:f>F267/D267</x:f>
        <x:v>1</x:v>
      </x:c>
      <x:c r="M267" s="12" t="n">
        <x:f>G267/D267</x:f>
        <x:v>0</x:v>
      </x:c>
      <x:c r="N267" s="12" t="n">
        <x:f>J267/I267</x:f>
        <x:v>0.22166376307780672</x:v>
      </x:c>
      <x:c r="O267" s="11" t="n">
        <x:v>0</x:v>
      </x:c>
      <x:c r="P267" s="11" t="n">
        <x:v>1949</x:v>
      </x:c>
      <x:c r="Q267" s="11" t="n">
        <x:v>3971</x:v>
      </x:c>
      <x:c r="R267" s="11" t="n">
        <x:v>960</x:v>
      </x:c>
      <x:c r="S267" s="11" t="n">
        <x:v>259</x:v>
      </x:c>
      <x:c r="T267" s="11" t="n">
        <x:v>24</x:v>
      </x:c>
      <x:c r="U267" s="11" t="n">
        <x:v>0</x:v>
      </x:c>
      <x:c r="V267" s="11" t="n">
        <x:v>0</x:v>
      </x:c>
      <x:c r="W267" s="11" t="n">
        <x:v>0</x:v>
      </x:c>
      <x:c r="X267" s="11" t="n">
        <x:v>0</x:v>
      </x:c>
      <x:c r="Y267" s="11" t="n">
        <x:v>0</x:v>
      </x:c>
      <x:c r="Z267" s="11" t="n">
        <x:v>3710214</x:v>
      </x:c>
      <x:c r="AA267" s="11" t="n">
        <x:v>11717894</x:v>
      </x:c>
      <x:c r="AB267" s="11" t="n">
        <x:v>2476632</x:v>
      </x:c>
      <x:c r="AC267" s="11" t="n">
        <x:v>23020640</x:v>
      </x:c>
      <x:c r="AD267" s="11" t="n">
        <x:v>10931660</x:v>
      </x:c>
      <x:c r="AE267" s="11" t="n">
        <x:v>0</x:v>
      </x:c>
      <x:c r="AF267" s="11" t="n">
        <x:v>0</x:v>
      </x:c>
      <x:c r="AG267" s="11" t="n">
        <x:v>0</x:v>
      </x:c>
      <x:c r="AH267" s="11" t="n">
        <x:v>0</x:v>
      </x:c>
    </x:row>
    <x:row r="268" ht="23" customHeight="1">
      <x:c r="A268" s="10" t="str">
        <x:v>M12</x:v>
      </x:c>
      <x:c r="B268" s="10" t="str">
        <x:v>NC_H0</x:v>
      </x:c>
      <x:c r="C268" s="9" t="str">
        <x:v>主对照</x:v>
      </x:c>
      <x:c r="D268" s="11" t="n">
        <x:v>7163</x:v>
      </x:c>
      <x:c r="E268" s="11" t="n">
        <x:v>4105</x:v>
      </x:c>
      <x:c r="F268" s="11" t="n">
        <x:v>4374</x:v>
      </x:c>
      <x:c r="G268" s="11" t="n">
        <x:v>977</x:v>
      </x:c>
      <x:c r="H268" s="11" t="n">
        <x:v>3643</x:v>
      </x:c>
      <x:c r="I268" s="11" t="n">
        <x:v>51857040</x:v>
      </x:c>
      <x:c r="J268" s="11" t="n">
        <x:v>13080084.519999893</x:v>
      </x:c>
      <x:c r="K268" s="12" t="n">
        <x:f>E268/D268</x:f>
        <x:v>0.5730839033924333</x:v>
      </x:c>
      <x:c r="L268" s="12" t="n">
        <x:f>F268/D268</x:f>
        <x:v>0.6106380008376379</x:v>
      </x:c>
      <x:c r="M268" s="12" t="n">
        <x:f>G268/D268</x:f>
        <x:v>0.13639536507050118</x:v>
      </x:c>
      <x:c r="N268" s="12" t="n">
        <x:f>J268/I268</x:f>
        <x:v>0.2522335351188555</x:v>
      </x:c>
      <x:c r="O268" s="11" t="n">
        <x:v>0</x:v>
      </x:c>
      <x:c r="P268" s="11" t="n">
        <x:v>1613</x:v>
      </x:c>
      <x:c r="Q268" s="11" t="n">
        <x:v>789</x:v>
      </x:c>
      <x:c r="R268" s="11" t="n">
        <x:v>0</x:v>
      </x:c>
      <x:c r="S268" s="11" t="n">
        <x:v>4374</x:v>
      </x:c>
      <x:c r="T268" s="11" t="n">
        <x:v>40</x:v>
      </x:c>
      <x:c r="U268" s="11" t="n">
        <x:v>28</x:v>
      </x:c>
      <x:c r="V268" s="11" t="n">
        <x:v>69</x:v>
      </x:c>
      <x:c r="W268" s="11" t="n">
        <x:v>250</x:v>
      </x:c>
      <x:c r="X268" s="11" t="n">
        <x:v>0</x:v>
      </x:c>
      <x:c r="Y268" s="11" t="n">
        <x:v>0</x:v>
      </x:c>
      <x:c r="Z268" s="11" t="n">
        <x:v>1608638</x:v>
      </x:c>
      <x:c r="AA268" s="11" t="n">
        <x:v>687590</x:v>
      </x:c>
      <x:c r="AB268" s="11" t="n">
        <x:v>0</x:v>
      </x:c>
      <x:c r="AC268" s="11" t="n">
        <x:v>32240810</x:v>
      </x:c>
      <x:c r="AD268" s="11" t="n">
        <x:v>1705298</x:v>
      </x:c>
      <x:c r="AE268" s="11" t="n">
        <x:v>443438</x:v>
      </x:c>
      <x:c r="AF268" s="11" t="n">
        <x:v>15019726</x:v>
      </x:c>
      <x:c r="AG268" s="11" t="n">
        <x:v>151540</x:v>
      </x:c>
      <x:c r="AH268" s="11" t="n">
        <x:v>0</x:v>
      </x:c>
    </x:row>
    <x:row r="269" ht="23" customHeight="1">
      <x:c r="A269" s="10" t="str">
        <x:v>M12</x:v>
      </x:c>
      <x:c r="B269" s="10" t="str">
        <x:v>NC_HT</x:v>
      </x:c>
      <x:c r="C269" s="9" t="str">
        <x:v>仅拓扑与尺度</x:v>
      </x:c>
      <x:c r="D269" s="11" t="n">
        <x:v>7163</x:v>
      </x:c>
      <x:c r="E269" s="11" t="n">
        <x:v>4105</x:v>
      </x:c>
      <x:c r="F269" s="11" t="n">
        <x:v>4374</x:v>
      </x:c>
      <x:c r="G269" s="11" t="n">
        <x:v>977</x:v>
      </x:c>
      <x:c r="H269" s="11" t="n">
        <x:v>3643</x:v>
      </x:c>
      <x:c r="I269" s="11" t="n">
        <x:v>51857040</x:v>
      </x:c>
      <x:c r="J269" s="11" t="n">
        <x:v>13080084.519999893</x:v>
      </x:c>
      <x:c r="K269" s="12" t="n">
        <x:f>E269/D269</x:f>
        <x:v>0.5730839033924333</x:v>
      </x:c>
      <x:c r="L269" s="12" t="n">
        <x:f>F269/D269</x:f>
        <x:v>0.6106380008376379</x:v>
      </x:c>
      <x:c r="M269" s="12" t="n">
        <x:f>G269/D269</x:f>
        <x:v>0.13639536507050118</x:v>
      </x:c>
      <x:c r="N269" s="12" t="n">
        <x:f>J269/I269</x:f>
        <x:v>0.2522335351188555</x:v>
      </x:c>
      <x:c r="O269" s="11" t="n">
        <x:v>0</x:v>
      </x:c>
      <x:c r="P269" s="11" t="n">
        <x:v>1613</x:v>
      </x:c>
      <x:c r="Q269" s="11" t="n">
        <x:v>789</x:v>
      </x:c>
      <x:c r="R269" s="11" t="n">
        <x:v>0</x:v>
      </x:c>
      <x:c r="S269" s="11" t="n">
        <x:v>4374</x:v>
      </x:c>
      <x:c r="T269" s="11" t="n">
        <x:v>40</x:v>
      </x:c>
      <x:c r="U269" s="11" t="n">
        <x:v>28</x:v>
      </x:c>
      <x:c r="V269" s="11" t="n">
        <x:v>69</x:v>
      </x:c>
      <x:c r="W269" s="11" t="n">
        <x:v>250</x:v>
      </x:c>
      <x:c r="X269" s="11" t="n">
        <x:v>0</x:v>
      </x:c>
      <x:c r="Y269" s="11" t="n">
        <x:v>0</x:v>
      </x:c>
      <x:c r="Z269" s="11" t="n">
        <x:v>1608638</x:v>
      </x:c>
      <x:c r="AA269" s="11" t="n">
        <x:v>687590</x:v>
      </x:c>
      <x:c r="AB269" s="11" t="n">
        <x:v>0</x:v>
      </x:c>
      <x:c r="AC269" s="11" t="n">
        <x:v>32240810</x:v>
      </x:c>
      <x:c r="AD269" s="11" t="n">
        <x:v>1705298</x:v>
      </x:c>
      <x:c r="AE269" s="11" t="n">
        <x:v>443438</x:v>
      </x:c>
      <x:c r="AF269" s="11" t="n">
        <x:v>15019726</x:v>
      </x:c>
      <x:c r="AG269" s="11" t="n">
        <x:v>151540</x:v>
      </x:c>
      <x:c r="AH269" s="11" t="n">
        <x:v>0</x:v>
      </x:c>
    </x:row>
    <x:row r="270" ht="23" customHeight="1">
      <x:c r="A270" s="10" t="str">
        <x:v>M12</x:v>
      </x:c>
      <x:c r="B270" s="10" t="str">
        <x:v>NC_H1</x:v>
      </x:c>
      <x:c r="C270" s="9" t="str">
        <x:v>主对照</x:v>
      </x:c>
      <x:c r="D270" s="11" t="n">
        <x:v>7163</x:v>
      </x:c>
      <x:c r="E270" s="11" t="n">
        <x:v>4105</x:v>
      </x:c>
      <x:c r="F270" s="11" t="n">
        <x:v>4374</x:v>
      </x:c>
      <x:c r="G270" s="11" t="n">
        <x:v>977</x:v>
      </x:c>
      <x:c r="H270" s="11" t="n">
        <x:v>3656</x:v>
      </x:c>
      <x:c r="I270" s="11" t="n">
        <x:v>51857040</x:v>
      </x:c>
      <x:c r="J270" s="11" t="n">
        <x:v>13080084.519999893</x:v>
      </x:c>
      <x:c r="K270" s="12" t="n">
        <x:f>E270/D270</x:f>
        <x:v>0.5730839033924333</x:v>
      </x:c>
      <x:c r="L270" s="12" t="n">
        <x:f>F270/D270</x:f>
        <x:v>0.6106380008376379</x:v>
      </x:c>
      <x:c r="M270" s="12" t="n">
        <x:f>G270/D270</x:f>
        <x:v>0.13639536507050118</x:v>
      </x:c>
      <x:c r="N270" s="12" t="n">
        <x:f>J270/I270</x:f>
        <x:v>0.2522335351188555</x:v>
      </x:c>
      <x:c r="O270" s="11" t="n">
        <x:v>0</x:v>
      </x:c>
      <x:c r="P270" s="11" t="n">
        <x:v>1613</x:v>
      </x:c>
      <x:c r="Q270" s="11" t="n">
        <x:v>789</x:v>
      </x:c>
      <x:c r="R270" s="11" t="n">
        <x:v>0</x:v>
      </x:c>
      <x:c r="S270" s="11" t="n">
        <x:v>4374</x:v>
      </x:c>
      <x:c r="T270" s="11" t="n">
        <x:v>40</x:v>
      </x:c>
      <x:c r="U270" s="11" t="n">
        <x:v>28</x:v>
      </x:c>
      <x:c r="V270" s="11" t="n">
        <x:v>69</x:v>
      </x:c>
      <x:c r="W270" s="11" t="n">
        <x:v>250</x:v>
      </x:c>
      <x:c r="X270" s="11" t="n">
        <x:v>0</x:v>
      </x:c>
      <x:c r="Y270" s="11" t="n">
        <x:v>0</x:v>
      </x:c>
      <x:c r="Z270" s="11" t="n">
        <x:v>1608638</x:v>
      </x:c>
      <x:c r="AA270" s="11" t="n">
        <x:v>687590</x:v>
      </x:c>
      <x:c r="AB270" s="11" t="n">
        <x:v>0</x:v>
      </x:c>
      <x:c r="AC270" s="11" t="n">
        <x:v>32240810</x:v>
      </x:c>
      <x:c r="AD270" s="11" t="n">
        <x:v>1705298</x:v>
      </x:c>
      <x:c r="AE270" s="11" t="n">
        <x:v>443438</x:v>
      </x:c>
      <x:c r="AF270" s="11" t="n">
        <x:v>15019726</x:v>
      </x:c>
      <x:c r="AG270" s="11" t="n">
        <x:v>151540</x:v>
      </x:c>
      <x:c r="AH270" s="11" t="n">
        <x:v>0</x:v>
      </x:c>
    </x:row>
    <x:row r="271" ht="23" customHeight="1">
      <x:c r="A271" s="10" t="str">
        <x:v>M12</x:v>
      </x:c>
      <x:c r="B271" s="10" t="str">
        <x:v>NG_H0</x:v>
      </x:c>
      <x:c r="C271" s="9" t="str">
        <x:v>主对照</x:v>
      </x:c>
      <x:c r="D271" s="11" t="n">
        <x:v>7163</x:v>
      </x:c>
      <x:c r="E271" s="11" t="n">
        <x:v>5025</x:v>
      </x:c>
      <x:c r="F271" s="11" t="n">
        <x:v>5328</x:v>
      </x:c>
      <x:c r="G271" s="11" t="n">
        <x:v>0</x:v>
      </x:c>
      <x:c r="H271" s="11" t="n">
        <x:v>5025</x:v>
      </x:c>
      <x:c r="I271" s="11" t="n">
        <x:v>51857040</x:v>
      </x:c>
      <x:c r="J271" s="11" t="n">
        <x:v>13268329.668476185</x:v>
      </x:c>
      <x:c r="K271" s="12" t="n">
        <x:f>E271/D271</x:f>
        <x:v>0.7015217087812369</x:v>
      </x:c>
      <x:c r="L271" s="12" t="n">
        <x:f>F271/D271</x:f>
        <x:v>0.743822420773419</x:v>
      </x:c>
      <x:c r="M271" s="12" t="n">
        <x:f>G271/D271</x:f>
        <x:v>0</x:v>
      </x:c>
      <x:c r="N271" s="12" t="n">
        <x:f>J271/I271</x:f>
        <x:v>0.2558636140527146</x:v>
      </x:c>
      <x:c r="O271" s="11" t="n">
        <x:v>0</x:v>
      </x:c>
      <x:c r="P271" s="11" t="n">
        <x:v>3790</x:v>
      </x:c>
      <x:c r="Q271" s="11" t="n">
        <x:v>2441</x:v>
      </x:c>
      <x:c r="R271" s="11" t="n">
        <x:v>270</x:v>
      </x:c>
      <x:c r="S271" s="11" t="n">
        <x:v>239</x:v>
      </x:c>
      <x:c r="T271" s="11" t="n">
        <x:v>60</x:v>
      </x:c>
      <x:c r="U271" s="11" t="n">
        <x:v>42</x:v>
      </x:c>
      <x:c r="V271" s="11" t="n">
        <x:v>71</x:v>
      </x:c>
      <x:c r="W271" s="11" t="n">
        <x:v>250</x:v>
      </x:c>
      <x:c r="X271" s="11" t="n">
        <x:v>0</x:v>
      </x:c>
      <x:c r="Y271" s="11" t="n">
        <x:v>0</x:v>
      </x:c>
      <x:c r="Z271" s="11" t="n">
        <x:v>10686088</x:v>
      </x:c>
      <x:c r="AA271" s="11" t="n">
        <x:v>3858352</x:v>
      </x:c>
      <x:c r="AB271" s="11" t="n">
        <x:v>1712610</x:v>
      </x:c>
      <x:c r="AC271" s="11" t="n">
        <x:v>11305768</x:v>
      </x:c>
      <x:c r="AD271" s="11" t="n">
        <x:v>8596406</x:v>
      </x:c>
      <x:c r="AE271" s="11" t="n">
        <x:v>515194</x:v>
      </x:c>
      <x:c r="AF271" s="11" t="n">
        <x:v>15031082</x:v>
      </x:c>
      <x:c r="AG271" s="11" t="n">
        <x:v>151540</x:v>
      </x:c>
      <x:c r="AH271" s="11" t="n">
        <x:v>0</x:v>
      </x:c>
    </x:row>
    <x:row r="272" ht="23" customHeight="1">
      <x:c r="A272" s="10" t="str">
        <x:v>M12</x:v>
      </x:c>
      <x:c r="B272" s="10" t="str">
        <x:v>NG_HT</x:v>
      </x:c>
      <x:c r="C272" s="9" t="str">
        <x:v>仅拓扑与尺度</x:v>
      </x:c>
      <x:c r="D272" s="11" t="n">
        <x:v>7163</x:v>
      </x:c>
      <x:c r="E272" s="11" t="n">
        <x:v>5025</x:v>
      </x:c>
      <x:c r="F272" s="11" t="n">
        <x:v>5328</x:v>
      </x:c>
      <x:c r="G272" s="11" t="n">
        <x:v>0</x:v>
      </x:c>
      <x:c r="H272" s="11" t="n">
        <x:v>5025</x:v>
      </x:c>
      <x:c r="I272" s="11" t="n">
        <x:v>51857040</x:v>
      </x:c>
      <x:c r="J272" s="11" t="n">
        <x:v>13554320.108476372</x:v>
      </x:c>
      <x:c r="K272" s="12" t="n">
        <x:f>E272/D272</x:f>
        <x:v>0.7015217087812369</x:v>
      </x:c>
      <x:c r="L272" s="12" t="n">
        <x:f>F272/D272</x:f>
        <x:v>0.743822420773419</x:v>
      </x:c>
      <x:c r="M272" s="12" t="n">
        <x:f>G272/D272</x:f>
        <x:v>0</x:v>
      </x:c>
      <x:c r="N272" s="12" t="n">
        <x:f>J272/I272</x:f>
        <x:v>0.26137859215405224</x:v>
      </x:c>
      <x:c r="O272" s="11" t="n">
        <x:v>0</x:v>
      </x:c>
      <x:c r="P272" s="11" t="n">
        <x:v>1556</x:v>
      </x:c>
      <x:c r="Q272" s="11" t="n">
        <x:v>3984</x:v>
      </x:c>
      <x:c r="R272" s="11" t="n">
        <x:v>948</x:v>
      </x:c>
      <x:c r="S272" s="11" t="n">
        <x:v>249</x:v>
      </x:c>
      <x:c r="T272" s="11" t="n">
        <x:v>63</x:v>
      </x:c>
      <x:c r="U272" s="11" t="n">
        <x:v>42</x:v>
      </x:c>
      <x:c r="V272" s="11" t="n">
        <x:v>71</x:v>
      </x:c>
      <x:c r="W272" s="11" t="n">
        <x:v>250</x:v>
      </x:c>
      <x:c r="X272" s="11" t="n">
        <x:v>0</x:v>
      </x:c>
      <x:c r="Y272" s="11" t="n">
        <x:v>0</x:v>
      </x:c>
      <x:c r="Z272" s="11" t="n">
        <x:v>3653298</x:v>
      </x:c>
      <x:c r="AA272" s="11" t="n">
        <x:v>10309670</x:v>
      </x:c>
      <x:c r="AB272" s="11" t="n">
        <x:v>2279762</x:v>
      </x:c>
      <x:c r="AC272" s="11" t="n">
        <x:v>8289674</x:v>
      </x:c>
      <x:c r="AD272" s="11" t="n">
        <x:v>11626820</x:v>
      </x:c>
      <x:c r="AE272" s="11" t="n">
        <x:v>515194</x:v>
      </x:c>
      <x:c r="AF272" s="11" t="n">
        <x:v>15031082</x:v>
      </x:c>
      <x:c r="AG272" s="11" t="n">
        <x:v>151540</x:v>
      </x:c>
      <x:c r="AH272" s="11" t="n">
        <x:v>0</x:v>
      </x:c>
    </x:row>
    <x:row r="273" ht="23" customHeight="1">
      <x:c r="A273" s="10" t="str">
        <x:v>M12</x:v>
      </x:c>
      <x:c r="B273" s="10" t="str">
        <x:v>NG_H1</x:v>
      </x:c>
      <x:c r="C273" s="9" t="str">
        <x:v>主对照</x:v>
      </x:c>
      <x:c r="D273" s="11" t="n">
        <x:v>7163</x:v>
      </x:c>
      <x:c r="E273" s="11" t="n">
        <x:v>5025</x:v>
      </x:c>
      <x:c r="F273" s="11" t="n">
        <x:v>5328</x:v>
      </x:c>
      <x:c r="G273" s="11" t="n">
        <x:v>0</x:v>
      </x:c>
      <x:c r="H273" s="11" t="n">
        <x:v>5038</x:v>
      </x:c>
      <x:c r="I273" s="11" t="n">
        <x:v>51857040</x:v>
      </x:c>
      <x:c r="J273" s="11" t="n">
        <x:v>13554320.108476372</x:v>
      </x:c>
      <x:c r="K273" s="12" t="n">
        <x:f>E273/D273</x:f>
        <x:v>0.7015217087812369</x:v>
      </x:c>
      <x:c r="L273" s="12" t="n">
        <x:f>F273/D273</x:f>
        <x:v>0.743822420773419</x:v>
      </x:c>
      <x:c r="M273" s="12" t="n">
        <x:f>G273/D273</x:f>
        <x:v>0</x:v>
      </x:c>
      <x:c r="N273" s="12" t="n">
        <x:f>J273/I273</x:f>
        <x:v>0.26137859215405224</x:v>
      </x:c>
      <x:c r="O273" s="11" t="n">
        <x:v>0</x:v>
      </x:c>
      <x:c r="P273" s="11" t="n">
        <x:v>1556</x:v>
      </x:c>
      <x:c r="Q273" s="11" t="n">
        <x:v>3984</x:v>
      </x:c>
      <x:c r="R273" s="11" t="n">
        <x:v>948</x:v>
      </x:c>
      <x:c r="S273" s="11" t="n">
        <x:v>249</x:v>
      </x:c>
      <x:c r="T273" s="11" t="n">
        <x:v>63</x:v>
      </x:c>
      <x:c r="U273" s="11" t="n">
        <x:v>42</x:v>
      </x:c>
      <x:c r="V273" s="11" t="n">
        <x:v>71</x:v>
      </x:c>
      <x:c r="W273" s="11" t="n">
        <x:v>250</x:v>
      </x:c>
      <x:c r="X273" s="11" t="n">
        <x:v>0</x:v>
      </x:c>
      <x:c r="Y273" s="11" t="n">
        <x:v>0</x:v>
      </x:c>
      <x:c r="Z273" s="11" t="n">
        <x:v>3653298</x:v>
      </x:c>
      <x:c r="AA273" s="11" t="n">
        <x:v>10309670</x:v>
      </x:c>
      <x:c r="AB273" s="11" t="n">
        <x:v>2279762</x:v>
      </x:c>
      <x:c r="AC273" s="11" t="n">
        <x:v>8289674</x:v>
      </x:c>
      <x:c r="AD273" s="11" t="n">
        <x:v>11626820</x:v>
      </x:c>
      <x:c r="AE273" s="11" t="n">
        <x:v>515194</x:v>
      </x:c>
      <x:c r="AF273" s="11" t="n">
        <x:v>15031082</x:v>
      </x:c>
      <x:c r="AG273" s="11" t="n">
        <x:v>151540</x:v>
      </x:c>
      <x:c r="AH273" s="11" t="n">
        <x:v>0</x:v>
      </x:c>
    </x:row>
    <x:row r="274" ht="23" customHeight="1">
      <x:c r="A274" s="10" t="str">
        <x:v>M12</x:v>
      </x:c>
      <x:c r="B274" s="10" t="str">
        <x:v>CG_H0</x:v>
      </x:c>
      <x:c r="C274" s="9" t="str">
        <x:v>主对照</x:v>
      </x:c>
      <x:c r="D274" s="11" t="n">
        <x:v>7163</x:v>
      </x:c>
      <x:c r="E274" s="11" t="n">
        <x:v>5547</x:v>
      </x:c>
      <x:c r="F274" s="11" t="n">
        <x:v>5547</x:v>
      </x:c>
      <x:c r="G274" s="11" t="n">
        <x:v>0</x:v>
      </x:c>
      <x:c r="H274" s="11" t="n">
        <x:v>4161</x:v>
      </x:c>
      <x:c r="I274" s="11" t="n">
        <x:v>51857040</x:v>
      </x:c>
      <x:c r="J274" s="11" t="n">
        <x:v>11125334.388476372</x:v>
      </x:c>
      <x:c r="K274" s="12" t="n">
        <x:f>E274/D274</x:f>
        <x:v>0.7743962027083624</x:v>
      </x:c>
      <x:c r="L274" s="12" t="n">
        <x:f>F274/D274</x:f>
        <x:v>0.7743962027083624</x:v>
      </x:c>
      <x:c r="M274" s="12" t="n">
        <x:f>G274/D274</x:f>
        <x:v>0</x:v>
      </x:c>
      <x:c r="N274" s="12" t="n">
        <x:f>J274/I274</x:f>
        <x:v>0.21453855423441778</x:v>
      </x:c>
      <x:c r="O274" s="11" t="n">
        <x:v>0</x:v>
      </x:c>
      <x:c r="P274" s="11" t="n">
        <x:v>5849</x:v>
      </x:c>
      <x:c r="Q274" s="11" t="n">
        <x:v>784</x:v>
      </x:c>
      <x:c r="R274" s="11" t="n">
        <x:v>260</x:v>
      </x:c>
      <x:c r="S274" s="11" t="n">
        <x:v>250</x:v>
      </x:c>
      <x:c r="T274" s="11" t="n">
        <x:v>20</x:v>
      </x:c>
      <x:c r="U274" s="11" t="n">
        <x:v>0</x:v>
      </x:c>
      <x:c r="V274" s="11" t="n">
        <x:v>0</x:v>
      </x:c>
      <x:c r="W274" s="11" t="n">
        <x:v>0</x:v>
      </x:c>
      <x:c r="X274" s="11" t="n">
        <x:v>0</x:v>
      </x:c>
      <x:c r="Y274" s="11" t="n">
        <x:v>0</x:v>
      </x:c>
      <x:c r="Z274" s="11" t="n">
        <x:v>12877738</x:v>
      </x:c>
      <x:c r="AA274" s="11" t="n">
        <x:v>3141882</x:v>
      </x:c>
      <x:c r="AB274" s="11" t="n">
        <x:v>1899440</x:v>
      </x:c>
      <x:c r="AC274" s="11" t="n">
        <x:v>27046872</x:v>
      </x:c>
      <x:c r="AD274" s="11" t="n">
        <x:v>6891108</x:v>
      </x:c>
      <x:c r="AE274" s="11" t="n">
        <x:v>0</x:v>
      </x:c>
      <x:c r="AF274" s="11" t="n">
        <x:v>0</x:v>
      </x:c>
      <x:c r="AG274" s="11" t="n">
        <x:v>0</x:v>
      </x:c>
      <x:c r="AH274" s="11" t="n">
        <x:v>0</x:v>
      </x:c>
    </x:row>
    <x:row r="275" ht="23" customHeight="1">
      <x:c r="A275" s="10" t="str">
        <x:v>M12</x:v>
      </x:c>
      <x:c r="B275" s="10" t="str">
        <x:v>CG_HT</x:v>
      </x:c>
      <x:c r="C275" s="9" t="str">
        <x:v>仅拓扑与尺度</x:v>
      </x:c>
      <x:c r="D275" s="11" t="n">
        <x:v>7163</x:v>
      </x:c>
      <x:c r="E275" s="11" t="n">
        <x:v>5547</x:v>
      </x:c>
      <x:c r="F275" s="11" t="n">
        <x:v>5547</x:v>
      </x:c>
      <x:c r="G275" s="11" t="n">
        <x:v>0</x:v>
      </x:c>
      <x:c r="H275" s="11" t="n">
        <x:v>4161</x:v>
      </x:c>
      <x:c r="I275" s="11" t="n">
        <x:v>51857040</x:v>
      </x:c>
      <x:c r="J275" s="11" t="n">
        <x:v>11482373.908476189</x:v>
      </x:c>
      <x:c r="K275" s="12" t="n">
        <x:f>E275/D275</x:f>
        <x:v>0.7743962027083624</x:v>
      </x:c>
      <x:c r="L275" s="12" t="n">
        <x:f>F275/D275</x:f>
        <x:v>0.7743962027083624</x:v>
      </x:c>
      <x:c r="M275" s="12" t="n">
        <x:f>G275/D275</x:f>
        <x:v>0</x:v>
      </x:c>
      <x:c r="N275" s="12" t="n">
        <x:f>J275/I275</x:f>
        <x:v>0.221423627505083</x:v>
      </x:c>
      <x:c r="O275" s="11" t="n">
        <x:v>0</x:v>
      </x:c>
      <x:c r="P275" s="11" t="n">
        <x:v>2491</x:v>
      </x:c>
      <x:c r="Q275" s="11" t="n">
        <x:v>4059</x:v>
      </x:c>
      <x:c r="R275" s="11" t="n">
        <x:v>330</x:v>
      </x:c>
      <x:c r="S275" s="11" t="n">
        <x:v>259</x:v>
      </x:c>
      <x:c r="T275" s="11" t="n">
        <x:v>24</x:v>
      </x:c>
      <x:c r="U275" s="11" t="n">
        <x:v>0</x:v>
      </x:c>
      <x:c r="V275" s="11" t="n">
        <x:v>0</x:v>
      </x:c>
      <x:c r="W275" s="11" t="n">
        <x:v>0</x:v>
      </x:c>
      <x:c r="X275" s="11" t="n">
        <x:v>0</x:v>
      </x:c>
      <x:c r="Y275" s="11" t="n">
        <x:v>0</x:v>
      </x:c>
      <x:c r="Z275" s="11" t="n">
        <x:v>4268766</x:v>
      </x:c>
      <x:c r="AA275" s="11" t="n">
        <x:v>11191384</x:v>
      </x:c>
      <x:c r="AB275" s="11" t="n">
        <x:v>2444590</x:v>
      </x:c>
      <x:c r="AC275" s="11" t="n">
        <x:v>23020640</x:v>
      </x:c>
      <x:c r="AD275" s="11" t="n">
        <x:v>10931660</x:v>
      </x:c>
      <x:c r="AE275" s="11" t="n">
        <x:v>0</x:v>
      </x:c>
      <x:c r="AF275" s="11" t="n">
        <x:v>0</x:v>
      </x:c>
      <x:c r="AG275" s="11" t="n">
        <x:v>0</x:v>
      </x:c>
      <x:c r="AH275" s="11" t="n">
        <x:v>0</x:v>
      </x:c>
    </x:row>
    <x:row r="276" ht="23" customHeight="1">
      <x:c r="A276" s="10" t="str">
        <x:v>M12</x:v>
      </x:c>
      <x:c r="B276" s="10" t="str">
        <x:v>CG_H1</x:v>
      </x:c>
      <x:c r="C276" s="9" t="str">
        <x:v>主对照</x:v>
      </x:c>
      <x:c r="D276" s="11" t="n">
        <x:v>7163</x:v>
      </x:c>
      <x:c r="E276" s="11" t="n">
        <x:v>5547</x:v>
      </x:c>
      <x:c r="F276" s="11" t="n">
        <x:v>5547</x:v>
      </x:c>
      <x:c r="G276" s="11" t="n">
        <x:v>0</x:v>
      </x:c>
      <x:c r="H276" s="11" t="n">
        <x:v>4161</x:v>
      </x:c>
      <x:c r="I276" s="11" t="n">
        <x:v>51857040</x:v>
      </x:c>
      <x:c r="J276" s="11" t="n">
        <x:v>11482373.908476189</x:v>
      </x:c>
      <x:c r="K276" s="12" t="n">
        <x:f>E276/D276</x:f>
        <x:v>0.7743962027083624</x:v>
      </x:c>
      <x:c r="L276" s="12" t="n">
        <x:f>F276/D276</x:f>
        <x:v>0.7743962027083624</x:v>
      </x:c>
      <x:c r="M276" s="12" t="n">
        <x:f>G276/D276</x:f>
        <x:v>0</x:v>
      </x:c>
      <x:c r="N276" s="12" t="n">
        <x:f>J276/I276</x:f>
        <x:v>0.221423627505083</x:v>
      </x:c>
      <x:c r="O276" s="11" t="n">
        <x:v>0</x:v>
      </x:c>
      <x:c r="P276" s="11" t="n">
        <x:v>2491</x:v>
      </x:c>
      <x:c r="Q276" s="11" t="n">
        <x:v>4059</x:v>
      </x:c>
      <x:c r="R276" s="11" t="n">
        <x:v>330</x:v>
      </x:c>
      <x:c r="S276" s="11" t="n">
        <x:v>259</x:v>
      </x:c>
      <x:c r="T276" s="11" t="n">
        <x:v>24</x:v>
      </x:c>
      <x:c r="U276" s="11" t="n">
        <x:v>0</x:v>
      </x:c>
      <x:c r="V276" s="11" t="n">
        <x:v>0</x:v>
      </x:c>
      <x:c r="W276" s="11" t="n">
        <x:v>0</x:v>
      </x:c>
      <x:c r="X276" s="11" t="n">
        <x:v>0</x:v>
      </x:c>
      <x:c r="Y276" s="11" t="n">
        <x:v>0</x:v>
      </x:c>
      <x:c r="Z276" s="11" t="n">
        <x:v>4268766</x:v>
      </x:c>
      <x:c r="AA276" s="11" t="n">
        <x:v>11191384</x:v>
      </x:c>
      <x:c r="AB276" s="11" t="n">
        <x:v>2444590</x:v>
      </x:c>
      <x:c r="AC276" s="11" t="n">
        <x:v>23020640</x:v>
      </x:c>
      <x:c r="AD276" s="11" t="n">
        <x:v>10931660</x:v>
      </x:c>
      <x:c r="AE276" s="11" t="n">
        <x:v>0</x:v>
      </x:c>
      <x:c r="AF276" s="11" t="n">
        <x:v>0</x:v>
      </x:c>
      <x:c r="AG276" s="11" t="n">
        <x:v>0</x:v>
      </x:c>
      <x:c r="AH276" s="11" t="n">
        <x:v>0</x:v>
      </x:c>
    </x:row>
    <x:row r="277" ht="23" customHeight="1">
      <x:c r="A277" s="10" t="str">
        <x:v>M12</x:v>
      </x:c>
      <x:c r="B277" s="10" t="str">
        <x:v>NCG_H0</x:v>
      </x:c>
      <x:c r="C277" s="9" t="str">
        <x:v>主对照</x:v>
      </x:c>
      <x:c r="D277" s="11" t="n">
        <x:v>7163</x:v>
      </x:c>
      <x:c r="E277" s="11" t="n">
        <x:v>4105</x:v>
      </x:c>
      <x:c r="F277" s="11" t="n">
        <x:v>4374</x:v>
      </x:c>
      <x:c r="G277" s="11" t="n">
        <x:v>977</x:v>
      </x:c>
      <x:c r="H277" s="11" t="n">
        <x:v>3643</x:v>
      </x:c>
      <x:c r="I277" s="11" t="n">
        <x:v>51857040</x:v>
      </x:c>
      <x:c r="J277" s="11" t="n">
        <x:v>13279646.468476392</x:v>
      </x:c>
      <x:c r="K277" s="12" t="n">
        <x:f>E277/D277</x:f>
        <x:v>0.5730839033924333</x:v>
      </x:c>
      <x:c r="L277" s="12" t="n">
        <x:f>F277/D277</x:f>
        <x:v>0.6106380008376379</x:v>
      </x:c>
      <x:c r="M277" s="12" t="n">
        <x:f>G277/D277</x:f>
        <x:v>0.13639536507050118</x:v>
      </x:c>
      <x:c r="N277" s="12" t="n">
        <x:f>J277/I277</x:f>
        <x:v>0.2560818447886033</x:v>
      </x:c>
      <x:c r="O277" s="11" t="n">
        <x:v>0</x:v>
      </x:c>
      <x:c r="P277" s="11" t="n">
        <x:v>3966</x:v>
      </x:c>
      <x:c r="Q277" s="11" t="n">
        <x:v>2241</x:v>
      </x:c>
      <x:c r="R277" s="11" t="n">
        <x:v>304</x:v>
      </x:c>
      <x:c r="S277" s="11" t="n">
        <x:v>244</x:v>
      </x:c>
      <x:c r="T277" s="11" t="n">
        <x:v>61</x:v>
      </x:c>
      <x:c r="U277" s="11" t="n">
        <x:v>28</x:v>
      </x:c>
      <x:c r="V277" s="11" t="n">
        <x:v>69</x:v>
      </x:c>
      <x:c r="W277" s="11" t="n">
        <x:v>250</x:v>
      </x:c>
      <x:c r="X277" s="11" t="n">
        <x:v>0</x:v>
      </x:c>
      <x:c r="Y277" s="11" t="n">
        <x:v>0</x:v>
      </x:c>
      <x:c r="Z277" s="11" t="n">
        <x:v>9507726</x:v>
      </x:c>
      <x:c r="AA277" s="11" t="n">
        <x:v>5051560</x:v>
      </x:c>
      <x:c r="AB277" s="11" t="n">
        <x:v>1774530</x:v>
      </x:c>
      <x:c r="AC277" s="11" t="n">
        <x:v>11310800</x:v>
      </x:c>
      <x:c r="AD277" s="11" t="n">
        <x:v>8597720</x:v>
      </x:c>
      <x:c r="AE277" s="11" t="n">
        <x:v>443438</x:v>
      </x:c>
      <x:c r="AF277" s="11" t="n">
        <x:v>15019726</x:v>
      </x:c>
      <x:c r="AG277" s="11" t="n">
        <x:v>151540</x:v>
      </x:c>
      <x:c r="AH277" s="11" t="n">
        <x:v>0</x:v>
      </x:c>
    </x:row>
    <x:row r="278" ht="23" customHeight="1">
      <x:c r="A278" s="10" t="str">
        <x:v>M12</x:v>
      </x:c>
      <x:c r="B278" s="10" t="str">
        <x:v>NCG_HT</x:v>
      </x:c>
      <x:c r="C278" s="9" t="str">
        <x:v>仅拓扑与尺度</x:v>
      </x:c>
      <x:c r="D278" s="11" t="n">
        <x:v>7163</x:v>
      </x:c>
      <x:c r="E278" s="11" t="n">
        <x:v>4105</x:v>
      </x:c>
      <x:c r="F278" s="11" t="n">
        <x:v>4374</x:v>
      </x:c>
      <x:c r="G278" s="11" t="n">
        <x:v>977</x:v>
      </x:c>
      <x:c r="H278" s="11" t="n">
        <x:v>3643</x:v>
      </x:c>
      <x:c r="I278" s="11" t="n">
        <x:v>51857040</x:v>
      </x:c>
      <x:c r="J278" s="11" t="n">
        <x:v>13556809.468476262</x:v>
      </x:c>
      <x:c r="K278" s="12" t="n">
        <x:f>E278/D278</x:f>
        <x:v>0.5730839033924333</x:v>
      </x:c>
      <x:c r="L278" s="12" t="n">
        <x:f>F278/D278</x:f>
        <x:v>0.6106380008376379</x:v>
      </x:c>
      <x:c r="M278" s="12" t="n">
        <x:f>G278/D278</x:f>
        <x:v>0.13639536507050118</x:v>
      </x:c>
      <x:c r="N278" s="12" t="n">
        <x:f>J278/I278</x:f>
        <x:v>0.26142659643659305</x:v>
      </x:c>
      <x:c r="O278" s="11" t="n">
        <x:v>0</x:v>
      </x:c>
      <x:c r="P278" s="11" t="n">
        <x:v>1603</x:v>
      </x:c>
      <x:c r="Q278" s="11" t="n">
        <x:v>4511</x:v>
      </x:c>
      <x:c r="R278" s="11" t="n">
        <x:v>372</x:v>
      </x:c>
      <x:c r="S278" s="11" t="n">
        <x:v>266</x:v>
      </x:c>
      <x:c r="T278" s="11" t="n">
        <x:v>64</x:v>
      </x:c>
      <x:c r="U278" s="11" t="n">
        <x:v>28</x:v>
      </x:c>
      <x:c r="V278" s="11" t="n">
        <x:v>69</x:v>
      </x:c>
      <x:c r="W278" s="11" t="n">
        <x:v>250</x:v>
      </x:c>
      <x:c r="X278" s="11" t="n">
        <x:v>0</x:v>
      </x:c>
      <x:c r="Y278" s="11" t="n">
        <x:v>0</x:v>
      </x:c>
      <x:c r="Z278" s="11" t="n">
        <x:v>2911186</x:v>
      </x:c>
      <x:c r="AA278" s="11" t="n">
        <x:v>11085608</x:v>
      </x:c>
      <x:c r="AB278" s="11" t="n">
        <x:v>2311756</x:v>
      </x:c>
      <x:c r="AC278" s="11" t="n">
        <x:v>8305652</x:v>
      </x:c>
      <x:c r="AD278" s="11" t="n">
        <x:v>11628134</x:v>
      </x:c>
      <x:c r="AE278" s="11" t="n">
        <x:v>443438</x:v>
      </x:c>
      <x:c r="AF278" s="11" t="n">
        <x:v>15019726</x:v>
      </x:c>
      <x:c r="AG278" s="11" t="n">
        <x:v>151540</x:v>
      </x:c>
      <x:c r="AH278" s="11" t="n">
        <x:v>0</x:v>
      </x:c>
    </x:row>
    <x:row r="279" ht="23" customHeight="1">
      <x:c r="A279" s="10" t="str">
        <x:v>M12</x:v>
      </x:c>
      <x:c r="B279" s="10" t="str">
        <x:v>NCG_H1</x:v>
      </x:c>
      <x:c r="C279" s="9" t="str">
        <x:v>主对照</x:v>
      </x:c>
      <x:c r="D279" s="11" t="n">
        <x:v>7163</x:v>
      </x:c>
      <x:c r="E279" s="11" t="n">
        <x:v>4105</x:v>
      </x:c>
      <x:c r="F279" s="11" t="n">
        <x:v>4374</x:v>
      </x:c>
      <x:c r="G279" s="11" t="n">
        <x:v>977</x:v>
      </x:c>
      <x:c r="H279" s="11" t="n">
        <x:v>3656</x:v>
      </x:c>
      <x:c r="I279" s="11" t="n">
        <x:v>51857040</x:v>
      </x:c>
      <x:c r="J279" s="11" t="n">
        <x:v>13556809.468476262</x:v>
      </x:c>
      <x:c r="K279" s="12" t="n">
        <x:f>E279/D279</x:f>
        <x:v>0.5730839033924333</x:v>
      </x:c>
      <x:c r="L279" s="12" t="n">
        <x:f>F279/D279</x:f>
        <x:v>0.6106380008376379</x:v>
      </x:c>
      <x:c r="M279" s="12" t="n">
        <x:f>G279/D279</x:f>
        <x:v>0.13639536507050118</x:v>
      </x:c>
      <x:c r="N279" s="12" t="n">
        <x:f>J279/I279</x:f>
        <x:v>0.26142659643659305</x:v>
      </x:c>
      <x:c r="O279" s="11" t="n">
        <x:v>0</x:v>
      </x:c>
      <x:c r="P279" s="11" t="n">
        <x:v>1603</x:v>
      </x:c>
      <x:c r="Q279" s="11" t="n">
        <x:v>4511</x:v>
      </x:c>
      <x:c r="R279" s="11" t="n">
        <x:v>372</x:v>
      </x:c>
      <x:c r="S279" s="11" t="n">
        <x:v>266</x:v>
      </x:c>
      <x:c r="T279" s="11" t="n">
        <x:v>64</x:v>
      </x:c>
      <x:c r="U279" s="11" t="n">
        <x:v>28</x:v>
      </x:c>
      <x:c r="V279" s="11" t="n">
        <x:v>69</x:v>
      </x:c>
      <x:c r="W279" s="11" t="n">
        <x:v>250</x:v>
      </x:c>
      <x:c r="X279" s="11" t="n">
        <x:v>0</x:v>
      </x:c>
      <x:c r="Y279" s="11" t="n">
        <x:v>0</x:v>
      </x:c>
      <x:c r="Z279" s="11" t="n">
        <x:v>2911186</x:v>
      </x:c>
      <x:c r="AA279" s="11" t="n">
        <x:v>11085608</x:v>
      </x:c>
      <x:c r="AB279" s="11" t="n">
        <x:v>2311756</x:v>
      </x:c>
      <x:c r="AC279" s="11" t="n">
        <x:v>8305652</x:v>
      </x:c>
      <x:c r="AD279" s="11" t="n">
        <x:v>11628134</x:v>
      </x:c>
      <x:c r="AE279" s="11" t="n">
        <x:v>443438</x:v>
      </x:c>
      <x:c r="AF279" s="11" t="n">
        <x:v>15019726</x:v>
      </x:c>
      <x:c r="AG279" s="11" t="n">
        <x:v>151540</x:v>
      </x:c>
      <x:c r="AH279" s="11" t="n">
        <x:v>0</x:v>
      </x:c>
    </x:row>
    <x:row r="280" ht="23" customHeight="1">
      <x:c r="A280" s="10" t="str">
        <x:v>M12</x:v>
      </x:c>
      <x:c r="B280" s="10" t="str">
        <x:v>NCG_H0_M1</x:v>
      </x:c>
      <x:c r="C280" s="9" t="str">
        <x:v>叶名称辅助</x:v>
      </x:c>
      <x:c r="D280" s="11" t="n">
        <x:v>7163</x:v>
      </x:c>
      <x:c r="E280" s="11" t="n">
        <x:v>3827</x:v>
      </x:c>
      <x:c r="F280" s="11" t="n">
        <x:v>4156</x:v>
      </x:c>
      <x:c r="G280" s="11" t="n">
        <x:v>977</x:v>
      </x:c>
      <x:c r="H280" s="11" t="n">
        <x:v>3799</x:v>
      </x:c>
      <x:c r="I280" s="11" t="n">
        <x:v>51857040</x:v>
      </x:c>
      <x:c r="J280" s="11" t="n">
        <x:v>13258887.628476381</x:v>
      </x:c>
      <x:c r="K280" s="12" t="n">
        <x:f>E280/D280</x:f>
        <x:v>0.5342733491553818</x:v>
      </x:c>
      <x:c r="L280" s="12" t="n">
        <x:f>F280/D280</x:f>
        <x:v>0.5802038252128996</x:v>
      </x:c>
      <x:c r="M280" s="12" t="n">
        <x:f>G280/D280</x:f>
        <x:v>0.13639536507050118</x:v>
      </x:c>
      <x:c r="N280" s="12" t="n">
        <x:f>J280/I280</x:f>
        <x:v>0.25568153578523534</x:v>
      </x:c>
      <x:c r="O280" s="11" t="n">
        <x:v>0</x:v>
      </x:c>
      <x:c r="P280" s="11" t="n">
        <x:v>3838</x:v>
      </x:c>
      <x:c r="Q280" s="11" t="n">
        <x:v>2204</x:v>
      </x:c>
      <x:c r="R280" s="11" t="n">
        <x:v>310</x:v>
      </x:c>
      <x:c r="S280" s="11" t="n">
        <x:v>243</x:v>
      </x:c>
      <x:c r="T280" s="11" t="n">
        <x:v>61</x:v>
      </x:c>
      <x:c r="U280" s="11" t="n">
        <x:v>28</x:v>
      </x:c>
      <x:c r="V280" s="11" t="n">
        <x:v>58</x:v>
      </x:c>
      <x:c r="W280" s="11" t="n">
        <x:v>421</x:v>
      </x:c>
      <x:c r="X280" s="11" t="n">
        <x:v>0</x:v>
      </x:c>
      <x:c r="Y280" s="11" t="n">
        <x:v>0</x:v>
      </x:c>
      <x:c r="Z280" s="11" t="n">
        <x:v>9442518</x:v>
      </x:c>
      <x:c r="AA280" s="11" t="n">
        <x:v>5225528</x:v>
      </x:c>
      <x:c r="AB280" s="11" t="n">
        <x:v>1794630</x:v>
      </x:c>
      <x:c r="AC280" s="11" t="n">
        <x:v>11310488</x:v>
      </x:c>
      <x:c r="AD280" s="11" t="n">
        <x:v>8597720</x:v>
      </x:c>
      <x:c r="AE280" s="11" t="n">
        <x:v>443438</x:v>
      </x:c>
      <x:c r="AF280" s="11" t="n">
        <x:v>14800432</x:v>
      </x:c>
      <x:c r="AG280" s="11" t="n">
        <x:v>242286</x:v>
      </x:c>
      <x:c r="AH280" s="11" t="n">
        <x:v>0</x:v>
      </x:c>
    </x:row>
    <x:row r="281" ht="23" customHeight="1">
      <x:c r="A281" s="10" t="str">
        <x:v>M12</x:v>
      </x:c>
      <x:c r="B281" s="10" t="str">
        <x:v>NCG_H1_M1</x:v>
      </x:c>
      <x:c r="C281" s="9" t="str">
        <x:v>叶名称辅助</x:v>
      </x:c>
      <x:c r="D281" s="11" t="n">
        <x:v>7163</x:v>
      </x:c>
      <x:c r="E281" s="11" t="n">
        <x:v>3827</x:v>
      </x:c>
      <x:c r="F281" s="11" t="n">
        <x:v>4156</x:v>
      </x:c>
      <x:c r="G281" s="11" t="n">
        <x:v>977</x:v>
      </x:c>
      <x:c r="H281" s="11" t="n">
        <x:v>3812</x:v>
      </x:c>
      <x:c r="I281" s="11" t="n">
        <x:v>51857040</x:v>
      </x:c>
      <x:c r="J281" s="11" t="n">
        <x:v>13535849.788476259</x:v>
      </x:c>
      <x:c r="K281" s="12" t="n">
        <x:f>E281/D281</x:f>
        <x:v>0.5342733491553818</x:v>
      </x:c>
      <x:c r="L281" s="12" t="n">
        <x:f>F281/D281</x:f>
        <x:v>0.5802038252128996</x:v>
      </x:c>
      <x:c r="M281" s="12" t="n">
        <x:f>G281/D281</x:f>
        <x:v>0.13639536507050118</x:v>
      </x:c>
      <x:c r="N281" s="12" t="n">
        <x:f>J281/I281</x:f>
        <x:v>0.26102241447788493</x:v>
      </x:c>
      <x:c r="O281" s="11" t="n">
        <x:v>0</x:v>
      </x:c>
      <x:c r="P281" s="11" t="n">
        <x:v>1484</x:v>
      </x:c>
      <x:c r="Q281" s="11" t="n">
        <x:v>4465</x:v>
      </x:c>
      <x:c r="R281" s="11" t="n">
        <x:v>378</x:v>
      </x:c>
      <x:c r="S281" s="11" t="n">
        <x:v>265</x:v>
      </x:c>
      <x:c r="T281" s="11" t="n">
        <x:v>64</x:v>
      </x:c>
      <x:c r="U281" s="11" t="n">
        <x:v>28</x:v>
      </x:c>
      <x:c r="V281" s="11" t="n">
        <x:v>58</x:v>
      </x:c>
      <x:c r="W281" s="11" t="n">
        <x:v>421</x:v>
      </x:c>
      <x:c r="X281" s="11" t="n">
        <x:v>0</x:v>
      </x:c>
      <x:c r="Y281" s="11" t="n">
        <x:v>0</x:v>
      </x:c>
      <x:c r="Z281" s="11" t="n">
        <x:v>2856020</x:v>
      </x:c>
      <x:c r="AA281" s="11" t="n">
        <x:v>11249534</x:v>
      </x:c>
      <x:c r="AB281" s="11" t="n">
        <x:v>2331856</x:v>
      </x:c>
      <x:c r="AC281" s="11" t="n">
        <x:v>8305340</x:v>
      </x:c>
      <x:c r="AD281" s="11" t="n">
        <x:v>11628134</x:v>
      </x:c>
      <x:c r="AE281" s="11" t="n">
        <x:v>443438</x:v>
      </x:c>
      <x:c r="AF281" s="11" t="n">
        <x:v>14800432</x:v>
      </x:c>
      <x:c r="AG281" s="11" t="n">
        <x:v>242286</x:v>
      </x:c>
      <x:c r="AH281" s="11" t="n">
        <x:v>0</x:v>
      </x:c>
    </x:row>
    <x:row r="282" ht="23" customHeight="1">
      <x:c r="A282" s="10" t="str">
        <x:v>M13</x:v>
      </x:c>
      <x:c r="B282" s="10" t="str">
        <x:v>N_H0</x:v>
      </x:c>
      <x:c r="C282" s="9" t="str">
        <x:v>主对照</x:v>
      </x:c>
      <x:c r="D282" s="11" t="n">
        <x:v>15968</x:v>
      </x:c>
      <x:c r="E282" s="11" t="n">
        <x:v>9609</x:v>
      </x:c>
      <x:c r="F282" s="11" t="n">
        <x:v>12172</x:v>
      </x:c>
      <x:c r="G282" s="11" t="n">
        <x:v>0</x:v>
      </x:c>
      <x:c r="H282" s="11" t="n">
        <x:v>9609</x:v>
      </x:c>
      <x:c r="I282" s="11" t="n">
        <x:v>52003855</x:v>
      </x:c>
      <x:c r="J282" s="11" t="n">
        <x:v>12067484.060000066</x:v>
      </x:c>
      <x:c r="K282" s="12" t="n">
        <x:f>E282/D282</x:f>
        <x:v>0.6017660320641283</x:v>
      </x:c>
      <x:c r="L282" s="12" t="n">
        <x:f>F282/D282</x:f>
        <x:v>0.7622745490981964</x:v>
      </x:c>
      <x:c r="M282" s="12" t="n">
        <x:f>G282/D282</x:f>
        <x:v>0</x:v>
      </x:c>
      <x:c r="N282" s="12" t="n">
        <x:f>J282/I282</x:f>
        <x:v>0.23204979823130545</x:v>
      </x:c>
      <x:c r="O282" s="11" t="n">
        <x:v>0</x:v>
      </x:c>
      <x:c r="P282" s="11" t="n">
        <x:v>2046</x:v>
      </x:c>
      <x:c r="Q282" s="11" t="n">
        <x:v>383</x:v>
      </x:c>
      <x:c r="R282" s="11" t="n">
        <x:v>0</x:v>
      </x:c>
      <x:c r="S282" s="11" t="n">
        <x:v>12172</x:v>
      </x:c>
      <x:c r="T282" s="11" t="n">
        <x:v>348</x:v>
      </x:c>
      <x:c r="U282" s="11" t="n">
        <x:v>37</x:v>
      </x:c>
      <x:c r="V282" s="11" t="n">
        <x:v>217</x:v>
      </x:c>
      <x:c r="W282" s="11" t="n">
        <x:v>765</x:v>
      </x:c>
      <x:c r="X282" s="11" t="n">
        <x:v>0</x:v>
      </x:c>
      <x:c r="Y282" s="11" t="n">
        <x:v>0</x:v>
      </x:c>
      <x:c r="Z282" s="11" t="n">
        <x:v>3556602</x:v>
      </x:c>
      <x:c r="AA282" s="11" t="n">
        <x:v>1069638</x:v>
      </x:c>
      <x:c r="AB282" s="11" t="n">
        <x:v>0</x:v>
      </x:c>
      <x:c r="AC282" s="11" t="n">
        <x:v>37624471</x:v>
      </x:c>
      <x:c r="AD282" s="11" t="n">
        <x:v>2922568</x:v>
      </x:c>
      <x:c r="AE282" s="11" t="n">
        <x:v>153090</x:v>
      </x:c>
      <x:c r="AF282" s="11" t="n">
        <x:v>2845090</x:v>
      </x:c>
      <x:c r="AG282" s="11" t="n">
        <x:v>3832396</x:v>
      </x:c>
      <x:c r="AH282" s="11" t="n">
        <x:v>0</x:v>
      </x:c>
    </x:row>
    <x:row r="283" ht="23" customHeight="1">
      <x:c r="A283" s="10" t="str">
        <x:v>M13</x:v>
      </x:c>
      <x:c r="B283" s="10" t="str">
        <x:v>N_HT</x:v>
      </x:c>
      <x:c r="C283" s="9" t="str">
        <x:v>仅拓扑与尺度</x:v>
      </x:c>
      <x:c r="D283" s="11" t="n">
        <x:v>15968</x:v>
      </x:c>
      <x:c r="E283" s="11" t="n">
        <x:v>9609</x:v>
      </x:c>
      <x:c r="F283" s="11" t="n">
        <x:v>12172</x:v>
      </x:c>
      <x:c r="G283" s="11" t="n">
        <x:v>0</x:v>
      </x:c>
      <x:c r="H283" s="11" t="n">
        <x:v>9609</x:v>
      </x:c>
      <x:c r="I283" s="11" t="n">
        <x:v>52003855</x:v>
      </x:c>
      <x:c r="J283" s="11" t="n">
        <x:v>12067484.060000066</x:v>
      </x:c>
      <x:c r="K283" s="12" t="n">
        <x:f>E283/D283</x:f>
        <x:v>0.6017660320641283</x:v>
      </x:c>
      <x:c r="L283" s="12" t="n">
        <x:f>F283/D283</x:f>
        <x:v>0.7622745490981964</x:v>
      </x:c>
      <x:c r="M283" s="12" t="n">
        <x:f>G283/D283</x:f>
        <x:v>0</x:v>
      </x:c>
      <x:c r="N283" s="12" t="n">
        <x:f>J283/I283</x:f>
        <x:v>0.23204979823130545</x:v>
      </x:c>
      <x:c r="O283" s="11" t="n">
        <x:v>0</x:v>
      </x:c>
      <x:c r="P283" s="11" t="n">
        <x:v>2046</x:v>
      </x:c>
      <x:c r="Q283" s="11" t="n">
        <x:v>383</x:v>
      </x:c>
      <x:c r="R283" s="11" t="n">
        <x:v>0</x:v>
      </x:c>
      <x:c r="S283" s="11" t="n">
        <x:v>12172</x:v>
      </x:c>
      <x:c r="T283" s="11" t="n">
        <x:v>348</x:v>
      </x:c>
      <x:c r="U283" s="11" t="n">
        <x:v>37</x:v>
      </x:c>
      <x:c r="V283" s="11" t="n">
        <x:v>217</x:v>
      </x:c>
      <x:c r="W283" s="11" t="n">
        <x:v>765</x:v>
      </x:c>
      <x:c r="X283" s="11" t="n">
        <x:v>0</x:v>
      </x:c>
      <x:c r="Y283" s="11" t="n">
        <x:v>0</x:v>
      </x:c>
      <x:c r="Z283" s="11" t="n">
        <x:v>3556602</x:v>
      </x:c>
      <x:c r="AA283" s="11" t="n">
        <x:v>1069638</x:v>
      </x:c>
      <x:c r="AB283" s="11" t="n">
        <x:v>0</x:v>
      </x:c>
      <x:c r="AC283" s="11" t="n">
        <x:v>37624471</x:v>
      </x:c>
      <x:c r="AD283" s="11" t="n">
        <x:v>2922568</x:v>
      </x:c>
      <x:c r="AE283" s="11" t="n">
        <x:v>153090</x:v>
      </x:c>
      <x:c r="AF283" s="11" t="n">
        <x:v>2845090</x:v>
      </x:c>
      <x:c r="AG283" s="11" t="n">
        <x:v>3832396</x:v>
      </x:c>
      <x:c r="AH283" s="11" t="n">
        <x:v>0</x:v>
      </x:c>
    </x:row>
    <x:row r="284" ht="23" customHeight="1">
      <x:c r="A284" s="10" t="str">
        <x:v>M13</x:v>
      </x:c>
      <x:c r="B284" s="10" t="str">
        <x:v>N_H1</x:v>
      </x:c>
      <x:c r="C284" s="9" t="str">
        <x:v>主对照</x:v>
      </x:c>
      <x:c r="D284" s="11" t="n">
        <x:v>15968</x:v>
      </x:c>
      <x:c r="E284" s="11" t="n">
        <x:v>9609</x:v>
      </x:c>
      <x:c r="F284" s="11" t="n">
        <x:v>12172</x:v>
      </x:c>
      <x:c r="G284" s="11" t="n">
        <x:v>0</x:v>
      </x:c>
      <x:c r="H284" s="11" t="n">
        <x:v>10401</x:v>
      </x:c>
      <x:c r="I284" s="11" t="n">
        <x:v>52003855</x:v>
      </x:c>
      <x:c r="J284" s="11" t="n">
        <x:v>12140276.940000074</x:v>
      </x:c>
      <x:c r="K284" s="12" t="n">
        <x:f>E284/D284</x:f>
        <x:v>0.6017660320641283</x:v>
      </x:c>
      <x:c r="L284" s="12" t="n">
        <x:f>F284/D284</x:f>
        <x:v>0.7622745490981964</x:v>
      </x:c>
      <x:c r="M284" s="12" t="n">
        <x:f>G284/D284</x:f>
        <x:v>0</x:v>
      </x:c>
      <x:c r="N284" s="12" t="n">
        <x:f>J284/I284</x:f>
        <x:v>0.2334495575376109</x:v>
      </x:c>
      <x:c r="O284" s="11" t="n">
        <x:v>0</x:v>
      </x:c>
      <x:c r="P284" s="11" t="n">
        <x:v>2010</x:v>
      </x:c>
      <x:c r="Q284" s="11" t="n">
        <x:v>242</x:v>
      </x:c>
      <x:c r="R284" s="11" t="n">
        <x:v>0</x:v>
      </x:c>
      <x:c r="S284" s="11" t="n">
        <x:v>12172</x:v>
      </x:c>
      <x:c r="T284" s="11" t="n">
        <x:v>443</x:v>
      </x:c>
      <x:c r="U284" s="11" t="n">
        <x:v>119</x:v>
      </x:c>
      <x:c r="V284" s="11" t="n">
        <x:v>217</x:v>
      </x:c>
      <x:c r="W284" s="11" t="n">
        <x:v>765</x:v>
      </x:c>
      <x:c r="X284" s="11" t="n">
        <x:v>0</x:v>
      </x:c>
      <x:c r="Y284" s="11" t="n">
        <x:v>0</x:v>
      </x:c>
      <x:c r="Z284" s="11" t="n">
        <x:v>3532146</x:v>
      </x:c>
      <x:c r="AA284" s="11" t="n">
        <x:v>626778</x:v>
      </x:c>
      <x:c r="AB284" s="11" t="n">
        <x:v>0</x:v>
      </x:c>
      <x:c r="AC284" s="11" t="n">
        <x:v>37624471</x:v>
      </x:c>
      <x:c r="AD284" s="11" t="n">
        <x:v>3217896</x:v>
      </x:c>
      <x:c r="AE284" s="11" t="n">
        <x:v>325078</x:v>
      </x:c>
      <x:c r="AF284" s="11" t="n">
        <x:v>2845090</x:v>
      </x:c>
      <x:c r="AG284" s="11" t="n">
        <x:v>3832396</x:v>
      </x:c>
      <x:c r="AH284" s="11" t="n">
        <x:v>0</x:v>
      </x:c>
    </x:row>
    <x:row r="285" ht="23" customHeight="1">
      <x:c r="A285" s="10" t="str">
        <x:v>M13</x:v>
      </x:c>
      <x:c r="B285" s="10" t="str">
        <x:v>C_H0</x:v>
      </x:c>
      <x:c r="C285" s="9" t="str">
        <x:v>主对照</x:v>
      </x:c>
      <x:c r="D285" s="11" t="n">
        <x:v>15968</x:v>
      </x:c>
      <x:c r="E285" s="11" t="n">
        <x:v>11376</x:v>
      </x:c>
      <x:c r="F285" s="11" t="n">
        <x:v>11377</x:v>
      </x:c>
      <x:c r="G285" s="11" t="n">
        <x:v>0</x:v>
      </x:c>
      <x:c r="H285" s="11" t="n">
        <x:v>9234</x:v>
      </x:c>
      <x:c r="I285" s="11" t="n">
        <x:v>52003855</x:v>
      </x:c>
      <x:c r="J285" s="11" t="n">
        <x:v>10427453.539999707</x:v>
      </x:c>
      <x:c r="K285" s="12" t="n">
        <x:f>E285/D285</x:f>
        <x:v>0.7124248496993988</x:v>
      </x:c>
      <x:c r="L285" s="12" t="n">
        <x:f>F285/D285</x:f>
        <x:v>0.7124874749498998</x:v>
      </x:c>
      <x:c r="M285" s="12" t="n">
        <x:f>G285/D285</x:f>
        <x:v>0</x:v>
      </x:c>
      <x:c r="N285" s="12" t="n">
        <x:f>J285/I285</x:f>
        <x:v>0.2005130877316635</x:v>
      </x:c>
      <x:c r="O285" s="11" t="n">
        <x:v>0</x:v>
      </x:c>
      <x:c r="P285" s="11" t="n">
        <x:v>4587</x:v>
      </x:c>
      <x:c r="Q285" s="11" t="n">
        <x:v>0</x:v>
      </x:c>
      <x:c r="R285" s="11" t="n">
        <x:v>0</x:v>
      </x:c>
      <x:c r="S285" s="11" t="n">
        <x:v>11377</x:v>
      </x:c>
      <x:c r="T285" s="11" t="n">
        <x:v>0</x:v>
      </x:c>
      <x:c r="U285" s="11" t="n">
        <x:v>4</x:v>
      </x:c>
      <x:c r="V285" s="11" t="n">
        <x:v>0</x:v>
      </x:c>
      <x:c r="W285" s="11" t="n">
        <x:v>0</x:v>
      </x:c>
      <x:c r="X285" s="11" t="n">
        <x:v>0</x:v>
      </x:c>
      <x:c r="Y285" s="11" t="n">
        <x:v>0</x:v>
      </x:c>
      <x:c r="Z285" s="11" t="n">
        <x:v>8448872</x:v>
      </x:c>
      <x:c r="AA285" s="11" t="n">
        <x:v>0</x:v>
      </x:c>
      <x:c r="AB285" s="11" t="n">
        <x:v>0</x:v>
      </x:c>
      <x:c r="AC285" s="11" t="n">
        <x:v>43549107</x:v>
      </x:c>
      <x:c r="AD285" s="11" t="n">
        <x:v>0</x:v>
      </x:c>
      <x:c r="AE285" s="11" t="n">
        <x:v>5876</x:v>
      </x:c>
      <x:c r="AF285" s="11" t="n">
        <x:v>0</x:v>
      </x:c>
      <x:c r="AG285" s="11" t="n">
        <x:v>0</x:v>
      </x:c>
      <x:c r="AH285" s="11" t="n">
        <x:v>0</x:v>
      </x:c>
    </x:row>
    <x:row r="286" ht="23" customHeight="1">
      <x:c r="A286" s="10" t="str">
        <x:v>M13</x:v>
      </x:c>
      <x:c r="B286" s="10" t="str">
        <x:v>C_HT</x:v>
      </x:c>
      <x:c r="C286" s="9" t="str">
        <x:v>仅拓扑与尺度</x:v>
      </x:c>
      <x:c r="D286" s="11" t="n">
        <x:v>15968</x:v>
      </x:c>
      <x:c r="E286" s="11" t="n">
        <x:v>11376</x:v>
      </x:c>
      <x:c r="F286" s="11" t="n">
        <x:v>11377</x:v>
      </x:c>
      <x:c r="G286" s="11" t="n">
        <x:v>0</x:v>
      </x:c>
      <x:c r="H286" s="11" t="n">
        <x:v>9234</x:v>
      </x:c>
      <x:c r="I286" s="11" t="n">
        <x:v>52003855</x:v>
      </x:c>
      <x:c r="J286" s="11" t="n">
        <x:v>10427453.539999707</x:v>
      </x:c>
      <x:c r="K286" s="12" t="n">
        <x:f>E286/D286</x:f>
        <x:v>0.7124248496993988</x:v>
      </x:c>
      <x:c r="L286" s="12" t="n">
        <x:f>F286/D286</x:f>
        <x:v>0.7124874749498998</x:v>
      </x:c>
      <x:c r="M286" s="12" t="n">
        <x:f>G286/D286</x:f>
        <x:v>0</x:v>
      </x:c>
      <x:c r="N286" s="12" t="n">
        <x:f>J286/I286</x:f>
        <x:v>0.2005130877316635</x:v>
      </x:c>
      <x:c r="O286" s="11" t="n">
        <x:v>0</x:v>
      </x:c>
      <x:c r="P286" s="11" t="n">
        <x:v>4587</x:v>
      </x:c>
      <x:c r="Q286" s="11" t="n">
        <x:v>0</x:v>
      </x:c>
      <x:c r="R286" s="11" t="n">
        <x:v>0</x:v>
      </x:c>
      <x:c r="S286" s="11" t="n">
        <x:v>11377</x:v>
      </x:c>
      <x:c r="T286" s="11" t="n">
        <x:v>0</x:v>
      </x:c>
      <x:c r="U286" s="11" t="n">
        <x:v>4</x:v>
      </x:c>
      <x:c r="V286" s="11" t="n">
        <x:v>0</x:v>
      </x:c>
      <x:c r="W286" s="11" t="n">
        <x:v>0</x:v>
      </x:c>
      <x:c r="X286" s="11" t="n">
        <x:v>0</x:v>
      </x:c>
      <x:c r="Y286" s="11" t="n">
        <x:v>0</x:v>
      </x:c>
      <x:c r="Z286" s="11" t="n">
        <x:v>8448872</x:v>
      </x:c>
      <x:c r="AA286" s="11" t="n">
        <x:v>0</x:v>
      </x:c>
      <x:c r="AB286" s="11" t="n">
        <x:v>0</x:v>
      </x:c>
      <x:c r="AC286" s="11" t="n">
        <x:v>43549107</x:v>
      </x:c>
      <x:c r="AD286" s="11" t="n">
        <x:v>0</x:v>
      </x:c>
      <x:c r="AE286" s="11" t="n">
        <x:v>5876</x:v>
      </x:c>
      <x:c r="AF286" s="11" t="n">
        <x:v>0</x:v>
      </x:c>
      <x:c r="AG286" s="11" t="n">
        <x:v>0</x:v>
      </x:c>
      <x:c r="AH286" s="11" t="n">
        <x:v>0</x:v>
      </x:c>
    </x:row>
    <x:row r="287" ht="23" customHeight="1">
      <x:c r="A287" s="10" t="str">
        <x:v>M13</x:v>
      </x:c>
      <x:c r="B287" s="10" t="str">
        <x:v>C_H1</x:v>
      </x:c>
      <x:c r="C287" s="9" t="str">
        <x:v>主对照</x:v>
      </x:c>
      <x:c r="D287" s="11" t="n">
        <x:v>15968</x:v>
      </x:c>
      <x:c r="E287" s="11" t="n">
        <x:v>11376</x:v>
      </x:c>
      <x:c r="F287" s="11" t="n">
        <x:v>11377</x:v>
      </x:c>
      <x:c r="G287" s="11" t="n">
        <x:v>0</x:v>
      </x:c>
      <x:c r="H287" s="11" t="n">
        <x:v>9274</x:v>
      </x:c>
      <x:c r="I287" s="11" t="n">
        <x:v>52003855</x:v>
      </x:c>
      <x:c r="J287" s="11" t="n">
        <x:v>10433991.139999703</x:v>
      </x:c>
      <x:c r="K287" s="12" t="n">
        <x:f>E287/D287</x:f>
        <x:v>0.7124248496993988</x:v>
      </x:c>
      <x:c r="L287" s="12" t="n">
        <x:f>F287/D287</x:f>
        <x:v>0.7124874749498998</x:v>
      </x:c>
      <x:c r="M287" s="12" t="n">
        <x:f>G287/D287</x:f>
        <x:v>0</x:v>
      </x:c>
      <x:c r="N287" s="12" t="n">
        <x:f>J287/I287</x:f>
        <x:v>0.20063880148884544</x:v>
      </x:c>
      <x:c r="O287" s="11" t="n">
        <x:v>0</x:v>
      </x:c>
      <x:c r="P287" s="11" t="n">
        <x:v>4547</x:v>
      </x:c>
      <x:c r="Q287" s="11" t="n">
        <x:v>0</x:v>
      </x:c>
      <x:c r="R287" s="11" t="n">
        <x:v>0</x:v>
      </x:c>
      <x:c r="S287" s="11" t="n">
        <x:v>11377</x:v>
      </x:c>
      <x:c r="T287" s="11" t="n">
        <x:v>0</x:v>
      </x:c>
      <x:c r="U287" s="11" t="n">
        <x:v>44</x:v>
      </x:c>
      <x:c r="V287" s="11" t="n">
        <x:v>0</x:v>
      </x:c>
      <x:c r="W287" s="11" t="n">
        <x:v>0</x:v>
      </x:c>
      <x:c r="X287" s="11" t="n">
        <x:v>0</x:v>
      </x:c>
      <x:c r="Y287" s="11" t="n">
        <x:v>0</x:v>
      </x:c>
      <x:c r="Z287" s="11" t="n">
        <x:v>8416184</x:v>
      </x:c>
      <x:c r="AA287" s="11" t="n">
        <x:v>0</x:v>
      </x:c>
      <x:c r="AB287" s="11" t="n">
        <x:v>0</x:v>
      </x:c>
      <x:c r="AC287" s="11" t="n">
        <x:v>43549107</x:v>
      </x:c>
      <x:c r="AD287" s="11" t="n">
        <x:v>0</x:v>
      </x:c>
      <x:c r="AE287" s="11" t="n">
        <x:v>38564</x:v>
      </x:c>
      <x:c r="AF287" s="11" t="n">
        <x:v>0</x:v>
      </x:c>
      <x:c r="AG287" s="11" t="n">
        <x:v>0</x:v>
      </x:c>
      <x:c r="AH287" s="11" t="n">
        <x:v>0</x:v>
      </x:c>
    </x:row>
    <x:row r="288" ht="23" customHeight="1">
      <x:c r="A288" s="10" t="str">
        <x:v>M13</x:v>
      </x:c>
      <x:c r="B288" s="10" t="str">
        <x:v>G_H0</x:v>
      </x:c>
      <x:c r="C288" s="9" t="str">
        <x:v>主对照</x:v>
      </x:c>
      <x:c r="D288" s="11" t="n">
        <x:v>15968</x:v>
      </x:c>
      <x:c r="E288" s="11" t="n">
        <x:v>15968</x:v>
      </x:c>
      <x:c r="F288" s="11" t="n">
        <x:v>15968</x:v>
      </x:c>
      <x:c r="G288" s="11" t="n">
        <x:v>0</x:v>
      </x:c>
      <x:c r="H288" s="11" t="n">
        <x:v>15968</x:v>
      </x:c>
      <x:c r="I288" s="11" t="n">
        <x:v>52003855</x:v>
      </x:c>
      <x:c r="J288" s="11" t="n">
        <x:v>7319342.899574358</x:v>
      </x:c>
      <x:c r="K288" s="12" t="n">
        <x:f>E288/D288</x:f>
        <x:v>1</x:v>
      </x:c>
      <x:c r="L288" s="12" t="n">
        <x:f>F288/D288</x:f>
        <x:v>1</x:v>
      </x:c>
      <x:c r="M288" s="12" t="n">
        <x:f>G288/D288</x:f>
        <x:v>0</x:v>
      </x:c>
      <x:c r="N288" s="12" t="n">
        <x:f>J288/I288</x:f>
        <x:v>0.1407461600601409</x:v>
      </x:c>
      <x:c r="O288" s="11" t="n">
        <x:v>0</x:v>
      </x:c>
      <x:c r="P288" s="11" t="n">
        <x:v>9407</x:v>
      </x:c>
      <x:c r="Q288" s="11" t="n">
        <x:v>5398</x:v>
      </x:c>
      <x:c r="R288" s="11" t="n">
        <x:v>985</x:v>
      </x:c>
      <x:c r="S288" s="11" t="n">
        <x:v>173</x:v>
      </x:c>
      <x:c r="T288" s="11" t="n">
        <x:v>4</x:v>
      </x:c>
      <x:c r="U288" s="11" t="n">
        <x:v>1</x:v>
      </x:c>
      <x:c r="V288" s="11" t="n">
        <x:v>0</x:v>
      </x:c>
      <x:c r="W288" s="11" t="n">
        <x:v>0</x:v>
      </x:c>
      <x:c r="X288" s="11" t="n">
        <x:v>0</x:v>
      </x:c>
      <x:c r="Y288" s="11" t="n">
        <x:v>0</x:v>
      </x:c>
      <x:c r="Z288" s="11" t="n">
        <x:v>21123632</x:v>
      </x:c>
      <x:c r="AA288" s="11" t="n">
        <x:v>19661107</x:v>
      </x:c>
      <x:c r="AB288" s="11" t="n">
        <x:v>8373212</x:v>
      </x:c>
      <x:c r="AC288" s="11" t="n">
        <x:v>2521088</x:v>
      </x:c>
      <x:c r="AD288" s="11" t="n">
        <x:v>318508</x:v>
      </x:c>
      <x:c r="AE288" s="11" t="n">
        <x:v>6308</x:v>
      </x:c>
      <x:c r="AF288" s="11" t="n">
        <x:v>0</x:v>
      </x:c>
      <x:c r="AG288" s="11" t="n">
        <x:v>0</x:v>
      </x:c>
      <x:c r="AH288" s="11" t="n">
        <x:v>0</x:v>
      </x:c>
    </x:row>
    <x:row r="289" ht="23" customHeight="1">
      <x:c r="A289" s="10" t="str">
        <x:v>M13</x:v>
      </x:c>
      <x:c r="B289" s="10" t="str">
        <x:v>G_HT</x:v>
      </x:c>
      <x:c r="C289" s="9" t="str">
        <x:v>仅拓扑与尺度</x:v>
      </x:c>
      <x:c r="D289" s="11" t="n">
        <x:v>15968</x:v>
      </x:c>
      <x:c r="E289" s="11" t="n">
        <x:v>15968</x:v>
      </x:c>
      <x:c r="F289" s="11" t="n">
        <x:v>15968</x:v>
      </x:c>
      <x:c r="G289" s="11" t="n">
        <x:v>0</x:v>
      </x:c>
      <x:c r="H289" s="11" t="n">
        <x:v>15968</x:v>
      </x:c>
      <x:c r="I289" s="11" t="n">
        <x:v>52003855</x:v>
      </x:c>
      <x:c r="J289" s="11" t="n">
        <x:v>7695783.459574354</x:v>
      </x:c>
      <x:c r="K289" s="12" t="n">
        <x:f>E289/D289</x:f>
        <x:v>1</x:v>
      </x:c>
      <x:c r="L289" s="12" t="n">
        <x:f>F289/D289</x:f>
        <x:v>1</x:v>
      </x:c>
      <x:c r="M289" s="12" t="n">
        <x:f>G289/D289</x:f>
        <x:v>0</x:v>
      </x:c>
      <x:c r="N289" s="12" t="n">
        <x:f>J289/I289</x:f>
        <x:v>0.1479848649599987</x:v>
      </x:c>
      <x:c r="O289" s="11" t="n">
        <x:v>0</x:v>
      </x:c>
      <x:c r="P289" s="11" t="n">
        <x:v>6225</x:v>
      </x:c>
      <x:c r="Q289" s="11" t="n">
        <x:v>8140</x:v>
      </x:c>
      <x:c r="R289" s="11" t="n">
        <x:v>1381</x:v>
      </x:c>
      <x:c r="S289" s="11" t="n">
        <x:v>209</x:v>
      </x:c>
      <x:c r="T289" s="11" t="n">
        <x:v>12</x:v>
      </x:c>
      <x:c r="U289" s="11" t="n">
        <x:v>1</x:v>
      </x:c>
      <x:c r="V289" s="11" t="n">
        <x:v>0</x:v>
      </x:c>
      <x:c r="W289" s="11" t="n">
        <x:v>0</x:v>
      </x:c>
      <x:c r="X289" s="11" t="n">
        <x:v>0</x:v>
      </x:c>
      <x:c r="Y289" s="11" t="n">
        <x:v>0</x:v>
      </x:c>
      <x:c r="Z289" s="11" t="n">
        <x:v>11306060</x:v>
      </x:c>
      <x:c r="AA289" s="11" t="n">
        <x:v>26054947</x:v>
      </x:c>
      <x:c r="AB289" s="11" t="n">
        <x:v>11082256</x:v>
      </x:c>
      <x:c r="AC289" s="11" t="n">
        <x:v>3229312</x:v>
      </x:c>
      <x:c r="AD289" s="11" t="n">
        <x:v>324972</x:v>
      </x:c>
      <x:c r="AE289" s="11" t="n">
        <x:v>6308</x:v>
      </x:c>
      <x:c r="AF289" s="11" t="n">
        <x:v>0</x:v>
      </x:c>
      <x:c r="AG289" s="11" t="n">
        <x:v>0</x:v>
      </x:c>
      <x:c r="AH289" s="11" t="n">
        <x:v>0</x:v>
      </x:c>
    </x:row>
    <x:row r="290" ht="23" customHeight="1">
      <x:c r="A290" s="10" t="str">
        <x:v>M13</x:v>
      </x:c>
      <x:c r="B290" s="10" t="str">
        <x:v>G_H1</x:v>
      </x:c>
      <x:c r="C290" s="9" t="str">
        <x:v>主对照</x:v>
      </x:c>
      <x:c r="D290" s="11" t="n">
        <x:v>15968</x:v>
      </x:c>
      <x:c r="E290" s="11" t="n">
        <x:v>15968</x:v>
      </x:c>
      <x:c r="F290" s="11" t="n">
        <x:v>15968</x:v>
      </x:c>
      <x:c r="G290" s="11" t="n">
        <x:v>0</x:v>
      </x:c>
      <x:c r="H290" s="11" t="n">
        <x:v>15968</x:v>
      </x:c>
      <x:c r="I290" s="11" t="n">
        <x:v>52003855</x:v>
      </x:c>
      <x:c r="J290" s="11" t="n">
        <x:v>7695783.459574354</x:v>
      </x:c>
      <x:c r="K290" s="12" t="n">
        <x:f>E290/D290</x:f>
        <x:v>1</x:v>
      </x:c>
      <x:c r="L290" s="12" t="n">
        <x:f>F290/D290</x:f>
        <x:v>1</x:v>
      </x:c>
      <x:c r="M290" s="12" t="n">
        <x:f>G290/D290</x:f>
        <x:v>0</x:v>
      </x:c>
      <x:c r="N290" s="12" t="n">
        <x:f>J290/I290</x:f>
        <x:v>0.1479848649599987</x:v>
      </x:c>
      <x:c r="O290" s="11" t="n">
        <x:v>0</x:v>
      </x:c>
      <x:c r="P290" s="11" t="n">
        <x:v>6225</x:v>
      </x:c>
      <x:c r="Q290" s="11" t="n">
        <x:v>8140</x:v>
      </x:c>
      <x:c r="R290" s="11" t="n">
        <x:v>1381</x:v>
      </x:c>
      <x:c r="S290" s="11" t="n">
        <x:v>209</x:v>
      </x:c>
      <x:c r="T290" s="11" t="n">
        <x:v>12</x:v>
      </x:c>
      <x:c r="U290" s="11" t="n">
        <x:v>1</x:v>
      </x:c>
      <x:c r="V290" s="11" t="n">
        <x:v>0</x:v>
      </x:c>
      <x:c r="W290" s="11" t="n">
        <x:v>0</x:v>
      </x:c>
      <x:c r="X290" s="11" t="n">
        <x:v>0</x:v>
      </x:c>
      <x:c r="Y290" s="11" t="n">
        <x:v>0</x:v>
      </x:c>
      <x:c r="Z290" s="11" t="n">
        <x:v>11306060</x:v>
      </x:c>
      <x:c r="AA290" s="11" t="n">
        <x:v>26054947</x:v>
      </x:c>
      <x:c r="AB290" s="11" t="n">
        <x:v>11082256</x:v>
      </x:c>
      <x:c r="AC290" s="11" t="n">
        <x:v>3229312</x:v>
      </x:c>
      <x:c r="AD290" s="11" t="n">
        <x:v>324972</x:v>
      </x:c>
      <x:c r="AE290" s="11" t="n">
        <x:v>6308</x:v>
      </x:c>
      <x:c r="AF290" s="11" t="n">
        <x:v>0</x:v>
      </x:c>
      <x:c r="AG290" s="11" t="n">
        <x:v>0</x:v>
      </x:c>
      <x:c r="AH290" s="11" t="n">
        <x:v>0</x:v>
      </x:c>
    </x:row>
    <x:row r="291" ht="23" customHeight="1">
      <x:c r="A291" s="10" t="str">
        <x:v>M13</x:v>
      </x:c>
      <x:c r="B291" s="10" t="str">
        <x:v>NC_H0</x:v>
      </x:c>
      <x:c r="C291" s="9" t="str">
        <x:v>主对照</x:v>
      </x:c>
      <x:c r="D291" s="11" t="n">
        <x:v>15968</x:v>
      </x:c>
      <x:c r="E291" s="11" t="n">
        <x:v>7567</x:v>
      </x:c>
      <x:c r="F291" s="11" t="n">
        <x:v>9877</x:v>
      </x:c>
      <x:c r="G291" s="11" t="n">
        <x:v>1690</x:v>
      </x:c>
      <x:c r="H291" s="11" t="n">
        <x:v>6701</x:v>
      </x:c>
      <x:c r="I291" s="11" t="n">
        <x:v>52003855</x:v>
      </x:c>
      <x:c r="J291" s="11" t="n">
        <x:v>11364452.539999736</x:v>
      </x:c>
      <x:c r="K291" s="12" t="n">
        <x:f>E291/D291</x:f>
        <x:v>0.47388527054108215</x:v>
      </x:c>
      <x:c r="L291" s="12" t="n">
        <x:f>F291/D291</x:f>
        <x:v>0.6185495991983968</x:v>
      </x:c>
      <x:c r="M291" s="12" t="n">
        <x:f>G291/D291</x:f>
        <x:v>0.10583667334669339</x:v>
      </x:c>
      <x:c r="N291" s="12" t="n">
        <x:f>J291/I291</x:f>
        <x:v>0.21853096352183385</x:v>
      </x:c>
      <x:c r="O291" s="11" t="n">
        <x:v>0</x:v>
      </x:c>
      <x:c r="P291" s="11" t="n">
        <x:v>4686</x:v>
      </x:c>
      <x:c r="Q291" s="11" t="n">
        <x:v>306</x:v>
      </x:c>
      <x:c r="R291" s="11" t="n">
        <x:v>0</x:v>
      </x:c>
      <x:c r="S291" s="11" t="n">
        <x:v>9877</x:v>
      </x:c>
      <x:c r="T291" s="11" t="n">
        <x:v>348</x:v>
      </x:c>
      <x:c r="U291" s="11" t="n">
        <x:v>38</x:v>
      </x:c>
      <x:c r="V291" s="11" t="n">
        <x:v>176</x:v>
      </x:c>
      <x:c r="W291" s="11" t="n">
        <x:v>537</x:v>
      </x:c>
      <x:c r="X291" s="11" t="n">
        <x:v>0</x:v>
      </x:c>
      <x:c r="Y291" s="11" t="n">
        <x:v>0</x:v>
      </x:c>
      <x:c r="Z291" s="11" t="n">
        <x:v>7865812</x:v>
      </x:c>
      <x:c r="AA291" s="11" t="n">
        <x:v>771794</x:v>
      </x:c>
      <x:c r="AB291" s="11" t="n">
        <x:v>0</x:v>
      </x:c>
      <x:c r="AC291" s="11" t="n">
        <x:v>34845583</x:v>
      </x:c>
      <x:c r="AD291" s="11" t="n">
        <x:v>2922568</x:v>
      </x:c>
      <x:c r="AE291" s="11" t="n">
        <x:v>154474</x:v>
      </x:c>
      <x:c r="AF291" s="11" t="n">
        <x:v>2740528</x:v>
      </x:c>
      <x:c r="AG291" s="11" t="n">
        <x:v>2703096</x:v>
      </x:c>
      <x:c r="AH291" s="11" t="n">
        <x:v>0</x:v>
      </x:c>
    </x:row>
    <x:row r="292" ht="23" customHeight="1">
      <x:c r="A292" s="10" t="str">
        <x:v>M13</x:v>
      </x:c>
      <x:c r="B292" s="10" t="str">
        <x:v>NC_HT</x:v>
      </x:c>
      <x:c r="C292" s="9" t="str">
        <x:v>仅拓扑与尺度</x:v>
      </x:c>
      <x:c r="D292" s="11" t="n">
        <x:v>15968</x:v>
      </x:c>
      <x:c r="E292" s="11" t="n">
        <x:v>7567</x:v>
      </x:c>
      <x:c r="F292" s="11" t="n">
        <x:v>9877</x:v>
      </x:c>
      <x:c r="G292" s="11" t="n">
        <x:v>1690</x:v>
      </x:c>
      <x:c r="H292" s="11" t="n">
        <x:v>6701</x:v>
      </x:c>
      <x:c r="I292" s="11" t="n">
        <x:v>52003855</x:v>
      </x:c>
      <x:c r="J292" s="11" t="n">
        <x:v>11364452.539999736</x:v>
      </x:c>
      <x:c r="K292" s="12" t="n">
        <x:f>E292/D292</x:f>
        <x:v>0.47388527054108215</x:v>
      </x:c>
      <x:c r="L292" s="12" t="n">
        <x:f>F292/D292</x:f>
        <x:v>0.6185495991983968</x:v>
      </x:c>
      <x:c r="M292" s="12" t="n">
        <x:f>G292/D292</x:f>
        <x:v>0.10583667334669339</x:v>
      </x:c>
      <x:c r="N292" s="12" t="n">
        <x:f>J292/I292</x:f>
        <x:v>0.21853096352183385</x:v>
      </x:c>
      <x:c r="O292" s="11" t="n">
        <x:v>0</x:v>
      </x:c>
      <x:c r="P292" s="11" t="n">
        <x:v>4686</x:v>
      </x:c>
      <x:c r="Q292" s="11" t="n">
        <x:v>306</x:v>
      </x:c>
      <x:c r="R292" s="11" t="n">
        <x:v>0</x:v>
      </x:c>
      <x:c r="S292" s="11" t="n">
        <x:v>9877</x:v>
      </x:c>
      <x:c r="T292" s="11" t="n">
        <x:v>348</x:v>
      </x:c>
      <x:c r="U292" s="11" t="n">
        <x:v>38</x:v>
      </x:c>
      <x:c r="V292" s="11" t="n">
        <x:v>176</x:v>
      </x:c>
      <x:c r="W292" s="11" t="n">
        <x:v>537</x:v>
      </x:c>
      <x:c r="X292" s="11" t="n">
        <x:v>0</x:v>
      </x:c>
      <x:c r="Y292" s="11" t="n">
        <x:v>0</x:v>
      </x:c>
      <x:c r="Z292" s="11" t="n">
        <x:v>7865812</x:v>
      </x:c>
      <x:c r="AA292" s="11" t="n">
        <x:v>771794</x:v>
      </x:c>
      <x:c r="AB292" s="11" t="n">
        <x:v>0</x:v>
      </x:c>
      <x:c r="AC292" s="11" t="n">
        <x:v>34845583</x:v>
      </x:c>
      <x:c r="AD292" s="11" t="n">
        <x:v>2922568</x:v>
      </x:c>
      <x:c r="AE292" s="11" t="n">
        <x:v>154474</x:v>
      </x:c>
      <x:c r="AF292" s="11" t="n">
        <x:v>2740528</x:v>
      </x:c>
      <x:c r="AG292" s="11" t="n">
        <x:v>2703096</x:v>
      </x:c>
      <x:c r="AH292" s="11" t="n">
        <x:v>0</x:v>
      </x:c>
    </x:row>
    <x:row r="293" ht="23" customHeight="1">
      <x:c r="A293" s="10" t="str">
        <x:v>M13</x:v>
      </x:c>
      <x:c r="B293" s="10" t="str">
        <x:v>NC_H1</x:v>
      </x:c>
      <x:c r="C293" s="9" t="str">
        <x:v>主对照</x:v>
      </x:c>
      <x:c r="D293" s="11" t="n">
        <x:v>15968</x:v>
      </x:c>
      <x:c r="E293" s="11" t="n">
        <x:v>7567</x:v>
      </x:c>
      <x:c r="F293" s="11" t="n">
        <x:v>9877</x:v>
      </x:c>
      <x:c r="G293" s="11" t="n">
        <x:v>1690</x:v>
      </x:c>
      <x:c r="H293" s="11" t="n">
        <x:v>7258</x:v>
      </x:c>
      <x:c r="I293" s="11" t="n">
        <x:v>52003855</x:v>
      </x:c>
      <x:c r="J293" s="11" t="n">
        <x:v>11428599.099999748</x:v>
      </x:c>
      <x:c r="K293" s="12" t="n">
        <x:f>E293/D293</x:f>
        <x:v>0.47388527054108215</x:v>
      </x:c>
      <x:c r="L293" s="12" t="n">
        <x:f>F293/D293</x:f>
        <x:v>0.6185495991983968</x:v>
      </x:c>
      <x:c r="M293" s="12" t="n">
        <x:f>G293/D293</x:f>
        <x:v>0.10583667334669339</x:v>
      </x:c>
      <x:c r="N293" s="12" t="n">
        <x:f>J293/I293</x:f>
        <x:v>0.21976445976937187</x:v>
      </x:c>
      <x:c r="O293" s="11" t="n">
        <x:v>0</x:v>
      </x:c>
      <x:c r="P293" s="11" t="n">
        <x:v>4651</x:v>
      </x:c>
      <x:c r="Q293" s="11" t="n">
        <x:v>193</x:v>
      </x:c>
      <x:c r="R293" s="11" t="n">
        <x:v>0</x:v>
      </x:c>
      <x:c r="S293" s="11" t="n">
        <x:v>9877</x:v>
      </x:c>
      <x:c r="T293" s="11" t="n">
        <x:v>426</x:v>
      </x:c>
      <x:c r="U293" s="11" t="n">
        <x:v>108</x:v>
      </x:c>
      <x:c r="V293" s="11" t="n">
        <x:v>176</x:v>
      </x:c>
      <x:c r="W293" s="11" t="n">
        <x:v>537</x:v>
      </x:c>
      <x:c r="X293" s="11" t="n">
        <x:v>0</x:v>
      </x:c>
      <x:c r="Y293" s="11" t="n">
        <x:v>0</x:v>
      </x:c>
      <x:c r="Z293" s="11" t="n">
        <x:v>7846686</x:v>
      </x:c>
      <x:c r="AA293" s="11" t="n">
        <x:v>378934</x:v>
      </x:c>
      <x:c r="AB293" s="11" t="n">
        <x:v>0</x:v>
      </x:c>
      <x:c r="AC293" s="11" t="n">
        <x:v>34845583</x:v>
      </x:c>
      <x:c r="AD293" s="11" t="n">
        <x:v>3182404</x:v>
      </x:c>
      <x:c r="AE293" s="11" t="n">
        <x:v>306624</x:v>
      </x:c>
      <x:c r="AF293" s="11" t="n">
        <x:v>2740528</x:v>
      </x:c>
      <x:c r="AG293" s="11" t="n">
        <x:v>2703096</x:v>
      </x:c>
      <x:c r="AH293" s="11" t="n">
        <x:v>0</x:v>
      </x:c>
    </x:row>
    <x:row r="294" ht="23" customHeight="1">
      <x:c r="A294" s="10" t="str">
        <x:v>M13</x:v>
      </x:c>
      <x:c r="B294" s="10" t="str">
        <x:v>NG_H0</x:v>
      </x:c>
      <x:c r="C294" s="9" t="str">
        <x:v>主对照</x:v>
      </x:c>
      <x:c r="D294" s="11" t="n">
        <x:v>15968</x:v>
      </x:c>
      <x:c r="E294" s="11" t="n">
        <x:v>9609</x:v>
      </x:c>
      <x:c r="F294" s="11" t="n">
        <x:v>12172</x:v>
      </x:c>
      <x:c r="G294" s="11" t="n">
        <x:v>0</x:v>
      </x:c>
      <x:c r="H294" s="11" t="n">
        <x:v>9609</x:v>
      </x:c>
      <x:c r="I294" s="11" t="n">
        <x:v>52003855</x:v>
      </x:c>
      <x:c r="J294" s="11" t="n">
        <x:v>9467402.499574563</x:v>
      </x:c>
      <x:c r="K294" s="12" t="n">
        <x:f>E294/D294</x:f>
        <x:v>0.6017660320641283</x:v>
      </x:c>
      <x:c r="L294" s="12" t="n">
        <x:f>F294/D294</x:f>
        <x:v>0.7622745490981964</x:v>
      </x:c>
      <x:c r="M294" s="12" t="n">
        <x:f>G294/D294</x:f>
        <x:v>0</x:v>
      </x:c>
      <x:c r="N294" s="12" t="n">
        <x:f>J294/I294</x:f>
        <x:v>0.18205193633384606</x:v>
      </x:c>
      <x:c r="O294" s="11" t="n">
        <x:v>28</x:v>
      </x:c>
      <x:c r="P294" s="11" t="n">
        <x:v>8470</x:v>
      </x:c>
      <x:c r="Q294" s="11" t="n">
        <x:v>4993</x:v>
      </x:c>
      <x:c r="R294" s="11" t="n">
        <x:v>937</x:v>
      </x:c>
      <x:c r="S294" s="11" t="n">
        <x:v>168</x:v>
      </x:c>
      <x:c r="T294" s="11" t="n">
        <x:v>352</x:v>
      </x:c>
      <x:c r="U294" s="11" t="n">
        <x:v>38</x:v>
      </x:c>
      <x:c r="V294" s="11" t="n">
        <x:v>217</x:v>
      </x:c>
      <x:c r="W294" s="11" t="n">
        <x:v>765</x:v>
      </x:c>
      <x:c r="X294" s="11" t="n">
        <x:v>0</x:v>
      </x:c>
      <x:c r="Y294" s="11" t="n">
        <x:v>9632</x:v>
      </x:c>
      <x:c r="Z294" s="11" t="n">
        <x:v>16644864</x:v>
      </x:c>
      <x:c r="AA294" s="11" t="n">
        <x:v>16293269</x:v>
      </x:c>
      <x:c r="AB294" s="11" t="n">
        <x:v>6460210</x:v>
      </x:c>
      <x:c r="AC294" s="11" t="n">
        <x:v>2517920</x:v>
      </x:c>
      <x:c r="AD294" s="11" t="n">
        <x:v>3241076</x:v>
      </x:c>
      <x:c r="AE294" s="11" t="n">
        <x:v>159398</x:v>
      </x:c>
      <x:c r="AF294" s="11" t="n">
        <x:v>2845090</x:v>
      </x:c>
      <x:c r="AG294" s="11" t="n">
        <x:v>3832396</x:v>
      </x:c>
      <x:c r="AH294" s="11" t="n">
        <x:v>0</x:v>
      </x:c>
    </x:row>
    <x:row r="295" ht="23" customHeight="1">
      <x:c r="A295" s="10" t="str">
        <x:v>M13</x:v>
      </x:c>
      <x:c r="B295" s="10" t="str">
        <x:v>NG_HT</x:v>
      </x:c>
      <x:c r="C295" s="9" t="str">
        <x:v>仅拓扑与尺度</x:v>
      </x:c>
      <x:c r="D295" s="11" t="n">
        <x:v>15968</x:v>
      </x:c>
      <x:c r="E295" s="11" t="n">
        <x:v>9609</x:v>
      </x:c>
      <x:c r="F295" s="11" t="n">
        <x:v>12172</x:v>
      </x:c>
      <x:c r="G295" s="11" t="n">
        <x:v>0</x:v>
      </x:c>
      <x:c r="H295" s="11" t="n">
        <x:v>9609</x:v>
      </x:c>
      <x:c r="I295" s="11" t="n">
        <x:v>52003855</x:v>
      </x:c>
      <x:c r="J295" s="11" t="n">
        <x:v>9772676.139574613</x:v>
      </x:c>
      <x:c r="K295" s="12" t="n">
        <x:f>E295/D295</x:f>
        <x:v>0.6017660320641283</x:v>
      </x:c>
      <x:c r="L295" s="12" t="n">
        <x:f>F295/D295</x:f>
        <x:v>0.7622745490981964</x:v>
      </x:c>
      <x:c r="M295" s="12" t="n">
        <x:f>G295/D295</x:f>
        <x:v>0</x:v>
      </x:c>
      <x:c r="N295" s="12" t="n">
        <x:f>J295/I295</x:f>
        <x:v>0.1879221480710346</x:v>
      </x:c>
      <x:c r="O295" s="11" t="n">
        <x:v>28</x:v>
      </x:c>
      <x:c r="P295" s="11" t="n">
        <x:v>5853</x:v>
      </x:c>
      <x:c r="Q295" s="11" t="n">
        <x:v>7247</x:v>
      </x:c>
      <x:c r="R295" s="11" t="n">
        <x:v>1256</x:v>
      </x:c>
      <x:c r="S295" s="11" t="n">
        <x:v>204</x:v>
      </x:c>
      <x:c r="T295" s="11" t="n">
        <x:v>360</x:v>
      </x:c>
      <x:c r="U295" s="11" t="n">
        <x:v>38</x:v>
      </x:c>
      <x:c r="V295" s="11" t="n">
        <x:v>217</x:v>
      </x:c>
      <x:c r="W295" s="11" t="n">
        <x:v>765</x:v>
      </x:c>
      <x:c r="X295" s="11" t="n">
        <x:v>0</x:v>
      </x:c>
      <x:c r="Y295" s="11" t="n">
        <x:v>9632</x:v>
      </x:c>
      <x:c r="Z295" s="11" t="n">
        <x:v>9938170</x:v>
      </x:c>
      <x:c r="AA295" s="11" t="n">
        <x:v>19799965</x:v>
      </x:c>
      <x:c r="AB295" s="11" t="n">
        <x:v>8945520</x:v>
      </x:c>
      <x:c r="AC295" s="11" t="n">
        <x:v>3226144</x:v>
      </x:c>
      <x:c r="AD295" s="11" t="n">
        <x:v>3247540</x:v>
      </x:c>
      <x:c r="AE295" s="11" t="n">
        <x:v>159398</x:v>
      </x:c>
      <x:c r="AF295" s="11" t="n">
        <x:v>2845090</x:v>
      </x:c>
      <x:c r="AG295" s="11" t="n">
        <x:v>3832396</x:v>
      </x:c>
      <x:c r="AH295" s="11" t="n">
        <x:v>0</x:v>
      </x:c>
    </x:row>
    <x:row r="296" ht="23" customHeight="1">
      <x:c r="A296" s="10" t="str">
        <x:v>M13</x:v>
      </x:c>
      <x:c r="B296" s="10" t="str">
        <x:v>NG_H1</x:v>
      </x:c>
      <x:c r="C296" s="9" t="str">
        <x:v>主对照</x:v>
      </x:c>
      <x:c r="D296" s="11" t="n">
        <x:v>15968</x:v>
      </x:c>
      <x:c r="E296" s="11" t="n">
        <x:v>9609</x:v>
      </x:c>
      <x:c r="F296" s="11" t="n">
        <x:v>12172</x:v>
      </x:c>
      <x:c r="G296" s="11" t="n">
        <x:v>0</x:v>
      </x:c>
      <x:c r="H296" s="11" t="n">
        <x:v>10401</x:v>
      </x:c>
      <x:c r="I296" s="11" t="n">
        <x:v>52003855</x:v>
      </x:c>
      <x:c r="J296" s="11" t="n">
        <x:v>9842936.699574614</x:v>
      </x:c>
      <x:c r="K296" s="12" t="n">
        <x:f>E296/D296</x:f>
        <x:v>0.6017660320641283</x:v>
      </x:c>
      <x:c r="L296" s="12" t="n">
        <x:f>F296/D296</x:f>
        <x:v>0.7622745490981964</x:v>
      </x:c>
      <x:c r="M296" s="12" t="n">
        <x:f>G296/D296</x:f>
        <x:v>0</x:v>
      </x:c>
      <x:c r="N296" s="12" t="n">
        <x:f>J296/I296</x:f>
        <x:v>0.18927321252577553</x:v>
      </x:c>
      <x:c r="O296" s="11" t="n">
        <x:v>28</x:v>
      </x:c>
      <x:c r="P296" s="11" t="n">
        <x:v>5817</x:v>
      </x:c>
      <x:c r="Q296" s="11" t="n">
        <x:v>7109</x:v>
      </x:c>
      <x:c r="R296" s="11" t="n">
        <x:v>1253</x:v>
      </x:c>
      <x:c r="S296" s="11" t="n">
        <x:v>204</x:v>
      </x:c>
      <x:c r="T296" s="11" t="n">
        <x:v>455</x:v>
      </x:c>
      <x:c r="U296" s="11" t="n">
        <x:v>120</x:v>
      </x:c>
      <x:c r="V296" s="11" t="n">
        <x:v>217</x:v>
      </x:c>
      <x:c r="W296" s="11" t="n">
        <x:v>765</x:v>
      </x:c>
      <x:c r="X296" s="11" t="n">
        <x:v>0</x:v>
      </x:c>
      <x:c r="Y296" s="11" t="n">
        <x:v>9632</x:v>
      </x:c>
      <x:c r="Z296" s="11" t="n">
        <x:v>9913714</x:v>
      </x:c>
      <x:c r="AA296" s="11" t="n">
        <x:v>19420413</x:v>
      </x:c>
      <x:c r="AB296" s="11" t="n">
        <x:v>8882212</x:v>
      </x:c>
      <x:c r="AC296" s="11" t="n">
        <x:v>3226144</x:v>
      </x:c>
      <x:c r="AD296" s="11" t="n">
        <x:v>3542868</x:v>
      </x:c>
      <x:c r="AE296" s="11" t="n">
        <x:v>331386</x:v>
      </x:c>
      <x:c r="AF296" s="11" t="n">
        <x:v>2845090</x:v>
      </x:c>
      <x:c r="AG296" s="11" t="n">
        <x:v>3832396</x:v>
      </x:c>
      <x:c r="AH296" s="11" t="n">
        <x:v>0</x:v>
      </x:c>
    </x:row>
    <x:row r="297" ht="23" customHeight="1">
      <x:c r="A297" s="10" t="str">
        <x:v>M13</x:v>
      </x:c>
      <x:c r="B297" s="10" t="str">
        <x:v>CG_H0</x:v>
      </x:c>
      <x:c r="C297" s="9" t="str">
        <x:v>主对照</x:v>
      </x:c>
      <x:c r="D297" s="11" t="n">
        <x:v>15968</x:v>
      </x:c>
      <x:c r="E297" s="11" t="n">
        <x:v>11376</x:v>
      </x:c>
      <x:c r="F297" s="11" t="n">
        <x:v>11377</x:v>
      </x:c>
      <x:c r="G297" s="11" t="n">
        <x:v>0</x:v>
      </x:c>
      <x:c r="H297" s="11" t="n">
        <x:v>9234</x:v>
      </x:c>
      <x:c r="I297" s="11" t="n">
        <x:v>52003855</x:v>
      </x:c>
      <x:c r="J297" s="11" t="n">
        <x:v>7214639.659574311</x:v>
      </x:c>
      <x:c r="K297" s="12" t="n">
        <x:f>E297/D297</x:f>
        <x:v>0.7124248496993988</x:v>
      </x:c>
      <x:c r="L297" s="12" t="n">
        <x:f>F297/D297</x:f>
        <x:v>0.7124874749498998</x:v>
      </x:c>
      <x:c r="M297" s="12" t="n">
        <x:f>G297/D297</x:f>
        <x:v>0</x:v>
      </x:c>
      <x:c r="N297" s="12" t="n">
        <x:f>J297/I297</x:f>
        <x:v>0.13873278547473666</x:v>
      </x:c>
      <x:c r="O297" s="11" t="n">
        <x:v>787</x:v>
      </x:c>
      <x:c r="P297" s="11" t="n">
        <x:v>10871</x:v>
      </x:c>
      <x:c r="Q297" s="11" t="n">
        <x:v>3420</x:v>
      </x:c>
      <x:c r="R297" s="11" t="n">
        <x:v>708</x:v>
      </x:c>
      <x:c r="S297" s="11" t="n">
        <x:v>173</x:v>
      </x:c>
      <x:c r="T297" s="11" t="n">
        <x:v>4</x:v>
      </x:c>
      <x:c r="U297" s="11" t="n">
        <x:v>5</x:v>
      </x:c>
      <x:c r="V297" s="11" t="n">
        <x:v>0</x:v>
      </x:c>
      <x:c r="W297" s="11" t="n">
        <x:v>0</x:v>
      </x:c>
      <x:c r="X297" s="11" t="n">
        <x:v>0</x:v>
      </x:c>
      <x:c r="Y297" s="11" t="n">
        <x:v>1007282</x:v>
      </x:c>
      <x:c r="Z297" s="11" t="n">
        <x:v>23636710</x:v>
      </x:c>
      <x:c r="AA297" s="11" t="n">
        <x:v>16515073</x:v>
      </x:c>
      <x:c r="AB297" s="11" t="n">
        <x:v>7993010</x:v>
      </x:c>
      <x:c r="AC297" s="11" t="n">
        <x:v>2521088</x:v>
      </x:c>
      <x:c r="AD297" s="11" t="n">
        <x:v>318508</x:v>
      </x:c>
      <x:c r="AE297" s="11" t="n">
        <x:v>12184</x:v>
      </x:c>
      <x:c r="AF297" s="11" t="n">
        <x:v>0</x:v>
      </x:c>
      <x:c r="AG297" s="11" t="n">
        <x:v>0</x:v>
      </x:c>
      <x:c r="AH297" s="11" t="n">
        <x:v>0</x:v>
      </x:c>
    </x:row>
    <x:row r="298" ht="23" customHeight="1">
      <x:c r="A298" s="10" t="str">
        <x:v>M13</x:v>
      </x:c>
      <x:c r="B298" s="10" t="str">
        <x:v>CG_HT</x:v>
      </x:c>
      <x:c r="C298" s="9" t="str">
        <x:v>仅拓扑与尺度</x:v>
      </x:c>
      <x:c r="D298" s="11" t="n">
        <x:v>15968</x:v>
      </x:c>
      <x:c r="E298" s="11" t="n">
        <x:v>11379</x:v>
      </x:c>
      <x:c r="F298" s="11" t="n">
        <x:v>11380</x:v>
      </x:c>
      <x:c r="G298" s="11" t="n">
        <x:v>0</x:v>
      </x:c>
      <x:c r="H298" s="11" t="n">
        <x:v>9237</x:v>
      </x:c>
      <x:c r="I298" s="11" t="n">
        <x:v>52003855</x:v>
      </x:c>
      <x:c r="J298" s="11" t="n">
        <x:v>7578512.299574308</x:v>
      </x:c>
      <x:c r="K298" s="12" t="n">
        <x:f>E298/D298</x:f>
        <x:v>0.7126127254509018</x:v>
      </x:c>
      <x:c r="L298" s="12" t="n">
        <x:f>F298/D298</x:f>
        <x:v>0.7126753507014028</x:v>
      </x:c>
      <x:c r="M298" s="12" t="n">
        <x:f>G298/D298</x:f>
        <x:v>0</x:v>
      </x:c>
      <x:c r="N298" s="12" t="n">
        <x:f>J298/I298</x:f>
        <x:v>0.14572981752168773</x:v>
      </x:c>
      <x:c r="O298" s="11" t="n">
        <x:v>787</x:v>
      </x:c>
      <x:c r="P298" s="11" t="n">
        <x:v>7803</x:v>
      </x:c>
      <x:c r="Q298" s="11" t="n">
        <x:v>6179</x:v>
      </x:c>
      <x:c r="R298" s="11" t="n">
        <x:v>973</x:v>
      </x:c>
      <x:c r="S298" s="11" t="n">
        <x:v>209</x:v>
      </x:c>
      <x:c r="T298" s="11" t="n">
        <x:v>10</x:v>
      </x:c>
      <x:c r="U298" s="11" t="n">
        <x:v>7</x:v>
      </x:c>
      <x:c r="V298" s="11" t="n">
        <x:v>0</x:v>
      </x:c>
      <x:c r="W298" s="11" t="n">
        <x:v>0</x:v>
      </x:c>
      <x:c r="X298" s="11" t="n">
        <x:v>0</x:v>
      </x:c>
      <x:c r="Y298" s="11" t="n">
        <x:v>1007282</x:v>
      </x:c>
      <x:c r="Z298" s="11" t="n">
        <x:v>14231418</x:v>
      </x:c>
      <x:c r="AA298" s="11" t="n">
        <x:v>22610731</x:v>
      </x:c>
      <x:c r="AB298" s="11" t="n">
        <x:v>10587956</x:v>
      </x:c>
      <x:c r="AC298" s="11" t="n">
        <x:v>3229312</x:v>
      </x:c>
      <x:c r="AD298" s="11" t="n">
        <x:v>318932</x:v>
      </x:c>
      <x:c r="AE298" s="11" t="n">
        <x:v>18224</x:v>
      </x:c>
      <x:c r="AF298" s="11" t="n">
        <x:v>0</x:v>
      </x:c>
      <x:c r="AG298" s="11" t="n">
        <x:v>0</x:v>
      </x:c>
      <x:c r="AH298" s="11" t="n">
        <x:v>0</x:v>
      </x:c>
    </x:row>
    <x:row r="299" ht="23" customHeight="1">
      <x:c r="A299" s="10" t="str">
        <x:v>M13</x:v>
      </x:c>
      <x:c r="B299" s="10" t="str">
        <x:v>CG_H1</x:v>
      </x:c>
      <x:c r="C299" s="9" t="str">
        <x:v>主对照</x:v>
      </x:c>
      <x:c r="D299" s="11" t="n">
        <x:v>15968</x:v>
      </x:c>
      <x:c r="E299" s="11" t="n">
        <x:v>11379</x:v>
      </x:c>
      <x:c r="F299" s="11" t="n">
        <x:v>11380</x:v>
      </x:c>
      <x:c r="G299" s="11" t="n">
        <x:v>0</x:v>
      </x:c>
      <x:c r="H299" s="11" t="n">
        <x:v>9277</x:v>
      </x:c>
      <x:c r="I299" s="11" t="n">
        <x:v>52003855</x:v>
      </x:c>
      <x:c r="J299" s="11" t="n">
        <x:v>7585049.899574308</x:v>
      </x:c>
      <x:c r="K299" s="12" t="n">
        <x:f>E299/D299</x:f>
        <x:v>0.7126127254509018</x:v>
      </x:c>
      <x:c r="L299" s="12" t="n">
        <x:f>F299/D299</x:f>
        <x:v>0.7126753507014028</x:v>
      </x:c>
      <x:c r="M299" s="12" t="n">
        <x:f>G299/D299</x:f>
        <x:v>0</x:v>
      </x:c>
      <x:c r="N299" s="12" t="n">
        <x:f>J299/I299</x:f>
        <x:v>0.14585553127886977</x:v>
      </x:c>
      <x:c r="O299" s="11" t="n">
        <x:v>787</x:v>
      </x:c>
      <x:c r="P299" s="11" t="n">
        <x:v>7763</x:v>
      </x:c>
      <x:c r="Q299" s="11" t="n">
        <x:v>6179</x:v>
      </x:c>
      <x:c r="R299" s="11" t="n">
        <x:v>973</x:v>
      </x:c>
      <x:c r="S299" s="11" t="n">
        <x:v>209</x:v>
      </x:c>
      <x:c r="T299" s="11" t="n">
        <x:v>10</x:v>
      </x:c>
      <x:c r="U299" s="11" t="n">
        <x:v>47</x:v>
      </x:c>
      <x:c r="V299" s="11" t="n">
        <x:v>0</x:v>
      </x:c>
      <x:c r="W299" s="11" t="n">
        <x:v>0</x:v>
      </x:c>
      <x:c r="X299" s="11" t="n">
        <x:v>0</x:v>
      </x:c>
      <x:c r="Y299" s="11" t="n">
        <x:v>1007282</x:v>
      </x:c>
      <x:c r="Z299" s="11" t="n">
        <x:v>14198730</x:v>
      </x:c>
      <x:c r="AA299" s="11" t="n">
        <x:v>22610731</x:v>
      </x:c>
      <x:c r="AB299" s="11" t="n">
        <x:v>10587956</x:v>
      </x:c>
      <x:c r="AC299" s="11" t="n">
        <x:v>3229312</x:v>
      </x:c>
      <x:c r="AD299" s="11" t="n">
        <x:v>318932</x:v>
      </x:c>
      <x:c r="AE299" s="11" t="n">
        <x:v>50912</x:v>
      </x:c>
      <x:c r="AF299" s="11" t="n">
        <x:v>0</x:v>
      </x:c>
      <x:c r="AG299" s="11" t="n">
        <x:v>0</x:v>
      </x:c>
      <x:c r="AH299" s="11" t="n">
        <x:v>0</x:v>
      </x:c>
    </x:row>
    <x:row r="300" ht="23" customHeight="1">
      <x:c r="A300" s="10" t="str">
        <x:v>M13</x:v>
      </x:c>
      <x:c r="B300" s="10" t="str">
        <x:v>NCG_H0</x:v>
      </x:c>
      <x:c r="C300" s="9" t="str">
        <x:v>主对照</x:v>
      </x:c>
      <x:c r="D300" s="11" t="n">
        <x:v>15968</x:v>
      </x:c>
      <x:c r="E300" s="11" t="n">
        <x:v>7567</x:v>
      </x:c>
      <x:c r="F300" s="11" t="n">
        <x:v>9877</x:v>
      </x:c>
      <x:c r="G300" s="11" t="n">
        <x:v>1690</x:v>
      </x:c>
      <x:c r="H300" s="11" t="n">
        <x:v>6701</x:v>
      </x:c>
      <x:c r="I300" s="11" t="n">
        <x:v>52003855</x:v>
      </x:c>
      <x:c r="J300" s="11" t="n">
        <x:v>9141885.499574311</x:v>
      </x:c>
      <x:c r="K300" s="12" t="n">
        <x:f>E300/D300</x:f>
        <x:v>0.47388527054108215</x:v>
      </x:c>
      <x:c r="L300" s="12" t="n">
        <x:f>F300/D300</x:f>
        <x:v>0.6185495991983968</x:v>
      </x:c>
      <x:c r="M300" s="12" t="n">
        <x:f>G300/D300</x:f>
        <x:v>0.10583667334669339</x:v>
      </x:c>
      <x:c r="N300" s="12" t="n">
        <x:f>J300/I300</x:f>
        <x:v>0.1757924580701625</x:v>
      </x:c>
      <x:c r="O300" s="11" t="n">
        <x:v>765</x:v>
      </x:c>
      <x:c r="P300" s="11" t="n">
        <x:v>8411</x:v>
      </x:c>
      <x:c r="Q300" s="11" t="n">
        <x:v>4683</x:v>
      </x:c>
      <x:c r="R300" s="11" t="n">
        <x:v>807</x:v>
      </x:c>
      <x:c r="S300" s="11" t="n">
        <x:v>196</x:v>
      </x:c>
      <x:c r="T300" s="11" t="n">
        <x:v>354</x:v>
      </x:c>
      <x:c r="U300" s="11" t="n">
        <x:v>39</x:v>
      </x:c>
      <x:c r="V300" s="11" t="n">
        <x:v>176</x:v>
      </x:c>
      <x:c r="W300" s="11" t="n">
        <x:v>537</x:v>
      </x:c>
      <x:c r="X300" s="11" t="n">
        <x:v>0</x:v>
      </x:c>
      <x:c r="Y300" s="11" t="n">
        <x:v>978048</x:v>
      </x:c>
      <x:c r="Z300" s="11" t="n">
        <x:v>15482694</x:v>
      </x:c>
      <x:c r="AA300" s="11" t="n">
        <x:v>17347109</x:v>
      </x:c>
      <x:c r="AB300" s="11" t="n">
        <x:v>6600596</x:v>
      </x:c>
      <x:c r="AC300" s="11" t="n">
        <x:v>2746958</x:v>
      </x:c>
      <x:c r="AD300" s="11" t="n">
        <x:v>3244044</x:v>
      </x:c>
      <x:c r="AE300" s="11" t="n">
        <x:v>160782</x:v>
      </x:c>
      <x:c r="AF300" s="11" t="n">
        <x:v>2740528</x:v>
      </x:c>
      <x:c r="AG300" s="11" t="n">
        <x:v>2703096</x:v>
      </x:c>
      <x:c r="AH300" s="11" t="n">
        <x:v>0</x:v>
      </x:c>
    </x:row>
    <x:row r="301" ht="23" customHeight="1">
      <x:c r="A301" s="10" t="str">
        <x:v>M13</x:v>
      </x:c>
      <x:c r="B301" s="10" t="str">
        <x:v>NCG_HT</x:v>
      </x:c>
      <x:c r="C301" s="9" t="str">
        <x:v>仅拓扑与尺度</x:v>
      </x:c>
      <x:c r="D301" s="11" t="n">
        <x:v>15968</x:v>
      </x:c>
      <x:c r="E301" s="11" t="n">
        <x:v>7570</x:v>
      </x:c>
      <x:c r="F301" s="11" t="n">
        <x:v>9880</x:v>
      </x:c>
      <x:c r="G301" s="11" t="n">
        <x:v>1690</x:v>
      </x:c>
      <x:c r="H301" s="11" t="n">
        <x:v>6704</x:v>
      </x:c>
      <x:c r="I301" s="11" t="n">
        <x:v>52003855</x:v>
      </x:c>
      <x:c r="J301" s="11" t="n">
        <x:v>9457630.779574333</x:v>
      </x:c>
      <x:c r="K301" s="12" t="n">
        <x:f>E301/D301</x:f>
        <x:v>0.4740731462925852</x:v>
      </x:c>
      <x:c r="L301" s="12" t="n">
        <x:f>F301/D301</x:f>
        <x:v>0.6187374749498998</x:v>
      </x:c>
      <x:c r="M301" s="12" t="n">
        <x:f>G301/D301</x:f>
        <x:v>0.10583667334669339</x:v>
      </x:c>
      <x:c r="N301" s="12" t="n">
        <x:f>J301/I301</x:f>
        <x:v>0.18186403257170708</x:v>
      </x:c>
      <x:c r="O301" s="11" t="n">
        <x:v>765</x:v>
      </x:c>
      <x:c r="P301" s="11" t="n">
        <x:v>5840</x:v>
      </x:c>
      <x:c r="Q301" s="11" t="n">
        <x:v>6788</x:v>
      </x:c>
      <x:c r="R301" s="11" t="n">
        <x:v>1221</x:v>
      </x:c>
      <x:c r="S301" s="11" t="n">
        <x:v>240</x:v>
      </x:c>
      <x:c r="T301" s="11" t="n">
        <x:v>360</x:v>
      </x:c>
      <x:c r="U301" s="11" t="n">
        <x:v>41</x:v>
      </x:c>
      <x:c r="V301" s="11" t="n">
        <x:v>176</x:v>
      </x:c>
      <x:c r="W301" s="11" t="n">
        <x:v>537</x:v>
      </x:c>
      <x:c r="X301" s="11" t="n">
        <x:v>0</x:v>
      </x:c>
      <x:c r="Y301" s="11" t="n">
        <x:v>978048</x:v>
      </x:c>
      <x:c r="Z301" s="11" t="n">
        <x:v>8958956</x:v>
      </x:c>
      <x:c r="AA301" s="11" t="n">
        <x:v>20428590</x:v>
      </x:c>
      <x:c r="AB301" s="11" t="n">
        <x:v>9258185</x:v>
      </x:c>
      <x:c r="AC301" s="11" t="n">
        <x:v>3525162</x:v>
      </x:c>
      <x:c r="AD301" s="11" t="n">
        <x:v>3244468</x:v>
      </x:c>
      <x:c r="AE301" s="11" t="n">
        <x:v>166822</x:v>
      </x:c>
      <x:c r="AF301" s="11" t="n">
        <x:v>2740528</x:v>
      </x:c>
      <x:c r="AG301" s="11" t="n">
        <x:v>2703096</x:v>
      </x:c>
      <x:c r="AH301" s="11" t="n">
        <x:v>0</x:v>
      </x:c>
    </x:row>
    <x:row r="302" ht="23" customHeight="1">
      <x:c r="A302" s="10" t="str">
        <x:v>M13</x:v>
      </x:c>
      <x:c r="B302" s="10" t="str">
        <x:v>NCG_H1</x:v>
      </x:c>
      <x:c r="C302" s="9" t="str">
        <x:v>主对照</x:v>
      </x:c>
      <x:c r="D302" s="11" t="n">
        <x:v>15968</x:v>
      </x:c>
      <x:c r="E302" s="11" t="n">
        <x:v>7570</x:v>
      </x:c>
      <x:c r="F302" s="11" t="n">
        <x:v>9880</x:v>
      </x:c>
      <x:c r="G302" s="11" t="n">
        <x:v>1690</x:v>
      </x:c>
      <x:c r="H302" s="11" t="n">
        <x:v>7261</x:v>
      </x:c>
      <x:c r="I302" s="11" t="n">
        <x:v>52003855</x:v>
      </x:c>
      <x:c r="J302" s="11" t="n">
        <x:v>9519343.339574344</x:v>
      </x:c>
      <x:c r="K302" s="12" t="n">
        <x:f>E302/D302</x:f>
        <x:v>0.4740731462925852</x:v>
      </x:c>
      <x:c r="L302" s="12" t="n">
        <x:f>F302/D302</x:f>
        <x:v>0.6187374749498998</x:v>
      </x:c>
      <x:c r="M302" s="12" t="n">
        <x:f>G302/D302</x:f>
        <x:v>0.10583667334669339</x:v>
      </x:c>
      <x:c r="N302" s="12" t="n">
        <x:f>J302/I302</x:f>
        <x:v>0.18305072459675045</x:v>
      </x:c>
      <x:c r="O302" s="11" t="n">
        <x:v>765</x:v>
      </x:c>
      <x:c r="P302" s="11" t="n">
        <x:v>5808</x:v>
      </x:c>
      <x:c r="Q302" s="11" t="n">
        <x:v>6673</x:v>
      </x:c>
      <x:c r="R302" s="11" t="n">
        <x:v>1220</x:v>
      </x:c>
      <x:c r="S302" s="11" t="n">
        <x:v>240</x:v>
      </x:c>
      <x:c r="T302" s="11" t="n">
        <x:v>438</x:v>
      </x:c>
      <x:c r="U302" s="11" t="n">
        <x:v>111</x:v>
      </x:c>
      <x:c r="V302" s="11" t="n">
        <x:v>176</x:v>
      </x:c>
      <x:c r="W302" s="11" t="n">
        <x:v>537</x:v>
      </x:c>
      <x:c r="X302" s="11" t="n">
        <x:v>0</x:v>
      </x:c>
      <x:c r="Y302" s="11" t="n">
        <x:v>978048</x:v>
      </x:c>
      <x:c r="Z302" s="11" t="n">
        <x:v>8942258</x:v>
      </x:c>
      <x:c r="AA302" s="11" t="n">
        <x:v>20092938</x:v>
      </x:c>
      <x:c r="AB302" s="11" t="n">
        <x:v>9198549</x:v>
      </x:c>
      <x:c r="AC302" s="11" t="n">
        <x:v>3525162</x:v>
      </x:c>
      <x:c r="AD302" s="11" t="n">
        <x:v>3504304</x:v>
      </x:c>
      <x:c r="AE302" s="11" t="n">
        <x:v>318972</x:v>
      </x:c>
      <x:c r="AF302" s="11" t="n">
        <x:v>2740528</x:v>
      </x:c>
      <x:c r="AG302" s="11" t="n">
        <x:v>2703096</x:v>
      </x:c>
      <x:c r="AH302" s="11" t="n">
        <x:v>0</x:v>
      </x:c>
    </x:row>
    <x:row r="303" ht="23" customHeight="1">
      <x:c r="A303" s="10" t="str">
        <x:v>M13</x:v>
      </x:c>
      <x:c r="B303" s="10" t="str">
        <x:v>NCG_H0_M1</x:v>
      </x:c>
      <x:c r="C303" s="9" t="str">
        <x:v>叶名称辅助</x:v>
      </x:c>
      <x:c r="D303" s="11" t="n">
        <x:v>15968</x:v>
      </x:c>
      <x:c r="E303" s="11" t="n">
        <x:v>7083</x:v>
      </x:c>
      <x:c r="F303" s="11" t="n">
        <x:v>9207</x:v>
      </x:c>
      <x:c r="G303" s="11" t="n">
        <x:v>1690</x:v>
      </x:c>
      <x:c r="H303" s="11" t="n">
        <x:v>7301</x:v>
      </x:c>
      <x:c r="I303" s="11" t="n">
        <x:v>52003855</x:v>
      </x:c>
      <x:c r="J303" s="11" t="n">
        <x:v>9643060.099574335</x:v>
      </x:c>
      <x:c r="K303" s="12" t="n">
        <x:f>E303/D303</x:f>
        <x:v>0.4435746492985972</x:v>
      </x:c>
      <x:c r="L303" s="12" t="n">
        <x:f>F303/D303</x:f>
        <x:v>0.5765906813627254</x:v>
      </x:c>
      <x:c r="M303" s="12" t="n">
        <x:f>G303/D303</x:f>
        <x:v>0.10583667334669339</x:v>
      </x:c>
      <x:c r="N303" s="12" t="n">
        <x:f>J303/I303</x:f>
        <x:v>0.1854297166926247</x:v>
      </x:c>
      <x:c r="O303" s="11" t="n">
        <x:v>765</x:v>
      </x:c>
      <x:c r="P303" s="11" t="n">
        <x:v>8020</x:v>
      </x:c>
      <x:c r="Q303" s="11" t="n">
        <x:v>4792</x:v>
      </x:c>
      <x:c r="R303" s="11" t="n">
        <x:v>779</x:v>
      </x:c>
      <x:c r="S303" s="11" t="n">
        <x:v>189</x:v>
      </x:c>
      <x:c r="T303" s="11" t="n">
        <x:v>354</x:v>
      </x:c>
      <x:c r="U303" s="11" t="n">
        <x:v>38</x:v>
      </x:c>
      <x:c r="V303" s="11" t="n">
        <x:v>320</x:v>
      </x:c>
      <x:c r="W303" s="11" t="n">
        <x:v>702</x:v>
      </x:c>
      <x:c r="X303" s="11" t="n">
        <x:v>9</x:v>
      </x:c>
      <x:c r="Y303" s="11" t="n">
        <x:v>978048</x:v>
      </x:c>
      <x:c r="Z303" s="11" t="n">
        <x:v>14506736</x:v>
      </x:c>
      <x:c r="AA303" s="11" t="n">
        <x:v>16882535</x:v>
      </x:c>
      <x:c r="AB303" s="11" t="n">
        <x:v>6228084</x:v>
      </x:c>
      <x:c r="AC303" s="11" t="n">
        <x:v>2681560</x:v>
      </x:c>
      <x:c r="AD303" s="11" t="n">
        <x:v>3244044</x:v>
      </x:c>
      <x:c r="AE303" s="11" t="n">
        <x:v>154474</x:v>
      </x:c>
      <x:c r="AF303" s="11" t="n">
        <x:v>3459754</x:v>
      </x:c>
      <x:c r="AG303" s="11" t="n">
        <x:v>3622936</x:v>
      </x:c>
      <x:c r="AH303" s="11" t="n">
        <x:v>245684</x:v>
      </x:c>
    </x:row>
    <x:row r="304" ht="23" customHeight="1">
      <x:c r="A304" s="10" t="str">
        <x:v>M13</x:v>
      </x:c>
      <x:c r="B304" s="10" t="str">
        <x:v>NCG_H1_M1</x:v>
      </x:c>
      <x:c r="C304" s="9" t="str">
        <x:v>叶名称辅助</x:v>
      </x:c>
      <x:c r="D304" s="11" t="n">
        <x:v>15968</x:v>
      </x:c>
      <x:c r="E304" s="11" t="n">
        <x:v>7083</x:v>
      </x:c>
      <x:c r="F304" s="11" t="n">
        <x:v>9207</x:v>
      </x:c>
      <x:c r="G304" s="11" t="n">
        <x:v>1690</x:v>
      </x:c>
      <x:c r="H304" s="11" t="n">
        <x:v>7826</x:v>
      </x:c>
      <x:c r="I304" s="11" t="n">
        <x:v>52003855</x:v>
      </x:c>
      <x:c r="J304" s="11" t="n">
        <x:v>10032929.219574364</x:v>
      </x:c>
      <x:c r="K304" s="12" t="n">
        <x:f>E304/D304</x:f>
        <x:v>0.4435746492985972</x:v>
      </x:c>
      <x:c r="L304" s="12" t="n">
        <x:f>F304/D304</x:f>
        <x:v>0.5765906813627254</x:v>
      </x:c>
      <x:c r="M304" s="12" t="n">
        <x:f>G304/D304</x:f>
        <x:v>0.10583667334669339</x:v>
      </x:c>
      <x:c r="N304" s="12" t="n">
        <x:f>J304/I304</x:f>
        <x:v>0.19292664398772674</x:v>
      </x:c>
      <x:c r="O304" s="11" t="n">
        <x:v>765</x:v>
      </x:c>
      <x:c r="P304" s="11" t="n">
        <x:v>5577</x:v>
      </x:c>
      <x:c r="Q304" s="11" t="n">
        <x:v>6508</x:v>
      </x:c>
      <x:c r="R304" s="11" t="n">
        <x:v>1187</x:v>
      </x:c>
      <x:c r="S304" s="11" t="n">
        <x:v>233</x:v>
      </x:c>
      <x:c r="T304" s="11" t="n">
        <x:v>504</x:v>
      </x:c>
      <x:c r="U304" s="11" t="n">
        <x:v>163</x:v>
      </x:c>
      <x:c r="V304" s="11" t="n">
        <x:v>320</x:v>
      </x:c>
      <x:c r="W304" s="11" t="n">
        <x:v>702</x:v>
      </x:c>
      <x:c r="X304" s="11" t="n">
        <x:v>9</x:v>
      </x:c>
      <x:c r="Y304" s="11" t="n">
        <x:v>978048</x:v>
      </x:c>
      <x:c r="Z304" s="11" t="n">
        <x:v>8424692</x:v>
      </x:c>
      <x:c r="AA304" s="11" t="n">
        <x:v>19022836</x:v>
      </x:c>
      <x:c r="AB304" s="11" t="n">
        <x:v>8826193</x:v>
      </x:c>
      <x:c r="AC304" s="11" t="n">
        <x:v>3459764</x:v>
      </x:c>
      <x:c r="AD304" s="11" t="n">
        <x:v>3626392</x:v>
      </x:c>
      <x:c r="AE304" s="11" t="n">
        <x:v>337556</x:v>
      </x:c>
      <x:c r="AF304" s="11" t="n">
        <x:v>3459754</x:v>
      </x:c>
      <x:c r="AG304" s="11" t="n">
        <x:v>3622936</x:v>
      </x:c>
      <x:c r="AH304" s="11" t="n">
        <x:v>245684</x:v>
      </x:c>
    </x:row>
    <x:row r="305" ht="23" customHeight="1">
      <x:c r="A305" s="10" t="str">
        <x:v>ALL</x:v>
      </x:c>
      <x:c r="B305" s="10" t="str">
        <x:v>N_H0</x:v>
      </x:c>
      <x:c r="C305" s="9" t="str">
        <x:v>主对照</x:v>
      </x:c>
      <x:c r="D305" s="11" t="n">
        <x:f>SUMIFS($D$6:$D$304,$B$6:$B$304,B305)</x:f>
        <x:v>68972</x:v>
      </x:c>
      <x:c r="E305" s="11" t="n">
        <x:f>SUMIFS($E$6:$E$304,$B$6:$B$304,B305)</x:f>
        <x:v>41612</x:v>
      </x:c>
      <x:c r="F305" s="11" t="n">
        <x:f>SUMIFS($F$6:$F$304,$B$6:$B$304,B305)</x:f>
        <x:v>51780</x:v>
      </x:c>
      <x:c r="G305" s="11" t="n">
        <x:f>SUMIFS($G$6:$G$304,$B$6:$B$304,B305)</x:f>
        <x:v>0</x:v>
      </x:c>
      <x:c r="H305" s="11" t="n">
        <x:f>SUMIFS($H$6:$H$304,$B$6:$B$304,B305)</x:f>
        <x:v>41612</x:v>
      </x:c>
      <x:c r="I305" s="11" t="n">
        <x:f>SUMIFS($I$6:$I$304,$B$6:$B$304,B305)</x:f>
        <x:v>298929454</x:v>
      </x:c>
      <x:c r="J305" s="11" t="n">
        <x:f>SUMIFS($J$6:$J$304,$B$6:$B$304,B305)</x:f>
        <x:v>74110811.11999951</x:v>
      </x:c>
      <x:c r="K305" s="12" t="n">
        <x:f>E305/D305</x:f>
        <x:v>0.6033172881749116</x:v>
      </x:c>
      <x:c r="L305" s="12" t="n">
        <x:f>F305/D305</x:f>
        <x:v>0.7507394304935336</x:v>
      </x:c>
      <x:c r="M305" s="12" t="n">
        <x:f>G305/D305</x:f>
        <x:v>0</x:v>
      </x:c>
      <x:c r="N305" s="12" t="n">
        <x:f>J305/I305</x:f>
        <x:v>0.24792073891788366</x:v>
      </x:c>
      <x:c r="O305" s="11" t="n">
        <x:f>SUMIFS($O$6:$O$304,$B$6:$B$304,B305)</x:f>
        <x:v>0</x:v>
      </x:c>
      <x:c r="P305" s="11" t="n">
        <x:f>SUMIFS($P$6:$P$304,$B$6:$B$304,B305)</x:f>
        <x:v>7445</x:v>
      </x:c>
      <x:c r="Q305" s="11" t="n">
        <x:f>SUMIFS($Q$6:$Q$304,$B$6:$B$304,B305)</x:f>
        <x:v>2658</x:v>
      </x:c>
      <x:c r="R305" s="11" t="n">
        <x:f>SUMIFS($R$6:$R$304,$B$6:$B$304,B305)</x:f>
        <x:v>0</x:v>
      </x:c>
      <x:c r="S305" s="11" t="n">
        <x:f>SUMIFS($S$6:$S$304,$B$6:$B$304,B305)</x:f>
        <x:v>51780</x:v>
      </x:c>
      <x:c r="T305" s="11" t="n">
        <x:f>SUMIFS($T$6:$T$304,$B$6:$B$304,B305)</x:f>
        <x:v>553</x:v>
      </x:c>
      <x:c r="U305" s="11" t="n">
        <x:f>SUMIFS($U$6:$U$304,$B$6:$B$304,B305)</x:f>
        <x:v>1210</x:v>
      </x:c>
      <x:c r="V305" s="11" t="n">
        <x:f>SUMIFS($V$6:$V$304,$B$6:$B$304,B305)</x:f>
        <x:v>2353</x:v>
      </x:c>
      <x:c r="W305" s="11" t="n">
        <x:f>SUMIFS($W$6:$W$304,$B$6:$B$304,B305)</x:f>
        <x:v>2973</x:v>
      </x:c>
      <x:c r="X305" s="11" t="n">
        <x:f>SUMIFS($X$6:$X$304,$B$6:$B$304,B305)</x:f>
        <x:v>0</x:v>
      </x:c>
      <x:c r="Y305" s="11" t="n">
        <x:f>SUMIFS($Y$6:$Y$304,$B$6:$B$304,B305)</x:f>
        <x:v>0</x:v>
      </x:c>
      <x:c r="Z305" s="11" t="n">
        <x:f>SUMIFS($Z$6:$Z$304,$B$6:$B$304,B305)</x:f>
        <x:v>10850296</x:v>
      </x:c>
      <x:c r="AA305" s="11" t="n">
        <x:f>SUMIFS($AA$6:$AA$304,$B$6:$B$304,B305)</x:f>
        <x:v>5129297</x:v>
      </x:c>
      <x:c r="AB305" s="11" t="n">
        <x:f>SUMIFS($AB$6:$AB$304,$B$6:$B$304,B305)</x:f>
        <x:v>0</x:v>
      </x:c>
      <x:c r="AC305" s="11" t="n">
        <x:f>SUMIFS($AC$6:$AC$304,$B$6:$B$304,B305)</x:f>
        <x:v>205758962</x:v>
      </x:c>
      <x:c r="AD305" s="11" t="n">
        <x:f>SUMIFS($AD$6:$AD$304,$B$6:$B$304,B305)</x:f>
        <x:v>5887458</x:v>
      </x:c>
      <x:c r="AE305" s="11" t="n">
        <x:f>SUMIFS($AE$6:$AE$304,$B$6:$B$304,B305)</x:f>
        <x:v>6826158</x:v>
      </x:c>
      <x:c r="AF305" s="11" t="n">
        <x:f>SUMIFS($AF$6:$AF$304,$B$6:$B$304,B305)</x:f>
        <x:v>37103424</x:v>
      </x:c>
      <x:c r="AG305" s="11" t="n">
        <x:f>SUMIFS($AG$6:$AG$304,$B$6:$B$304,B305)</x:f>
        <x:v>27373859</x:v>
      </x:c>
      <x:c r="AH305" s="11" t="n">
        <x:f>SUMIFS($AH$6:$AH$304,$B$6:$B$304,B305)</x:f>
        <x:v>0</x:v>
      </x:c>
    </x:row>
    <x:row r="306" ht="23" customHeight="1">
      <x:c r="A306" s="10" t="str">
        <x:v>ALL</x:v>
      </x:c>
      <x:c r="B306" s="10" t="str">
        <x:v>N_HT</x:v>
      </x:c>
      <x:c r="C306" s="9" t="str">
        <x:v>仅拓扑与尺度</x:v>
      </x:c>
      <x:c r="D306" s="11" t="n">
        <x:f>SUMIFS($D$6:$D$304,$B$6:$B$304,B306)</x:f>
        <x:v>68972</x:v>
      </x:c>
      <x:c r="E306" s="11" t="n">
        <x:f>SUMIFS($E$6:$E$304,$B$6:$B$304,B306)</x:f>
        <x:v>41612</x:v>
      </x:c>
      <x:c r="F306" s="11" t="n">
        <x:f>SUMIFS($F$6:$F$304,$B$6:$B$304,B306)</x:f>
        <x:v>51780</x:v>
      </x:c>
      <x:c r="G306" s="11" t="n">
        <x:f>SUMIFS($G$6:$G$304,$B$6:$B$304,B306)</x:f>
        <x:v>0</x:v>
      </x:c>
      <x:c r="H306" s="11" t="n">
        <x:f>SUMIFS($H$6:$H$304,$B$6:$B$304,B306)</x:f>
        <x:v>41612</x:v>
      </x:c>
      <x:c r="I306" s="11" t="n">
        <x:f>SUMIFS($I$6:$I$304,$B$6:$B$304,B306)</x:f>
        <x:v>298929454</x:v>
      </x:c>
      <x:c r="J306" s="11" t="n">
        <x:f>SUMIFS($J$6:$J$304,$B$6:$B$304,B306)</x:f>
        <x:v>74110811.11999951</x:v>
      </x:c>
      <x:c r="K306" s="12" t="n">
        <x:f>E306/D306</x:f>
        <x:v>0.6033172881749116</x:v>
      </x:c>
      <x:c r="L306" s="12" t="n">
        <x:f>F306/D306</x:f>
        <x:v>0.7507394304935336</x:v>
      </x:c>
      <x:c r="M306" s="12" t="n">
        <x:f>G306/D306</x:f>
        <x:v>0</x:v>
      </x:c>
      <x:c r="N306" s="12" t="n">
        <x:f>J306/I306</x:f>
        <x:v>0.24792073891788366</x:v>
      </x:c>
      <x:c r="O306" s="11" t="n">
        <x:f>SUMIFS($O$6:$O$304,$B$6:$B$304,B306)</x:f>
        <x:v>0</x:v>
      </x:c>
      <x:c r="P306" s="11" t="n">
        <x:f>SUMIFS($P$6:$P$304,$B$6:$B$304,B306)</x:f>
        <x:v>7445</x:v>
      </x:c>
      <x:c r="Q306" s="11" t="n">
        <x:f>SUMIFS($Q$6:$Q$304,$B$6:$B$304,B306)</x:f>
        <x:v>2658</x:v>
      </x:c>
      <x:c r="R306" s="11" t="n">
        <x:f>SUMIFS($R$6:$R$304,$B$6:$B$304,B306)</x:f>
        <x:v>0</x:v>
      </x:c>
      <x:c r="S306" s="11" t="n">
        <x:f>SUMIFS($S$6:$S$304,$B$6:$B$304,B306)</x:f>
        <x:v>51780</x:v>
      </x:c>
      <x:c r="T306" s="11" t="n">
        <x:f>SUMIFS($T$6:$T$304,$B$6:$B$304,B306)</x:f>
        <x:v>553</x:v>
      </x:c>
      <x:c r="U306" s="11" t="n">
        <x:f>SUMIFS($U$6:$U$304,$B$6:$B$304,B306)</x:f>
        <x:v>1210</x:v>
      </x:c>
      <x:c r="V306" s="11" t="n">
        <x:f>SUMIFS($V$6:$V$304,$B$6:$B$304,B306)</x:f>
        <x:v>2353</x:v>
      </x:c>
      <x:c r="W306" s="11" t="n">
        <x:f>SUMIFS($W$6:$W$304,$B$6:$B$304,B306)</x:f>
        <x:v>2973</x:v>
      </x:c>
      <x:c r="X306" s="11" t="n">
        <x:f>SUMIFS($X$6:$X$304,$B$6:$B$304,B306)</x:f>
        <x:v>0</x:v>
      </x:c>
      <x:c r="Y306" s="11" t="n">
        <x:f>SUMIFS($Y$6:$Y$304,$B$6:$B$304,B306)</x:f>
        <x:v>0</x:v>
      </x:c>
      <x:c r="Z306" s="11" t="n">
        <x:f>SUMIFS($Z$6:$Z$304,$B$6:$B$304,B306)</x:f>
        <x:v>10850296</x:v>
      </x:c>
      <x:c r="AA306" s="11" t="n">
        <x:f>SUMIFS($AA$6:$AA$304,$B$6:$B$304,B306)</x:f>
        <x:v>5129297</x:v>
      </x:c>
      <x:c r="AB306" s="11" t="n">
        <x:f>SUMIFS($AB$6:$AB$304,$B$6:$B$304,B306)</x:f>
        <x:v>0</x:v>
      </x:c>
      <x:c r="AC306" s="11" t="n">
        <x:f>SUMIFS($AC$6:$AC$304,$B$6:$B$304,B306)</x:f>
        <x:v>205758962</x:v>
      </x:c>
      <x:c r="AD306" s="11" t="n">
        <x:f>SUMIFS($AD$6:$AD$304,$B$6:$B$304,B306)</x:f>
        <x:v>5887458</x:v>
      </x:c>
      <x:c r="AE306" s="11" t="n">
        <x:f>SUMIFS($AE$6:$AE$304,$B$6:$B$304,B306)</x:f>
        <x:v>6826158</x:v>
      </x:c>
      <x:c r="AF306" s="11" t="n">
        <x:f>SUMIFS($AF$6:$AF$304,$B$6:$B$304,B306)</x:f>
        <x:v>37103424</x:v>
      </x:c>
      <x:c r="AG306" s="11" t="n">
        <x:f>SUMIFS($AG$6:$AG$304,$B$6:$B$304,B306)</x:f>
        <x:v>27373859</x:v>
      </x:c>
      <x:c r="AH306" s="11" t="n">
        <x:f>SUMIFS($AH$6:$AH$304,$B$6:$B$304,B306)</x:f>
        <x:v>0</x:v>
      </x:c>
    </x:row>
    <x:row r="307" ht="23" customHeight="1">
      <x:c r="A307" s="10" t="str">
        <x:v>ALL</x:v>
      </x:c>
      <x:c r="B307" s="10" t="str">
        <x:v>N_H1</x:v>
      </x:c>
      <x:c r="C307" s="9" t="str">
        <x:v>主对照</x:v>
      </x:c>
      <x:c r="D307" s="11" t="n">
        <x:f>SUMIFS($D$6:$D$304,$B$6:$B$304,B307)</x:f>
        <x:v>68972</x:v>
      </x:c>
      <x:c r="E307" s="11" t="n">
        <x:f>SUMIFS($E$6:$E$304,$B$6:$B$304,B307)</x:f>
        <x:v>41612</x:v>
      </x:c>
      <x:c r="F307" s="11" t="n">
        <x:f>SUMIFS($F$6:$F$304,$B$6:$B$304,B307)</x:f>
        <x:v>51780</x:v>
      </x:c>
      <x:c r="G307" s="11" t="n">
        <x:f>SUMIFS($G$6:$G$304,$B$6:$B$304,B307)</x:f>
        <x:v>0</x:v>
      </x:c>
      <x:c r="H307" s="11" t="n">
        <x:f>SUMIFS($H$6:$H$304,$B$6:$B$304,B307)</x:f>
        <x:v>46078</x:v>
      </x:c>
      <x:c r="I307" s="11" t="n">
        <x:f>SUMIFS($I$6:$I$304,$B$6:$B$304,B307)</x:f>
        <x:v>298929454</x:v>
      </x:c>
      <x:c r="J307" s="11" t="n">
        <x:f>SUMIFS($J$6:$J$304,$B$6:$B$304,B307)</x:f>
        <x:v>74324203.19999947</x:v>
      </x:c>
      <x:c r="K307" s="12" t="n">
        <x:f>E307/D307</x:f>
        <x:v>0.6033172881749116</x:v>
      </x:c>
      <x:c r="L307" s="12" t="n">
        <x:f>F307/D307</x:f>
        <x:v>0.7507394304935336</x:v>
      </x:c>
      <x:c r="M307" s="12" t="n">
        <x:f>G307/D307</x:f>
        <x:v>0</x:v>
      </x:c>
      <x:c r="N307" s="12" t="n">
        <x:f>J307/I307</x:f>
        <x:v>0.24863459323081447</x:v>
      </x:c>
      <x:c r="O307" s="11" t="n">
        <x:f>SUMIFS($O$6:$O$304,$B$6:$B$304,B307)</x:f>
        <x:v>0</x:v>
      </x:c>
      <x:c r="P307" s="11" t="n">
        <x:f>SUMIFS($P$6:$P$304,$B$6:$B$304,B307)</x:f>
        <x:v>7156</x:v>
      </x:c>
      <x:c r="Q307" s="11" t="n">
        <x:f>SUMIFS($Q$6:$Q$304,$B$6:$B$304,B307)</x:f>
        <x:v>1986</x:v>
      </x:c>
      <x:c r="R307" s="11" t="n">
        <x:f>SUMIFS($R$6:$R$304,$B$6:$B$304,B307)</x:f>
        <x:v>0</x:v>
      </x:c>
      <x:c r="S307" s="11" t="n">
        <x:f>SUMIFS($S$6:$S$304,$B$6:$B$304,B307)</x:f>
        <x:v>51780</x:v>
      </x:c>
      <x:c r="T307" s="11" t="n">
        <x:f>SUMIFS($T$6:$T$304,$B$6:$B$304,B307)</x:f>
        <x:v>1158</x:v>
      </x:c>
      <x:c r="U307" s="11" t="n">
        <x:f>SUMIFS($U$6:$U$304,$B$6:$B$304,B307)</x:f>
        <x:v>1566</x:v>
      </x:c>
      <x:c r="V307" s="11" t="n">
        <x:f>SUMIFS($V$6:$V$304,$B$6:$B$304,B307)</x:f>
        <x:v>2353</x:v>
      </x:c>
      <x:c r="W307" s="11" t="n">
        <x:f>SUMIFS($W$6:$W$304,$B$6:$B$304,B307)</x:f>
        <x:v>2973</x:v>
      </x:c>
      <x:c r="X307" s="11" t="n">
        <x:f>SUMIFS($X$6:$X$304,$B$6:$B$304,B307)</x:f>
        <x:v>0</x:v>
      </x:c>
      <x:c r="Y307" s="11" t="n">
        <x:f>SUMIFS($Y$6:$Y$304,$B$6:$B$304,B307)</x:f>
        <x:v>0</x:v>
      </x:c>
      <x:c r="Z307" s="11" t="n">
        <x:f>SUMIFS($Z$6:$Z$304,$B$6:$B$304,B307)</x:f>
        <x:v>10727120</x:v>
      </x:c>
      <x:c r="AA307" s="11" t="n">
        <x:f>SUMIFS($AA$6:$AA$304,$B$6:$B$304,B307)</x:f>
        <x:v>3829901</x:v>
      </x:c>
      <x:c r="AB307" s="11" t="n">
        <x:f>SUMIFS($AB$6:$AB$304,$B$6:$B$304,B307)</x:f>
        <x:v>0</x:v>
      </x:c>
      <x:c r="AC307" s="11" t="n">
        <x:f>SUMIFS($AC$6:$AC$304,$B$6:$B$304,B307)</x:f>
        <x:v>205758962</x:v>
      </x:c>
      <x:c r="AD307" s="11" t="n">
        <x:f>SUMIFS($AD$6:$AD$304,$B$6:$B$304,B307)</x:f>
        <x:v>7015818</x:v>
      </x:c>
      <x:c r="AE307" s="11" t="n">
        <x:f>SUMIFS($AE$6:$AE$304,$B$6:$B$304,B307)</x:f>
        <x:v>7120370</x:v>
      </x:c>
      <x:c r="AF307" s="11" t="n">
        <x:f>SUMIFS($AF$6:$AF$304,$B$6:$B$304,B307)</x:f>
        <x:v>37103424</x:v>
      </x:c>
      <x:c r="AG307" s="11" t="n">
        <x:f>SUMIFS($AG$6:$AG$304,$B$6:$B$304,B307)</x:f>
        <x:v>27373859</x:v>
      </x:c>
      <x:c r="AH307" s="11" t="n">
        <x:f>SUMIFS($AH$6:$AH$304,$B$6:$B$304,B307)</x:f>
        <x:v>0</x:v>
      </x:c>
    </x:row>
    <x:row r="308" ht="23" customHeight="1">
      <x:c r="A308" s="10" t="str">
        <x:v>ALL</x:v>
      </x:c>
      <x:c r="B308" s="10" t="str">
        <x:v>C_H0</x:v>
      </x:c>
      <x:c r="C308" s="9" t="str">
        <x:v>主对照</x:v>
      </x:c>
      <x:c r="D308" s="11" t="n">
        <x:f>SUMIFS($D$6:$D$304,$B$6:$B$304,B308)</x:f>
        <x:v>68972</x:v>
      </x:c>
      <x:c r="E308" s="11" t="n">
        <x:f>SUMIFS($E$6:$E$304,$B$6:$B$304,B308)</x:f>
        <x:v>50866</x:v>
      </x:c>
      <x:c r="F308" s="11" t="n">
        <x:f>SUMIFS($F$6:$F$304,$B$6:$B$304,B308)</x:f>
        <x:v>50891</x:v>
      </x:c>
      <x:c r="G308" s="11" t="n">
        <x:f>SUMIFS($G$6:$G$304,$B$6:$B$304,B308)</x:f>
        <x:v>0</x:v>
      </x:c>
      <x:c r="H308" s="11" t="n">
        <x:f>SUMIFS($H$6:$H$304,$B$6:$B$304,B308)</x:f>
        <x:v>42856</x:v>
      </x:c>
      <x:c r="I308" s="11" t="n">
        <x:f>SUMIFS($I$6:$I$304,$B$6:$B$304,B308)</x:f>
        <x:v>298929454</x:v>
      </x:c>
      <x:c r="J308" s="11" t="n">
        <x:f>SUMIFS($J$6:$J$304,$B$6:$B$304,B308)</x:f>
        <x:v>61077713.48000008</x:v>
      </x:c>
      <x:c r="K308" s="12" t="n">
        <x:f>E308/D308</x:f>
        <x:v>0.7374876761584411</x:v>
      </x:c>
      <x:c r="L308" s="12" t="n">
        <x:f>F308/D308</x:f>
        <x:v>0.7378501420866439</x:v>
      </x:c>
      <x:c r="M308" s="12" t="n">
        <x:f>G308/D308</x:f>
        <x:v>0</x:v>
      </x:c>
      <x:c r="N308" s="12" t="n">
        <x:f>J308/I308</x:f>
        <x:v>0.20432149680372438</x:v>
      </x:c>
      <x:c r="O308" s="11" t="n">
        <x:f>SUMIFS($O$6:$O$304,$B$6:$B$304,B308)</x:f>
        <x:v>0</x:v>
      </x:c>
      <x:c r="P308" s="11" t="n">
        <x:f>SUMIFS($P$6:$P$304,$B$6:$B$304,B308)</x:f>
        <x:v>18035</x:v>
      </x:c>
      <x:c r="Q308" s="11" t="n">
        <x:f>SUMIFS($Q$6:$Q$304,$B$6:$B$304,B308)</x:f>
        <x:v>0</x:v>
      </x:c>
      <x:c r="R308" s="11" t="n">
        <x:f>SUMIFS($R$6:$R$304,$B$6:$B$304,B308)</x:f>
        <x:v>0</x:v>
      </x:c>
      <x:c r="S308" s="11" t="n">
        <x:f>SUMIFS($S$6:$S$304,$B$6:$B$304,B308)</x:f>
        <x:v>50891</x:v>
      </x:c>
      <x:c r="T308" s="11" t="n">
        <x:f>SUMIFS($T$6:$T$304,$B$6:$B$304,B308)</x:f>
        <x:v>0</x:v>
      </x:c>
      <x:c r="U308" s="11" t="n">
        <x:f>SUMIFS($U$6:$U$304,$B$6:$B$304,B308)</x:f>
        <x:v>31</x:v>
      </x:c>
      <x:c r="V308" s="11" t="n">
        <x:f>SUMIFS($V$6:$V$304,$B$6:$B$304,B308)</x:f>
        <x:v>0</x:v>
      </x:c>
      <x:c r="W308" s="11" t="n">
        <x:f>SUMIFS($W$6:$W$304,$B$6:$B$304,B308)</x:f>
        <x:v>15</x:v>
      </x:c>
      <x:c r="X308" s="11" t="n">
        <x:f>SUMIFS($X$6:$X$304,$B$6:$B$304,B308)</x:f>
        <x:v>0</x:v>
      </x:c>
      <x:c r="Y308" s="11" t="n">
        <x:f>SUMIFS($Y$6:$Y$304,$B$6:$B$304,B308)</x:f>
        <x:v>0</x:v>
      </x:c>
      <x:c r="Z308" s="11" t="n">
        <x:f>SUMIFS($Z$6:$Z$304,$B$6:$B$304,B308)</x:f>
        <x:v>39188492</x:v>
      </x:c>
      <x:c r="AA308" s="11" t="n">
        <x:f>SUMIFS($AA$6:$AA$304,$B$6:$B$304,B308)</x:f>
        <x:v>0</x:v>
      </x:c>
      <x:c r="AB308" s="11" t="n">
        <x:f>SUMIFS($AB$6:$AB$304,$B$6:$B$304,B308)</x:f>
        <x:v>0</x:v>
      </x:c>
      <x:c r="AC308" s="11" t="n">
        <x:f>SUMIFS($AC$6:$AC$304,$B$6:$B$304,B308)</x:f>
        <x:v>259580354</x:v>
      </x:c>
      <x:c r="AD308" s="11" t="n">
        <x:f>SUMIFS($AD$6:$AD$304,$B$6:$B$304,B308)</x:f>
        <x:v>0</x:v>
      </x:c>
      <x:c r="AE308" s="11" t="n">
        <x:f>SUMIFS($AE$6:$AE$304,$B$6:$B$304,B308)</x:f>
        <x:v>130568</x:v>
      </x:c>
      <x:c r="AF308" s="11" t="n">
        <x:f>SUMIFS($AF$6:$AF$304,$B$6:$B$304,B308)</x:f>
        <x:v>0</x:v>
      </x:c>
      <x:c r="AG308" s="11" t="n">
        <x:f>SUMIFS($AG$6:$AG$304,$B$6:$B$304,B308)</x:f>
        <x:v>30040</x:v>
      </x:c>
      <x:c r="AH308" s="11" t="n">
        <x:f>SUMIFS($AH$6:$AH$304,$B$6:$B$304,B308)</x:f>
        <x:v>0</x:v>
      </x:c>
    </x:row>
    <x:row r="309" ht="23" customHeight="1">
      <x:c r="A309" s="10" t="str">
        <x:v>ALL</x:v>
      </x:c>
      <x:c r="B309" s="10" t="str">
        <x:v>C_HT</x:v>
      </x:c>
      <x:c r="C309" s="9" t="str">
        <x:v>仅拓扑与尺度</x:v>
      </x:c>
      <x:c r="D309" s="11" t="n">
        <x:f>SUMIFS($D$6:$D$304,$B$6:$B$304,B309)</x:f>
        <x:v>68972</x:v>
      </x:c>
      <x:c r="E309" s="11" t="n">
        <x:f>SUMIFS($E$6:$E$304,$B$6:$B$304,B309)</x:f>
        <x:v>50866</x:v>
      </x:c>
      <x:c r="F309" s="11" t="n">
        <x:f>SUMIFS($F$6:$F$304,$B$6:$B$304,B309)</x:f>
        <x:v>50891</x:v>
      </x:c>
      <x:c r="G309" s="11" t="n">
        <x:f>SUMIFS($G$6:$G$304,$B$6:$B$304,B309)</x:f>
        <x:v>0</x:v>
      </x:c>
      <x:c r="H309" s="11" t="n">
        <x:f>SUMIFS($H$6:$H$304,$B$6:$B$304,B309)</x:f>
        <x:v>42856</x:v>
      </x:c>
      <x:c r="I309" s="11" t="n">
        <x:f>SUMIFS($I$6:$I$304,$B$6:$B$304,B309)</x:f>
        <x:v>298929454</x:v>
      </x:c>
      <x:c r="J309" s="11" t="n">
        <x:f>SUMIFS($J$6:$J$304,$B$6:$B$304,B309)</x:f>
        <x:v>61077713.48000008</x:v>
      </x:c>
      <x:c r="K309" s="12" t="n">
        <x:f>E309/D309</x:f>
        <x:v>0.7374876761584411</x:v>
      </x:c>
      <x:c r="L309" s="12" t="n">
        <x:f>F309/D309</x:f>
        <x:v>0.7378501420866439</x:v>
      </x:c>
      <x:c r="M309" s="12" t="n">
        <x:f>G309/D309</x:f>
        <x:v>0</x:v>
      </x:c>
      <x:c r="N309" s="12" t="n">
        <x:f>J309/I309</x:f>
        <x:v>0.20432149680372438</x:v>
      </x:c>
      <x:c r="O309" s="11" t="n">
        <x:f>SUMIFS($O$6:$O$304,$B$6:$B$304,B309)</x:f>
        <x:v>0</x:v>
      </x:c>
      <x:c r="P309" s="11" t="n">
        <x:f>SUMIFS($P$6:$P$304,$B$6:$B$304,B309)</x:f>
        <x:v>18035</x:v>
      </x:c>
      <x:c r="Q309" s="11" t="n">
        <x:f>SUMIFS($Q$6:$Q$304,$B$6:$B$304,B309)</x:f>
        <x:v>0</x:v>
      </x:c>
      <x:c r="R309" s="11" t="n">
        <x:f>SUMIFS($R$6:$R$304,$B$6:$B$304,B309)</x:f>
        <x:v>0</x:v>
      </x:c>
      <x:c r="S309" s="11" t="n">
        <x:f>SUMIFS($S$6:$S$304,$B$6:$B$304,B309)</x:f>
        <x:v>50891</x:v>
      </x:c>
      <x:c r="T309" s="11" t="n">
        <x:f>SUMIFS($T$6:$T$304,$B$6:$B$304,B309)</x:f>
        <x:v>0</x:v>
      </x:c>
      <x:c r="U309" s="11" t="n">
        <x:f>SUMIFS($U$6:$U$304,$B$6:$B$304,B309)</x:f>
        <x:v>31</x:v>
      </x:c>
      <x:c r="V309" s="11" t="n">
        <x:f>SUMIFS($V$6:$V$304,$B$6:$B$304,B309)</x:f>
        <x:v>0</x:v>
      </x:c>
      <x:c r="W309" s="11" t="n">
        <x:f>SUMIFS($W$6:$W$304,$B$6:$B$304,B309)</x:f>
        <x:v>15</x:v>
      </x:c>
      <x:c r="X309" s="11" t="n">
        <x:f>SUMIFS($X$6:$X$304,$B$6:$B$304,B309)</x:f>
        <x:v>0</x:v>
      </x:c>
      <x:c r="Y309" s="11" t="n">
        <x:f>SUMIFS($Y$6:$Y$304,$B$6:$B$304,B309)</x:f>
        <x:v>0</x:v>
      </x:c>
      <x:c r="Z309" s="11" t="n">
        <x:f>SUMIFS($Z$6:$Z$304,$B$6:$B$304,B309)</x:f>
        <x:v>39188492</x:v>
      </x:c>
      <x:c r="AA309" s="11" t="n">
        <x:f>SUMIFS($AA$6:$AA$304,$B$6:$B$304,B309)</x:f>
        <x:v>0</x:v>
      </x:c>
      <x:c r="AB309" s="11" t="n">
        <x:f>SUMIFS($AB$6:$AB$304,$B$6:$B$304,B309)</x:f>
        <x:v>0</x:v>
      </x:c>
      <x:c r="AC309" s="11" t="n">
        <x:f>SUMIFS($AC$6:$AC$304,$B$6:$B$304,B309)</x:f>
        <x:v>259580354</x:v>
      </x:c>
      <x:c r="AD309" s="11" t="n">
        <x:f>SUMIFS($AD$6:$AD$304,$B$6:$B$304,B309)</x:f>
        <x:v>0</x:v>
      </x:c>
      <x:c r="AE309" s="11" t="n">
        <x:f>SUMIFS($AE$6:$AE$304,$B$6:$B$304,B309)</x:f>
        <x:v>130568</x:v>
      </x:c>
      <x:c r="AF309" s="11" t="n">
        <x:f>SUMIFS($AF$6:$AF$304,$B$6:$B$304,B309)</x:f>
        <x:v>0</x:v>
      </x:c>
      <x:c r="AG309" s="11" t="n">
        <x:f>SUMIFS($AG$6:$AG$304,$B$6:$B$304,B309)</x:f>
        <x:v>30040</x:v>
      </x:c>
      <x:c r="AH309" s="11" t="n">
        <x:f>SUMIFS($AH$6:$AH$304,$B$6:$B$304,B309)</x:f>
        <x:v>0</x:v>
      </x:c>
    </x:row>
    <x:row r="310" ht="23" customHeight="1">
      <x:c r="A310" s="10" t="str">
        <x:v>ALL</x:v>
      </x:c>
      <x:c r="B310" s="10" t="str">
        <x:v>C_H1</x:v>
      </x:c>
      <x:c r="C310" s="9" t="str">
        <x:v>主对照</x:v>
      </x:c>
      <x:c r="D310" s="11" t="n">
        <x:f>SUMIFS($D$6:$D$304,$B$6:$B$304,B310)</x:f>
        <x:v>68972</x:v>
      </x:c>
      <x:c r="E310" s="11" t="n">
        <x:f>SUMIFS($E$6:$E$304,$B$6:$B$304,B310)</x:f>
        <x:v>50866</x:v>
      </x:c>
      <x:c r="F310" s="11" t="n">
        <x:f>SUMIFS($F$6:$F$304,$B$6:$B$304,B310)</x:f>
        <x:v>50891</x:v>
      </x:c>
      <x:c r="G310" s="11" t="n">
        <x:f>SUMIFS($G$6:$G$304,$B$6:$B$304,B310)</x:f>
        <x:v>0</x:v>
      </x:c>
      <x:c r="H310" s="11" t="n">
        <x:f>SUMIFS($H$6:$H$304,$B$6:$B$304,B310)</x:f>
        <x:v>43249</x:v>
      </x:c>
      <x:c r="I310" s="11" t="n">
        <x:f>SUMIFS($I$6:$I$304,$B$6:$B$304,B310)</x:f>
        <x:v>298929454</x:v>
      </x:c>
      <x:c r="J310" s="11" t="n">
        <x:f>SUMIFS($J$6:$J$304,$B$6:$B$304,B310)</x:f>
        <x:v>61128957.28000006</x:v>
      </x:c>
      <x:c r="K310" s="12" t="n">
        <x:f>E310/D310</x:f>
        <x:v>0.7374876761584411</x:v>
      </x:c>
      <x:c r="L310" s="12" t="n">
        <x:f>F310/D310</x:f>
        <x:v>0.7378501420866439</x:v>
      </x:c>
      <x:c r="M310" s="12" t="n">
        <x:f>G310/D310</x:f>
        <x:v>0</x:v>
      </x:c>
      <x:c r="N310" s="12" t="n">
        <x:f>J310/I310</x:f>
        <x:v>0.20449292119604937</x:v>
      </x:c>
      <x:c r="O310" s="11" t="n">
        <x:f>SUMIFS($O$6:$O$304,$B$6:$B$304,B310)</x:f>
        <x:v>0</x:v>
      </x:c>
      <x:c r="P310" s="11" t="n">
        <x:f>SUMIFS($P$6:$P$304,$B$6:$B$304,B310)</x:f>
        <x:v>17651</x:v>
      </x:c>
      <x:c r="Q310" s="11" t="n">
        <x:f>SUMIFS($Q$6:$Q$304,$B$6:$B$304,B310)</x:f>
        <x:v>0</x:v>
      </x:c>
      <x:c r="R310" s="11" t="n">
        <x:f>SUMIFS($R$6:$R$304,$B$6:$B$304,B310)</x:f>
        <x:v>0</x:v>
      </x:c>
      <x:c r="S310" s="11" t="n">
        <x:f>SUMIFS($S$6:$S$304,$B$6:$B$304,B310)</x:f>
        <x:v>50891</x:v>
      </x:c>
      <x:c r="T310" s="11" t="n">
        <x:f>SUMIFS($T$6:$T$304,$B$6:$B$304,B310)</x:f>
        <x:v>0</x:v>
      </x:c>
      <x:c r="U310" s="11" t="n">
        <x:f>SUMIFS($U$6:$U$304,$B$6:$B$304,B310)</x:f>
        <x:v>415</x:v>
      </x:c>
      <x:c r="V310" s="11" t="n">
        <x:f>SUMIFS($V$6:$V$304,$B$6:$B$304,B310)</x:f>
        <x:v>0</x:v>
      </x:c>
      <x:c r="W310" s="11" t="n">
        <x:f>SUMIFS($W$6:$W$304,$B$6:$B$304,B310)</x:f>
        <x:v>15</x:v>
      </x:c>
      <x:c r="X310" s="11" t="n">
        <x:f>SUMIFS($X$6:$X$304,$B$6:$B$304,B310)</x:f>
        <x:v>0</x:v>
      </x:c>
      <x:c r="Y310" s="11" t="n">
        <x:f>SUMIFS($Y$6:$Y$304,$B$6:$B$304,B310)</x:f>
        <x:v>0</x:v>
      </x:c>
      <x:c r="Z310" s="11" t="n">
        <x:f>SUMIFS($Z$6:$Z$304,$B$6:$B$304,B310)</x:f>
        <x:v>38932273</x:v>
      </x:c>
      <x:c r="AA310" s="11" t="n">
        <x:f>SUMIFS($AA$6:$AA$304,$B$6:$B$304,B310)</x:f>
        <x:v>0</x:v>
      </x:c>
      <x:c r="AB310" s="11" t="n">
        <x:f>SUMIFS($AB$6:$AB$304,$B$6:$B$304,B310)</x:f>
        <x:v>0</x:v>
      </x:c>
      <x:c r="AC310" s="11" t="n">
        <x:f>SUMIFS($AC$6:$AC$304,$B$6:$B$304,B310)</x:f>
        <x:v>259580354</x:v>
      </x:c>
      <x:c r="AD310" s="11" t="n">
        <x:f>SUMIFS($AD$6:$AD$304,$B$6:$B$304,B310)</x:f>
        <x:v>0</x:v>
      </x:c>
      <x:c r="AE310" s="11" t="n">
        <x:f>SUMIFS($AE$6:$AE$304,$B$6:$B$304,B310)</x:f>
        <x:v>386787</x:v>
      </x:c>
      <x:c r="AF310" s="11" t="n">
        <x:f>SUMIFS($AF$6:$AF$304,$B$6:$B$304,B310)</x:f>
        <x:v>0</x:v>
      </x:c>
      <x:c r="AG310" s="11" t="n">
        <x:f>SUMIFS($AG$6:$AG$304,$B$6:$B$304,B310)</x:f>
        <x:v>30040</x:v>
      </x:c>
      <x:c r="AH310" s="11" t="n">
        <x:f>SUMIFS($AH$6:$AH$304,$B$6:$B$304,B310)</x:f>
        <x:v>0</x:v>
      </x:c>
    </x:row>
    <x:row r="311" ht="23" customHeight="1">
      <x:c r="A311" s="10" t="str">
        <x:v>ALL</x:v>
      </x:c>
      <x:c r="B311" s="10" t="str">
        <x:v>G_H0</x:v>
      </x:c>
      <x:c r="C311" s="9" t="str">
        <x:v>主对照</x:v>
      </x:c>
      <x:c r="D311" s="11" t="n">
        <x:f>SUMIFS($D$6:$D$304,$B$6:$B$304,B311)</x:f>
        <x:v>68972</x:v>
      </x:c>
      <x:c r="E311" s="11" t="n">
        <x:f>SUMIFS($E$6:$E$304,$B$6:$B$304,B311)</x:f>
        <x:v>68972</x:v>
      </x:c>
      <x:c r="F311" s="11" t="n">
        <x:f>SUMIFS($F$6:$F$304,$B$6:$B$304,B311)</x:f>
        <x:v>68972</x:v>
      </x:c>
      <x:c r="G311" s="11" t="n">
        <x:f>SUMIFS($G$6:$G$304,$B$6:$B$304,B311)</x:f>
        <x:v>0</x:v>
      </x:c>
      <x:c r="H311" s="11" t="n">
        <x:f>SUMIFS($H$6:$H$304,$B$6:$B$304,B311)</x:f>
        <x:v>68972</x:v>
      </x:c>
      <x:c r="I311" s="11" t="n">
        <x:f>SUMIFS($I$6:$I$304,$B$6:$B$304,B311)</x:f>
        <x:v>298929454</x:v>
      </x:c>
      <x:c r="J311" s="11" t="n">
        <x:f>SUMIFS($J$6:$J$304,$B$6:$B$304,B311)</x:f>
        <x:v>54576530.44213344</x:v>
      </x:c>
      <x:c r="K311" s="12" t="n">
        <x:f>E311/D311</x:f>
        <x:v>1</x:v>
      </x:c>
      <x:c r="L311" s="12" t="n">
        <x:f>F311/D311</x:f>
        <x:v>1</x:v>
      </x:c>
      <x:c r="M311" s="12" t="n">
        <x:f>G311/D311</x:f>
        <x:v>0</x:v>
      </x:c>
      <x:c r="N311" s="12" t="n">
        <x:f>J311/I311</x:f>
        <x:v>0.18257327845028426</x:v>
      </x:c>
      <x:c r="O311" s="11" t="n">
        <x:f>SUMIFS($O$6:$O$304,$B$6:$B$304,B311)</x:f>
        <x:v>0</x:v>
      </x:c>
      <x:c r="P311" s="11" t="n">
        <x:f>SUMIFS($P$6:$P$304,$B$6:$B$304,B311)</x:f>
        <x:v>26804</x:v>
      </x:c>
      <x:c r="Q311" s="11" t="n">
        <x:f>SUMIFS($Q$6:$Q$304,$B$6:$B$304,B311)</x:f>
        <x:v>30872</x:v>
      </x:c>
      <x:c r="R311" s="11" t="n">
        <x:f>SUMIFS($R$6:$R$304,$B$6:$B$304,B311)</x:f>
        <x:v>8543</x:v>
      </x:c>
      <x:c r="S311" s="11" t="n">
        <x:f>SUMIFS($S$6:$S$304,$B$6:$B$304,B311)</x:f>
        <x:v>2356</x:v>
      </x:c>
      <x:c r="T311" s="11" t="n">
        <x:f>SUMIFS($T$6:$T$304,$B$6:$B$304,B311)</x:f>
        <x:v>395</x:v>
      </x:c>
      <x:c r="U311" s="11" t="n">
        <x:f>SUMIFS($U$6:$U$304,$B$6:$B$304,B311)</x:f>
        <x:v>2</x:v>
      </x:c>
      <x:c r="V311" s="11" t="n">
        <x:f>SUMIFS($V$6:$V$304,$B$6:$B$304,B311)</x:f>
        <x:v>0</x:v>
      </x:c>
      <x:c r="W311" s="11" t="n">
        <x:f>SUMIFS($W$6:$W$304,$B$6:$B$304,B311)</x:f>
        <x:v>0</x:v>
      </x:c>
      <x:c r="X311" s="11" t="n">
        <x:f>SUMIFS($X$6:$X$304,$B$6:$B$304,B311)</x:f>
        <x:v>0</x:v>
      </x:c>
      <x:c r="Y311" s="11" t="n">
        <x:f>SUMIFS($Y$6:$Y$304,$B$6:$B$304,B311)</x:f>
        <x:v>0</x:v>
      </x:c>
      <x:c r="Z311" s="11" t="n">
        <x:f>SUMIFS($Z$6:$Z$304,$B$6:$B$304,B311)</x:f>
        <x:v>50250931</x:v>
      </x:c>
      <x:c r="AA311" s="11" t="n">
        <x:f>SUMIFS($AA$6:$AA$304,$B$6:$B$304,B311)</x:f>
        <x:v>100068452</x:v>
      </x:c>
      <x:c r="AB311" s="11" t="n">
        <x:f>SUMIFS($AB$6:$AB$304,$B$6:$B$304,B311)</x:f>
        <x:v>55888833</x:v>
      </x:c>
      <x:c r="AC311" s="11" t="n">
        <x:f>SUMIFS($AC$6:$AC$304,$B$6:$B$304,B311)</x:f>
        <x:v>62267329</x:v>
      </x:c>
      <x:c r="AD311" s="11" t="n">
        <x:f>SUMIFS($AD$6:$AD$304,$B$6:$B$304,B311)</x:f>
        <x:v>30083101</x:v>
      </x:c>
      <x:c r="AE311" s="11" t="n">
        <x:f>SUMIFS($AE$6:$AE$304,$B$6:$B$304,B311)</x:f>
        <x:v>370808</x:v>
      </x:c>
      <x:c r="AF311" s="11" t="n">
        <x:f>SUMIFS($AF$6:$AF$304,$B$6:$B$304,B311)</x:f>
        <x:v>0</x:v>
      </x:c>
      <x:c r="AG311" s="11" t="n">
        <x:f>SUMIFS($AG$6:$AG$304,$B$6:$B$304,B311)</x:f>
        <x:v>0</x:v>
      </x:c>
      <x:c r="AH311" s="11" t="n">
        <x:f>SUMIFS($AH$6:$AH$304,$B$6:$B$304,B311)</x:f>
        <x:v>0</x:v>
      </x:c>
    </x:row>
    <x:row r="312" ht="23" customHeight="1">
      <x:c r="A312" s="10" t="str">
        <x:v>ALL</x:v>
      </x:c>
      <x:c r="B312" s="10" t="str">
        <x:v>G_HT</x:v>
      </x:c>
      <x:c r="C312" s="9" t="str">
        <x:v>仅拓扑与尺度</x:v>
      </x:c>
      <x:c r="D312" s="11" t="n">
        <x:f>SUMIFS($D$6:$D$304,$B$6:$B$304,B312)</x:f>
        <x:v>68972</x:v>
      </x:c>
      <x:c r="E312" s="11" t="n">
        <x:f>SUMIFS($E$6:$E$304,$B$6:$B$304,B312)</x:f>
        <x:v>68972</x:v>
      </x:c>
      <x:c r="F312" s="11" t="n">
        <x:f>SUMIFS($F$6:$F$304,$B$6:$B$304,B312)</x:f>
        <x:v>68972</x:v>
      </x:c>
      <x:c r="G312" s="11" t="n">
        <x:f>SUMIFS($G$6:$G$304,$B$6:$B$304,B312)</x:f>
        <x:v>0</x:v>
      </x:c>
      <x:c r="H312" s="11" t="n">
        <x:f>SUMIFS($H$6:$H$304,$B$6:$B$304,B312)</x:f>
        <x:v>68972</x:v>
      </x:c>
      <x:c r="I312" s="11" t="n">
        <x:f>SUMIFS($I$6:$I$304,$B$6:$B$304,B312)</x:f>
        <x:v>298929454</x:v>
      </x:c>
      <x:c r="J312" s="11" t="n">
        <x:f>SUMIFS($J$6:$J$304,$B$6:$B$304,B312)</x:f>
        <x:v>55899056.36213358</x:v>
      </x:c>
      <x:c r="K312" s="12" t="n">
        <x:f>E312/D312</x:f>
        <x:v>1</x:v>
      </x:c>
      <x:c r="L312" s="12" t="n">
        <x:f>F312/D312</x:f>
        <x:v>1</x:v>
      </x:c>
      <x:c r="M312" s="12" t="n">
        <x:f>G312/D312</x:f>
        <x:v>0</x:v>
      </x:c>
      <x:c r="N312" s="12" t="n">
        <x:f>J312/I312</x:f>
        <x:v>0.18699748590894485</x:v>
      </x:c>
      <x:c r="O312" s="11" t="n">
        <x:f>SUMIFS($O$6:$O$304,$B$6:$B$304,B312)</x:f>
        <x:v>0</x:v>
      </x:c>
      <x:c r="P312" s="11" t="n">
        <x:f>SUMIFS($P$6:$P$304,$B$6:$B$304,B312)</x:f>
        <x:v>16270</x:v>
      </x:c>
      <x:c r="Q312" s="11" t="n">
        <x:f>SUMIFS($Q$6:$Q$304,$B$6:$B$304,B312)</x:f>
        <x:v>37924</x:v>
      </x:c>
      <x:c r="R312" s="11" t="n">
        <x:f>SUMIFS($R$6:$R$304,$B$6:$B$304,B312)</x:f>
        <x:v>11573</x:v>
      </x:c>
      <x:c r="S312" s="11" t="n">
        <x:f>SUMIFS($S$6:$S$304,$B$6:$B$304,B312)</x:f>
        <x:v>2765</x:v>
      </x:c>
      <x:c r="T312" s="11" t="n">
        <x:f>SUMIFS($T$6:$T$304,$B$6:$B$304,B312)</x:f>
        <x:v>438</x:v>
      </x:c>
      <x:c r="U312" s="11" t="n">
        <x:f>SUMIFS($U$6:$U$304,$B$6:$B$304,B312)</x:f>
        <x:v>2</x:v>
      </x:c>
      <x:c r="V312" s="11" t="n">
        <x:f>SUMIFS($V$6:$V$304,$B$6:$B$304,B312)</x:f>
        <x:v>0</x:v>
      </x:c>
      <x:c r="W312" s="11" t="n">
        <x:f>SUMIFS($W$6:$W$304,$B$6:$B$304,B312)</x:f>
        <x:v>0</x:v>
      </x:c>
      <x:c r="X312" s="11" t="n">
        <x:f>SUMIFS($X$6:$X$304,$B$6:$B$304,B312)</x:f>
        <x:v>0</x:v>
      </x:c>
      <x:c r="Y312" s="11" t="n">
        <x:f>SUMIFS($Y$6:$Y$304,$B$6:$B$304,B312)</x:f>
        <x:v>0</x:v>
      </x:c>
      <x:c r="Z312" s="11" t="n">
        <x:f>SUMIFS($Z$6:$Z$304,$B$6:$B$304,B312)</x:f>
        <x:v>23701154</x:v>
      </x:c>
      <x:c r="AA312" s="11" t="n">
        <x:f>SUMIFS($AA$6:$AA$304,$B$6:$B$304,B312)</x:f>
        <x:v>116303543</x:v>
      </x:c>
      <x:c r="AB312" s="11" t="n">
        <x:f>SUMIFS($AB$6:$AB$304,$B$6:$B$304,B312)</x:f>
        <x:v>62879694</x:v>
      </x:c>
      <x:c r="AC312" s="11" t="n">
        <x:f>SUMIFS($AC$6:$AC$304,$B$6:$B$304,B312)</x:f>
        <x:v>61103318</x:v>
      </x:c>
      <x:c r="AD312" s="11" t="n">
        <x:f>SUMIFS($AD$6:$AD$304,$B$6:$B$304,B312)</x:f>
        <x:v>34570937</x:v>
      </x:c>
      <x:c r="AE312" s="11" t="n">
        <x:f>SUMIFS($AE$6:$AE$304,$B$6:$B$304,B312)</x:f>
        <x:v>370808</x:v>
      </x:c>
      <x:c r="AF312" s="11" t="n">
        <x:f>SUMIFS($AF$6:$AF$304,$B$6:$B$304,B312)</x:f>
        <x:v>0</x:v>
      </x:c>
      <x:c r="AG312" s="11" t="n">
        <x:f>SUMIFS($AG$6:$AG$304,$B$6:$B$304,B312)</x:f>
        <x:v>0</x:v>
      </x:c>
      <x:c r="AH312" s="11" t="n">
        <x:f>SUMIFS($AH$6:$AH$304,$B$6:$B$304,B312)</x:f>
        <x:v>0</x:v>
      </x:c>
    </x:row>
    <x:row r="313" ht="23" customHeight="1">
      <x:c r="A313" s="10" t="str">
        <x:v>ALL</x:v>
      </x:c>
      <x:c r="B313" s="10" t="str">
        <x:v>G_H1</x:v>
      </x:c>
      <x:c r="C313" s="9" t="str">
        <x:v>主对照</x:v>
      </x:c>
      <x:c r="D313" s="11" t="n">
        <x:f>SUMIFS($D$6:$D$304,$B$6:$B$304,B313)</x:f>
        <x:v>68972</x:v>
      </x:c>
      <x:c r="E313" s="11" t="n">
        <x:f>SUMIFS($E$6:$E$304,$B$6:$B$304,B313)</x:f>
        <x:v>68972</x:v>
      </x:c>
      <x:c r="F313" s="11" t="n">
        <x:f>SUMIFS($F$6:$F$304,$B$6:$B$304,B313)</x:f>
        <x:v>68972</x:v>
      </x:c>
      <x:c r="G313" s="11" t="n">
        <x:f>SUMIFS($G$6:$G$304,$B$6:$B$304,B313)</x:f>
        <x:v>0</x:v>
      </x:c>
      <x:c r="H313" s="11" t="n">
        <x:f>SUMIFS($H$6:$H$304,$B$6:$B$304,B313)</x:f>
        <x:v>68972</x:v>
      </x:c>
      <x:c r="I313" s="11" t="n">
        <x:f>SUMIFS($I$6:$I$304,$B$6:$B$304,B313)</x:f>
        <x:v>298929454</x:v>
      </x:c>
      <x:c r="J313" s="11" t="n">
        <x:f>SUMIFS($J$6:$J$304,$B$6:$B$304,B313)</x:f>
        <x:v>55899056.36213358</x:v>
      </x:c>
      <x:c r="K313" s="12" t="n">
        <x:f>E313/D313</x:f>
        <x:v>1</x:v>
      </x:c>
      <x:c r="L313" s="12" t="n">
        <x:f>F313/D313</x:f>
        <x:v>1</x:v>
      </x:c>
      <x:c r="M313" s="12" t="n">
        <x:f>G313/D313</x:f>
        <x:v>0</x:v>
      </x:c>
      <x:c r="N313" s="12" t="n">
        <x:f>J313/I313</x:f>
        <x:v>0.18699748590894485</x:v>
      </x:c>
      <x:c r="O313" s="11" t="n">
        <x:f>SUMIFS($O$6:$O$304,$B$6:$B$304,B313)</x:f>
        <x:v>0</x:v>
      </x:c>
      <x:c r="P313" s="11" t="n">
        <x:f>SUMIFS($P$6:$P$304,$B$6:$B$304,B313)</x:f>
        <x:v>16270</x:v>
      </x:c>
      <x:c r="Q313" s="11" t="n">
        <x:f>SUMIFS($Q$6:$Q$304,$B$6:$B$304,B313)</x:f>
        <x:v>37924</x:v>
      </x:c>
      <x:c r="R313" s="11" t="n">
        <x:f>SUMIFS($R$6:$R$304,$B$6:$B$304,B313)</x:f>
        <x:v>11573</x:v>
      </x:c>
      <x:c r="S313" s="11" t="n">
        <x:f>SUMIFS($S$6:$S$304,$B$6:$B$304,B313)</x:f>
        <x:v>2765</x:v>
      </x:c>
      <x:c r="T313" s="11" t="n">
        <x:f>SUMIFS($T$6:$T$304,$B$6:$B$304,B313)</x:f>
        <x:v>438</x:v>
      </x:c>
      <x:c r="U313" s="11" t="n">
        <x:f>SUMIFS($U$6:$U$304,$B$6:$B$304,B313)</x:f>
        <x:v>2</x:v>
      </x:c>
      <x:c r="V313" s="11" t="n">
        <x:f>SUMIFS($V$6:$V$304,$B$6:$B$304,B313)</x:f>
        <x:v>0</x:v>
      </x:c>
      <x:c r="W313" s="11" t="n">
        <x:f>SUMIFS($W$6:$W$304,$B$6:$B$304,B313)</x:f>
        <x:v>0</x:v>
      </x:c>
      <x:c r="X313" s="11" t="n">
        <x:f>SUMIFS($X$6:$X$304,$B$6:$B$304,B313)</x:f>
        <x:v>0</x:v>
      </x:c>
      <x:c r="Y313" s="11" t="n">
        <x:f>SUMIFS($Y$6:$Y$304,$B$6:$B$304,B313)</x:f>
        <x:v>0</x:v>
      </x:c>
      <x:c r="Z313" s="11" t="n">
        <x:f>SUMIFS($Z$6:$Z$304,$B$6:$B$304,B313)</x:f>
        <x:v>23701154</x:v>
      </x:c>
      <x:c r="AA313" s="11" t="n">
        <x:f>SUMIFS($AA$6:$AA$304,$B$6:$B$304,B313)</x:f>
        <x:v>116303543</x:v>
      </x:c>
      <x:c r="AB313" s="11" t="n">
        <x:f>SUMIFS($AB$6:$AB$304,$B$6:$B$304,B313)</x:f>
        <x:v>62879694</x:v>
      </x:c>
      <x:c r="AC313" s="11" t="n">
        <x:f>SUMIFS($AC$6:$AC$304,$B$6:$B$304,B313)</x:f>
        <x:v>61103318</x:v>
      </x:c>
      <x:c r="AD313" s="11" t="n">
        <x:f>SUMIFS($AD$6:$AD$304,$B$6:$B$304,B313)</x:f>
        <x:v>34570937</x:v>
      </x:c>
      <x:c r="AE313" s="11" t="n">
        <x:f>SUMIFS($AE$6:$AE$304,$B$6:$B$304,B313)</x:f>
        <x:v>370808</x:v>
      </x:c>
      <x:c r="AF313" s="11" t="n">
        <x:f>SUMIFS($AF$6:$AF$304,$B$6:$B$304,B313)</x:f>
        <x:v>0</x:v>
      </x:c>
      <x:c r="AG313" s="11" t="n">
        <x:f>SUMIFS($AG$6:$AG$304,$B$6:$B$304,B313)</x:f>
        <x:v>0</x:v>
      </x:c>
      <x:c r="AH313" s="11" t="n">
        <x:f>SUMIFS($AH$6:$AH$304,$B$6:$B$304,B313)</x:f>
        <x:v>0</x:v>
      </x:c>
    </x:row>
    <x:row r="314" ht="23" customHeight="1">
      <x:c r="A314" s="10" t="str">
        <x:v>ALL</x:v>
      </x:c>
      <x:c r="B314" s="10" t="str">
        <x:v>NC_H0</x:v>
      </x:c>
      <x:c r="C314" s="9" t="str">
        <x:v>主对照</x:v>
      </x:c>
      <x:c r="D314" s="11" t="n">
        <x:f>SUMIFS($D$6:$D$304,$B$6:$B$304,B314)</x:f>
        <x:v>68972</x:v>
      </x:c>
      <x:c r="E314" s="11" t="n">
        <x:f>SUMIFS($E$6:$E$304,$B$6:$B$304,B314)</x:f>
        <x:v>35399</x:v>
      </x:c>
      <x:c r="F314" s="11" t="n">
        <x:f>SUMIFS($F$6:$F$304,$B$6:$B$304,B314)</x:f>
        <x:v>44604</x:v>
      </x:c>
      <x:c r="G314" s="11" t="n">
        <x:f>SUMIFS($G$6:$G$304,$B$6:$B$304,B314)</x:f>
        <x:v>9174</x:v>
      </x:c>
      <x:c r="H314" s="11" t="n">
        <x:f>SUMIFS($H$6:$H$304,$B$6:$B$304,B314)</x:f>
        <x:v>33379</x:v>
      </x:c>
      <x:c r="I314" s="11" t="n">
        <x:f>SUMIFS($I$6:$I$304,$B$6:$B$304,B314)</x:f>
        <x:v>298929454</x:v>
      </x:c>
      <x:c r="J314" s="11" t="n">
        <x:f>SUMIFS($J$6:$J$304,$B$6:$B$304,B314)</x:f>
        <x:v>70052516.35999933</x:v>
      </x:c>
      <x:c r="K314" s="12" t="n">
        <x:f>E314/D314</x:f>
        <x:v>0.5132372556979644</x:v>
      </x:c>
      <x:c r="L314" s="12" t="n">
        <x:f>F314/D314</x:f>
        <x:v>0.6466972104622165</x:v>
      </x:c>
      <x:c r="M314" s="12" t="n">
        <x:f>G314/D314</x:f>
        <x:v>0.13301049701328074</x:v>
      </x:c>
      <x:c r="N314" s="12" t="n">
        <x:f>J314/I314</x:f>
        <x:v>0.23434464360276566</x:v>
      </x:c>
      <x:c r="O314" s="11" t="n">
        <x:f>SUMIFS($O$6:$O$304,$B$6:$B$304,B314)</x:f>
        <x:v>0</x:v>
      </x:c>
      <x:c r="P314" s="11" t="n">
        <x:f>SUMIFS($P$6:$P$304,$B$6:$B$304,B314)</x:f>
        <x:v>17223</x:v>
      </x:c>
      <x:c r="Q314" s="11" t="n">
        <x:f>SUMIFS($Q$6:$Q$304,$B$6:$B$304,B314)</x:f>
        <x:v>2153</x:v>
      </x:c>
      <x:c r="R314" s="11" t="n">
        <x:f>SUMIFS($R$6:$R$304,$B$6:$B$304,B314)</x:f>
        <x:v>0</x:v>
      </x:c>
      <x:c r="S314" s="11" t="n">
        <x:f>SUMIFS($S$6:$S$304,$B$6:$B$304,B314)</x:f>
        <x:v>44604</x:v>
      </x:c>
      <x:c r="T314" s="11" t="n">
        <x:f>SUMIFS($T$6:$T$304,$B$6:$B$304,B314)</x:f>
        <x:v>548</x:v>
      </x:c>
      <x:c r="U314" s="11" t="n">
        <x:f>SUMIFS($U$6:$U$304,$B$6:$B$304,B314)</x:f>
        <x:v>1127</x:v>
      </x:c>
      <x:c r="V314" s="11" t="n">
        <x:f>SUMIFS($V$6:$V$304,$B$6:$B$304,B314)</x:f>
        <x:v>1174</x:v>
      </x:c>
      <x:c r="W314" s="11" t="n">
        <x:f>SUMIFS($W$6:$W$304,$B$6:$B$304,B314)</x:f>
        <x:v>2143</x:v>
      </x:c>
      <x:c r="X314" s="11" t="n">
        <x:f>SUMIFS($X$6:$X$304,$B$6:$B$304,B314)</x:f>
        <x:v>0</x:v>
      </x:c>
      <x:c r="Y314" s="11" t="n">
        <x:f>SUMIFS($Y$6:$Y$304,$B$6:$B$304,B314)</x:f>
        <x:v>0</x:v>
      </x:c>
      <x:c r="Z314" s="11" t="n">
        <x:f>SUMIFS($Z$6:$Z$304,$B$6:$B$304,B314)</x:f>
        <x:v>34191687</x:v>
      </x:c>
      <x:c r="AA314" s="11" t="n">
        <x:f>SUMIFS($AA$6:$AA$304,$B$6:$B$304,B314)</x:f>
        <x:v>3446947</x:v>
      </x:c>
      <x:c r="AB314" s="11" t="n">
        <x:f>SUMIFS($AB$6:$AB$304,$B$6:$B$304,B314)</x:f>
        <x:v>0</x:v>
      </x:c>
      <x:c r="AC314" s="11" t="n">
        <x:f>SUMIFS($AC$6:$AC$304,$B$6:$B$304,B314)</x:f>
        <x:v>192692299</x:v>
      </x:c>
      <x:c r="AD314" s="11" t="n">
        <x:f>SUMIFS($AD$6:$AD$304,$B$6:$B$304,B314)</x:f>
        <x:v>5842664</x:v>
      </x:c>
      <x:c r="AE314" s="11" t="n">
        <x:f>SUMIFS($AE$6:$AE$304,$B$6:$B$304,B314)</x:f>
        <x:v>6440502</x:v>
      </x:c>
      <x:c r="AF314" s="11" t="n">
        <x:f>SUMIFS($AF$6:$AF$304,$B$6:$B$304,B314)</x:f>
        <x:v>35832950</x:v>
      </x:c>
      <x:c r="AG314" s="11" t="n">
        <x:f>SUMIFS($AG$6:$AG$304,$B$6:$B$304,B314)</x:f>
        <x:v>20482405</x:v>
      </x:c>
      <x:c r="AH314" s="11" t="n">
        <x:f>SUMIFS($AH$6:$AH$304,$B$6:$B$304,B314)</x:f>
        <x:v>0</x:v>
      </x:c>
    </x:row>
    <x:row r="315" ht="23" customHeight="1">
      <x:c r="A315" s="10" t="str">
        <x:v>ALL</x:v>
      </x:c>
      <x:c r="B315" s="10" t="str">
        <x:v>NC_HT</x:v>
      </x:c>
      <x:c r="C315" s="9" t="str">
        <x:v>仅拓扑与尺度</x:v>
      </x:c>
      <x:c r="D315" s="11" t="n">
        <x:f>SUMIFS($D$6:$D$304,$B$6:$B$304,B315)</x:f>
        <x:v>68972</x:v>
      </x:c>
      <x:c r="E315" s="11" t="n">
        <x:f>SUMIFS($E$6:$E$304,$B$6:$B$304,B315)</x:f>
        <x:v>35399</x:v>
      </x:c>
      <x:c r="F315" s="11" t="n">
        <x:f>SUMIFS($F$6:$F$304,$B$6:$B$304,B315)</x:f>
        <x:v>44604</x:v>
      </x:c>
      <x:c r="G315" s="11" t="n">
        <x:f>SUMIFS($G$6:$G$304,$B$6:$B$304,B315)</x:f>
        <x:v>9174</x:v>
      </x:c>
      <x:c r="H315" s="11" t="n">
        <x:f>SUMIFS($H$6:$H$304,$B$6:$B$304,B315)</x:f>
        <x:v>33379</x:v>
      </x:c>
      <x:c r="I315" s="11" t="n">
        <x:f>SUMIFS($I$6:$I$304,$B$6:$B$304,B315)</x:f>
        <x:v>298929454</x:v>
      </x:c>
      <x:c r="J315" s="11" t="n">
        <x:f>SUMIFS($J$6:$J$304,$B$6:$B$304,B315)</x:f>
        <x:v>70052516.35999933</x:v>
      </x:c>
      <x:c r="K315" s="12" t="n">
        <x:f>E315/D315</x:f>
        <x:v>0.5132372556979644</x:v>
      </x:c>
      <x:c r="L315" s="12" t="n">
        <x:f>F315/D315</x:f>
        <x:v>0.6466972104622165</x:v>
      </x:c>
      <x:c r="M315" s="12" t="n">
        <x:f>G315/D315</x:f>
        <x:v>0.13301049701328074</x:v>
      </x:c>
      <x:c r="N315" s="12" t="n">
        <x:f>J315/I315</x:f>
        <x:v>0.23434464360276566</x:v>
      </x:c>
      <x:c r="O315" s="11" t="n">
        <x:f>SUMIFS($O$6:$O$304,$B$6:$B$304,B315)</x:f>
        <x:v>0</x:v>
      </x:c>
      <x:c r="P315" s="11" t="n">
        <x:f>SUMIFS($P$6:$P$304,$B$6:$B$304,B315)</x:f>
        <x:v>17223</x:v>
      </x:c>
      <x:c r="Q315" s="11" t="n">
        <x:f>SUMIFS($Q$6:$Q$304,$B$6:$B$304,B315)</x:f>
        <x:v>2153</x:v>
      </x:c>
      <x:c r="R315" s="11" t="n">
        <x:f>SUMIFS($R$6:$R$304,$B$6:$B$304,B315)</x:f>
        <x:v>0</x:v>
      </x:c>
      <x:c r="S315" s="11" t="n">
        <x:f>SUMIFS($S$6:$S$304,$B$6:$B$304,B315)</x:f>
        <x:v>44604</x:v>
      </x:c>
      <x:c r="T315" s="11" t="n">
        <x:f>SUMIFS($T$6:$T$304,$B$6:$B$304,B315)</x:f>
        <x:v>548</x:v>
      </x:c>
      <x:c r="U315" s="11" t="n">
        <x:f>SUMIFS($U$6:$U$304,$B$6:$B$304,B315)</x:f>
        <x:v>1127</x:v>
      </x:c>
      <x:c r="V315" s="11" t="n">
        <x:f>SUMIFS($V$6:$V$304,$B$6:$B$304,B315)</x:f>
        <x:v>1174</x:v>
      </x:c>
      <x:c r="W315" s="11" t="n">
        <x:f>SUMIFS($W$6:$W$304,$B$6:$B$304,B315)</x:f>
        <x:v>2143</x:v>
      </x:c>
      <x:c r="X315" s="11" t="n">
        <x:f>SUMIFS($X$6:$X$304,$B$6:$B$304,B315)</x:f>
        <x:v>0</x:v>
      </x:c>
      <x:c r="Y315" s="11" t="n">
        <x:f>SUMIFS($Y$6:$Y$304,$B$6:$B$304,B315)</x:f>
        <x:v>0</x:v>
      </x:c>
      <x:c r="Z315" s="11" t="n">
        <x:f>SUMIFS($Z$6:$Z$304,$B$6:$B$304,B315)</x:f>
        <x:v>34191687</x:v>
      </x:c>
      <x:c r="AA315" s="11" t="n">
        <x:f>SUMIFS($AA$6:$AA$304,$B$6:$B$304,B315)</x:f>
        <x:v>3446947</x:v>
      </x:c>
      <x:c r="AB315" s="11" t="n">
        <x:f>SUMIFS($AB$6:$AB$304,$B$6:$B$304,B315)</x:f>
        <x:v>0</x:v>
      </x:c>
      <x:c r="AC315" s="11" t="n">
        <x:f>SUMIFS($AC$6:$AC$304,$B$6:$B$304,B315)</x:f>
        <x:v>192692299</x:v>
      </x:c>
      <x:c r="AD315" s="11" t="n">
        <x:f>SUMIFS($AD$6:$AD$304,$B$6:$B$304,B315)</x:f>
        <x:v>5842664</x:v>
      </x:c>
      <x:c r="AE315" s="11" t="n">
        <x:f>SUMIFS($AE$6:$AE$304,$B$6:$B$304,B315)</x:f>
        <x:v>6440502</x:v>
      </x:c>
      <x:c r="AF315" s="11" t="n">
        <x:f>SUMIFS($AF$6:$AF$304,$B$6:$B$304,B315)</x:f>
        <x:v>35832950</x:v>
      </x:c>
      <x:c r="AG315" s="11" t="n">
        <x:f>SUMIFS($AG$6:$AG$304,$B$6:$B$304,B315)</x:f>
        <x:v>20482405</x:v>
      </x:c>
      <x:c r="AH315" s="11" t="n">
        <x:f>SUMIFS($AH$6:$AH$304,$B$6:$B$304,B315)</x:f>
        <x:v>0</x:v>
      </x:c>
    </x:row>
    <x:row r="316" ht="23" customHeight="1">
      <x:c r="A316" s="10" t="str">
        <x:v>ALL</x:v>
      </x:c>
      <x:c r="B316" s="10" t="str">
        <x:v>NC_H1</x:v>
      </x:c>
      <x:c r="C316" s="9" t="str">
        <x:v>主对照</x:v>
      </x:c>
      <x:c r="D316" s="11" t="n">
        <x:f>SUMIFS($D$6:$D$304,$B$6:$B$304,B316)</x:f>
        <x:v>68972</x:v>
      </x:c>
      <x:c r="E316" s="11" t="n">
        <x:f>SUMIFS($E$6:$E$304,$B$6:$B$304,B316)</x:f>
        <x:v>35399</x:v>
      </x:c>
      <x:c r="F316" s="11" t="n">
        <x:f>SUMIFS($F$6:$F$304,$B$6:$B$304,B316)</x:f>
        <x:v>44604</x:v>
      </x:c>
      <x:c r="G316" s="11" t="n">
        <x:f>SUMIFS($G$6:$G$304,$B$6:$B$304,B316)</x:f>
        <x:v>9174</x:v>
      </x:c>
      <x:c r="H316" s="11" t="n">
        <x:f>SUMIFS($H$6:$H$304,$B$6:$B$304,B316)</x:f>
        <x:v>36085</x:v>
      </x:c>
      <x:c r="I316" s="11" t="n">
        <x:f>SUMIFS($I$6:$I$304,$B$6:$B$304,B316)</x:f>
        <x:v>298929454</x:v>
      </x:c>
      <x:c r="J316" s="11" t="n">
        <x:f>SUMIFS($J$6:$J$304,$B$6:$B$304,B316)</x:f>
        <x:v>70271490.6399993</x:v>
      </x:c>
      <x:c r="K316" s="12" t="n">
        <x:f>E316/D316</x:f>
        <x:v>0.5132372556979644</x:v>
      </x:c>
      <x:c r="L316" s="12" t="n">
        <x:f>F316/D316</x:f>
        <x:v>0.6466972104622165</x:v>
      </x:c>
      <x:c r="M316" s="12" t="n">
        <x:f>G316/D316</x:f>
        <x:v>0.13301049701328074</x:v>
      </x:c>
      <x:c r="N316" s="12" t="n">
        <x:f>J316/I316</x:f>
        <x:v>0.23507717188684693</x:v>
      </x:c>
      <x:c r="O316" s="11" t="n">
        <x:f>SUMIFS($O$6:$O$304,$B$6:$B$304,B316)</x:f>
        <x:v>0</x:v>
      </x:c>
      <x:c r="P316" s="11" t="n">
        <x:f>SUMIFS($P$6:$P$304,$B$6:$B$304,B316)</x:f>
        <x:v>16810</x:v>
      </x:c>
      <x:c r="Q316" s="11" t="n">
        <x:f>SUMIFS($Q$6:$Q$304,$B$6:$B$304,B316)</x:f>
        <x:v>1568</x:v>
      </x:c>
      <x:c r="R316" s="11" t="n">
        <x:f>SUMIFS($R$6:$R$304,$B$6:$B$304,B316)</x:f>
        <x:v>0</x:v>
      </x:c>
      <x:c r="S316" s="11" t="n">
        <x:f>SUMIFS($S$6:$S$304,$B$6:$B$304,B316)</x:f>
        <x:v>44604</x:v>
      </x:c>
      <x:c r="T316" s="11" t="n">
        <x:f>SUMIFS($T$6:$T$304,$B$6:$B$304,B316)</x:f>
        <x:v>1079</x:v>
      </x:c>
      <x:c r="U316" s="11" t="n">
        <x:f>SUMIFS($U$6:$U$304,$B$6:$B$304,B316)</x:f>
        <x:v>1594</x:v>
      </x:c>
      <x:c r="V316" s="11" t="n">
        <x:f>SUMIFS($V$6:$V$304,$B$6:$B$304,B316)</x:f>
        <x:v>1174</x:v>
      </x:c>
      <x:c r="W316" s="11" t="n">
        <x:f>SUMIFS($W$6:$W$304,$B$6:$B$304,B316)</x:f>
        <x:v>2143</x:v>
      </x:c>
      <x:c r="X316" s="11" t="n">
        <x:f>SUMIFS($X$6:$X$304,$B$6:$B$304,B316)</x:f>
        <x:v>0</x:v>
      </x:c>
      <x:c r="Y316" s="11" t="n">
        <x:f>SUMIFS($Y$6:$Y$304,$B$6:$B$304,B316)</x:f>
        <x:v>0</x:v>
      </x:c>
      <x:c r="Z316" s="11" t="n">
        <x:f>SUMIFS($Z$6:$Z$304,$B$6:$B$304,B316)</x:f>
        <x:v>33946228</x:v>
      </x:c>
      <x:c r="AA316" s="11" t="n">
        <x:f>SUMIFS($AA$6:$AA$304,$B$6:$B$304,B316)</x:f>
        <x:v>2277559</x:v>
      </x:c>
      <x:c r="AB316" s="11" t="n">
        <x:f>SUMIFS($AB$6:$AB$304,$B$6:$B$304,B316)</x:f>
        <x:v>0</x:v>
      </x:c>
      <x:c r="AC316" s="11" t="n">
        <x:f>SUMIFS($AC$6:$AC$304,$B$6:$B$304,B316)</x:f>
        <x:v>192692299</x:v>
      </x:c>
      <x:c r="AD316" s="11" t="n">
        <x:f>SUMIFS($AD$6:$AD$304,$B$6:$B$304,B316)</x:f>
        <x:v>6857848</x:v>
      </x:c>
      <x:c r="AE316" s="11" t="n">
        <x:f>SUMIFS($AE$6:$AE$304,$B$6:$B$304,B316)</x:f>
        <x:v>6840165</x:v>
      </x:c>
      <x:c r="AF316" s="11" t="n">
        <x:f>SUMIFS($AF$6:$AF$304,$B$6:$B$304,B316)</x:f>
        <x:v>35832950</x:v>
      </x:c>
      <x:c r="AG316" s="11" t="n">
        <x:f>SUMIFS($AG$6:$AG$304,$B$6:$B$304,B316)</x:f>
        <x:v>20482405</x:v>
      </x:c>
      <x:c r="AH316" s="11" t="n">
        <x:f>SUMIFS($AH$6:$AH$304,$B$6:$B$304,B316)</x:f>
        <x:v>0</x:v>
      </x:c>
    </x:row>
    <x:row r="317" ht="23" customHeight="1">
      <x:c r="A317" s="10" t="str">
        <x:v>ALL</x:v>
      </x:c>
      <x:c r="B317" s="10" t="str">
        <x:v>NG_H0</x:v>
      </x:c>
      <x:c r="C317" s="9" t="str">
        <x:v>主对照</x:v>
      </x:c>
      <x:c r="D317" s="11" t="n">
        <x:f>SUMIFS($D$6:$D$304,$B$6:$B$304,B317)</x:f>
        <x:v>68972</x:v>
      </x:c>
      <x:c r="E317" s="11" t="n">
        <x:f>SUMIFS($E$6:$E$304,$B$6:$B$304,B317)</x:f>
        <x:v>41612</x:v>
      </x:c>
      <x:c r="F317" s="11" t="n">
        <x:f>SUMIFS($F$6:$F$304,$B$6:$B$304,B317)</x:f>
        <x:v>51780</x:v>
      </x:c>
      <x:c r="G317" s="11" t="n">
        <x:f>SUMIFS($G$6:$G$304,$B$6:$B$304,B317)</x:f>
        <x:v>0</x:v>
      </x:c>
      <x:c r="H317" s="11" t="n">
        <x:f>SUMIFS($H$6:$H$304,$B$6:$B$304,B317)</x:f>
        <x:v>41612</x:v>
      </x:c>
      <x:c r="I317" s="11" t="n">
        <x:f>SUMIFS($I$6:$I$304,$B$6:$B$304,B317)</x:f>
        <x:v>298929454</x:v>
      </x:c>
      <x:c r="J317" s="11" t="n">
        <x:f>SUMIFS($J$6:$J$304,$B$6:$B$304,B317)</x:f>
        <x:v>69515536.66213368</x:v>
      </x:c>
      <x:c r="K317" s="12" t="n">
        <x:f>E317/D317</x:f>
        <x:v>0.6033172881749116</x:v>
      </x:c>
      <x:c r="L317" s="12" t="n">
        <x:f>F317/D317</x:f>
        <x:v>0.7507394304935336</x:v>
      </x:c>
      <x:c r="M317" s="12" t="n">
        <x:f>G317/D317</x:f>
        <x:v>0</x:v>
      </x:c>
      <x:c r="N317" s="12" t="n">
        <x:f>J317/I317</x:f>
        <x:v>0.23254830105210603</x:v>
      </x:c>
      <x:c r="O317" s="11" t="n">
        <x:f>SUMIFS($O$6:$O$304,$B$6:$B$304,B317)</x:f>
        <x:v>342</x:v>
      </x:c>
      <x:c r="P317" s="11" t="n">
        <x:f>SUMIFS($P$6:$P$304,$B$6:$B$304,B317)</x:f>
        <x:v>23824</x:v>
      </x:c>
      <x:c r="Q317" s="11" t="n">
        <x:f>SUMIFS($Q$6:$Q$304,$B$6:$B$304,B317)</x:f>
        <x:v>27026</x:v>
      </x:c>
      <x:c r="R317" s="11" t="n">
        <x:f>SUMIFS($R$6:$R$304,$B$6:$B$304,B317)</x:f>
        <x:v>8004</x:v>
      </x:c>
      <x:c r="S317" s="11" t="n">
        <x:f>SUMIFS($S$6:$S$304,$B$6:$B$304,B317)</x:f>
        <x:v>2292</x:v>
      </x:c>
      <x:c r="T317" s="11" t="n">
        <x:f>SUMIFS($T$6:$T$304,$B$6:$B$304,B317)</x:f>
        <x:v>946</x:v>
      </x:c>
      <x:c r="U317" s="11" t="n">
        <x:f>SUMIFS($U$6:$U$304,$B$6:$B$304,B317)</x:f>
        <x:v>1212</x:v>
      </x:c>
      <x:c r="V317" s="11" t="n">
        <x:f>SUMIFS($V$6:$V$304,$B$6:$B$304,B317)</x:f>
        <x:v>2353</x:v>
      </x:c>
      <x:c r="W317" s="11" t="n">
        <x:f>SUMIFS($W$6:$W$304,$B$6:$B$304,B317)</x:f>
        <x:v>2964</x:v>
      </x:c>
      <x:c r="X317" s="11" t="n">
        <x:f>SUMIFS($X$6:$X$304,$B$6:$B$304,B317)</x:f>
        <x:v>9</x:v>
      </x:c>
      <x:c r="Y317" s="11" t="n">
        <x:f>SUMIFS($Y$6:$Y$304,$B$6:$B$304,B317)</x:f>
        <x:v>661662</x:v>
      </x:c>
      <x:c r="Z317" s="11" t="n">
        <x:f>SUMIFS($Z$6:$Z$304,$B$6:$B$304,B317)</x:f>
        <x:v>41159335</x:v>
      </x:c>
      <x:c r="AA317" s="11" t="n">
        <x:f>SUMIFS($AA$6:$AA$304,$B$6:$B$304,B317)</x:f>
        <x:v>69033194</x:v>
      </x:c>
      <x:c r="AB317" s="11" t="n">
        <x:f>SUMIFS($AB$6:$AB$304,$B$6:$B$304,B317)</x:f>
        <x:v>44323005</x:v>
      </x:c>
      <x:c r="AC317" s="11" t="n">
        <x:f>SUMIFS($AC$6:$AC$304,$B$6:$B$304,B317)</x:f>
        <x:v>36637316</x:v>
      </x:c>
      <x:c r="AD317" s="11" t="n">
        <x:f>SUMIFS($AD$6:$AD$304,$B$6:$B$304,B317)</x:f>
        <x:v>35440693</x:v>
      </x:c>
      <x:c r="AE317" s="11" t="n">
        <x:f>SUMIFS($AE$6:$AE$304,$B$6:$B$304,B317)</x:f>
        <x:v>7196966</x:v>
      </x:c>
      <x:c r="AF317" s="11" t="n">
        <x:f>SUMIFS($AF$6:$AF$304,$B$6:$B$304,B317)</x:f>
        <x:v>37103424</x:v>
      </x:c>
      <x:c r="AG317" s="11" t="n">
        <x:f>SUMIFS($AG$6:$AG$304,$B$6:$B$304,B317)</x:f>
        <x:v>27335483</x:v>
      </x:c>
      <x:c r="AH317" s="11" t="n">
        <x:f>SUMIFS($AH$6:$AH$304,$B$6:$B$304,B317)</x:f>
        <x:v>38376</x:v>
      </x:c>
    </x:row>
    <x:row r="318" ht="23" customHeight="1">
      <x:c r="A318" s="10" t="str">
        <x:v>ALL</x:v>
      </x:c>
      <x:c r="B318" s="10" t="str">
        <x:v>NG_HT</x:v>
      </x:c>
      <x:c r="C318" s="9" t="str">
        <x:v>仅拓扑与尺度</x:v>
      </x:c>
      <x:c r="D318" s="11" t="n">
        <x:f>SUMIFS($D$6:$D$304,$B$6:$B$304,B318)</x:f>
        <x:v>68972</x:v>
      </x:c>
      <x:c r="E318" s="11" t="n">
        <x:f>SUMIFS($E$6:$E$304,$B$6:$B$304,B318)</x:f>
        <x:v>41612</x:v>
      </x:c>
      <x:c r="F318" s="11" t="n">
        <x:f>SUMIFS($F$6:$F$304,$B$6:$B$304,B318)</x:f>
        <x:v>51780</x:v>
      </x:c>
      <x:c r="G318" s="11" t="n">
        <x:f>SUMIFS($G$6:$G$304,$B$6:$B$304,B318)</x:f>
        <x:v>0</x:v>
      </x:c>
      <x:c r="H318" s="11" t="n">
        <x:f>SUMIFS($H$6:$H$304,$B$6:$B$304,B318)</x:f>
        <x:v>41612</x:v>
      </x:c>
      <x:c r="I318" s="11" t="n">
        <x:f>SUMIFS($I$6:$I$304,$B$6:$B$304,B318)</x:f>
        <x:v>298929454</x:v>
      </x:c>
      <x:c r="J318" s="11" t="n">
        <x:f>SUMIFS($J$6:$J$304,$B$6:$B$304,B318)</x:f>
        <x:v>70480053.02213392</x:v>
      </x:c>
      <x:c r="K318" s="12" t="n">
        <x:f>E318/D318</x:f>
        <x:v>0.6033172881749116</x:v>
      </x:c>
      <x:c r="L318" s="12" t="n">
        <x:f>F318/D318</x:f>
        <x:v>0.7507394304935336</x:v>
      </x:c>
      <x:c r="M318" s="12" t="n">
        <x:f>G318/D318</x:f>
        <x:v>0</x:v>
      </x:c>
      <x:c r="N318" s="12" t="n">
        <x:f>J318/I318</x:f>
        <x:v>0.2357748695521115</x:v>
      </x:c>
      <x:c r="O318" s="11" t="n">
        <x:f>SUMIFS($O$6:$O$304,$B$6:$B$304,B318)</x:f>
        <x:v>342</x:v>
      </x:c>
      <x:c r="P318" s="11" t="n">
        <x:f>SUMIFS($P$6:$P$304,$B$6:$B$304,B318)</x:f>
        <x:v>16321</x:v>
      </x:c>
      <x:c r="Q318" s="11" t="n">
        <x:f>SUMIFS($Q$6:$Q$304,$B$6:$B$304,B318)</x:f>
        <x:v>31460</x:v>
      </x:c>
      <x:c r="R318" s="11" t="n">
        <x:f>SUMIFS($R$6:$R$304,$B$6:$B$304,B318)</x:f>
        <x:v>10649</x:v>
      </x:c>
      <x:c r="S318" s="11" t="n">
        <x:f>SUMIFS($S$6:$S$304,$B$6:$B$304,B318)</x:f>
        <x:v>2674</x:v>
      </x:c>
      <x:c r="T318" s="11" t="n">
        <x:f>SUMIFS($T$6:$T$304,$B$6:$B$304,B318)</x:f>
        <x:v>988</x:v>
      </x:c>
      <x:c r="U318" s="11" t="n">
        <x:f>SUMIFS($U$6:$U$304,$B$6:$B$304,B318)</x:f>
        <x:v>1212</x:v>
      </x:c>
      <x:c r="V318" s="11" t="n">
        <x:f>SUMIFS($V$6:$V$304,$B$6:$B$304,B318)</x:f>
        <x:v>2353</x:v>
      </x:c>
      <x:c r="W318" s="11" t="n">
        <x:f>SUMIFS($W$6:$W$304,$B$6:$B$304,B318)</x:f>
        <x:v>2964</x:v>
      </x:c>
      <x:c r="X318" s="11" t="n">
        <x:f>SUMIFS($X$6:$X$304,$B$6:$B$304,B318)</x:f>
        <x:v>9</x:v>
      </x:c>
      <x:c r="Y318" s="11" t="n">
        <x:f>SUMIFS($Y$6:$Y$304,$B$6:$B$304,B318)</x:f>
        <x:v>661662</x:v>
      </x:c>
      <x:c r="Z318" s="11" t="n">
        <x:f>SUMIFS($Z$6:$Z$304,$B$6:$B$304,B318)</x:f>
        <x:v>23222318</x:v>
      </x:c>
      <x:c r="AA318" s="11" t="n">
        <x:f>SUMIFS($AA$6:$AA$304,$B$6:$B$304,B318)</x:f>
        <x:v>78003783</x:v>
      </x:c>
      <x:c r="AB318" s="11" t="n">
        <x:f>SUMIFS($AB$6:$AB$304,$B$6:$B$304,B318)</x:f>
        <x:v>51489250</x:v>
      </x:c>
      <x:c r="AC318" s="11" t="n">
        <x:f>SUMIFS($AC$6:$AC$304,$B$6:$B$304,B318)</x:f>
        <x:v>34959801</x:v>
      </x:c>
      <x:c r="AD318" s="11" t="n">
        <x:f>SUMIFS($AD$6:$AD$304,$B$6:$B$304,B318)</x:f>
        <x:v>38918391</x:v>
      </x:c>
      <x:c r="AE318" s="11" t="n">
        <x:f>SUMIFS($AE$6:$AE$304,$B$6:$B$304,B318)</x:f>
        <x:v>7196966</x:v>
      </x:c>
      <x:c r="AF318" s="11" t="n">
        <x:f>SUMIFS($AF$6:$AF$304,$B$6:$B$304,B318)</x:f>
        <x:v>37103424</x:v>
      </x:c>
      <x:c r="AG318" s="11" t="n">
        <x:f>SUMIFS($AG$6:$AG$304,$B$6:$B$304,B318)</x:f>
        <x:v>27335483</x:v>
      </x:c>
      <x:c r="AH318" s="11" t="n">
        <x:f>SUMIFS($AH$6:$AH$304,$B$6:$B$304,B318)</x:f>
        <x:v>38376</x:v>
      </x:c>
    </x:row>
    <x:row r="319" ht="23" customHeight="1">
      <x:c r="A319" s="10" t="str">
        <x:v>ALL</x:v>
      </x:c>
      <x:c r="B319" s="10" t="str">
        <x:v>NG_H1</x:v>
      </x:c>
      <x:c r="C319" s="9" t="str">
        <x:v>主对照</x:v>
      </x:c>
      <x:c r="D319" s="11" t="n">
        <x:f>SUMIFS($D$6:$D$304,$B$6:$B$304,B319)</x:f>
        <x:v>68972</x:v>
      </x:c>
      <x:c r="E319" s="11" t="n">
        <x:f>SUMIFS($E$6:$E$304,$B$6:$B$304,B319)</x:f>
        <x:v>41612</x:v>
      </x:c>
      <x:c r="F319" s="11" t="n">
        <x:f>SUMIFS($F$6:$F$304,$B$6:$B$304,B319)</x:f>
        <x:v>51780</x:v>
      </x:c>
      <x:c r="G319" s="11" t="n">
        <x:f>SUMIFS($G$6:$G$304,$B$6:$B$304,B319)</x:f>
        <x:v>0</x:v>
      </x:c>
      <x:c r="H319" s="11" t="n">
        <x:f>SUMIFS($H$6:$H$304,$B$6:$B$304,B319)</x:f>
        <x:v>46078</x:v>
      </x:c>
      <x:c r="I319" s="11" t="n">
        <x:f>SUMIFS($I$6:$I$304,$B$6:$B$304,B319)</x:f>
        <x:v>298929454</x:v>
      </x:c>
      <x:c r="J319" s="11" t="n">
        <x:f>SUMIFS($J$6:$J$304,$B$6:$B$304,B319)</x:f>
        <x:v>70667671.06213392</x:v>
      </x:c>
      <x:c r="K319" s="12" t="n">
        <x:f>E319/D319</x:f>
        <x:v>0.6033172881749116</x:v>
      </x:c>
      <x:c r="L319" s="12" t="n">
        <x:f>F319/D319</x:f>
        <x:v>0.7507394304935336</x:v>
      </x:c>
      <x:c r="M319" s="12" t="n">
        <x:f>G319/D319</x:f>
        <x:v>0</x:v>
      </x:c>
      <x:c r="N319" s="12" t="n">
        <x:f>J319/I319</x:f>
        <x:v>0.2364025027193671</x:v>
      </x:c>
      <x:c r="O319" s="11" t="n">
        <x:f>SUMIFS($O$6:$O$304,$B$6:$B$304,B319)</x:f>
        <x:v>342</x:v>
      </x:c>
      <x:c r="P319" s="11" t="n">
        <x:f>SUMIFS($P$6:$P$304,$B$6:$B$304,B319)</x:f>
        <x:v>16039</x:v>
      </x:c>
      <x:c r="Q319" s="11" t="n">
        <x:f>SUMIFS($Q$6:$Q$304,$B$6:$B$304,B319)</x:f>
        <x:v>30833</x:v>
      </x:c>
      <x:c r="R319" s="11" t="n">
        <x:f>SUMIFS($R$6:$R$304,$B$6:$B$304,B319)</x:f>
        <x:v>10602</x:v>
      </x:c>
      <x:c r="S319" s="11" t="n">
        <x:f>SUMIFS($S$6:$S$304,$B$6:$B$304,B319)</x:f>
        <x:v>2669</x:v>
      </x:c>
      <x:c r="T319" s="11" t="n">
        <x:f>SUMIFS($T$6:$T$304,$B$6:$B$304,B319)</x:f>
        <x:v>1593</x:v>
      </x:c>
      <x:c r="U319" s="11" t="n">
        <x:f>SUMIFS($U$6:$U$304,$B$6:$B$304,B319)</x:f>
        <x:v>1568</x:v>
      </x:c>
      <x:c r="V319" s="11" t="n">
        <x:f>SUMIFS($V$6:$V$304,$B$6:$B$304,B319)</x:f>
        <x:v>2353</x:v>
      </x:c>
      <x:c r="W319" s="11" t="n">
        <x:f>SUMIFS($W$6:$W$304,$B$6:$B$304,B319)</x:f>
        <x:v>2964</x:v>
      </x:c>
      <x:c r="X319" s="11" t="n">
        <x:f>SUMIFS($X$6:$X$304,$B$6:$B$304,B319)</x:f>
        <x:v>9</x:v>
      </x:c>
      <x:c r="Y319" s="11" t="n">
        <x:f>SUMIFS($Y$6:$Y$304,$B$6:$B$304,B319)</x:f>
        <x:v>661662</x:v>
      </x:c>
      <x:c r="Z319" s="11" t="n">
        <x:f>SUMIFS($Z$6:$Z$304,$B$6:$B$304,B319)</x:f>
        <x:v>23103238</x:v>
      </x:c>
      <x:c r="AA319" s="11" t="n">
        <x:f>SUMIFS($AA$6:$AA$304,$B$6:$B$304,B319)</x:f>
        <x:v>77139653</x:v>
      </x:c>
      <x:c r="AB319" s="11" t="n">
        <x:f>SUMIFS($AB$6:$AB$304,$B$6:$B$304,B319)</x:f>
        <x:v>51185182</x:v>
      </x:c>
      <x:c r="AC319" s="11" t="n">
        <x:f>SUMIFS($AC$6:$AC$304,$B$6:$B$304,B319)</x:f>
        <x:v>34824507</x:v>
      </x:c>
      <x:c r="AD319" s="11" t="n">
        <x:f>SUMIFS($AD$6:$AD$304,$B$6:$B$304,B319)</x:f>
        <x:v>40046751</x:v>
      </x:c>
      <x:c r="AE319" s="11" t="n">
        <x:f>SUMIFS($AE$6:$AE$304,$B$6:$B$304,B319)</x:f>
        <x:v>7491178</x:v>
      </x:c>
      <x:c r="AF319" s="11" t="n">
        <x:f>SUMIFS($AF$6:$AF$304,$B$6:$B$304,B319)</x:f>
        <x:v>37103424</x:v>
      </x:c>
      <x:c r="AG319" s="11" t="n">
        <x:f>SUMIFS($AG$6:$AG$304,$B$6:$B$304,B319)</x:f>
        <x:v>27335483</x:v>
      </x:c>
      <x:c r="AH319" s="11" t="n">
        <x:f>SUMIFS($AH$6:$AH$304,$B$6:$B$304,B319)</x:f>
        <x:v>38376</x:v>
      </x:c>
    </x:row>
    <x:row r="320" ht="23" customHeight="1">
      <x:c r="A320" s="10" t="str">
        <x:v>ALL</x:v>
      </x:c>
      <x:c r="B320" s="10" t="str">
        <x:v>CG_H0</x:v>
      </x:c>
      <x:c r="C320" s="9" t="str">
        <x:v>主对照</x:v>
      </x:c>
      <x:c r="D320" s="11" t="n">
        <x:f>SUMIFS($D$6:$D$304,$B$6:$B$304,B320)</x:f>
        <x:v>68972</x:v>
      </x:c>
      <x:c r="E320" s="11" t="n">
        <x:f>SUMIFS($E$6:$E$304,$B$6:$B$304,B320)</x:f>
        <x:v>50867</x:v>
      </x:c>
      <x:c r="F320" s="11" t="n">
        <x:f>SUMIFS($F$6:$F$304,$B$6:$B$304,B320)</x:f>
        <x:v>50892</x:v>
      </x:c>
      <x:c r="G320" s="11" t="n">
        <x:f>SUMIFS($G$6:$G$304,$B$6:$B$304,B320)</x:f>
        <x:v>0</x:v>
      </x:c>
      <x:c r="H320" s="11" t="n">
        <x:f>SUMIFS($H$6:$H$304,$B$6:$B$304,B320)</x:f>
        <x:v>42857</x:v>
      </x:c>
      <x:c r="I320" s="11" t="n">
        <x:f>SUMIFS($I$6:$I$304,$B$6:$B$304,B320)</x:f>
        <x:v>298929454</x:v>
      </x:c>
      <x:c r="J320" s="11" t="n">
        <x:f>SUMIFS($J$6:$J$304,$B$6:$B$304,B320)</x:f>
        <x:v>54347324.98213355</x:v>
      </x:c>
      <x:c r="K320" s="12" t="n">
        <x:f>E320/D320</x:f>
        <x:v>0.7375021747955692</x:v>
      </x:c>
      <x:c r="L320" s="12" t="n">
        <x:f>F320/D320</x:f>
        <x:v>0.737864640723772</x:v>
      </x:c>
      <x:c r="M320" s="12" t="n">
        <x:f>G320/D320</x:f>
        <x:v>0</x:v>
      </x:c>
      <x:c r="N320" s="12" t="n">
        <x:f>J320/I320</x:f>
        <x:v>0.18180652409760048</x:v>
      </x:c>
      <x:c r="O320" s="11" t="n">
        <x:f>SUMIFS($O$6:$O$304,$B$6:$B$304,B320)</x:f>
        <x:v>891</x:v>
      </x:c>
      <x:c r="P320" s="11" t="n">
        <x:f>SUMIFS($P$6:$P$304,$B$6:$B$304,B320)</x:f>
        <x:v>33269</x:v>
      </x:c>
      <x:c r="Q320" s="11" t="n">
        <x:f>SUMIFS($Q$6:$Q$304,$B$6:$B$304,B320)</x:f>
        <x:v>24269</x:v>
      </x:c>
      <x:c r="R320" s="11" t="n">
        <x:f>SUMIFS($R$6:$R$304,$B$6:$B$304,B320)</x:f>
        <x:v>7744</x:v>
      </x:c>
      <x:c r="S320" s="11" t="n">
        <x:f>SUMIFS($S$6:$S$304,$B$6:$B$304,B320)</x:f>
        <x:v>2356</x:v>
      </x:c>
      <x:c r="T320" s="11" t="n">
        <x:f>SUMIFS($T$6:$T$304,$B$6:$B$304,B320)</x:f>
        <x:v>395</x:v>
      </x:c>
      <x:c r="U320" s="11" t="n">
        <x:f>SUMIFS($U$6:$U$304,$B$6:$B$304,B320)</x:f>
        <x:v>33</x:v>
      </x:c>
      <x:c r="V320" s="11" t="n">
        <x:f>SUMIFS($V$6:$V$304,$B$6:$B$304,B320)</x:f>
        <x:v>0</x:v>
      </x:c>
      <x:c r="W320" s="11" t="n">
        <x:f>SUMIFS($W$6:$W$304,$B$6:$B$304,B320)</x:f>
        <x:v>15</x:v>
      </x:c>
      <x:c r="X320" s="11" t="n">
        <x:f>SUMIFS($X$6:$X$304,$B$6:$B$304,B320)</x:f>
        <x:v>0</x:v>
      </x:c>
      <x:c r="Y320" s="11" t="n">
        <x:f>SUMIFS($Y$6:$Y$304,$B$6:$B$304,B320)</x:f>
        <x:v>1138654</x:v>
      </x:c>
      <x:c r="Z320" s="11" t="n">
        <x:f>SUMIFS($Z$6:$Z$304,$B$6:$B$304,B320)</x:f>
        <x:v>58150756</x:v>
      </x:c>
      <x:c r="AA320" s="11" t="n">
        <x:f>SUMIFS($AA$6:$AA$304,$B$6:$B$304,B320)</x:f>
        <x:v>92308771</x:v>
      </x:c>
      <x:c r="AB320" s="11" t="n">
        <x:f>SUMIFS($AB$6:$AB$304,$B$6:$B$304,B320)</x:f>
        <x:v>54449427</x:v>
      </x:c>
      <x:c r="AC320" s="11" t="n">
        <x:f>SUMIFS($AC$6:$AC$304,$B$6:$B$304,B320)</x:f>
        <x:v>62267329</x:v>
      </x:c>
      <x:c r="AD320" s="11" t="n">
        <x:f>SUMIFS($AD$6:$AD$304,$B$6:$B$304,B320)</x:f>
        <x:v>30083101</x:v>
      </x:c>
      <x:c r="AE320" s="11" t="n">
        <x:f>SUMIFS($AE$6:$AE$304,$B$6:$B$304,B320)</x:f>
        <x:v>501376</x:v>
      </x:c>
      <x:c r="AF320" s="11" t="n">
        <x:f>SUMIFS($AF$6:$AF$304,$B$6:$B$304,B320)</x:f>
        <x:v>0</x:v>
      </x:c>
      <x:c r="AG320" s="11" t="n">
        <x:f>SUMIFS($AG$6:$AG$304,$B$6:$B$304,B320)</x:f>
        <x:v>30040</x:v>
      </x:c>
      <x:c r="AH320" s="11" t="n">
        <x:f>SUMIFS($AH$6:$AH$304,$B$6:$B$304,B320)</x:f>
        <x:v>0</x:v>
      </x:c>
    </x:row>
    <x:row r="321" ht="23" customHeight="1">
      <x:c r="A321" s="10" t="str">
        <x:v>ALL</x:v>
      </x:c>
      <x:c r="B321" s="10" t="str">
        <x:v>CG_HT</x:v>
      </x:c>
      <x:c r="C321" s="9" t="str">
        <x:v>仅拓扑与尺度</x:v>
      </x:c>
      <x:c r="D321" s="11" t="n">
        <x:f>SUMIFS($D$6:$D$304,$B$6:$B$304,B321)</x:f>
        <x:v>68972</x:v>
      </x:c>
      <x:c r="E321" s="11" t="n">
        <x:f>SUMIFS($E$6:$E$304,$B$6:$B$304,B321)</x:f>
        <x:v>50950</x:v>
      </x:c>
      <x:c r="F321" s="11" t="n">
        <x:f>SUMIFS($F$6:$F$304,$B$6:$B$304,B321)</x:f>
        <x:v>50975</x:v>
      </x:c>
      <x:c r="G321" s="11" t="n">
        <x:f>SUMIFS($G$6:$G$304,$B$6:$B$304,B321)</x:f>
        <x:v>0</x:v>
      </x:c>
      <x:c r="H321" s="11" t="n">
        <x:f>SUMIFS($H$6:$H$304,$B$6:$B$304,B321)</x:f>
        <x:v>42940</x:v>
      </x:c>
      <x:c r="I321" s="11" t="n">
        <x:f>SUMIFS($I$6:$I$304,$B$6:$B$304,B321)</x:f>
        <x:v>298929454</x:v>
      </x:c>
      <x:c r="J321" s="11" t="n">
        <x:f>SUMIFS($J$6:$J$304,$B$6:$B$304,B321)</x:f>
        <x:v>55628189.122133344</x:v>
      </x:c>
      <x:c r="K321" s="12" t="n">
        <x:f>E321/D321</x:f>
        <x:v>0.7387055616772024</x:v>
      </x:c>
      <x:c r="L321" s="12" t="n">
        <x:f>F321/D321</x:f>
        <x:v>0.7390680276054051</x:v>
      </x:c>
      <x:c r="M321" s="12" t="n">
        <x:f>G321/D321</x:f>
        <x:v>0</x:v>
      </x:c>
      <x:c r="N321" s="12" t="n">
        <x:f>J321/I321</x:f>
        <x:v>0.1860913616164881</x:v>
      </x:c>
      <x:c r="O321" s="11" t="n">
        <x:f>SUMIFS($O$6:$O$304,$B$6:$B$304,B321)</x:f>
        <x:v>891</x:v>
      </x:c>
      <x:c r="P321" s="11" t="n">
        <x:f>SUMIFS($P$6:$P$304,$B$6:$B$304,B321)</x:f>
        <x:v>22670</x:v>
      </x:c>
      <x:c r="Q321" s="11" t="n">
        <x:f>SUMIFS($Q$6:$Q$304,$B$6:$B$304,B321)</x:f>
        <x:v>32626</x:v>
      </x:c>
      <x:c r="R321" s="11" t="n">
        <x:f>SUMIFS($R$6:$R$304,$B$6:$B$304,B321)</x:f>
        <x:v>9533</x:v>
      </x:c>
      <x:c r="S321" s="11" t="n">
        <x:f>SUMIFS($S$6:$S$304,$B$6:$B$304,B321)</x:f>
        <x:v>2748</x:v>
      </x:c>
      <x:c r="T321" s="11" t="n">
        <x:f>SUMIFS($T$6:$T$304,$B$6:$B$304,B321)</x:f>
        <x:v>449</x:v>
      </x:c>
      <x:c r="U321" s="11" t="n">
        <x:f>SUMIFS($U$6:$U$304,$B$6:$B$304,B321)</x:f>
        <x:v>40</x:v>
      </x:c>
      <x:c r="V321" s="11" t="n">
        <x:f>SUMIFS($V$6:$V$304,$B$6:$B$304,B321)</x:f>
        <x:v>0</x:v>
      </x:c>
      <x:c r="W321" s="11" t="n">
        <x:f>SUMIFS($W$6:$W$304,$B$6:$B$304,B321)</x:f>
        <x:v>15</x:v>
      </x:c>
      <x:c r="X321" s="11" t="n">
        <x:f>SUMIFS($X$6:$X$304,$B$6:$B$304,B321)</x:f>
        <x:v>0</x:v>
      </x:c>
      <x:c r="Y321" s="11" t="n">
        <x:f>SUMIFS($Y$6:$Y$304,$B$6:$B$304,B321)</x:f>
        <x:v>1138654</x:v>
      </x:c>
      <x:c r="Z321" s="11" t="n">
        <x:f>SUMIFS($Z$6:$Z$304,$B$6:$B$304,B321)</x:f>
        <x:v>32087628</x:v>
      </x:c>
      <x:c r="AA321" s="11" t="n">
        <x:f>SUMIFS($AA$6:$AA$304,$B$6:$B$304,B321)</x:f>
        <x:v>108997677</x:v>
      </x:c>
      <x:c r="AB321" s="11" t="n">
        <x:f>SUMIFS($AB$6:$AB$304,$B$6:$B$304,B321)</x:f>
        <x:v>60499360</x:v>
      </x:c>
      <x:c r="AC321" s="11" t="n">
        <x:f>SUMIFS($AC$6:$AC$304,$B$6:$B$304,B321)</x:f>
        <x:v>61026430</x:v>
      </x:c>
      <x:c r="AD321" s="11" t="n">
        <x:f>SUMIFS($AD$6:$AD$304,$B$6:$B$304,B321)</x:f>
        <x:v>34584093</x:v>
      </x:c>
      <x:c r="AE321" s="11" t="n">
        <x:f>SUMIFS($AE$6:$AE$304,$B$6:$B$304,B321)</x:f>
        <x:v>565572</x:v>
      </x:c>
      <x:c r="AF321" s="11" t="n">
        <x:f>SUMIFS($AF$6:$AF$304,$B$6:$B$304,B321)</x:f>
        <x:v>0</x:v>
      </x:c>
      <x:c r="AG321" s="11" t="n">
        <x:f>SUMIFS($AG$6:$AG$304,$B$6:$B$304,B321)</x:f>
        <x:v>30040</x:v>
      </x:c>
      <x:c r="AH321" s="11" t="n">
        <x:f>SUMIFS($AH$6:$AH$304,$B$6:$B$304,B321)</x:f>
        <x:v>0</x:v>
      </x:c>
    </x:row>
    <x:row r="322" ht="23" customHeight="1">
      <x:c r="A322" s="10" t="str">
        <x:v>ALL</x:v>
      </x:c>
      <x:c r="B322" s="10" t="str">
        <x:v>CG_H1</x:v>
      </x:c>
      <x:c r="C322" s="9" t="str">
        <x:v>主对照</x:v>
      </x:c>
      <x:c r="D322" s="11" t="n">
        <x:f>SUMIFS($D$6:$D$304,$B$6:$B$304,B322)</x:f>
        <x:v>68972</x:v>
      </x:c>
      <x:c r="E322" s="11" t="n">
        <x:f>SUMIFS($E$6:$E$304,$B$6:$B$304,B322)</x:f>
        <x:v>50950</x:v>
      </x:c>
      <x:c r="F322" s="11" t="n">
        <x:f>SUMIFS($F$6:$F$304,$B$6:$B$304,B322)</x:f>
        <x:v>50975</x:v>
      </x:c>
      <x:c r="G322" s="11" t="n">
        <x:f>SUMIFS($G$6:$G$304,$B$6:$B$304,B322)</x:f>
        <x:v>0</x:v>
      </x:c>
      <x:c r="H322" s="11" t="n">
        <x:f>SUMIFS($H$6:$H$304,$B$6:$B$304,B322)</x:f>
        <x:v>43333</x:v>
      </x:c>
      <x:c r="I322" s="11" t="n">
        <x:f>SUMIFS($I$6:$I$304,$B$6:$B$304,B322)</x:f>
        <x:v>298929454</x:v>
      </x:c>
      <x:c r="J322" s="11" t="n">
        <x:f>SUMIFS($J$6:$J$304,$B$6:$B$304,B322)</x:f>
        <x:v>55674818.20213335</x:v>
      </x:c>
      <x:c r="K322" s="12" t="n">
        <x:f>E322/D322</x:f>
        <x:v>0.7387055616772024</x:v>
      </x:c>
      <x:c r="L322" s="12" t="n">
        <x:f>F322/D322</x:f>
        <x:v>0.7390680276054051</x:v>
      </x:c>
      <x:c r="M322" s="12" t="n">
        <x:f>G322/D322</x:f>
        <x:v>0</x:v>
      </x:c>
      <x:c r="N322" s="12" t="n">
        <x:f>J322/I322</x:f>
        <x:v>0.18624734852034136</x:v>
      </x:c>
      <x:c r="O322" s="11" t="n">
        <x:f>SUMIFS($O$6:$O$304,$B$6:$B$304,B322)</x:f>
        <x:v>891</x:v>
      </x:c>
      <x:c r="P322" s="11" t="n">
        <x:f>SUMIFS($P$6:$P$304,$B$6:$B$304,B322)</x:f>
        <x:v>22357</x:v>
      </x:c>
      <x:c r="Q322" s="11" t="n">
        <x:f>SUMIFS($Q$6:$Q$304,$B$6:$B$304,B322)</x:f>
        <x:v>32608</x:v>
      </x:c>
      <x:c r="R322" s="11" t="n">
        <x:f>SUMIFS($R$6:$R$304,$B$6:$B$304,B322)</x:f>
        <x:v>9482</x:v>
      </x:c>
      <x:c r="S322" s="11" t="n">
        <x:f>SUMIFS($S$6:$S$304,$B$6:$B$304,B322)</x:f>
        <x:v>2746</x:v>
      </x:c>
      <x:c r="T322" s="11" t="n">
        <x:f>SUMIFS($T$6:$T$304,$B$6:$B$304,B322)</x:f>
        <x:v>449</x:v>
      </x:c>
      <x:c r="U322" s="11" t="n">
        <x:f>SUMIFS($U$6:$U$304,$B$6:$B$304,B322)</x:f>
        <x:v>424</x:v>
      </x:c>
      <x:c r="V322" s="11" t="n">
        <x:f>SUMIFS($V$6:$V$304,$B$6:$B$304,B322)</x:f>
        <x:v>0</x:v>
      </x:c>
      <x:c r="W322" s="11" t="n">
        <x:f>SUMIFS($W$6:$W$304,$B$6:$B$304,B322)</x:f>
        <x:v>15</x:v>
      </x:c>
      <x:c r="X322" s="11" t="n">
        <x:f>SUMIFS($X$6:$X$304,$B$6:$B$304,B322)</x:f>
        <x:v>0</x:v>
      </x:c>
      <x:c r="Y322" s="11" t="n">
        <x:f>SUMIFS($Y$6:$Y$304,$B$6:$B$304,B322)</x:f>
        <x:v>1138654</x:v>
      </x:c>
      <x:c r="Z322" s="11" t="n">
        <x:f>SUMIFS($Z$6:$Z$304,$B$6:$B$304,B322)</x:f>
        <x:v>31982293</x:v>
      </x:c>
      <x:c r="AA322" s="11" t="n">
        <x:f>SUMIFS($AA$6:$AA$304,$B$6:$B$304,B322)</x:f>
        <x:v>108880545</x:v>
      </x:c>
      <x:c r="AB322" s="11" t="n">
        <x:f>SUMIFS($AB$6:$AB$304,$B$6:$B$304,B322)</x:f>
        <x:v>60469724</x:v>
      </x:c>
      <x:c r="AC322" s="11" t="n">
        <x:f>SUMIFS($AC$6:$AC$304,$B$6:$B$304,B322)</x:f>
        <x:v>61022314</x:v>
      </x:c>
      <x:c r="AD322" s="11" t="n">
        <x:f>SUMIFS($AD$6:$AD$304,$B$6:$B$304,B322)</x:f>
        <x:v>34584093</x:v>
      </x:c>
      <x:c r="AE322" s="11" t="n">
        <x:f>SUMIFS($AE$6:$AE$304,$B$6:$B$304,B322)</x:f>
        <x:v>821791</x:v>
      </x:c>
      <x:c r="AF322" s="11" t="n">
        <x:f>SUMIFS($AF$6:$AF$304,$B$6:$B$304,B322)</x:f>
        <x:v>0</x:v>
      </x:c>
      <x:c r="AG322" s="11" t="n">
        <x:f>SUMIFS($AG$6:$AG$304,$B$6:$B$304,B322)</x:f>
        <x:v>30040</x:v>
      </x:c>
      <x:c r="AH322" s="11" t="n">
        <x:f>SUMIFS($AH$6:$AH$304,$B$6:$B$304,B322)</x:f>
        <x:v>0</x:v>
      </x:c>
    </x:row>
    <x:row r="323" ht="23" customHeight="1">
      <x:c r="A323" s="10" t="str">
        <x:v>ALL</x:v>
      </x:c>
      <x:c r="B323" s="10" t="str">
        <x:v>NCG_H0</x:v>
      </x:c>
      <x:c r="C323" s="9" t="str">
        <x:v>主对照</x:v>
      </x:c>
      <x:c r="D323" s="11" t="n">
        <x:f>SUMIFS($D$6:$D$304,$B$6:$B$304,B323)</x:f>
        <x:v>68972</x:v>
      </x:c>
      <x:c r="E323" s="11" t="n">
        <x:f>SUMIFS($E$6:$E$304,$B$6:$B$304,B323)</x:f>
        <x:v>35400</x:v>
      </x:c>
      <x:c r="F323" s="11" t="n">
        <x:f>SUMIFS($F$6:$F$304,$B$6:$B$304,B323)</x:f>
        <x:v>44605</x:v>
      </x:c>
      <x:c r="G323" s="11" t="n">
        <x:f>SUMIFS($G$6:$G$304,$B$6:$B$304,B323)</x:f>
        <x:v>9174</x:v>
      </x:c>
      <x:c r="H323" s="11" t="n">
        <x:f>SUMIFS($H$6:$H$304,$B$6:$B$304,B323)</x:f>
        <x:v>33380</x:v>
      </x:c>
      <x:c r="I323" s="11" t="n">
        <x:f>SUMIFS($I$6:$I$304,$B$6:$B$304,B323)</x:f>
        <x:v>298929454</x:v>
      </x:c>
      <x:c r="J323" s="11" t="n">
        <x:f>SUMIFS($J$6:$J$304,$B$6:$B$304,B323)</x:f>
        <x:v>67564329.1621337</x:v>
      </x:c>
      <x:c r="K323" s="12" t="n">
        <x:f>E323/D323</x:f>
        <x:v>0.5132517543350925</x:v>
      </x:c>
      <x:c r="L323" s="12" t="n">
        <x:f>F323/D323</x:f>
        <x:v>0.6467117090993446</x:v>
      </x:c>
      <x:c r="M323" s="12" t="n">
        <x:f>G323/D323</x:f>
        <x:v>0.13301049701328074</x:v>
      </x:c>
      <x:c r="N323" s="12" t="n">
        <x:f>J323/I323</x:f>
        <x:v>0.22602098340611726</x:v>
      </x:c>
      <x:c r="O323" s="11" t="n">
        <x:f>SUMIFS($O$6:$O$304,$B$6:$B$304,B323)</x:f>
        <x:v>969</x:v>
      </x:c>
      <x:c r="P323" s="11" t="n">
        <x:f>SUMIFS($P$6:$P$304,$B$6:$B$304,B323)</x:f>
        <x:v>23913</x:v>
      </x:c>
      <x:c r="Q323" s="11" t="n">
        <x:f>SUMIFS($Q$6:$Q$304,$B$6:$B$304,B323)</x:f>
        <x:v>27637</x:v>
      </x:c>
      <x:c r="R323" s="11" t="n">
        <x:f>SUMIFS($R$6:$R$304,$B$6:$B$304,B323)</x:f>
        <x:v>8490</x:v>
      </x:c>
      <x:c r="S323" s="11" t="n">
        <x:f>SUMIFS($S$6:$S$304,$B$6:$B$304,B323)</x:f>
        <x:v>2520</x:v>
      </x:c>
      <x:c r="T323" s="11" t="n">
        <x:f>SUMIFS($T$6:$T$304,$B$6:$B$304,B323)</x:f>
        <x:v>995</x:v>
      </x:c>
      <x:c r="U323" s="11" t="n">
        <x:f>SUMIFS($U$6:$U$304,$B$6:$B$304,B323)</x:f>
        <x:v>1131</x:v>
      </x:c>
      <x:c r="V323" s="11" t="n">
        <x:f>SUMIFS($V$6:$V$304,$B$6:$B$304,B323)</x:f>
        <x:v>1174</x:v>
      </x:c>
      <x:c r="W323" s="11" t="n">
        <x:f>SUMIFS($W$6:$W$304,$B$6:$B$304,B323)</x:f>
        <x:v>2142</x:v>
      </x:c>
      <x:c r="X323" s="11" t="n">
        <x:f>SUMIFS($X$6:$X$304,$B$6:$B$304,B323)</x:f>
        <x:v>1</x:v>
      </x:c>
      <x:c r="Y323" s="11" t="n">
        <x:f>SUMIFS($Y$6:$Y$304,$B$6:$B$304,B323)</x:f>
        <x:v>1440594</x:v>
      </x:c>
      <x:c r="Z323" s="11" t="n">
        <x:f>SUMIFS($Z$6:$Z$304,$B$6:$B$304,B323)</x:f>
        <x:v>38375976</x:v>
      </x:c>
      <x:c r="AA323" s="11" t="n">
        <x:f>SUMIFS($AA$6:$AA$304,$B$6:$B$304,B323)</x:f>
        <x:v>75348035</x:v>
      </x:c>
      <x:c r="AB323" s="11" t="n">
        <x:f>SUMIFS($AB$6:$AB$304,$B$6:$B$304,B323)</x:f>
        <x:v>47057667</x:v>
      </x:c>
      <x:c r="AC323" s="11" t="n">
        <x:f>SUMIFS($AC$6:$AC$304,$B$6:$B$304,B323)</x:f>
        <x:v>37025378</x:v>
      </x:c>
      <x:c r="AD323" s="11" t="n">
        <x:f>SUMIFS($AD$6:$AD$304,$B$6:$B$304,B323)</x:f>
        <x:v>36539163</x:v>
      </x:c>
      <x:c r="AE323" s="11" t="n">
        <x:f>SUMIFS($AE$6:$AE$304,$B$6:$B$304,B323)</x:f>
        <x:v>6827286</x:v>
      </x:c>
      <x:c r="AF323" s="11" t="n">
        <x:f>SUMIFS($AF$6:$AF$304,$B$6:$B$304,B323)</x:f>
        <x:v>35832950</x:v>
      </x:c>
      <x:c r="AG323" s="11" t="n">
        <x:f>SUMIFS($AG$6:$AG$304,$B$6:$B$304,B323)</x:f>
        <x:v>20469555</x:v>
      </x:c>
      <x:c r="AH323" s="11" t="n">
        <x:f>SUMIFS($AH$6:$AH$304,$B$6:$B$304,B323)</x:f>
        <x:v>12850</x:v>
      </x:c>
    </x:row>
    <x:row r="324" ht="23" customHeight="1">
      <x:c r="A324" s="10" t="str">
        <x:v>ALL</x:v>
      </x:c>
      <x:c r="B324" s="10" t="str">
        <x:v>NCG_HT</x:v>
      </x:c>
      <x:c r="C324" s="9" t="str">
        <x:v>仅拓扑与尺度</x:v>
      </x:c>
      <x:c r="D324" s="11" t="n">
        <x:f>SUMIFS($D$6:$D$304,$B$6:$B$304,B324)</x:f>
        <x:v>68972</x:v>
      </x:c>
      <x:c r="E324" s="11" t="n">
        <x:f>SUMIFS($E$6:$E$304,$B$6:$B$304,B324)</x:f>
        <x:v>35477</x:v>
      </x:c>
      <x:c r="F324" s="11" t="n">
        <x:f>SUMIFS($F$6:$F$304,$B$6:$B$304,B324)</x:f>
        <x:v>44682</x:v>
      </x:c>
      <x:c r="G324" s="11" t="n">
        <x:f>SUMIFS($G$6:$G$304,$B$6:$B$304,B324)</x:f>
        <x:v>9174</x:v>
      </x:c>
      <x:c r="H324" s="11" t="n">
        <x:f>SUMIFS($H$6:$H$304,$B$6:$B$304,B324)</x:f>
        <x:v>33442</x:v>
      </x:c>
      <x:c r="I324" s="11" t="n">
        <x:f>SUMIFS($I$6:$I$304,$B$6:$B$304,B324)</x:f>
        <x:v>298929454</x:v>
      </x:c>
      <x:c r="J324" s="11" t="n">
        <x:f>SUMIFS($J$6:$J$304,$B$6:$B$304,B324)</x:f>
        <x:v>68539593.9021336</x:v>
      </x:c>
      <x:c r="K324" s="12" t="n">
        <x:f>E324/D324</x:f>
        <x:v>0.5143681493939569</x:v>
      </x:c>
      <x:c r="L324" s="12" t="n">
        <x:f>F324/D324</x:f>
        <x:v>0.6478281041582091</x:v>
      </x:c>
      <x:c r="M324" s="12" t="n">
        <x:f>G324/D324</x:f>
        <x:v>0.13301049701328074</x:v>
      </x:c>
      <x:c r="N324" s="12" t="n">
        <x:f>J324/I324</x:f>
        <x:v>0.22928350814882764</x:v>
      </x:c>
      <x:c r="O324" s="11" t="n">
        <x:f>SUMIFS($O$6:$O$304,$B$6:$B$304,B324)</x:f>
        <x:v>969</x:v>
      </x:c>
      <x:c r="P324" s="11" t="n">
        <x:f>SUMIFS($P$6:$P$304,$B$6:$B$304,B324)</x:f>
        <x:v>16559</x:v>
      </x:c>
      <x:c r="Q324" s="11" t="n">
        <x:f>SUMIFS($Q$6:$Q$304,$B$6:$B$304,B324)</x:f>
        <x:v>32433</x:v>
      </x:c>
      <x:c r="R324" s="11" t="n">
        <x:f>SUMIFS($R$6:$R$304,$B$6:$B$304,B324)</x:f>
        <x:v>10545</x:v>
      </x:c>
      <x:c r="S324" s="11" t="n">
        <x:f>SUMIFS($S$6:$S$304,$B$6:$B$304,B324)</x:f>
        <x:v>2974</x:v>
      </x:c>
      <x:c r="T324" s="11" t="n">
        <x:f>SUMIFS($T$6:$T$304,$B$6:$B$304,B324)</x:f>
        <x:v>1039</x:v>
      </x:c>
      <x:c r="U324" s="11" t="n">
        <x:f>SUMIFS($U$6:$U$304,$B$6:$B$304,B324)</x:f>
        <x:v>1136</x:v>
      </x:c>
      <x:c r="V324" s="11" t="n">
        <x:f>SUMIFS($V$6:$V$304,$B$6:$B$304,B324)</x:f>
        <x:v>1174</x:v>
      </x:c>
      <x:c r="W324" s="11" t="n">
        <x:f>SUMIFS($W$6:$W$304,$B$6:$B$304,B324)</x:f>
        <x:v>2142</x:v>
      </x:c>
      <x:c r="X324" s="11" t="n">
        <x:f>SUMIFS($X$6:$X$304,$B$6:$B$304,B324)</x:f>
        <x:v>1</x:v>
      </x:c>
      <x:c r="Y324" s="11" t="n">
        <x:f>SUMIFS($Y$6:$Y$304,$B$6:$B$304,B324)</x:f>
        <x:v>1440594</x:v>
      </x:c>
      <x:c r="Z324" s="11" t="n">
        <x:f>SUMIFS($Z$6:$Z$304,$B$6:$B$304,B324)</x:f>
        <x:v>21260840</x:v>
      </x:c>
      <x:c r="AA324" s="11" t="n">
        <x:f>SUMIFS($AA$6:$AA$304,$B$6:$B$304,B324)</x:f>
        <x:v>82848204</x:v>
      </x:c>
      <x:c r="AB324" s="11" t="n">
        <x:f>SUMIFS($AB$6:$AB$304,$B$6:$B$304,B324)</x:f>
        <x:v>54751901</x:v>
      </x:c>
      <x:c r="AC324" s="11" t="n">
        <x:f>SUMIFS($AC$6:$AC$304,$B$6:$B$304,B324)</x:f>
        <x:v>35666347</x:v>
      </x:c>
      <x:c r="AD324" s="11" t="n">
        <x:f>SUMIFS($AD$6:$AD$304,$B$6:$B$304,B324)</x:f>
        <x:v>39770707</x:v>
      </x:c>
      <x:c r="AE324" s="11" t="n">
        <x:f>SUMIFS($AE$6:$AE$304,$B$6:$B$304,B324)</x:f>
        <x:v>6875506</x:v>
      </x:c>
      <x:c r="AF324" s="11" t="n">
        <x:f>SUMIFS($AF$6:$AF$304,$B$6:$B$304,B324)</x:f>
        <x:v>35832950</x:v>
      </x:c>
      <x:c r="AG324" s="11" t="n">
        <x:f>SUMIFS($AG$6:$AG$304,$B$6:$B$304,B324)</x:f>
        <x:v>20469555</x:v>
      </x:c>
      <x:c r="AH324" s="11" t="n">
        <x:f>SUMIFS($AH$6:$AH$304,$B$6:$B$304,B324)</x:f>
        <x:v>12850</x:v>
      </x:c>
    </x:row>
    <x:row r="325" ht="23" customHeight="1">
      <x:c r="A325" s="10" t="str">
        <x:v>ALL</x:v>
      </x:c>
      <x:c r="B325" s="10" t="str">
        <x:v>NCG_H1</x:v>
      </x:c>
      <x:c r="C325" s="9" t="str">
        <x:v>主对照</x:v>
      </x:c>
      <x:c r="D325" s="11" t="n">
        <x:f>SUMIFS($D$6:$D$304,$B$6:$B$304,B325)</x:f>
        <x:v>68972</x:v>
      </x:c>
      <x:c r="E325" s="11" t="n">
        <x:f>SUMIFS($E$6:$E$304,$B$6:$B$304,B325)</x:f>
        <x:v>35477</x:v>
      </x:c>
      <x:c r="F325" s="11" t="n">
        <x:f>SUMIFS($F$6:$F$304,$B$6:$B$304,B325)</x:f>
        <x:v>44682</x:v>
      </x:c>
      <x:c r="G325" s="11" t="n">
        <x:f>SUMIFS($G$6:$G$304,$B$6:$B$304,B325)</x:f>
        <x:v>9174</x:v>
      </x:c>
      <x:c r="H325" s="11" t="n">
        <x:f>SUMIFS($H$6:$H$304,$B$6:$B$304,B325)</x:f>
        <x:v>36148</x:v>
      </x:c>
      <x:c r="I325" s="11" t="n">
        <x:f>SUMIFS($I$6:$I$304,$B$6:$B$304,B325)</x:f>
        <x:v>298929454</x:v>
      </x:c>
      <x:c r="J325" s="11" t="n">
        <x:f>SUMIFS($J$6:$J$304,$B$6:$B$304,B325)</x:f>
        <x:v>68733046.90213361</x:v>
      </x:c>
      <x:c r="K325" s="12" t="n">
        <x:f>E325/D325</x:f>
        <x:v>0.5143681493939569</x:v>
      </x:c>
      <x:c r="L325" s="12" t="n">
        <x:f>F325/D325</x:f>
        <x:v>0.6478281041582091</x:v>
      </x:c>
      <x:c r="M325" s="12" t="n">
        <x:f>G325/D325</x:f>
        <x:v>0.13301049701328074</x:v>
      </x:c>
      <x:c r="N325" s="12" t="n">
        <x:f>J325/I325</x:f>
        <x:v>0.22993066083790328</x:v>
      </x:c>
      <x:c r="O325" s="11" t="n">
        <x:f>SUMIFS($O$6:$O$304,$B$6:$B$304,B325)</x:f>
        <x:v>969</x:v>
      </x:c>
      <x:c r="P325" s="11" t="n">
        <x:f>SUMIFS($P$6:$P$304,$B$6:$B$304,B325)</x:f>
        <x:v>16320</x:v>
      </x:c>
      <x:c r="Q325" s="11" t="n">
        <x:f>SUMIFS($Q$6:$Q$304,$B$6:$B$304,B325)</x:f>
        <x:v>31766</x:v>
      </x:c>
      <x:c r="R325" s="11" t="n">
        <x:f>SUMIFS($R$6:$R$304,$B$6:$B$304,B325)</x:f>
        <x:v>10460</x:v>
      </x:c>
      <x:c r="S325" s="11" t="n">
        <x:f>SUMIFS($S$6:$S$304,$B$6:$B$304,B325)</x:f>
        <x:v>2967</x:v>
      </x:c>
      <x:c r="T325" s="11" t="n">
        <x:f>SUMIFS($T$6:$T$304,$B$6:$B$304,B325)</x:f>
        <x:v>1570</x:v>
      </x:c>
      <x:c r="U325" s="11" t="n">
        <x:f>SUMIFS($U$6:$U$304,$B$6:$B$304,B325)</x:f>
        <x:v>1603</x:v>
      </x:c>
      <x:c r="V325" s="11" t="n">
        <x:f>SUMIFS($V$6:$V$304,$B$6:$B$304,B325)</x:f>
        <x:v>1174</x:v>
      </x:c>
      <x:c r="W325" s="11" t="n">
        <x:f>SUMIFS($W$6:$W$304,$B$6:$B$304,B325)</x:f>
        <x:v>2142</x:v>
      </x:c>
      <x:c r="X325" s="11" t="n">
        <x:f>SUMIFS($X$6:$X$304,$B$6:$B$304,B325)</x:f>
        <x:v>1</x:v>
      </x:c>
      <x:c r="Y325" s="11" t="n">
        <x:f>SUMIFS($Y$6:$Y$304,$B$6:$B$304,B325)</x:f>
        <x:v>1440594</x:v>
      </x:c>
      <x:c r="Z325" s="11" t="n">
        <x:f>SUMIFS($Z$6:$Z$304,$B$6:$B$304,B325)</x:f>
        <x:v>21149079</x:v>
      </x:c>
      <x:c r="AA325" s="11" t="n">
        <x:f>SUMIFS($AA$6:$AA$304,$B$6:$B$304,B325)</x:f>
        <x:v>81963370</x:v>
      </x:c>
      <x:c r="AB325" s="11" t="n">
        <x:f>SUMIFS($AB$6:$AB$304,$B$6:$B$304,B325)</x:f>
        <x:v>54435603</x:v>
      </x:c>
      <x:c r="AC325" s="11" t="n">
        <x:f>SUMIFS($AC$6:$AC$304,$B$6:$B$304,B325)</x:f>
        <x:v>35564393</x:v>
      </x:c>
      <x:c r="AD325" s="11" t="n">
        <x:f>SUMIFS($AD$6:$AD$304,$B$6:$B$304,B325)</x:f>
        <x:v>40785891</x:v>
      </x:c>
      <x:c r="AE325" s="11" t="n">
        <x:f>SUMIFS($AE$6:$AE$304,$B$6:$B$304,B325)</x:f>
        <x:v>7275169</x:v>
      </x:c>
      <x:c r="AF325" s="11" t="n">
        <x:f>SUMIFS($AF$6:$AF$304,$B$6:$B$304,B325)</x:f>
        <x:v>35832950</x:v>
      </x:c>
      <x:c r="AG325" s="11" t="n">
        <x:f>SUMIFS($AG$6:$AG$304,$B$6:$B$304,B325)</x:f>
        <x:v>20469555</x:v>
      </x:c>
      <x:c r="AH325" s="11" t="n">
        <x:f>SUMIFS($AH$6:$AH$304,$B$6:$B$304,B325)</x:f>
        <x:v>12850</x:v>
      </x:c>
    </x:row>
    <x:row r="326" ht="23" customHeight="1">
      <x:c r="A326" s="10" t="str">
        <x:v>ALL</x:v>
      </x:c>
      <x:c r="B326" s="10" t="str">
        <x:v>NCG_H0_M1</x:v>
      </x:c>
      <x:c r="C326" s="9" t="str">
        <x:v>叶名称辅助</x:v>
      </x:c>
      <x:c r="D326" s="11" t="n">
        <x:f>SUMIFS($D$6:$D$304,$B$6:$B$304,B326)</x:f>
        <x:v>68972</x:v>
      </x:c>
      <x:c r="E326" s="11" t="n">
        <x:f>SUMIFS($E$6:$E$304,$B$6:$B$304,B326)</x:f>
        <x:v>30149</x:v>
      </x:c>
      <x:c r="F326" s="11" t="n">
        <x:f>SUMIFS($F$6:$F$304,$B$6:$B$304,B326)</x:f>
        <x:v>38930</x:v>
      </x:c>
      <x:c r="G326" s="11" t="n">
        <x:f>SUMIFS($G$6:$G$304,$B$6:$B$304,B326)</x:f>
        <x:v>9174</x:v>
      </x:c>
      <x:c r="H326" s="11" t="n">
        <x:f>SUMIFS($H$6:$H$304,$B$6:$B$304,B326)</x:f>
        <x:v>39575</x:v>
      </x:c>
      <x:c r="I326" s="11" t="n">
        <x:f>SUMIFS($I$6:$I$304,$B$6:$B$304,B326)</x:f>
        <x:v>298929454</x:v>
      </x:c>
      <x:c r="J326" s="11" t="n">
        <x:f>SUMIFS($J$6:$J$304,$B$6:$B$304,B326)</x:f>
        <x:v>72572283.76213366</x:v>
      </x:c>
      <x:c r="K326" s="12" t="n">
        <x:f>E326/D326</x:f>
        <x:v>0.43711941077538713</x:v>
      </x:c>
      <x:c r="L326" s="12" t="n">
        <x:f>F326/D326</x:f>
        <x:v>0.5644319433973206</x:v>
      </x:c>
      <x:c r="M326" s="12" t="n">
        <x:f>G326/D326</x:f>
        <x:v>0.13301049701328074</x:v>
      </x:c>
      <x:c r="N326" s="12" t="n">
        <x:f>J326/I326</x:f>
        <x:v>0.2427739481373878</x:v>
      </x:c>
      <x:c r="O326" s="11" t="n">
        <x:f>SUMIFS($O$6:$O$304,$B$6:$B$304,B326)</x:f>
        <x:v>1084</x:v>
      </x:c>
      <x:c r="P326" s="11" t="n">
        <x:f>SUMIFS($P$6:$P$304,$B$6:$B$304,B326)</x:f>
        <x:v>22290</x:v>
      </x:c>
      <x:c r="Q326" s="11" t="n">
        <x:f>SUMIFS($Q$6:$Q$304,$B$6:$B$304,B326)</x:f>
        <x:v>26141</x:v>
      </x:c>
      <x:c r="R326" s="11" t="n">
        <x:f>SUMIFS($R$6:$R$304,$B$6:$B$304,B326)</x:f>
        <x:v>8111</x:v>
      </x:c>
      <x:c r="S326" s="11" t="n">
        <x:f>SUMIFS($S$6:$S$304,$B$6:$B$304,B326)</x:f>
        <x:v>2302</x:v>
      </x:c>
      <x:c r="T326" s="11" t="n">
        <x:f>SUMIFS($T$6:$T$304,$B$6:$B$304,B326)</x:f>
        <x:v>919</x:v>
      </x:c>
      <x:c r="U326" s="11" t="n">
        <x:f>SUMIFS($U$6:$U$304,$B$6:$B$304,B326)</x:f>
        <x:v>1403</x:v>
      </x:c>
      <x:c r="V326" s="11" t="n">
        <x:f>SUMIFS($V$6:$V$304,$B$6:$B$304,B326)</x:f>
        <x:v>2052</x:v>
      </x:c>
      <x:c r="W326" s="11" t="n">
        <x:f>SUMIFS($W$6:$W$304,$B$6:$B$304,B326)</x:f>
        <x:v>4579</x:v>
      </x:c>
      <x:c r="X326" s="11" t="n">
        <x:f>SUMIFS($X$6:$X$304,$B$6:$B$304,B326)</x:f>
        <x:v>91</x:v>
      </x:c>
      <x:c r="Y326" s="11" t="n">
        <x:f>SUMIFS($Y$6:$Y$304,$B$6:$B$304,B326)</x:f>
        <x:v>1730928</x:v>
      </x:c>
      <x:c r="Z326" s="11" t="n">
        <x:f>SUMIFS($Z$6:$Z$304,$B$6:$B$304,B326)</x:f>
        <x:v>35670992</x:v>
      </x:c>
      <x:c r="AA326" s="11" t="n">
        <x:f>SUMIFS($AA$6:$AA$304,$B$6:$B$304,B326)</x:f>
        <x:v>68596065</x:v>
      </x:c>
      <x:c r="AB326" s="11" t="n">
        <x:f>SUMIFS($AB$6:$AB$304,$B$6:$B$304,B326)</x:f>
        <x:v>40557285</x:v>
      </x:c>
      <x:c r="AC326" s="11" t="n">
        <x:f>SUMIFS($AC$6:$AC$304,$B$6:$B$304,B326)</x:f>
        <x:v>29826683</x:v>
      </x:c>
      <x:c r="AD326" s="11" t="n">
        <x:f>SUMIFS($AD$6:$AD$304,$B$6:$B$304,B326)</x:f>
        <x:v>35739667</x:v>
      </x:c>
      <x:c r="AE326" s="11" t="n">
        <x:f>SUMIFS($AE$6:$AE$304,$B$6:$B$304,B326)</x:f>
        <x:v>9973388</x:v>
      </x:c>
      <x:c r="AF326" s="11" t="n">
        <x:f>SUMIFS($AF$6:$AF$304,$B$6:$B$304,B326)</x:f>
        <x:v>42758479</x:v>
      </x:c>
      <x:c r="AG326" s="11" t="n">
        <x:f>SUMIFS($AG$6:$AG$304,$B$6:$B$304,B326)</x:f>
        <x:v>32048487</x:v>
      </x:c>
      <x:c r="AH326" s="11" t="n">
        <x:f>SUMIFS($AH$6:$AH$304,$B$6:$B$304,B326)</x:f>
        <x:v>2027480</x:v>
      </x:c>
    </x:row>
    <x:row r="327" ht="23" customHeight="1">
      <x:c r="A327" s="10" t="str">
        <x:v>ALL</x:v>
      </x:c>
      <x:c r="B327" s="10" t="str">
        <x:v>NCG_H1_M1</x:v>
      </x:c>
      <x:c r="C327" s="9" t="str">
        <x:v>叶名称辅助</x:v>
      </x:c>
      <x:c r="D327" s="11" t="n">
        <x:f>SUMIFS($D$6:$D$304,$B$6:$B$304,B327)</x:f>
        <x:v>68972</x:v>
      </x:c>
      <x:c r="E327" s="11" t="n">
        <x:f>SUMIFS($E$6:$E$304,$B$6:$B$304,B327)</x:f>
        <x:v>30205</x:v>
      </x:c>
      <x:c r="F327" s="11" t="n">
        <x:f>SUMIFS($F$6:$F$304,$B$6:$B$304,B327)</x:f>
        <x:v>38986</x:v>
      </x:c>
      <x:c r="G327" s="11" t="n">
        <x:f>SUMIFS($G$6:$G$304,$B$6:$B$304,B327)</x:f>
        <x:v>9174</x:v>
      </x:c>
      <x:c r="H327" s="11" t="n">
        <x:f>SUMIFS($H$6:$H$304,$B$6:$B$304,B327)</x:f>
        <x:v>41433</x:v>
      </x:c>
      <x:c r="I327" s="11" t="n">
        <x:f>SUMIFS($I$6:$I$304,$B$6:$B$304,B327)</x:f>
        <x:v>298929454</x:v>
      </x:c>
      <x:c r="J327" s="11" t="n">
        <x:f>SUMIFS($J$6:$J$304,$B$6:$B$304,B327)</x:f>
        <x:v>73831682.82213359</x:v>
      </x:c>
      <x:c r="K327" s="12" t="n">
        <x:f>E327/D327</x:f>
        <x:v>0.4379313344545613</x:v>
      </x:c>
      <x:c r="L327" s="12" t="n">
        <x:f>F327/D327</x:f>
        <x:v>0.5652438670764948</x:v>
      </x:c>
      <x:c r="M327" s="12" t="n">
        <x:f>G327/D327</x:f>
        <x:v>0.13301049701328074</x:v>
      </x:c>
      <x:c r="N327" s="12" t="n">
        <x:f>J327/I327</x:f>
        <x:v>0.2469869791490456</x:v>
      </x:c>
      <x:c r="O327" s="11" t="n">
        <x:f>SUMIFS($O$6:$O$304,$B$6:$B$304,B327)</x:f>
        <x:v>1084</x:v>
      </x:c>
      <x:c r="P327" s="11" t="n">
        <x:f>SUMIFS($P$6:$P$304,$B$6:$B$304,B327)</x:f>
        <x:v>15286</x:v>
      </x:c>
      <x:c r="Q327" s="11" t="n">
        <x:f>SUMIFS($Q$6:$Q$304,$B$6:$B$304,B327)</x:f>
        <x:v>29266</x:v>
      </x:c>
      <x:c r="R327" s="11" t="n">
        <x:f>SUMIFS($R$6:$R$304,$B$6:$B$304,B327)</x:f>
        <x:v>9877</x:v>
      </x:c>
      <x:c r="S327" s="11" t="n">
        <x:f>SUMIFS($S$6:$S$304,$B$6:$B$304,B327)</x:f>
        <x:v>2709</x:v>
      </x:c>
      <x:c r="T327" s="11" t="n">
        <x:f>SUMIFS($T$6:$T$304,$B$6:$B$304,B327)</x:f>
        <x:v>1955</x:v>
      </x:c>
      <x:c r="U327" s="11" t="n">
        <x:f>SUMIFS($U$6:$U$304,$B$6:$B$304,B327)</x:f>
        <x:v>2073</x:v>
      </x:c>
      <x:c r="V327" s="11" t="n">
        <x:f>SUMIFS($V$6:$V$304,$B$6:$B$304,B327)</x:f>
        <x:v>2052</x:v>
      </x:c>
      <x:c r="W327" s="11" t="n">
        <x:f>SUMIFS($W$6:$W$304,$B$6:$B$304,B327)</x:f>
        <x:v>4579</x:v>
      </x:c>
      <x:c r="X327" s="11" t="n">
        <x:f>SUMIFS($X$6:$X$304,$B$6:$B$304,B327)</x:f>
        <x:v>91</x:v>
      </x:c>
      <x:c r="Y327" s="11" t="n">
        <x:f>SUMIFS($Y$6:$Y$304,$B$6:$B$304,B327)</x:f>
        <x:v>1730928</x:v>
      </x:c>
      <x:c r="Z327" s="11" t="n">
        <x:f>SUMIFS($Z$6:$Z$304,$B$6:$B$304,B327)</x:f>
        <x:v>19511627</x:v>
      </x:c>
      <x:c r="AA327" s="11" t="n">
        <x:f>SUMIFS($AA$6:$AA$304,$B$6:$B$304,B327)</x:f>
        <x:v>73691410</x:v>
      </x:c>
      <x:c r="AB327" s="11" t="n">
        <x:f>SUMIFS($AB$6:$AB$304,$B$6:$B$304,B327)</x:f>
        <x:v>47620825</x:v>
      </x:c>
      <x:c r="AC327" s="11" t="n">
        <x:f>SUMIFS($AC$6:$AC$304,$B$6:$B$304,B327)</x:f>
        <x:v>28124420</x:v>
      </x:c>
      <x:c r="AD327" s="11" t="n">
        <x:f>SUMIFS($AD$6:$AD$304,$B$6:$B$304,B327)</x:f>
        <x:v>40804599</x:v>
      </x:c>
      <x:c r="AE327" s="11" t="n">
        <x:f>SUMIFS($AE$6:$AE$304,$B$6:$B$304,B327)</x:f>
        <x:v>10611199</x:v>
      </x:c>
      <x:c r="AF327" s="11" t="n">
        <x:f>SUMIFS($AF$6:$AF$304,$B$6:$B$304,B327)</x:f>
        <x:v>42758479</x:v>
      </x:c>
      <x:c r="AG327" s="11" t="n">
        <x:f>SUMIFS($AG$6:$AG$304,$B$6:$B$304,B327)</x:f>
        <x:v>32048487</x:v>
      </x:c>
      <x:c r="AH327" s="11" t="n">
        <x:f>SUMIFS($AH$6:$AH$304,$B$6:$B$304,B327)</x:f>
        <x:v>2027480</x:v>
      </x:c>
    </x:row>
  </x:sheetData>
  <x:pageMargins left="0.7" right="0.7" top="0.75" bottom="0.75" header="0.3" footer="0.3"/>
  <x:tableParts count="1">
    <x:tablePart xmlns:r="http://schemas.openxmlformats.org/officeDocument/2006/relationships" r:id="R0c5580c32e384a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8" hidden="0" customWidth="1"/>
    <x:col min="3" max="3" width="22" hidden="0" customWidth="1"/>
    <x:col min="4" max="4" width="18" hidden="0" customWidth="1"/>
    <x:col min="5" max="5" width="26" hidden="0" customWidth="1"/>
    <x:col min="6" max="6" width="18" hidden="0" customWidth="1"/>
    <x:col min="7" max="7" width="2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场景规模与统计口径</x:v>
      </x:c>
      <x:c r="B2" s="2"/>
      <x:c r="C2" s="2"/>
      <x:c r="D2" s="2"/>
      <x:c r="E2" s="2"/>
      <x:c r="F2" s="2"/>
      <x:c r="G2" s="2"/>
    </x:row>
    <x:row r="3" ht="23" customHeight="1">
      <x:c r="A3" s="4" t="str">
        <x:v>来源：scene_inventory.csv；三角形按实例展开累计，不能换算实际显存。</x:v>
      </x:c>
      <x:c r="B3" s="2"/>
      <x:c r="C3" s="2"/>
      <x:c r="D3" s="2"/>
      <x:c r="E3" s="2"/>
      <x:c r="F3" s="2"/>
      <x:c r="G3" s="2"/>
    </x:row>
    <x:row r="4" ht="23" customHeight="1">
      <x:c r="A4" s="2"/>
      <x:c r="B4" s="2"/>
      <x:c r="C4" s="2"/>
      <x:c r="D4" s="2"/>
      <x:c r="E4" s="2"/>
      <x:c r="F4" s="2"/>
      <x:c r="G4" s="2"/>
    </x:row>
    <x:row r="5" ht="36" customHeight="1">
      <x:c r="A5" s="8" t="str">
        <x:v>模型</x:v>
      </x:c>
      <x:c r="B5" s="8" t="str">
        <x:v>设备名称</x:v>
      </x:c>
      <x:c r="C5" s="8" t="str">
        <x:v>有顶点几何实例</x:v>
      </x:c>
      <x:c r="D5" s="8" t="str">
        <x:v>空网格引用</x:v>
      </x:c>
      <x:c r="E5" s="8" t="str">
        <x:v>源三角形实例数</x:v>
      </x:c>
      <x:c r="F5" s="8" t="str">
        <x:v>层级深度</x:v>
      </x:c>
      <x:c r="G5" s="8" t="str">
        <x:v>描述无效节点</x:v>
      </x:c>
    </x:row>
    <x:row r="6" ht="23" customHeight="1">
      <x:c r="A6" s="10" t="str">
        <x:v>M1</x:v>
      </x:c>
      <x:c r="B6" s="10" t="str">
        <x:v>手机喇叭检测线</x:v>
      </x:c>
      <x:c r="C6" s="11" t="n">
        <x:v>1167</x:v>
      </x:c>
      <x:c r="D6" s="11" t="n">
        <x:v>0</x:v>
      </x:c>
      <x:c r="E6" s="11" t="n">
        <x:v>1723934</x:v>
      </x:c>
      <x:c r="F6" s="11" t="n">
        <x:v>6</x:v>
      </x:c>
      <x:c r="G6" s="11" t="n">
        <x:v>0</x:v>
      </x:c>
    </x:row>
    <x:row r="7" ht="23" customHeight="1">
      <x:c r="A7" s="10" t="str">
        <x:v>M2</x:v>
      </x:c>
      <x:c r="B7" s="10" t="str">
        <x:v>圆形电容穿心焊接机</x:v>
      </x:c>
      <x:c r="C7" s="11" t="n">
        <x:v>1480</x:v>
      </x:c>
      <x:c r="D7" s="11" t="n">
        <x:v>0</x:v>
      </x:c>
      <x:c r="E7" s="11" t="n">
        <x:v>2911273</x:v>
      </x:c>
      <x:c r="F7" s="11" t="n">
        <x:v>5</x:v>
      </x:c>
      <x:c r="G7" s="11" t="n">
        <x:v>0</x:v>
      </x:c>
    </x:row>
    <x:row r="8" ht="23" customHeight="1">
      <x:c r="A8" s="10" t="str">
        <x:v>M3</x:v>
      </x:c>
      <x:c r="B8" s="10" t="str">
        <x:v>K31自动铆压机</x:v>
      </x:c>
      <x:c r="C8" s="11" t="n">
        <x:v>1481</x:v>
      </x:c>
      <x:c r="D8" s="11" t="n">
        <x:v>0</x:v>
      </x:c>
      <x:c r="E8" s="11" t="n">
        <x:v>3433060</x:v>
      </x:c>
      <x:c r="F8" s="11" t="n">
        <x:v>5</x:v>
      </x:c>
      <x:c r="G8" s="11" t="n">
        <x:v>0</x:v>
      </x:c>
    </x:row>
    <x:row r="9" ht="23" customHeight="1">
      <x:c r="A9" s="10" t="str">
        <x:v>M4</x:v>
      </x:c>
      <x:c r="B9" s="10" t="str">
        <x:v>极耳生产线</x:v>
      </x:c>
      <x:c r="C9" s="11" t="n">
        <x:v>5451</x:v>
      </x:c>
      <x:c r="D9" s="11" t="n">
        <x:v>0</x:v>
      </x:c>
      <x:c r="E9" s="11" t="n">
        <x:v>10553614</x:v>
      </x:c>
      <x:c r="F9" s="11" t="n">
        <x:v>8</x:v>
      </x:c>
      <x:c r="G9" s="11" t="n">
        <x:v>0</x:v>
      </x:c>
    </x:row>
    <x:row r="10" ht="23" customHeight="1">
      <x:c r="A10" s="10" t="str">
        <x:v>M5</x:v>
      </x:c>
      <x:c r="B10" s="10" t="str">
        <x:v>汽车链接器植入折弯设备</x:v>
      </x:c>
      <x:c r="C10" s="11" t="n">
        <x:v>1747</x:v>
      </x:c>
      <x:c r="D10" s="11" t="n">
        <x:v>0</x:v>
      </x:c>
      <x:c r="E10" s="11" t="n">
        <x:v>11760345</x:v>
      </x:c>
      <x:c r="F10" s="11" t="n">
        <x:v>7</x:v>
      </x:c>
      <x:c r="G10" s="11" t="n">
        <x:v>0</x:v>
      </x:c>
    </x:row>
    <x:row r="11" ht="23" customHeight="1">
      <x:c r="A11" s="10" t="str">
        <x:v>M6</x:v>
      </x:c>
      <x:c r="B11" s="10" t="str">
        <x:v>透气阀产线</x:v>
      </x:c>
      <x:c r="C11" s="11" t="n">
        <x:v>3347</x:v>
      </x:c>
      <x:c r="D11" s="11" t="n">
        <x:v>0</x:v>
      </x:c>
      <x:c r="E11" s="11" t="n">
        <x:v>15496224</x:v>
      </x:c>
      <x:c r="F11" s="11" t="n">
        <x:v>6</x:v>
      </x:c>
      <x:c r="G11" s="11" t="n">
        <x:v>0</x:v>
      </x:c>
    </x:row>
    <x:row r="12" ht="23" customHeight="1">
      <x:c r="A12" s="10" t="str">
        <x:v>M7</x:v>
      </x:c>
      <x:c r="B12" s="10" t="str">
        <x:v>焊接过渡线</x:v>
      </x:c>
      <x:c r="C12" s="11" t="n">
        <x:v>1026</x:v>
      </x:c>
      <x:c r="D12" s="11" t="n">
        <x:v>0</x:v>
      </x:c>
      <x:c r="E12" s="11" t="n">
        <x:v>19905661</x:v>
      </x:c>
      <x:c r="F12" s="11" t="n">
        <x:v>7</x:v>
      </x:c>
      <x:c r="G12" s="11" t="n">
        <x:v>0</x:v>
      </x:c>
    </x:row>
    <x:row r="13" ht="23" customHeight="1">
      <x:c r="A13" s="10" t="str">
        <x:v>M8</x:v>
      </x:c>
      <x:c r="B13" s="10" t="str">
        <x:v>转子自动生产线</x:v>
      </x:c>
      <x:c r="C13" s="11" t="n">
        <x:v>6103</x:v>
      </x:c>
      <x:c r="D13" s="11" t="n">
        <x:v>0</x:v>
      </x:c>
      <x:c r="E13" s="11" t="n">
        <x:v>20703307</x:v>
      </x:c>
      <x:c r="F13" s="11" t="n">
        <x:v>13</x:v>
      </x:c>
      <x:c r="G13" s="11" t="n">
        <x:v>0</x:v>
      </x:c>
    </x:row>
    <x:row r="14" ht="23" customHeight="1">
      <x:c r="A14" s="10" t="str">
        <x:v>M9</x:v>
      </x:c>
      <x:c r="B14" s="10" t="str">
        <x:v>MK地盖组装线</x:v>
      </x:c>
      <x:c r="C14" s="11" t="n">
        <x:v>3118</x:v>
      </x:c>
      <x:c r="D14" s="11" t="n">
        <x:v>0</x:v>
      </x:c>
      <x:c r="E14" s="11" t="n">
        <x:v>23921390</x:v>
      </x:c>
      <x:c r="F14" s="11" t="n">
        <x:v>7</x:v>
      </x:c>
      <x:c r="G14" s="11" t="n">
        <x:v>0</x:v>
      </x:c>
    </x:row>
    <x:row r="15" ht="23" customHeight="1">
      <x:c r="A15" s="10" t="str">
        <x:v>M10</x:v>
      </x:c>
      <x:c r="B15" s="10" t="str">
        <x:v>刷架总线</x:v>
      </x:c>
      <x:c r="C15" s="11" t="n">
        <x:v>5198</x:v>
      </x:c>
      <x:c r="D15" s="11" t="n">
        <x:v>0</x:v>
      </x:c>
      <x:c r="E15" s="11" t="n">
        <x:v>47591131</x:v>
      </x:c>
      <x:c r="F15" s="11" t="n">
        <x:v>10</x:v>
      </x:c>
      <x:c r="G15" s="11" t="n">
        <x:v>0</x:v>
      </x:c>
    </x:row>
    <x:row r="16" ht="23" customHeight="1">
      <x:c r="A16" s="10" t="str">
        <x:v>M11</x:v>
      </x:c>
      <x:c r="B16" s="10" t="str">
        <x:v>圆柱分选并入支架设备</x:v>
      </x:c>
      <x:c r="C16" s="11" t="n">
        <x:v>15723</x:v>
      </x:c>
      <x:c r="D16" s="11" t="n">
        <x:v>0</x:v>
      </x:c>
      <x:c r="E16" s="11" t="n">
        <x:v>37068620</x:v>
      </x:c>
      <x:c r="F16" s="11" t="n">
        <x:v>11</x:v>
      </x:c>
      <x:c r="G16" s="11" t="n">
        <x:v>0</x:v>
      </x:c>
    </x:row>
    <x:row r="17" ht="23" customHeight="1">
      <x:c r="A17" s="10" t="str">
        <x:v>M12</x:v>
      </x:c>
      <x:c r="B17" s="10" t="str">
        <x:v>磁保持继电器产线</x:v>
      </x:c>
      <x:c r="C17" s="11" t="n">
        <x:v>7163</x:v>
      </x:c>
      <x:c r="D17" s="11" t="n">
        <x:v>0</x:v>
      </x:c>
      <x:c r="E17" s="11" t="n">
        <x:v>51857040</x:v>
      </x:c>
      <x:c r="F17" s="11" t="n">
        <x:v>10</x:v>
      </x:c>
      <x:c r="G17" s="11" t="n">
        <x:v>0</x:v>
      </x:c>
    </x:row>
    <x:row r="18" ht="23" customHeight="1">
      <x:c r="A18" s="10" t="str">
        <x:v>M13</x:v>
      </x:c>
      <x:c r="B18" s="10" t="str">
        <x:v>软包动力电池模组组装线</x:v>
      </x:c>
      <x:c r="C18" s="11" t="n">
        <x:v>15968</x:v>
      </x:c>
      <x:c r="D18" s="11" t="n">
        <x:v>2</x:v>
      </x:c>
      <x:c r="E18" s="11" t="n">
        <x:v>52003855</x:v>
      </x:c>
      <x:c r="F18" s="11" t="n">
        <x:v>11</x:v>
      </x:c>
      <x:c r="G18" s="11" t="n">
        <x:v>0</x:v>
      </x:c>
    </x:row>
    <x:row r="19" ht="23" customHeight="1">
      <x:c r="A19" s="2"/>
      <x:c r="B19" s="2"/>
      <x:c r="C19" s="2"/>
      <x:c r="D19" s="2"/>
      <x:c r="E19" s="2"/>
      <x:c r="F19" s="2"/>
      <x:c r="G19" s="2"/>
    </x:row>
    <x:row r="20" ht="23" customHeight="1">
      <x:c r="A20" s="2"/>
      <x:c r="B20" s="2"/>
      <x:c r="C20" s="2"/>
      <x:c r="D20" s="2"/>
      <x:c r="E20" s="2"/>
      <x:c r="F20" s="2"/>
      <x:c r="G20" s="2"/>
    </x:row>
    <x:row r="21">
      <x:c r="A21" t="str">
        <x:v>N</x:v>
      </x:c>
      <x:c r="B21" t="str">
        <x:v>工业监督语义</x:v>
      </x:c>
    </x:row>
    <x:row r="22">
      <x:c r="A22" t="str">
        <x:v>C</x:v>
      </x:c>
      <x:c r="B22" t="str">
        <x:v>开放视觉语义</x:v>
      </x:c>
    </x:row>
    <x:row r="23">
      <x:c r="A23" t="str">
        <x:v>G</x:v>
      </x:c>
      <x:c r="B23" t="str">
        <x:v>显式几何</x:v>
      </x:c>
    </x:row>
    <x:row r="24">
      <x:c r="A24" t="str">
        <x:v>H0</x:v>
      </x:c>
      <x:c r="B24" t="str">
        <x:v>关闭装配上下文</x:v>
      </x:c>
    </x:row>
    <x:row r="25">
      <x:c r="A25" t="str">
        <x:v>HT</x:v>
      </x:c>
      <x:c r="B25" t="str">
        <x:v>仅拓扑与父组尺度</x:v>
      </x:c>
    </x:row>
    <x:row r="26">
      <x:c r="A26" t="str">
        <x:v>H1</x:v>
      </x:c>
      <x:c r="B26" t="str">
        <x:v>加入受范围限制的祖先名称</x:v>
      </x:c>
    </x:row>
    <x:row r="27">
      <x:c r="A27" t="str">
        <x:v>M1</x:v>
      </x:c>
      <x:c r="B27" t="str">
        <x:v>额外使用叶名称，单列辅助</x:v>
      </x:c>
    </x:row>
    <x:row r="29">
      <x:c r="A29" t="str">
        <x:v>P是保护预算；没有独立语义真值与实际渲染测量。</x:v>
      </x:c>
    </x:row>
    <x:row r="30">
      <x:c r="A30" t="str">
        <x:v>无POSITION顶点的空网格单列输入审计，不填造监督预测，不进入策略占比分母。</x:v>
      </x:c>
    </x:row>
  </x:sheetData>
  <x:pageMargins left="0.7" right="0.7" top="0.75" bottom="0.75" header="0.3" footer="0.3"/>
  <x:tableParts count="1">
    <x:tablePart xmlns:r="http://schemas.openxmlformats.org/officeDocument/2006/relationships" r:id="R865b31aeefc7496f"/>
  </x:tableParts>
</x:worksheet>
</file>