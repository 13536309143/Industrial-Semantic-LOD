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42b9d9d3d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2b5b0d6d0964456"/>
    <x:sheet xmlns:r="http://schemas.openxmlformats.org/officeDocument/2006/relationships" name="P等级节点占比" sheetId="2" r:id="Rd0fdd2d2d1b84dad"/>
    <x:sheet xmlns:r="http://schemas.openxmlformats.org/officeDocument/2006/relationships" name="P等级三角形占比" sheetId="3" r:id="R88cff9a9362b432c"/>
    <x:sheet xmlns:r="http://schemas.openxmlformats.org/officeDocument/2006/relationships" name="树开关变化" sheetId="4" r:id="R3695c42c11e04a3b"/>
    <x:sheet xmlns:r="http://schemas.openxmlformats.org/officeDocument/2006/relationships" name="置信度与冲突" sheetId="5" r:id="Rfa3477b2b83844af"/>
    <x:sheet xmlns:r="http://schemas.openxmlformats.org/officeDocument/2006/relationships" name="低置信候选类型" sheetId="6" r:id="Rec47d523b53e4428"/>
    <x:sheet xmlns:r="http://schemas.openxmlformats.org/officeDocument/2006/relationships" name="几何诊断" sheetId="7" r:id="R3888b4cc469f4ee0"/>
    <x:sheet xmlns:r="http://schemas.openxmlformats.org/officeDocument/2006/relationships" name="统计计数" sheetId="8" r:id="R3c5641bf6fd142f0"/>
    <x:sheet xmlns:r="http://schemas.openxmlformats.org/officeDocument/2006/relationships" name="方法与来源" sheetId="9" r:id="Rfab37634c8f9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#,##0"/>
    <x:numFmt numFmtId="202" formatCode="0.00%"/>
    <x:numFmt numFmtId="203" formatCode="0.0000"/>
    <x:numFmt numFmtId="204" formatCode="0.00"/>
    <x:numFmt numFmtId="205" formatCode="0.0000%"/>
    <x:numFmt numFmtId="206" formatCode="0.00000"/>
  </x:numFmts>
  <x:fonts count="7">
    <x:font>
      <x:sz val="11"/>
      <x:name val="Carlito"/>
    </x:font>
    <x:font>
      <x:sz val="10"/>
      <x:color rgb="FF202938"/>
      <x:name val="Microsoft YaHei"/>
    </x:font>
    <x:font>
      <x:b/>
      <x:sz val="15"/>
      <x:color rgb="FF23395B"/>
      <x:name val="Microsoft YaHei"/>
    </x:font>
    <x:font>
      <x:sz val="9"/>
      <x:color rgb="FF667085"/>
      <x:name val="Microsoft YaHei"/>
    </x:font>
    <x:font>
      <x:b/>
      <x:sz val="10"/>
      <x:color rgb="FFFFFFFF"/>
      <x:name val="Microsoft YaHei"/>
    </x:font>
    <x:font>
      <x:b/>
      <x:sz val="12"/>
      <x:color rgb="FF23395B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f372ce6f34fa9" /><Relationship Type="http://schemas.openxmlformats.org/officeDocument/2006/relationships/theme" Target="/xl/theme/theme1.xml" Id="R1c2df773fe5245cd" /><Relationship Type="http://schemas.openxmlformats.org/officeDocument/2006/relationships/sharedStrings" Target="/xl/sharedStrings.xml" Id="R0098288b95084c38" /><Relationship Type="http://schemas.openxmlformats.org/officeDocument/2006/relationships/worksheet" Target="/xl/worksheets/sheet1.xml" Id="R32b5b0d6d0964456" /><Relationship Type="http://schemas.openxmlformats.org/officeDocument/2006/relationships/worksheet" Target="/xl/worksheets/sheet2.xml" Id="Rd0fdd2d2d1b84dad" /><Relationship Type="http://schemas.openxmlformats.org/officeDocument/2006/relationships/worksheet" Target="/xl/worksheets/sheet3.xml" Id="R88cff9a9362b432c" /><Relationship Type="http://schemas.openxmlformats.org/officeDocument/2006/relationships/worksheet" Target="/xl/worksheets/sheet4.xml" Id="R3695c42c11e04a3b" /><Relationship Type="http://schemas.openxmlformats.org/officeDocument/2006/relationships/worksheet" Target="/xl/worksheets/sheet5.xml" Id="Rfa3477b2b83844af" /><Relationship Type="http://schemas.openxmlformats.org/officeDocument/2006/relationships/worksheet" Target="/xl/worksheets/sheet6.xml" Id="Rec47d523b53e4428" /><Relationship Type="http://schemas.openxmlformats.org/officeDocument/2006/relationships/worksheet" Target="/xl/worksheets/sheet7.xml" Id="R3888b4cc469f4ee0" /><Relationship Type="http://schemas.openxmlformats.org/officeDocument/2006/relationships/worksheet" Target="/xl/worksheets/sheet8.xml" Id="R3c5641bf6fd142f0" /><Relationship Type="http://schemas.openxmlformats.org/officeDocument/2006/relationships/worksheet" Target="/xl/worksheets/sheet9.xml" Id="Rfab37634c8f94b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c065257f5a44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结构树改变节点占比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P级改变占比</c:v>
          </c:tx>
          <c:spPr>
            <a:solidFill xmlns:a="http://schemas.openxmlformats.org/drawingml/2006/main">
              <a:srgbClr val="345A8A"/>
            </a:solidFill>
          </c:spPr>
          <c:invertIfNegative val="0"/>
          <c:cat>
            <c:strRef>
              <c:f>'总览'!$A$22:$A$27</c:f>
              <c:strCache>
                <c:ptCount val="0"/>
              </c:strCache>
            </c:strRef>
          </c:cat>
          <c:val>
            <c:numRef>
              <c:f>'总览'!$B$22:$B$27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功能改变占比</c:v>
          </c:tx>
          <c:spPr>
            <a:solidFill xmlns:a="http://schemas.openxmlformats.org/drawingml/2006/main">
              <a:srgbClr val="B79A60"/>
            </a:solidFill>
          </c:spPr>
          <c:invertIfNegative val="0"/>
          <c:cat>
            <c:strRef>
              <c:f>'总览'!$A$22:$A$27</c:f>
              <c:strCache>
                <c:ptCount val="0"/>
              </c:strCache>
            </c:strRef>
          </c:cat>
          <c:val>
            <c:numRef>
              <c:f>'总览'!$C$22:$C$27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c065257f5a44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8" name="OverviewMain" displayName="OverviewMain" ref="A4:M16" headerRowCount="1" totalsRowCount="0" totalsRowShown="0">
  <x:autoFilter ref="A4:M16"/>
  <x:tableColumns count="13">
    <x:tableColumn id="1" name="配置"/>
    <x:tableColumn id="2" name="节点数"/>
    <x:tableColumn id="3" name="P1–P3"/>
    <x:tableColumn id="4" name="P5"/>
    <x:tableColumn id="5" name="P6"/>
    <x:tableColumn id="6" name="P8–P10"/>
    <x:tableColumn id="7" name="无对象级输出"/>
    <x:tableColumn id="8" name="功能未知"/>
    <x:tableColumn id="9" name="N/C冲突数"/>
    <x:tableColumn id="10" name="名称参考一致"/>
    <x:tableColumn id="11" name="对象级覆盖"/>
    <x:tableColumn id="12" name="QEM平均误差"/>
    <x:tableColumn id="13" name="实际三角形比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eAllocation" displayName="NodeAllocation" ref="A4:N88" headerRowCount="1" totalsRowCount="0" totalsRowShown="0">
  <x:autoFilter ref="A4:N88"/>
  <x:tableColumns count="14">
    <x:tableColumn id="1" name="模型"/>
    <x:tableColumn id="2" name="组合"/>
    <x:tableColumn id="3" name="树辅助"/>
    <x:tableColumn id="4" name="节点数"/>
    <x:tableColumn id="5" name="P1"/>
    <x:tableColumn id="6" name="P2"/>
    <x:tableColumn id="7" name="P3"/>
    <x:tableColumn id="8" name="P4"/>
    <x:tableColumn id="9" name="P5"/>
    <x:tableColumn id="10" name="P6"/>
    <x:tableColumn id="11" name="P7"/>
    <x:tableColumn id="12" name="P8"/>
    <x:tableColumn id="13" name="P9"/>
    <x:tableColumn id="14" name="P1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eAllocation" displayName="FaceAllocation" ref="A4:N88" headerRowCount="1" totalsRowCount="0" totalsRowShown="0">
  <x:autoFilter ref="A4:N88"/>
  <x:tableColumns count="14">
    <x:tableColumn id="1" name="模型"/>
    <x:tableColumn id="2" name="组合"/>
    <x:tableColumn id="3" name="树辅助"/>
    <x:tableColumn id="4" name="源三角形数"/>
    <x:tableColumn id="5" name="P1"/>
    <x:tableColumn id="6" name="P2"/>
    <x:tableColumn id="7" name="P3"/>
    <x:tableColumn id="8" name="P4"/>
    <x:tableColumn id="9" name="P5"/>
    <x:tableColumn id="10" name="P6"/>
    <x:tableColumn id="11" name="P7"/>
    <x:tableColumn id="12" name="P8"/>
    <x:tableColumn id="13" name="P9"/>
    <x:tableColumn id="14" name="P1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eePairs" displayName="TreePairs" ref="A4:U46" headerRowCount="1" totalsRowCount="0" totalsRowShown="0">
  <x:autoFilter ref="A4:U46"/>
  <x:tableColumns count="21">
    <x:tableColumn id="1" name="模型"/>
    <x:tableColumn id="2" name="组合"/>
    <x:tableColumn id="3" name="节点数"/>
    <x:tableColumn id="4" name="P级改变"/>
    <x:tableColumn id="5" name="改变占比"/>
    <x:tableColumn id="6" name="升级"/>
    <x:tableColumn id="7" name="降级"/>
    <x:tableColumn id="8" name="功能改变"/>
    <x:tableColumn id="9" name="身份改变"/>
    <x:tableColumn id="10" name="动作改变"/>
    <x:tableColumn id="11" name="平均P变化"/>
    <x:tableColumn id="12" name="P1变化(pp)"/>
    <x:tableColumn id="13" name="P2变化(pp)"/>
    <x:tableColumn id="14" name="P3变化(pp)"/>
    <x:tableColumn id="15" name="P4变化(pp)"/>
    <x:tableColumn id="16" name="P5变化(pp)"/>
    <x:tableColumn id="17" name="P6变化(pp)"/>
    <x:tableColumn id="18" name="P7变化(pp)"/>
    <x:tableColumn id="19" name="P8变化(pp)"/>
    <x:tableColumn id="20" name="P9变化(pp)"/>
    <x:tableColumn id="21" name="P10变化(pp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idenceConflicts" displayName="ConfidenceConflicts" ref="A4:Q88" headerRowCount="1" totalsRowCount="0" totalsRowShown="0">
  <x:autoFilter ref="A4:Q88"/>
  <x:tableColumns count="17">
    <x:tableColumn id="1" name="模型"/>
    <x:tableColumn id="2" name="组合"/>
    <x:tableColumn id="3" name="树辅助"/>
    <x:tableColumn id="4" name="节点数"/>
    <x:tableColumn id="5" name="N未可靠数"/>
    <x:tableColumn id="6" name="C无对象数"/>
    <x:tableColumn id="7" name="无对象级输出"/>
    <x:tableColumn id="8" name="无对象比例"/>
    <x:tableColumn id="9" name="功能未知数"/>
    <x:tableColumn id="10" name="未知功能比例"/>
    <x:tableColumn id="11" name="N/C冲突数"/>
    <x:tableColumn id="12" name="形状冲突数"/>
    <x:tableColumn id="13" name="需复核数"/>
    <x:tableColumn id="14" name="名称参考数"/>
    <x:tableColumn id="15" name="参考中覆盖数"/>
    <x:tableColumn id="16" name="参考中一致数"/>
    <x:tableColumn id="17" name="全部参考中一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owConfidenceTypes" displayName="LowConfidenceTypes" ref="A4:I266" headerRowCount="1" totalsRowCount="0" totalsRowShown="0">
  <x:autoFilter ref="A4:I266"/>
  <x:tableColumns count="9">
    <x:tableColumn id="1" name="模型"/>
    <x:tableColumn id="2" name="分支"/>
    <x:tableColumn id="3" name="候选类型ID"/>
    <x:tableColumn id="4" name="中文提示"/>
    <x:tableColumn id="5" name="候选总数"/>
    <x:tableColumn id="6" name="低置信数"/>
    <x:tableColumn id="7" name="类内低置信比例"/>
    <x:tableColumn id="8" name="占低置信池"/>
    <x:tableColumn id="9" name="低置信源三角形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eometryDiagnostics" displayName="GeometryDiagnostics" ref="A4:N88" headerRowCount="1" totalsRowCount="0" totalsRowShown="0">
  <x:autoFilter ref="A4:N88"/>
  <x:tableColumns count="14">
    <x:tableColumn id="1" name="模型"/>
    <x:tableColumn id="2" name="组合"/>
    <x:tableColumn id="3" name="树辅助"/>
    <x:tableColumn id="4" name="节点数"/>
    <x:tableColumn id="5" name="源三角形数"/>
    <x:tableColumn id="6" name="请求三角形数"/>
    <x:tableColumn id="7" name="实际三角形数"/>
    <x:tableColumn id="8" name="请求保留比例"/>
    <x:tableColumn id="9" name="实际保留比例"/>
    <x:tableColumn id="10" name="平均QEM误差"/>
    <x:tableColumn id="11" name="面数加权误差"/>
    <x:tableColumn id="12" name="轴收缩&gt;10%节点"/>
    <x:tableColumn id="13" name="显著分量丢失节点"/>
    <x:tableColumn id="14" name="空几何节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" name="SourceCounts" displayName="SourceCounts" ref="A4:AH76" headerRowCount="1" totalsRowCount="0" totalsRowShown="0">
  <x:autoFilter ref="A4:AH76"/>
  <x:tableColumns count="34">
    <x:tableColumn id="1" name="模型"/>
    <x:tableColumn id="2" name="配置"/>
    <x:tableColumn id="3" name="节点数"/>
    <x:tableColumn id="4" name="源三角形数"/>
    <x:tableColumn id="5" name="P1节点数"/>
    <x:tableColumn id="6" name="P2节点数"/>
    <x:tableColumn id="7" name="P3节点数"/>
    <x:tableColumn id="8" name="P4节点数"/>
    <x:tableColumn id="9" name="P5节点数"/>
    <x:tableColumn id="10" name="P6节点数"/>
    <x:tableColumn id="11" name="P7节点数"/>
    <x:tableColumn id="12" name="P8节点数"/>
    <x:tableColumn id="13" name="P9节点数"/>
    <x:tableColumn id="14" name="P10节点数"/>
    <x:tableColumn id="15" name="P1源三角形数"/>
    <x:tableColumn id="16" name="P2源三角形数"/>
    <x:tableColumn id="17" name="P3源三角形数"/>
    <x:tableColumn id="18" name="P4源三角形数"/>
    <x:tableColumn id="19" name="P5源三角形数"/>
    <x:tableColumn id="20" name="P6源三角形数"/>
    <x:tableColumn id="21" name="P7源三角形数"/>
    <x:tableColumn id="22" name="P8源三角形数"/>
    <x:tableColumn id="23" name="P9源三角形数"/>
    <x:tableColumn id="24" name="P10源三角形数"/>
    <x:tableColumn id="25" name="无对象级输出"/>
    <x:tableColumn id="26" name="功能未知"/>
    <x:tableColumn id="27" name="N/C冲突"/>
    <x:tableColumn id="28" name="几何类型冲突"/>
    <x:tableColumn id="29" name="需复核"/>
    <x:tableColumn id="30" name="N未可靠"/>
    <x:tableColumn id="31" name="C无对象输出"/>
    <x:tableColumn id="32" name="名称参考数"/>
    <x:tableColumn id="33" name="参考中覆盖数"/>
    <x:tableColumn id="34" name="参考中一致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f3a748b28840bd" /><Relationship Type="http://schemas.openxmlformats.org/officeDocument/2006/relationships/table" Target="/xl/tables/table1.xml" Id="R8899dbcf3f8147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f6b2daffd644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4b88a785a54d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499e76ee7e4c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631b1f2d874d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96988fea58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672353703846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5d0ee694f634d94" /></Relationships>
</file>

<file path=xl/worksheets/sheet1.xml><?xml version="1.0" encoding="utf-8"?>
<x:worksheet xmlns:x="http://schemas.openxmlformats.org/spreadsheetml/2006/main">
  <x:sheetPr>
    <x:tabColor rgb="FF23395B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7" hidden="0" customWidth="1"/>
    <x:col min="7" max="7" width="20" hidden="0" customWidth="1"/>
    <x:col min="8" max="8" width="17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六模型六组合与结构树消融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 t="str">
        <x:v>六模型11,000节点；72组主实验。H0/H1配对，M与迁移回退均关闭。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4" customHeight="1">
      <x:c r="A4" s="8" t="str">
        <x:v>配置</x:v>
      </x:c>
      <x:c r="B4" s="8" t="str">
        <x:v>节点数</x:v>
      </x:c>
      <x:c r="C4" s="8" t="str">
        <x:v>P1–P3</x:v>
      </x:c>
      <x:c r="D4" s="8" t="str">
        <x:v>P5</x:v>
      </x:c>
      <x:c r="E4" s="8" t="str">
        <x:v>P6</x:v>
      </x:c>
      <x:c r="F4" s="8" t="str">
        <x:v>P8–P10</x:v>
      </x:c>
      <x:c r="G4" s="8" t="str">
        <x:v>无对象级输出</x:v>
      </x:c>
      <x:c r="H4" s="8" t="str">
        <x:v>功能未知</x:v>
      </x:c>
      <x:c r="I4" s="8" t="str">
        <x:v>N/C冲突数</x:v>
      </x:c>
      <x:c r="J4" s="8" t="str">
        <x:v>名称参考一致</x:v>
      </x:c>
      <x:c r="K4" s="8" t="str">
        <x:v>对象级覆盖</x:v>
      </x:c>
      <x:c r="L4" s="8" t="str">
        <x:v>QEM平均误差</x:v>
      </x:c>
      <x:c r="M4" s="8" t="str">
        <x:v>实际三角形比例</x:v>
      </x:c>
    </x:row>
    <x:row r="5" ht="23" customHeight="1">
      <x:c r="A5" s="17" t="str">
        <x:v>N_H0</x:v>
      </x:c>
      <x:c r="B5" s="13" t="n">
        <x:v>11000</x:v>
      </x:c>
      <x:c r="C5" s="20" t="n">
        <x:f>SUM('P等级节点占比'!E5:G5)</x:f>
        <x:v>0.14018181818181819</x:v>
      </x:c>
      <x:c r="D5" s="14" t="n">
        <x:f>'P等级节点占比'!I5</x:f>
        <x:v>0.5906363636363636</x:v>
      </x:c>
      <x:c r="E5" s="14" t="n">
        <x:f>'P等级节点占比'!J5</x:f>
        <x:v>0.0011818181818181819</x:v>
      </x:c>
      <x:c r="F5" s="14" t="n">
        <x:f>SUM('P等级节点占比'!L5:N5)</x:f>
        <x:v>0.069</x:v>
      </x:c>
      <x:c r="G5" s="14" t="n">
        <x:f>'置信度与冲突'!H5</x:f>
        <x:v>0.6021818181818182</x:v>
      </x:c>
      <x:c r="H5" s="14" t="n">
        <x:f>'置信度与冲突'!J5</x:f>
        <x:v>0.7292727272727273</x:v>
      </x:c>
      <x:c r="I5" s="11" t="n">
        <x:v>0</x:v>
      </x:c>
      <x:c r="J5" s="14" t="n">
        <x:f>'置信度与冲突'!Q5</x:f>
        <x:v>0.35419847328244275</x:v>
      </x:c>
      <x:c r="K5" s="14" t="n">
        <x:f>'置信度与冲突'!O5/'置信度与冲突'!N5</x:f>
        <x:v>0.5328244274809161</x:v>
      </x:c>
      <x:c r="L5" s="19" t="n">
        <x:f>'几何诊断'!J5</x:f>
        <x:v>0.04502432573060279</x:v>
      </x:c>
      <x:c r="M5" s="18" t="n">
        <x:f>'几何诊断'!I5</x:f>
        <x:v>0.5207179655501945</x:v>
      </x:c>
    </x:row>
    <x:row r="6" ht="23" customHeight="1">
      <x:c r="A6" s="17" t="str">
        <x:v>N_H1</x:v>
      </x:c>
      <x:c r="B6" s="13" t="n">
        <x:v>11000</x:v>
      </x:c>
      <x:c r="C6" s="20" t="n">
        <x:f>SUM('P等级节点占比'!E6:G6)</x:f>
        <x:v>0.13318181818181818</x:v>
      </x:c>
      <x:c r="D6" s="14" t="n">
        <x:f>'P等级节点占比'!I6</x:f>
        <x:v>0.5794545454545454</x:v>
      </x:c>
      <x:c r="E6" s="14" t="n">
        <x:f>'P等级节点占比'!J6</x:f>
        <x:v>0.019</x:v>
      </x:c>
      <x:c r="F6" s="14" t="n">
        <x:f>SUM('P等级节点占比'!L6:N6)</x:f>
        <x:v>0.069</x:v>
      </x:c>
      <x:c r="G6" s="14" t="n">
        <x:f>'置信度与冲突'!H6</x:f>
        <x:v>0.6021818181818182</x:v>
      </x:c>
      <x:c r="H6" s="14" t="n">
        <x:f>'置信度与冲突'!J6</x:f>
        <x:v>0.7292727272727273</x:v>
      </x:c>
      <x:c r="I6" s="11" t="n">
        <x:v>0</x:v>
      </x:c>
      <x:c r="J6" s="14" t="n">
        <x:f>'置信度与冲突'!Q6</x:f>
        <x:v>0.35419847328244275</x:v>
      </x:c>
      <x:c r="K6" s="14" t="n">
        <x:f>'置信度与冲突'!O6/'置信度与冲突'!N6</x:f>
        <x:v>0.5328244274809161</x:v>
      </x:c>
      <x:c r="L6" s="19" t="n">
        <x:f>'几何诊断'!J6</x:f>
        <x:v>0.044780409955571664</x:v>
      </x:c>
      <x:c r="M6" s="18" t="n">
        <x:f>'几何诊断'!I6</x:f>
        <x:v>0.5207229171719915</x:v>
      </x:c>
    </x:row>
    <x:row r="7" ht="23" customHeight="1">
      <x:c r="A7" s="17" t="str">
        <x:v>C_H0</x:v>
      </x:c>
      <x:c r="B7" s="13" t="n">
        <x:v>11000</x:v>
      </x:c>
      <x:c r="C7" s="20" t="n">
        <x:f>SUM('P等级节点占比'!E7:G7)</x:f>
        <x:v>0.319</x:v>
      </x:c>
      <x:c r="D7" s="14" t="n">
        <x:f>'P等级节点占比'!I7</x:f>
        <x:v>0.6765454545454546</x:v>
      </x:c>
      <x:c r="E7" s="14" t="n">
        <x:f>'P等级节点占比'!J7</x:f>
        <x:v>0</x:v>
      </x:c>
      <x:c r="F7" s="14" t="n">
        <x:f>SUM('P等级节点占比'!L7:N7)</x:f>
        <x:v>0.0020909090909090908</x:v>
      </x:c>
      <x:c r="G7" s="14" t="n">
        <x:f>'置信度与冲突'!H7</x:f>
        <x:v>0.6765454545454546</x:v>
      </x:c>
      <x:c r="H7" s="14" t="n">
        <x:f>'置信度与冲突'!J7</x:f>
        <x:v>0.6787272727272727</x:v>
      </x:c>
      <x:c r="I7" s="11" t="n">
        <x:v>0</x:v>
      </x:c>
      <x:c r="J7" s="14" t="n">
        <x:f>'置信度与冲突'!Q7</x:f>
        <x:v>0.14961832061068703</x:v>
      </x:c>
      <x:c r="K7" s="14" t="n">
        <x:f>'置信度与冲突'!O7/'置信度与冲突'!N7</x:f>
        <x:v>0.2717557251908397</x:v>
      </x:c>
      <x:c r="L7" s="19" t="n">
        <x:f>'几何诊断'!J7</x:f>
        <x:v>0.051073358766438454</x:v>
      </x:c>
      <x:c r="M7" s="18" t="n">
        <x:f>'几何诊断'!I7</x:f>
        <x:v>0.4957950312926564</x:v>
      </x:c>
    </x:row>
    <x:row r="8" ht="23" customHeight="1">
      <x:c r="A8" s="17" t="str">
        <x:v>C_H1</x:v>
      </x:c>
      <x:c r="B8" s="13" t="n">
        <x:v>11000</x:v>
      </x:c>
      <x:c r="C8" s="20" t="n">
        <x:f>SUM('P等级节点占比'!E8:G8)</x:f>
        <x:v>0.30636363636363634</x:v>
      </x:c>
      <x:c r="D8" s="14" t="n">
        <x:f>'P等级节点占比'!I8</x:f>
        <x:v>0.6765454545454546</x:v>
      </x:c>
      <x:c r="E8" s="14" t="n">
        <x:f>'P等级节点占比'!J8</x:f>
        <x:v>0.012636363636363637</x:v>
      </x:c>
      <x:c r="F8" s="14" t="n">
        <x:f>SUM('P等级节点占比'!L8:N8)</x:f>
        <x:v>0.0020909090909090908</x:v>
      </x:c>
      <x:c r="G8" s="14" t="n">
        <x:f>'置信度与冲突'!H8</x:f>
        <x:v>0.6765454545454546</x:v>
      </x:c>
      <x:c r="H8" s="14" t="n">
        <x:f>'置信度与冲突'!J8</x:f>
        <x:v>0.6787272727272727</x:v>
      </x:c>
      <x:c r="I8" s="11" t="n">
        <x:v>0</x:v>
      </x:c>
      <x:c r="J8" s="14" t="n">
        <x:f>'置信度与冲突'!Q8</x:f>
        <x:v>0.14961832061068703</x:v>
      </x:c>
      <x:c r="K8" s="14" t="n">
        <x:f>'置信度与冲突'!O8/'置信度与冲突'!N8</x:f>
        <x:v>0.2717557251908397</x:v>
      </x:c>
      <x:c r="L8" s="19" t="n">
        <x:f>'几何诊断'!J8</x:f>
        <x:v>0.05091994772793102</x:v>
      </x:c>
      <x:c r="M8" s="18" t="n">
        <x:f>'几何诊断'!I8</x:f>
        <x:v>0.4958011595374548</x:v>
      </x:c>
    </x:row>
    <x:row r="9" ht="23" customHeight="1">
      <x:c r="A9" s="17" t="str">
        <x:v>NG_H0</x:v>
      </x:c>
      <x:c r="B9" s="13" t="n">
        <x:v>11000</x:v>
      </x:c>
      <x:c r="C9" s="20" t="n">
        <x:f>SUM('P等级节点占比'!E9:G9)</x:f>
        <x:v>0.099</x:v>
      </x:c>
      <x:c r="D9" s="14" t="n">
        <x:f>'P等级节点占比'!I9</x:f>
        <x:v>0.31154545454545457</x:v>
      </x:c>
      <x:c r="E9" s="14" t="n">
        <x:f>'P等级节点占比'!J9</x:f>
        <x:v>0.32145454545454544</x:v>
      </x:c>
      <x:c r="F9" s="14" t="n">
        <x:f>SUM('P等级节点占比'!L9:N9)</x:f>
        <x:v>0.069</x:v>
      </x:c>
      <x:c r="G9" s="14" t="n">
        <x:f>'置信度与冲突'!H9</x:f>
        <x:v>0.6021818181818182</x:v>
      </x:c>
      <x:c r="H9" s="14" t="n">
        <x:f>'置信度与冲突'!J9</x:f>
        <x:v>0.7292727272727273</x:v>
      </x:c>
      <x:c r="I9" s="11" t="n">
        <x:v>0</x:v>
      </x:c>
      <x:c r="J9" s="14" t="n">
        <x:f>'置信度与冲突'!Q9</x:f>
        <x:v>0.35419847328244275</x:v>
      </x:c>
      <x:c r="K9" s="14" t="n">
        <x:f>'置信度与冲突'!O9/'置信度与冲突'!N9</x:f>
        <x:v>0.5328244274809161</x:v>
      </x:c>
      <x:c r="L9" s="19" t="n">
        <x:f>'几何诊断'!J9</x:f>
        <x:v>0.04382853287262854</x:v>
      </x:c>
      <x:c r="M9" s="18" t="n">
        <x:f>'几何诊断'!I9</x:f>
        <x:v>0.5236495952968417</x:v>
      </x:c>
    </x:row>
    <x:row r="10" ht="23" customHeight="1">
      <x:c r="A10" s="17" t="str">
        <x:v>NG_H1</x:v>
      </x:c>
      <x:c r="B10" s="13" t="n">
        <x:v>11000</x:v>
      </x:c>
      <x:c r="C10" s="20" t="n">
        <x:f>SUM('P等级节点占比'!E10:G10)</x:f>
        <x:v>0.08081818181818182</x:v>
      </x:c>
      <x:c r="D10" s="14" t="n">
        <x:f>'P等级节点占比'!I10</x:f>
        <x:v>0.31936363636363635</x:v>
      </x:c>
      <x:c r="E10" s="14" t="n">
        <x:f>'P等级节点占比'!J10</x:f>
        <x:v>0.33145454545454545</x:v>
      </x:c>
      <x:c r="F10" s="14" t="n">
        <x:f>SUM('P等级节点占比'!L10:N10)</x:f>
        <x:v>0.069</x:v>
      </x:c>
      <x:c r="G10" s="14" t="n">
        <x:f>'置信度与冲突'!H10</x:f>
        <x:v>0.6021818181818182</x:v>
      </x:c>
      <x:c r="H10" s="14" t="n">
        <x:f>'置信度与冲突'!J10</x:f>
        <x:v>0.7292727272727273</x:v>
      </x:c>
      <x:c r="I10" s="11" t="n">
        <x:v>0</x:v>
      </x:c>
      <x:c r="J10" s="14" t="n">
        <x:f>'置信度与冲突'!Q10</x:f>
        <x:v>0.35419847328244275</x:v>
      </x:c>
      <x:c r="K10" s="14" t="n">
        <x:f>'置信度与冲突'!O10/'置信度与冲突'!N10</x:f>
        <x:v>0.5328244274809161</x:v>
      </x:c>
      <x:c r="L10" s="19" t="n">
        <x:f>'几何诊断'!J10</x:f>
        <x:v>0.04362352670823407</x:v>
      </x:c>
      <x:c r="M10" s="18" t="n">
        <x:f>'几何诊断'!I10</x:f>
        <x:v>0.5236543017888469</x:v>
      </x:c>
    </x:row>
    <x:row r="11" ht="23" customHeight="1">
      <x:c r="A11" s="17" t="str">
        <x:v>CG_H0</x:v>
      </x:c>
      <x:c r="B11" s="13" t="n">
        <x:v>11000</x:v>
      </x:c>
      <x:c r="C11" s="20" t="n">
        <x:f>SUM('P等级节点占比'!E11:G11)</x:f>
        <x:v>0.13390909090909092</x:v>
      </x:c>
      <x:c r="D11" s="14" t="n">
        <x:f>'P等级节点占比'!I11</x:f>
        <x:v>0.4016363636363636</x:v>
      </x:c>
      <x:c r="E11" s="14" t="n">
        <x:f>'P等级节点占比'!J11</x:f>
        <x:v>0.46</x:v>
      </x:c>
      <x:c r="F11" s="14" t="n">
        <x:f>SUM('P等级节点占比'!L11:N11)</x:f>
        <x:v>0.0020909090909090908</x:v>
      </x:c>
      <x:c r="G11" s="14" t="n">
        <x:f>'置信度与冲突'!H11</x:f>
        <x:v>0.6768181818181818</x:v>
      </x:c>
      <x:c r="H11" s="14" t="n">
        <x:f>'置信度与冲突'!J11</x:f>
        <x:v>0.679</x:v>
      </x:c>
      <x:c r="I11" s="11" t="n">
        <x:v>0</x:v>
      </x:c>
      <x:c r="J11" s="14" t="n">
        <x:f>'置信度与冲突'!Q11</x:f>
        <x:v>0.14961832061068703</x:v>
      </x:c>
      <x:c r="K11" s="14" t="n">
        <x:f>'置信度与冲突'!O11/'置信度与冲突'!N11</x:f>
        <x:v>0.2717557251908397</x:v>
      </x:c>
      <x:c r="L11" s="19" t="n">
        <x:f>'几何诊断'!J11</x:f>
        <x:v>0.04862576561003565</x:v>
      </x:c>
      <x:c r="M11" s="18" t="n">
        <x:f>'几何诊断'!I11</x:f>
        <x:v>0.5049995569279011</x:v>
      </x:c>
    </x:row>
    <x:row r="12" ht="23" customHeight="1">
      <x:c r="A12" s="17" t="str">
        <x:v>CG_H1</x:v>
      </x:c>
      <x:c r="B12" s="13" t="n">
        <x:v>11000</x:v>
      </x:c>
      <x:c r="C12" s="20" t="n">
        <x:f>SUM('P等级节点占比'!E12:G12)</x:f>
        <x:v>0.10354545454545455</x:v>
      </x:c>
      <x:c r="D12" s="14" t="n">
        <x:f>'P等级节点占比'!I12</x:f>
        <x:v>0.4228181818181818</x:v>
      </x:c>
      <x:c r="E12" s="14" t="n">
        <x:f>'P等级节点占比'!J12</x:f>
        <x:v>0.4691818181818182</x:v>
      </x:c>
      <x:c r="F12" s="14" t="n">
        <x:f>SUM('P等级节点占比'!L12:N12)</x:f>
        <x:v>0.0020909090909090908</x:v>
      </x:c>
      <x:c r="G12" s="14" t="n">
        <x:f>'置信度与冲突'!H12</x:f>
        <x:v>0.6807272727272727</x:v>
      </x:c>
      <x:c r="H12" s="14" t="n">
        <x:f>'置信度与冲突'!J12</x:f>
        <x:v>0.6829090909090909</x:v>
      </x:c>
      <x:c r="I12" s="11" t="n">
        <x:v>0</x:v>
      </x:c>
      <x:c r="J12" s="14" t="n">
        <x:f>'置信度与冲突'!Q12</x:f>
        <x:v>0.14961832061068703</x:v>
      </x:c>
      <x:c r="K12" s="14" t="n">
        <x:f>'置信度与冲突'!O12/'置信度与冲突'!N12</x:f>
        <x:v>0.26564885496183205</x:v>
      </x:c>
      <x:c r="L12" s="19" t="n">
        <x:f>'几何诊断'!J12</x:f>
        <x:v>0.04846282836685125</x:v>
      </x:c>
      <x:c r="M12" s="18" t="n">
        <x:f>'几何诊断'!I12</x:f>
        <x:v>0.5050291686067668</x:v>
      </x:c>
    </x:row>
    <x:row r="13" ht="23" customHeight="1">
      <x:c r="A13" s="17" t="str">
        <x:v>NC_H0</x:v>
      </x:c>
      <x:c r="B13" s="13" t="n">
        <x:v>11000</x:v>
      </x:c>
      <x:c r="C13" s="20" t="n">
        <x:f>SUM('P等级节点占比'!E13:G13)</x:f>
        <x:v>0.28963636363636364</x:v>
      </x:c>
      <x:c r="D13" s="14" t="n">
        <x:f>'P等级节点占比'!I13</x:f>
        <x:v>0.4562727272727273</x:v>
      </x:c>
      <x:c r="E13" s="14" t="n">
        <x:f>'P等级节点占比'!J13</x:f>
        <x:v>0.0005454545454545455</x:v>
      </x:c>
      <x:c r="F13" s="14" t="n">
        <x:f>SUM('P等级节点占比'!L13:N13)</x:f>
        <x:v>0.04681818181818182</x:v>
      </x:c>
      <x:c r="G13" s="14" t="n">
        <x:f>'置信度与冲突'!H13</x:f>
        <x:v>0.4899090909090909</x:v>
      </x:c>
      <x:c r="H13" s="14" t="n">
        <x:f>'置信度与冲突'!J13</x:f>
        <x:v>0.609</x:v>
      </x:c>
      <x:c r="I13" s="11" t="n">
        <x:v>1529</x:v>
      </x:c>
      <x:c r="J13" s="14" t="n">
        <x:f>'置信度与冲突'!Q13</x:f>
        <x:v>0.26106870229007634</x:v>
      </x:c>
      <x:c r="K13" s="14" t="n">
        <x:f>'置信度与冲突'!O13/'置信度与冲突'!N13</x:f>
        <x:v>0.36335877862595417</x:v>
      </x:c>
      <x:c r="L13" s="19" t="n">
        <x:f>'几何诊断'!J13</x:f>
        <x:v>0.04556498307557668</x:v>
      </x:c>
      <x:c r="M13" s="18" t="n">
        <x:f>'几何诊断'!I13</x:f>
        <x:v>0.5133532860812975</x:v>
      </x:c>
    </x:row>
    <x:row r="14" ht="23" customHeight="1">
      <x:c r="A14" s="17" t="str">
        <x:v>NC_H1</x:v>
      </x:c>
      <x:c r="B14" s="13" t="n">
        <x:v>11000</x:v>
      </x:c>
      <x:c r="C14" s="20" t="n">
        <x:f>SUM('P等级节点占比'!E14:G14)</x:f>
        <x:v>0.2801818181818182</x:v>
      </x:c>
      <x:c r="D14" s="14" t="n">
        <x:f>'P等级节点占比'!I14</x:f>
        <x:v>0.4465454545454545</x:v>
      </x:c>
      <x:c r="E14" s="14" t="n">
        <x:f>'P等级节点占比'!J14</x:f>
        <x:v>0.01927272727272727</x:v>
      </x:c>
      <x:c r="F14" s="14" t="n">
        <x:f>SUM('P等级节点占比'!L14:N14)</x:f>
        <x:v>0.04681818181818182</x:v>
      </x:c>
      <x:c r="G14" s="14" t="n">
        <x:f>'置信度与冲突'!H14</x:f>
        <x:v>0.4899090909090909</x:v>
      </x:c>
      <x:c r="H14" s="14" t="n">
        <x:f>'置信度与冲突'!J14</x:f>
        <x:v>0.609</x:v>
      </x:c>
      <x:c r="I14" s="11" t="n">
        <x:v>1529</x:v>
      </x:c>
      <x:c r="J14" s="14" t="n">
        <x:f>'置信度与冲突'!Q14</x:f>
        <x:v>0.26106870229007634</x:v>
      </x:c>
      <x:c r="K14" s="14" t="n">
        <x:f>'置信度与冲突'!O14/'置信度与冲突'!N14</x:f>
        <x:v>0.36335877862595417</x:v>
      </x:c>
      <x:c r="L14" s="19" t="n">
        <x:f>'几何诊断'!J14</x:f>
        <x:v>0.045416376427760495</x:v>
      </x:c>
      <x:c r="M14" s="18" t="n">
        <x:f>'几何诊断'!I14</x:f>
        <x:v>0.5133593653001375</x:v>
      </x:c>
    </x:row>
    <x:row r="15" ht="23" customHeight="1">
      <x:c r="A15" s="17" t="str">
        <x:v>NCG_H0</x:v>
      </x:c>
      <x:c r="B15" s="13" t="n">
        <x:v>11000</x:v>
      </x:c>
      <x:c r="C15" s="20" t="n">
        <x:f>SUM('P等级节点占比'!E15:G15)</x:f>
        <x:v>0.12218181818181818</x:v>
      </x:c>
      <x:c r="D15" s="14" t="n">
        <x:f>'P等级节点占比'!I15</x:f>
        <x:v>0.2908181818181818</x:v>
      </x:c>
      <x:c r="E15" s="14" t="n">
        <x:f>'P等级节点占比'!J15</x:f>
        <x:v>0.33345454545454545</x:v>
      </x:c>
      <x:c r="F15" s="14" t="n">
        <x:f>SUM('P等级节点占比'!L15:N15)</x:f>
        <x:v>0.04681818181818182</x:v>
      </x:c>
      <x:c r="G15" s="14" t="n">
        <x:f>'置信度与冲突'!H15</x:f>
        <x:v>0.49018181818181816</x:v>
      </x:c>
      <x:c r="H15" s="14" t="n">
        <x:f>'置信度与冲突'!J15</x:f>
        <x:v>0.6092727272727273</x:v>
      </x:c>
      <x:c r="I15" s="11" t="n">
        <x:v>1529</x:v>
      </x:c>
      <x:c r="J15" s="14" t="n">
        <x:f>'置信度与冲突'!Q15</x:f>
        <x:v>0.26106870229007634</x:v>
      </x:c>
      <x:c r="K15" s="14" t="n">
        <x:f>'置信度与冲突'!O15/'置信度与冲突'!N15</x:f>
        <x:v>0.36335877862595417</x:v>
      </x:c>
      <x:c r="L15" s="19" t="n">
        <x:f>'几何诊断'!J15</x:f>
        <x:v>0.04372486535287029</x:v>
      </x:c>
      <x:c r="M15" s="18" t="n">
        <x:f>'几何诊断'!I15</x:f>
        <x:v>0.5168093955307691</x:v>
      </x:c>
    </x:row>
    <x:row r="16" ht="23" customHeight="1">
      <x:c r="A16" s="17" t="str">
        <x:v>NCG_H1</x:v>
      </x:c>
      <x:c r="B16" s="13" t="n">
        <x:v>11000</x:v>
      </x:c>
      <x:c r="C16" s="20" t="n">
        <x:f>SUM('P等级节点占比'!E16:G16)</x:f>
        <x:v>0.09881818181818182</x:v>
      </x:c>
      <x:c r="D16" s="14" t="n">
        <x:f>'P等级节点占比'!I16</x:f>
        <x:v>0.30527272727272725</x:v>
      </x:c>
      <x:c r="E16" s="14" t="n">
        <x:f>'P等级节点占比'!J16</x:f>
        <x:v>0.3419090909090909</x:v>
      </x:c>
      <x:c r="F16" s="14" t="n">
        <x:f>SUM('P等级节点占比'!L16:N16)</x:f>
        <x:v>0.04681818181818182</x:v>
      </x:c>
      <x:c r="G16" s="14" t="n">
        <x:f>'置信度与冲突'!H16</x:f>
        <x:v>0.49372727272727274</x:v>
      </x:c>
      <x:c r="H16" s="14" t="n">
        <x:f>'置信度与冲突'!J16</x:f>
        <x:v>0.6128181818181818</x:v>
      </x:c>
      <x:c r="I16" s="11" t="n">
        <x:v>1529</x:v>
      </x:c>
      <x:c r="J16" s="14" t="n">
        <x:f>'置信度与冲突'!Q16</x:f>
        <x:v>0.26106870229007634</x:v>
      </x:c>
      <x:c r="K16" s="14" t="n">
        <x:f>'置信度与冲突'!O16/'置信度与冲突'!N16</x:f>
        <x:v>0.35725190839694654</x:v>
      </x:c>
      <x:c r="L16" s="19" t="n">
        <x:f>'几何诊断'!J16</x:f>
        <x:v>0.04356673250037714</x:v>
      </x:c>
      <x:c r="M16" s="18" t="n">
        <x:f>'几何诊断'!I16</x:f>
        <x:v>0.5168390072096348</x:v>
      </x:c>
    </x:row>
    <x:row r="19">
      <x:c r="A19" s="21" t="str">
        <x:v>结构树改变哪些节点</x:v>
      </x:c>
    </x:row>
    <x:row r="21">
      <x:c r="A21" s="23" t="str">
        <x:v>组合</x:v>
      </x:c>
      <x:c r="B21" s="23" t="str">
        <x:v>P级改变占比</x:v>
      </x:c>
      <x:c r="C21" s="23" t="str">
        <x:v>功能改变占比</x:v>
      </x:c>
    </x:row>
    <x:row r="22">
      <x:c r="A22" t="str">
        <x:v>N</x:v>
      </x:c>
      <x:c r="B22" s="24" t="n">
        <x:f>'树开关变化'!E5</x:f>
        <x:v>0.01818181818181818</x:v>
      </x:c>
      <x:c r="C22" s="24" t="n">
        <x:f>'树开关变化'!H5/'树开关变化'!C5</x:f>
        <x:v>0.01818181818181818</x:v>
      </x:c>
    </x:row>
    <x:row r="23">
      <x:c r="A23" t="str">
        <x:v>C</x:v>
      </x:c>
      <x:c r="B23" s="24" t="n">
        <x:f>'树开关变化'!E6</x:f>
        <x:v>0.012636363636363637</x:v>
      </x:c>
      <x:c r="C23" s="24" t="n">
        <x:f>'树开关变化'!H6/'树开关变化'!C6</x:f>
        <x:v>0.012636363636363637</x:v>
      </x:c>
    </x:row>
    <x:row r="24">
      <x:c r="A24" t="str">
        <x:v>NG</x:v>
      </x:c>
      <x:c r="B24" s="24" t="n">
        <x:f>'树开关变化'!E7</x:f>
        <x:v>0.02209090909090909</x:v>
      </x:c>
      <x:c r="C24" s="24" t="n">
        <x:f>'树开关变化'!H7/'树开关变化'!C7</x:f>
        <x:v>0.01818181818181818</x:v>
      </x:c>
    </x:row>
    <x:row r="25">
      <x:c r="A25" t="str">
        <x:v>CG</x:v>
      </x:c>
      <x:c r="B25" s="24" t="n">
        <x:f>'树开关变化'!E8</x:f>
        <x:v>0.030363636363636363</x:v>
      </x:c>
      <x:c r="C25" s="24" t="n">
        <x:f>'树开关变化'!H8/'树开关变化'!C8</x:f>
        <x:v>0.016545454545454544</x:v>
      </x:c>
    </x:row>
    <x:row r="26">
      <x:c r="A26" t="str">
        <x:v>NC</x:v>
      </x:c>
      <x:c r="B26" s="24" t="n">
        <x:f>'树开关变化'!E9</x:f>
        <x:v>0.019181818181818182</x:v>
      </x:c>
      <x:c r="C26" s="24" t="n">
        <x:f>'树开关变化'!H9/'树开关变化'!C9</x:f>
        <x:v>0.019181818181818182</x:v>
      </x:c>
    </x:row>
    <x:row r="27">
      <x:c r="A27" t="str">
        <x:v>NCG</x:v>
      </x:c>
      <x:c r="B27" s="24" t="n">
        <x:f>'树开关变化'!E10</x:f>
        <x:v>0.02590909090909091</x:v>
      </x:c>
      <x:c r="C27" s="24" t="n">
        <x:f>'树开关变化'!H10/'树开关变化'!C10</x:f>
        <x:v>0.022727272727272728</x:v>
      </x:c>
    </x:row>
  </x:sheetData>
  <x:pageMargins left="0.7" right="0.7" top="0.75" bottom="0.75" header="0.3" footer="0.3"/>
  <x:drawing xmlns:r="http://schemas.openxmlformats.org/officeDocument/2006/relationships" r:id="Rc3f3a748b28840bd"/>
  <x:tableParts count="1">
    <x:tablePart xmlns:r="http://schemas.openxmlformats.org/officeDocument/2006/relationships" r:id="R8899dbcf3f8147d1"/>
  </x:tableParts>
</x:worksheet>
</file>

<file path=xl/worksheets/sheet2.xml><?xml version="1.0" encoding="utf-8"?>
<x:worksheet xmlns:x="http://schemas.openxmlformats.org/spreadsheetml/2006/main">
  <x:sheetPr>
    <x:tabColor rgb="FF23395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3" t="str">
        <x:v>P等级节点占比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H0完全关闭树辅助；H1使用局部父组及祖先名称。主配置M=0、迁移回退=0。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8" t="str">
        <x:v>模型</x:v>
      </x:c>
      <x:c r="B4" s="8" t="str">
        <x:v>组合</x:v>
      </x:c>
      <x:c r="C4" s="8" t="str">
        <x:v>树辅助</x:v>
      </x:c>
      <x:c r="D4" s="8" t="str">
        <x:v>节点数</x:v>
      </x:c>
      <x:c r="E4" s="8" t="str">
        <x:v>P1</x:v>
      </x:c>
      <x:c r="F4" s="8" t="str">
        <x:v>P2</x:v>
      </x:c>
      <x:c r="G4" s="8" t="str">
        <x:v>P3</x:v>
      </x:c>
      <x:c r="H4" s="8" t="str">
        <x:v>P4</x:v>
      </x:c>
      <x:c r="I4" s="8" t="str">
        <x:v>P5</x:v>
      </x:c>
      <x:c r="J4" s="8" t="str">
        <x:v>P6</x:v>
      </x:c>
      <x:c r="K4" s="8" t="str">
        <x:v>P7</x:v>
      </x:c>
      <x:c r="L4" s="8" t="str">
        <x:v>P8</x:v>
      </x:c>
      <x:c r="M4" s="8" t="str">
        <x:v>P9</x:v>
      </x:c>
      <x:c r="N4" s="8" t="str">
        <x:v>P10</x:v>
      </x:c>
    </x:row>
    <x:row r="5" ht="23" customHeight="1">
      <x:c r="A5" s="12" t="str">
        <x:v>ALL</x:v>
      </x:c>
      <x:c r="B5" s="12" t="str">
        <x:v>N</x:v>
      </x:c>
      <x:c r="C5" s="12" t="str">
        <x:v>H0</x:v>
      </x:c>
      <x:c r="D5" s="11" t="n">
        <x:f>SUMIFS('统计计数'!$C$5:$C$76,'统计计数'!$B$5:$B$76,"N_H0")</x:f>
        <x:v>11000</x:v>
      </x:c>
      <x:c r="E5" s="14" t="n">
        <x:f>SUMIFS('统计计数'!$E$5:$E$76,'统计计数'!$B$5:$B$76,"N_H0")/$D5</x:f>
        <x:v>0</x:v>
      </x:c>
      <x:c r="F5" s="14" t="n">
        <x:f>SUMIFS('统计计数'!$F$5:$F$76,'统计计数'!$B$5:$B$76,"N_H0")/$D5</x:f>
        <x:v>0.14018181818181819</x:v>
      </x:c>
      <x:c r="G5" s="14" t="n">
        <x:f>SUMIFS('统计计数'!$G$5:$G$76,'统计计数'!$B$5:$B$76,"N_H0")/$D5</x:f>
        <x:v>0</x:v>
      </x:c>
      <x:c r="H5" s="14" t="n">
        <x:f>SUMIFS('统计计数'!$H$5:$H$76,'统计计数'!$B$5:$B$76,"N_H0")/$D5</x:f>
        <x:v>0</x:v>
      </x:c>
      <x:c r="I5" s="14" t="n">
        <x:f>SUMIFS('统计计数'!$I$5:$I$76,'统计计数'!$B$5:$B$76,"N_H0")/$D5</x:f>
        <x:v>0.5906363636363636</x:v>
      </x:c>
      <x:c r="J5" s="14" t="n">
        <x:f>SUMIFS('统计计数'!$J$5:$J$76,'统计计数'!$B$5:$B$76,"N_H0")/$D5</x:f>
        <x:v>0.0011818181818181819</x:v>
      </x:c>
      <x:c r="K5" s="14" t="n">
        <x:f>SUMIFS('统计计数'!$K$5:$K$76,'统计计数'!$B$5:$B$76,"N_H0")/$D5</x:f>
        <x:v>0.199</x:v>
      </x:c>
      <x:c r="L5" s="14" t="n">
        <x:f>SUMIFS('统计计数'!$L$5:$L$76,'统计计数'!$B$5:$B$76,"N_H0")/$D5</x:f>
        <x:v>0.014</x:v>
      </x:c>
      <x:c r="M5" s="14" t="n">
        <x:f>SUMIFS('统计计数'!$M$5:$M$76,'统计计数'!$B$5:$B$76,"N_H0")/$D5</x:f>
        <x:v>0.055</x:v>
      </x:c>
      <x:c r="N5" s="14" t="n">
        <x:f>SUMIFS('统计计数'!$N$5:$N$76,'统计计数'!$B$5:$B$76,"N_H0")/$D5</x:f>
        <x:v>0</x:v>
      </x:c>
    </x:row>
    <x:row r="6" ht="23" customHeight="1">
      <x:c r="A6" s="12" t="str">
        <x:v>ALL</x:v>
      </x:c>
      <x:c r="B6" s="12" t="str">
        <x:v>N</x:v>
      </x:c>
      <x:c r="C6" s="12" t="str">
        <x:v>H1</x:v>
      </x:c>
      <x:c r="D6" s="11" t="n">
        <x:f>SUMIFS('统计计数'!$C$5:$C$76,'统计计数'!$B$5:$B$76,"N_H1")</x:f>
        <x:v>11000</x:v>
      </x:c>
      <x:c r="E6" s="14" t="n">
        <x:f>SUMIFS('统计计数'!$E$5:$E$76,'统计计数'!$B$5:$B$76,"N_H1")/$D6</x:f>
        <x:v>0</x:v>
      </x:c>
      <x:c r="F6" s="14" t="n">
        <x:f>SUMIFS('统计计数'!$F$5:$F$76,'统计计数'!$B$5:$B$76,"N_H1")/$D6</x:f>
        <x:v>0.13318181818181818</x:v>
      </x:c>
      <x:c r="G6" s="14" t="n">
        <x:f>SUMIFS('统计计数'!$G$5:$G$76,'统计计数'!$B$5:$B$76,"N_H1")/$D6</x:f>
        <x:v>0</x:v>
      </x:c>
      <x:c r="H6" s="14" t="n">
        <x:f>SUMIFS('统计计数'!$H$5:$H$76,'统计计数'!$B$5:$B$76,"N_H1")/$D6</x:f>
        <x:v>0</x:v>
      </x:c>
      <x:c r="I6" s="14" t="n">
        <x:f>SUMIFS('统计计数'!$I$5:$I$76,'统计计数'!$B$5:$B$76,"N_H1")/$D6</x:f>
        <x:v>0.5794545454545454</x:v>
      </x:c>
      <x:c r="J6" s="14" t="n">
        <x:f>SUMIFS('统计计数'!$J$5:$J$76,'统计计数'!$B$5:$B$76,"N_H1")/$D6</x:f>
        <x:v>0.019</x:v>
      </x:c>
      <x:c r="K6" s="14" t="n">
        <x:f>SUMIFS('统计计数'!$K$5:$K$76,'统计计数'!$B$5:$B$76,"N_H1")/$D6</x:f>
        <x:v>0.19936363636363635</x:v>
      </x:c>
      <x:c r="L6" s="14" t="n">
        <x:f>SUMIFS('统计计数'!$L$5:$L$76,'统计计数'!$B$5:$B$76,"N_H1")/$D6</x:f>
        <x:v>0.014</x:v>
      </x:c>
      <x:c r="M6" s="14" t="n">
        <x:f>SUMIFS('统计计数'!$M$5:$M$76,'统计计数'!$B$5:$B$76,"N_H1")/$D6</x:f>
        <x:v>0.055</x:v>
      </x:c>
      <x:c r="N6" s="14" t="n">
        <x:f>SUMIFS('统计计数'!$N$5:$N$76,'统计计数'!$B$5:$B$76,"N_H1")/$D6</x:f>
        <x:v>0</x:v>
      </x:c>
    </x:row>
    <x:row r="7" ht="23" customHeight="1">
      <x:c r="A7" s="12" t="str">
        <x:v>ALL</x:v>
      </x:c>
      <x:c r="B7" s="12" t="str">
        <x:v>C</x:v>
      </x:c>
      <x:c r="C7" s="12" t="str">
        <x:v>H0</x:v>
      </x:c>
      <x:c r="D7" s="11" t="n">
        <x:f>SUMIFS('统计计数'!$C$5:$C$76,'统计计数'!$B$5:$B$76,"C_H0")</x:f>
        <x:v>11000</x:v>
      </x:c>
      <x:c r="E7" s="14" t="n">
        <x:f>SUMIFS('统计计数'!$E$5:$E$76,'统计计数'!$B$5:$B$76,"C_H0")/$D7</x:f>
        <x:v>0</x:v>
      </x:c>
      <x:c r="F7" s="14" t="n">
        <x:f>SUMIFS('统计计数'!$F$5:$F$76,'统计计数'!$B$5:$B$76,"C_H0")/$D7</x:f>
        <x:v>0.319</x:v>
      </x:c>
      <x:c r="G7" s="14" t="n">
        <x:f>SUMIFS('统计计数'!$G$5:$G$76,'统计计数'!$B$5:$B$76,"C_H0")/$D7</x:f>
        <x:v>0</x:v>
      </x:c>
      <x:c r="H7" s="14" t="n">
        <x:f>SUMIFS('统计计数'!$H$5:$H$76,'统计计数'!$B$5:$B$76,"C_H0")/$D7</x:f>
        <x:v>0</x:v>
      </x:c>
      <x:c r="I7" s="14" t="n">
        <x:f>SUMIFS('统计计数'!$I$5:$I$76,'统计计数'!$B$5:$B$76,"C_H0")/$D7</x:f>
        <x:v>0.6765454545454546</x:v>
      </x:c>
      <x:c r="J7" s="14" t="n">
        <x:f>SUMIFS('统计计数'!$J$5:$J$76,'统计计数'!$B$5:$B$76,"C_H0")/$D7</x:f>
        <x:v>0</x:v>
      </x:c>
      <x:c r="K7" s="14" t="n">
        <x:f>SUMIFS('统计计数'!$K$5:$K$76,'统计计数'!$B$5:$B$76,"C_H0")/$D7</x:f>
        <x:v>0.0023636363636363638</x:v>
      </x:c>
      <x:c r="L7" s="14" t="n">
        <x:f>SUMIFS('统计计数'!$L$5:$L$76,'统计计数'!$B$5:$B$76,"C_H0")/$D7</x:f>
        <x:v>0</x:v>
      </x:c>
      <x:c r="M7" s="14" t="n">
        <x:f>SUMIFS('统计计数'!$M$5:$M$76,'统计计数'!$B$5:$B$76,"C_H0")/$D7</x:f>
        <x:v>0.0020909090909090908</x:v>
      </x:c>
      <x:c r="N7" s="14" t="n">
        <x:f>SUMIFS('统计计数'!$N$5:$N$76,'统计计数'!$B$5:$B$76,"C_H0")/$D7</x:f>
        <x:v>0</x:v>
      </x:c>
    </x:row>
    <x:row r="8" ht="23" customHeight="1">
      <x:c r="A8" s="12" t="str">
        <x:v>ALL</x:v>
      </x:c>
      <x:c r="B8" s="12" t="str">
        <x:v>C</x:v>
      </x:c>
      <x:c r="C8" s="12" t="str">
        <x:v>H1</x:v>
      </x:c>
      <x:c r="D8" s="11" t="n">
        <x:f>SUMIFS('统计计数'!$C$5:$C$76,'统计计数'!$B$5:$B$76,"C_H1")</x:f>
        <x:v>11000</x:v>
      </x:c>
      <x:c r="E8" s="14" t="n">
        <x:f>SUMIFS('统计计数'!$E$5:$E$76,'统计计数'!$B$5:$B$76,"C_H1")/$D8</x:f>
        <x:v>0</x:v>
      </x:c>
      <x:c r="F8" s="14" t="n">
        <x:f>SUMIFS('统计计数'!$F$5:$F$76,'统计计数'!$B$5:$B$76,"C_H1")/$D8</x:f>
        <x:v>0.30636363636363634</x:v>
      </x:c>
      <x:c r="G8" s="14" t="n">
        <x:f>SUMIFS('统计计数'!$G$5:$G$76,'统计计数'!$B$5:$B$76,"C_H1")/$D8</x:f>
        <x:v>0</x:v>
      </x:c>
      <x:c r="H8" s="14" t="n">
        <x:f>SUMIFS('统计计数'!$H$5:$H$76,'统计计数'!$B$5:$B$76,"C_H1")/$D8</x:f>
        <x:v>0</x:v>
      </x:c>
      <x:c r="I8" s="14" t="n">
        <x:f>SUMIFS('统计计数'!$I$5:$I$76,'统计计数'!$B$5:$B$76,"C_H1")/$D8</x:f>
        <x:v>0.6765454545454546</x:v>
      </x:c>
      <x:c r="J8" s="14" t="n">
        <x:f>SUMIFS('统计计数'!$J$5:$J$76,'统计计数'!$B$5:$B$76,"C_H1")/$D8</x:f>
        <x:v>0.012636363636363637</x:v>
      </x:c>
      <x:c r="K8" s="14" t="n">
        <x:f>SUMIFS('统计计数'!$K$5:$K$76,'统计计数'!$B$5:$B$76,"C_H1")/$D8</x:f>
        <x:v>0.0023636363636363638</x:v>
      </x:c>
      <x:c r="L8" s="14" t="n">
        <x:f>SUMIFS('统计计数'!$L$5:$L$76,'统计计数'!$B$5:$B$76,"C_H1")/$D8</x:f>
        <x:v>0</x:v>
      </x:c>
      <x:c r="M8" s="14" t="n">
        <x:f>SUMIFS('统计计数'!$M$5:$M$76,'统计计数'!$B$5:$B$76,"C_H1")/$D8</x:f>
        <x:v>0.0020909090909090908</x:v>
      </x:c>
      <x:c r="N8" s="14" t="n">
        <x:f>SUMIFS('统计计数'!$N$5:$N$76,'统计计数'!$B$5:$B$76,"C_H1")/$D8</x:f>
        <x:v>0</x:v>
      </x:c>
    </x:row>
    <x:row r="9" ht="23" customHeight="1">
      <x:c r="A9" s="12" t="str">
        <x:v>ALL</x:v>
      </x:c>
      <x:c r="B9" s="12" t="str">
        <x:v>NG</x:v>
      </x:c>
      <x:c r="C9" s="12" t="str">
        <x:v>H0</x:v>
      </x:c>
      <x:c r="D9" s="11" t="n">
        <x:f>SUMIFS('统计计数'!$C$5:$C$76,'统计计数'!$B$5:$B$76,"NG_H0")</x:f>
        <x:v>11000</x:v>
      </x:c>
      <x:c r="E9" s="14" t="n">
        <x:f>SUMIFS('统计计数'!$E$5:$E$76,'统计计数'!$B$5:$B$76,"NG_H0")/$D9</x:f>
        <x:v>0</x:v>
      </x:c>
      <x:c r="F9" s="14" t="n">
        <x:f>SUMIFS('统计计数'!$F$5:$F$76,'统计计数'!$B$5:$B$76,"NG_H0")/$D9</x:f>
        <x:v>0.099</x:v>
      </x:c>
      <x:c r="G9" s="14" t="n">
        <x:f>SUMIFS('统计计数'!$G$5:$G$76,'统计计数'!$B$5:$B$76,"NG_H0")/$D9</x:f>
        <x:v>0</x:v>
      </x:c>
      <x:c r="H9" s="14" t="n">
        <x:f>SUMIFS('统计计数'!$H$5:$H$76,'统计计数'!$B$5:$B$76,"NG_H0")/$D9</x:f>
        <x:v>0</x:v>
      </x:c>
      <x:c r="I9" s="14" t="n">
        <x:f>SUMIFS('统计计数'!$I$5:$I$76,'统计计数'!$B$5:$B$76,"NG_H0")/$D9</x:f>
        <x:v>0.31154545454545457</x:v>
      </x:c>
      <x:c r="J9" s="14" t="n">
        <x:f>SUMIFS('统计计数'!$J$5:$J$76,'统计计数'!$B$5:$B$76,"NG_H0")/$D9</x:f>
        <x:v>0.32145454545454544</x:v>
      </x:c>
      <x:c r="K9" s="14" t="n">
        <x:f>SUMIFS('统计计数'!$K$5:$K$76,'统计计数'!$B$5:$B$76,"NG_H0")/$D9</x:f>
        <x:v>0.199</x:v>
      </x:c>
      <x:c r="L9" s="14" t="n">
        <x:f>SUMIFS('统计计数'!$L$5:$L$76,'统计计数'!$B$5:$B$76,"NG_H0")/$D9</x:f>
        <x:v>0.014</x:v>
      </x:c>
      <x:c r="M9" s="14" t="n">
        <x:f>SUMIFS('统计计数'!$M$5:$M$76,'统计计数'!$B$5:$B$76,"NG_H0")/$D9</x:f>
        <x:v>0.055</x:v>
      </x:c>
      <x:c r="N9" s="14" t="n">
        <x:f>SUMIFS('统计计数'!$N$5:$N$76,'统计计数'!$B$5:$B$76,"NG_H0")/$D9</x:f>
        <x:v>0</x:v>
      </x:c>
    </x:row>
    <x:row r="10" ht="23" customHeight="1">
      <x:c r="A10" s="12" t="str">
        <x:v>ALL</x:v>
      </x:c>
      <x:c r="B10" s="12" t="str">
        <x:v>NG</x:v>
      </x:c>
      <x:c r="C10" s="12" t="str">
        <x:v>H1</x:v>
      </x:c>
      <x:c r="D10" s="11" t="n">
        <x:f>SUMIFS('统计计数'!$C$5:$C$76,'统计计数'!$B$5:$B$76,"NG_H1")</x:f>
        <x:v>11000</x:v>
      </x:c>
      <x:c r="E10" s="14" t="n">
        <x:f>SUMIFS('统计计数'!$E$5:$E$76,'统计计数'!$B$5:$B$76,"NG_H1")/$D10</x:f>
        <x:v>0</x:v>
      </x:c>
      <x:c r="F10" s="14" t="n">
        <x:f>SUMIFS('统计计数'!$F$5:$F$76,'统计计数'!$B$5:$B$76,"NG_H1")/$D10</x:f>
        <x:v>0.08081818181818182</x:v>
      </x:c>
      <x:c r="G10" s="14" t="n">
        <x:f>SUMIFS('统计计数'!$G$5:$G$76,'统计计数'!$B$5:$B$76,"NG_H1")/$D10</x:f>
        <x:v>0</x:v>
      </x:c>
      <x:c r="H10" s="14" t="n">
        <x:f>SUMIFS('统计计数'!$H$5:$H$76,'统计计数'!$B$5:$B$76,"NG_H1")/$D10</x:f>
        <x:v>0</x:v>
      </x:c>
      <x:c r="I10" s="14" t="n">
        <x:f>SUMIFS('统计计数'!$I$5:$I$76,'统计计数'!$B$5:$B$76,"NG_H1")/$D10</x:f>
        <x:v>0.31936363636363635</x:v>
      </x:c>
      <x:c r="J10" s="14" t="n">
        <x:f>SUMIFS('统计计数'!$J$5:$J$76,'统计计数'!$B$5:$B$76,"NG_H1")/$D10</x:f>
        <x:v>0.33145454545454545</x:v>
      </x:c>
      <x:c r="K10" s="14" t="n">
        <x:f>SUMIFS('统计计数'!$K$5:$K$76,'统计计数'!$B$5:$B$76,"NG_H1")/$D10</x:f>
        <x:v>0.19936363636363635</x:v>
      </x:c>
      <x:c r="L10" s="14" t="n">
        <x:f>SUMIFS('统计计数'!$L$5:$L$76,'统计计数'!$B$5:$B$76,"NG_H1")/$D10</x:f>
        <x:v>0.014</x:v>
      </x:c>
      <x:c r="M10" s="14" t="n">
        <x:f>SUMIFS('统计计数'!$M$5:$M$76,'统计计数'!$B$5:$B$76,"NG_H1")/$D10</x:f>
        <x:v>0.055</x:v>
      </x:c>
      <x:c r="N10" s="14" t="n">
        <x:f>SUMIFS('统计计数'!$N$5:$N$76,'统计计数'!$B$5:$B$76,"NG_H1")/$D10</x:f>
        <x:v>0</x:v>
      </x:c>
    </x:row>
    <x:row r="11" ht="23" customHeight="1">
      <x:c r="A11" s="12" t="str">
        <x:v>ALL</x:v>
      </x:c>
      <x:c r="B11" s="12" t="str">
        <x:v>CG</x:v>
      </x:c>
      <x:c r="C11" s="12" t="str">
        <x:v>H0</x:v>
      </x:c>
      <x:c r="D11" s="11" t="n">
        <x:f>SUMIFS('统计计数'!$C$5:$C$76,'统计计数'!$B$5:$B$76,"CG_H0")</x:f>
        <x:v>11000</x:v>
      </x:c>
      <x:c r="E11" s="14" t="n">
        <x:f>SUMIFS('统计计数'!$E$5:$E$76,'统计计数'!$B$5:$B$76,"CG_H0")/$D11</x:f>
        <x:v>0</x:v>
      </x:c>
      <x:c r="F11" s="14" t="n">
        <x:f>SUMIFS('统计计数'!$F$5:$F$76,'统计计数'!$B$5:$B$76,"CG_H0")/$D11</x:f>
        <x:v>0.13390909090909092</x:v>
      </x:c>
      <x:c r="G11" s="14" t="n">
        <x:f>SUMIFS('统计计数'!$G$5:$G$76,'统计计数'!$B$5:$B$76,"CG_H0")/$D11</x:f>
        <x:v>0</x:v>
      </x:c>
      <x:c r="H11" s="14" t="n">
        <x:f>SUMIFS('统计计数'!$H$5:$H$76,'统计计数'!$B$5:$B$76,"CG_H0")/$D11</x:f>
        <x:v>0</x:v>
      </x:c>
      <x:c r="I11" s="14" t="n">
        <x:f>SUMIFS('统计计数'!$I$5:$I$76,'统计计数'!$B$5:$B$76,"CG_H0")/$D11</x:f>
        <x:v>0.4016363636363636</x:v>
      </x:c>
      <x:c r="J11" s="14" t="n">
        <x:f>SUMIFS('统计计数'!$J$5:$J$76,'统计计数'!$B$5:$B$76,"CG_H0")/$D11</x:f>
        <x:v>0.46</x:v>
      </x:c>
      <x:c r="K11" s="14" t="n">
        <x:f>SUMIFS('统计计数'!$K$5:$K$76,'统计计数'!$B$5:$B$76,"CG_H0")/$D11</x:f>
        <x:v>0.0023636363636363638</x:v>
      </x:c>
      <x:c r="L11" s="14" t="n">
        <x:f>SUMIFS('统计计数'!$L$5:$L$76,'统计计数'!$B$5:$B$76,"CG_H0")/$D11</x:f>
        <x:v>0</x:v>
      </x:c>
      <x:c r="M11" s="14" t="n">
        <x:f>SUMIFS('统计计数'!$M$5:$M$76,'统计计数'!$B$5:$B$76,"CG_H0")/$D11</x:f>
        <x:v>0.0020909090909090908</x:v>
      </x:c>
      <x:c r="N11" s="14" t="n">
        <x:f>SUMIFS('统计计数'!$N$5:$N$76,'统计计数'!$B$5:$B$76,"CG_H0")/$D11</x:f>
        <x:v>0</x:v>
      </x:c>
    </x:row>
    <x:row r="12" ht="23" customHeight="1">
      <x:c r="A12" s="12" t="str">
        <x:v>ALL</x:v>
      </x:c>
      <x:c r="B12" s="12" t="str">
        <x:v>CG</x:v>
      </x:c>
      <x:c r="C12" s="12" t="str">
        <x:v>H1</x:v>
      </x:c>
      <x:c r="D12" s="11" t="n">
        <x:f>SUMIFS('统计计数'!$C$5:$C$76,'统计计数'!$B$5:$B$76,"CG_H1")</x:f>
        <x:v>11000</x:v>
      </x:c>
      <x:c r="E12" s="14" t="n">
        <x:f>SUMIFS('统计计数'!$E$5:$E$76,'统计计数'!$B$5:$B$76,"CG_H1")/$D12</x:f>
        <x:v>0</x:v>
      </x:c>
      <x:c r="F12" s="14" t="n">
        <x:f>SUMIFS('统计计数'!$F$5:$F$76,'统计计数'!$B$5:$B$76,"CG_H1")/$D12</x:f>
        <x:v>0.10354545454545455</x:v>
      </x:c>
      <x:c r="G12" s="14" t="n">
        <x:f>SUMIFS('统计计数'!$G$5:$G$76,'统计计数'!$B$5:$B$76,"CG_H1")/$D12</x:f>
        <x:v>0</x:v>
      </x:c>
      <x:c r="H12" s="14" t="n">
        <x:f>SUMIFS('统计计数'!$H$5:$H$76,'统计计数'!$B$5:$B$76,"CG_H1")/$D12</x:f>
        <x:v>0</x:v>
      </x:c>
      <x:c r="I12" s="14" t="n">
        <x:f>SUMIFS('统计计数'!$I$5:$I$76,'统计计数'!$B$5:$B$76,"CG_H1")/$D12</x:f>
        <x:v>0.4228181818181818</x:v>
      </x:c>
      <x:c r="J12" s="14" t="n">
        <x:f>SUMIFS('统计计数'!$J$5:$J$76,'统计计数'!$B$5:$B$76,"CG_H1")/$D12</x:f>
        <x:v>0.4691818181818182</x:v>
      </x:c>
      <x:c r="K12" s="14" t="n">
        <x:f>SUMIFS('统计计数'!$K$5:$K$76,'统计计数'!$B$5:$B$76,"CG_H1")/$D12</x:f>
        <x:v>0.0023636363636363638</x:v>
      </x:c>
      <x:c r="L12" s="14" t="n">
        <x:f>SUMIFS('统计计数'!$L$5:$L$76,'统计计数'!$B$5:$B$76,"CG_H1")/$D12</x:f>
        <x:v>0</x:v>
      </x:c>
      <x:c r="M12" s="14" t="n">
        <x:f>SUMIFS('统计计数'!$M$5:$M$76,'统计计数'!$B$5:$B$76,"CG_H1")/$D12</x:f>
        <x:v>0.0020909090909090908</x:v>
      </x:c>
      <x:c r="N12" s="14" t="n">
        <x:f>SUMIFS('统计计数'!$N$5:$N$76,'统计计数'!$B$5:$B$76,"CG_H1")/$D12</x:f>
        <x:v>0</x:v>
      </x:c>
    </x:row>
    <x:row r="13" ht="23" customHeight="1">
      <x:c r="A13" s="12" t="str">
        <x:v>ALL</x:v>
      </x:c>
      <x:c r="B13" s="12" t="str">
        <x:v>NC</x:v>
      </x:c>
      <x:c r="C13" s="12" t="str">
        <x:v>H0</x:v>
      </x:c>
      <x:c r="D13" s="11" t="n">
        <x:f>SUMIFS('统计计数'!$C$5:$C$76,'统计计数'!$B$5:$B$76,"NC_H0")</x:f>
        <x:v>11000</x:v>
      </x:c>
      <x:c r="E13" s="14" t="n">
        <x:f>SUMIFS('统计计数'!$E$5:$E$76,'统计计数'!$B$5:$B$76,"NC_H0")/$D13</x:f>
        <x:v>0</x:v>
      </x:c>
      <x:c r="F13" s="14" t="n">
        <x:f>SUMIFS('统计计数'!$F$5:$F$76,'统计计数'!$B$5:$B$76,"NC_H0")/$D13</x:f>
        <x:v>0.28963636363636364</x:v>
      </x:c>
      <x:c r="G13" s="14" t="n">
        <x:f>SUMIFS('统计计数'!$G$5:$G$76,'统计计数'!$B$5:$B$76,"NC_H0")/$D13</x:f>
        <x:v>0</x:v>
      </x:c>
      <x:c r="H13" s="14" t="n">
        <x:f>SUMIFS('统计计数'!$H$5:$H$76,'统计计数'!$B$5:$B$76,"NC_H0")/$D13</x:f>
        <x:v>0</x:v>
      </x:c>
      <x:c r="I13" s="14" t="n">
        <x:f>SUMIFS('统计计数'!$I$5:$I$76,'统计计数'!$B$5:$B$76,"NC_H0")/$D13</x:f>
        <x:v>0.4562727272727273</x:v>
      </x:c>
      <x:c r="J13" s="14" t="n">
        <x:f>SUMIFS('统计计数'!$J$5:$J$76,'统计计数'!$B$5:$B$76,"NC_H0")/$D13</x:f>
        <x:v>0.0005454545454545455</x:v>
      </x:c>
      <x:c r="K13" s="14" t="n">
        <x:f>SUMIFS('统计计数'!$K$5:$K$76,'统计计数'!$B$5:$B$76,"NC_H0")/$D13</x:f>
        <x:v>0.20672727272727273</x:v>
      </x:c>
      <x:c r="L13" s="14" t="n">
        <x:f>SUMIFS('统计计数'!$L$5:$L$76,'统计计数'!$B$5:$B$76,"NC_H0")/$D13</x:f>
        <x:v>0.012818181818181819</x:v>
      </x:c>
      <x:c r="M13" s="14" t="n">
        <x:f>SUMIFS('统计计数'!$M$5:$M$76,'统计计数'!$B$5:$B$76,"NC_H0")/$D13</x:f>
        <x:v>0.034</x:v>
      </x:c>
      <x:c r="N13" s="14" t="n">
        <x:f>SUMIFS('统计计数'!$N$5:$N$76,'统计计数'!$B$5:$B$76,"NC_H0")/$D13</x:f>
        <x:v>0</x:v>
      </x:c>
    </x:row>
    <x:row r="14" ht="23" customHeight="1">
      <x:c r="A14" s="12" t="str">
        <x:v>ALL</x:v>
      </x:c>
      <x:c r="B14" s="12" t="str">
        <x:v>NC</x:v>
      </x:c>
      <x:c r="C14" s="12" t="str">
        <x:v>H1</x:v>
      </x:c>
      <x:c r="D14" s="11" t="n">
        <x:f>SUMIFS('统计计数'!$C$5:$C$76,'统计计数'!$B$5:$B$76,"NC_H1")</x:f>
        <x:v>11000</x:v>
      </x:c>
      <x:c r="E14" s="14" t="n">
        <x:f>SUMIFS('统计计数'!$E$5:$E$76,'统计计数'!$B$5:$B$76,"NC_H1")/$D14</x:f>
        <x:v>0</x:v>
      </x:c>
      <x:c r="F14" s="14" t="n">
        <x:f>SUMIFS('统计计数'!$F$5:$F$76,'统计计数'!$B$5:$B$76,"NC_H1")/$D14</x:f>
        <x:v>0.2801818181818182</x:v>
      </x:c>
      <x:c r="G14" s="14" t="n">
        <x:f>SUMIFS('统计计数'!$G$5:$G$76,'统计计数'!$B$5:$B$76,"NC_H1")/$D14</x:f>
        <x:v>0</x:v>
      </x:c>
      <x:c r="H14" s="14" t="n">
        <x:f>SUMIFS('统计计数'!$H$5:$H$76,'统计计数'!$B$5:$B$76,"NC_H1")/$D14</x:f>
        <x:v>0</x:v>
      </x:c>
      <x:c r="I14" s="14" t="n">
        <x:f>SUMIFS('统计计数'!$I$5:$I$76,'统计计数'!$B$5:$B$76,"NC_H1")/$D14</x:f>
        <x:v>0.4465454545454545</x:v>
      </x:c>
      <x:c r="J14" s="14" t="n">
        <x:f>SUMIFS('统计计数'!$J$5:$J$76,'统计计数'!$B$5:$B$76,"NC_H1")/$D14</x:f>
        <x:v>0.01927272727272727</x:v>
      </x:c>
      <x:c r="K14" s="14" t="n">
        <x:f>SUMIFS('统计计数'!$K$5:$K$76,'统计计数'!$B$5:$B$76,"NC_H1")/$D14</x:f>
        <x:v>0.2071818181818182</x:v>
      </x:c>
      <x:c r="L14" s="14" t="n">
        <x:f>SUMIFS('统计计数'!$L$5:$L$76,'统计计数'!$B$5:$B$76,"NC_H1")/$D14</x:f>
        <x:v>0.012818181818181819</x:v>
      </x:c>
      <x:c r="M14" s="14" t="n">
        <x:f>SUMIFS('统计计数'!$M$5:$M$76,'统计计数'!$B$5:$B$76,"NC_H1")/$D14</x:f>
        <x:v>0.034</x:v>
      </x:c>
      <x:c r="N14" s="14" t="n">
        <x:f>SUMIFS('统计计数'!$N$5:$N$76,'统计计数'!$B$5:$B$76,"NC_H1")/$D14</x:f>
        <x:v>0</x:v>
      </x:c>
    </x:row>
    <x:row r="15" ht="23" customHeight="1">
      <x:c r="A15" s="12" t="str">
        <x:v>ALL</x:v>
      </x:c>
      <x:c r="B15" s="12" t="str">
        <x:v>NCG</x:v>
      </x:c>
      <x:c r="C15" s="12" t="str">
        <x:v>H0</x:v>
      </x:c>
      <x:c r="D15" s="11" t="n">
        <x:f>SUMIFS('统计计数'!$C$5:$C$76,'统计计数'!$B$5:$B$76,"NCG_H0")</x:f>
        <x:v>11000</x:v>
      </x:c>
      <x:c r="E15" s="14" t="n">
        <x:f>SUMIFS('统计计数'!$E$5:$E$76,'统计计数'!$B$5:$B$76,"NCG_H0")/$D15</x:f>
        <x:v>0</x:v>
      </x:c>
      <x:c r="F15" s="14" t="n">
        <x:f>SUMIFS('统计计数'!$F$5:$F$76,'统计计数'!$B$5:$B$76,"NCG_H0")/$D15</x:f>
        <x:v>0.12218181818181818</x:v>
      </x:c>
      <x:c r="G15" s="14" t="n">
        <x:f>SUMIFS('统计计数'!$G$5:$G$76,'统计计数'!$B$5:$B$76,"NCG_H0")/$D15</x:f>
        <x:v>0</x:v>
      </x:c>
      <x:c r="H15" s="14" t="n">
        <x:f>SUMIFS('统计计数'!$H$5:$H$76,'统计计数'!$B$5:$B$76,"NCG_H0")/$D15</x:f>
        <x:v>0</x:v>
      </x:c>
      <x:c r="I15" s="14" t="n">
        <x:f>SUMIFS('统计计数'!$I$5:$I$76,'统计计数'!$B$5:$B$76,"NCG_H0")/$D15</x:f>
        <x:v>0.2908181818181818</x:v>
      </x:c>
      <x:c r="J15" s="14" t="n">
        <x:f>SUMIFS('统计计数'!$J$5:$J$76,'统计计数'!$B$5:$B$76,"NCG_H0")/$D15</x:f>
        <x:v>0.33345454545454545</x:v>
      </x:c>
      <x:c r="K15" s="14" t="n">
        <x:f>SUMIFS('统计计数'!$K$5:$K$76,'统计计数'!$B$5:$B$76,"NCG_H0")/$D15</x:f>
        <x:v>0.20672727272727273</x:v>
      </x:c>
      <x:c r="L15" s="14" t="n">
        <x:f>SUMIFS('统计计数'!$L$5:$L$76,'统计计数'!$B$5:$B$76,"NCG_H0")/$D15</x:f>
        <x:v>0.012818181818181819</x:v>
      </x:c>
      <x:c r="M15" s="14" t="n">
        <x:f>SUMIFS('统计计数'!$M$5:$M$76,'统计计数'!$B$5:$B$76,"NCG_H0")/$D15</x:f>
        <x:v>0.034</x:v>
      </x:c>
      <x:c r="N15" s="14" t="n">
        <x:f>SUMIFS('统计计数'!$N$5:$N$76,'统计计数'!$B$5:$B$76,"NCG_H0")/$D15</x:f>
        <x:v>0</x:v>
      </x:c>
    </x:row>
    <x:row r="16" ht="23" customHeight="1">
      <x:c r="A16" s="12" t="str">
        <x:v>ALL</x:v>
      </x:c>
      <x:c r="B16" s="12" t="str">
        <x:v>NCG</x:v>
      </x:c>
      <x:c r="C16" s="12" t="str">
        <x:v>H1</x:v>
      </x:c>
      <x:c r="D16" s="11" t="n">
        <x:f>SUMIFS('统计计数'!$C$5:$C$76,'统计计数'!$B$5:$B$76,"NCG_H1")</x:f>
        <x:v>11000</x:v>
      </x:c>
      <x:c r="E16" s="14" t="n">
        <x:f>SUMIFS('统计计数'!$E$5:$E$76,'统计计数'!$B$5:$B$76,"NCG_H1")/$D16</x:f>
        <x:v>0</x:v>
      </x:c>
      <x:c r="F16" s="14" t="n">
        <x:f>SUMIFS('统计计数'!$F$5:$F$76,'统计计数'!$B$5:$B$76,"NCG_H1")/$D16</x:f>
        <x:v>0.09881818181818182</x:v>
      </x:c>
      <x:c r="G16" s="14" t="n">
        <x:f>SUMIFS('统计计数'!$G$5:$G$76,'统计计数'!$B$5:$B$76,"NCG_H1")/$D16</x:f>
        <x:v>0</x:v>
      </x:c>
      <x:c r="H16" s="14" t="n">
        <x:f>SUMIFS('统计计数'!$H$5:$H$76,'统计计数'!$B$5:$B$76,"NCG_H1")/$D16</x:f>
        <x:v>0</x:v>
      </x:c>
      <x:c r="I16" s="14" t="n">
        <x:f>SUMIFS('统计计数'!$I$5:$I$76,'统计计数'!$B$5:$B$76,"NCG_H1")/$D16</x:f>
        <x:v>0.30527272727272725</x:v>
      </x:c>
      <x:c r="J16" s="14" t="n">
        <x:f>SUMIFS('统计计数'!$J$5:$J$76,'统计计数'!$B$5:$B$76,"NCG_H1")/$D16</x:f>
        <x:v>0.3419090909090909</x:v>
      </x:c>
      <x:c r="K16" s="14" t="n">
        <x:f>SUMIFS('统计计数'!$K$5:$K$76,'统计计数'!$B$5:$B$76,"NCG_H1")/$D16</x:f>
        <x:v>0.2071818181818182</x:v>
      </x:c>
      <x:c r="L16" s="14" t="n">
        <x:f>SUMIFS('统计计数'!$L$5:$L$76,'统计计数'!$B$5:$B$76,"NCG_H1")/$D16</x:f>
        <x:v>0.012818181818181819</x:v>
      </x:c>
      <x:c r="M16" s="14" t="n">
        <x:f>SUMIFS('统计计数'!$M$5:$M$76,'统计计数'!$B$5:$B$76,"NCG_H1")/$D16</x:f>
        <x:v>0.034</x:v>
      </x:c>
      <x:c r="N16" s="14" t="n">
        <x:f>SUMIFS('统计计数'!$N$5:$N$76,'统计计数'!$B$5:$B$76,"NCG_H1")/$D16</x:f>
        <x:v>0</x:v>
      </x:c>
    </x:row>
    <x:row r="17" ht="23" customHeight="1">
      <x:c r="A17" s="12" t="str">
        <x:v>a</x:v>
      </x:c>
      <x:c r="B17" s="12" t="str">
        <x:v>N</x:v>
      </x:c>
      <x:c r="C17" s="12" t="str">
        <x:v>H0</x:v>
      </x:c>
      <x:c r="D17" s="11" t="n">
        <x:f>SUMIFS('统计计数'!$C$5:$C$76,'统计计数'!$B$5:$B$76,"N_H0",'统计计数'!$A$5:$A$76,"a")</x:f>
        <x:v>1778</x:v>
      </x:c>
      <x:c r="E17" s="14" t="n">
        <x:f>SUMIFS('统计计数'!$E$5:$E$76,'统计计数'!$B$5:$B$76,"N_H0",'统计计数'!$A$5:$A$76,"a")/$D17</x:f>
        <x:v>0</x:v>
      </x:c>
      <x:c r="F17" s="14" t="n">
        <x:f>SUMIFS('统计计数'!$F$5:$F$76,'统计计数'!$B$5:$B$76,"N_H0",'统计计数'!$A$5:$A$76,"a")/$D17</x:f>
        <x:v>0.13835770528683913</x:v>
      </x:c>
      <x:c r="G17" s="14" t="n">
        <x:f>SUMIFS('统计计数'!$G$5:$G$76,'统计计数'!$B$5:$B$76,"N_H0",'统计计数'!$A$5:$A$76,"a")/$D17</x:f>
        <x:v>0</x:v>
      </x:c>
      <x:c r="H17" s="14" t="n">
        <x:f>SUMIFS('统计计数'!$H$5:$H$76,'统计计数'!$B$5:$B$76,"N_H0",'统计计数'!$A$5:$A$76,"a")/$D17</x:f>
        <x:v>0</x:v>
      </x:c>
      <x:c r="I17" s="14" t="n">
        <x:f>SUMIFS('统计计数'!$I$5:$I$76,'统计计数'!$B$5:$B$76,"N_H0",'统计计数'!$A$5:$A$76,"a")/$D17</x:f>
        <x:v>0.6310461192350956</x:v>
      </x:c>
      <x:c r="J17" s="14" t="n">
        <x:f>SUMIFS('统计计数'!$J$5:$J$76,'统计计数'!$B$5:$B$76,"N_H0",'统计计数'!$A$5:$A$76,"a")/$D17</x:f>
        <x:v>0.003937007874015748</x:v>
      </x:c>
      <x:c r="K17" s="14" t="n">
        <x:f>SUMIFS('统计计数'!$K$5:$K$76,'统计计数'!$B$5:$B$76,"N_H0",'统计计数'!$A$5:$A$76,"a")/$D17</x:f>
        <x:v>0.18335208098987626</x:v>
      </x:c>
      <x:c r="L17" s="14" t="n">
        <x:f>SUMIFS('统计计数'!$L$5:$L$76,'统计计数'!$B$5:$B$76,"N_H0",'统计计数'!$A$5:$A$76,"a")/$D17</x:f>
        <x:v>0.012935883014623173</x:v>
      </x:c>
      <x:c r="M17" s="14" t="n">
        <x:f>SUMIFS('统计计数'!$M$5:$M$76,'统计计数'!$B$5:$B$76,"N_H0",'统计计数'!$A$5:$A$76,"a")/$D17</x:f>
        <x:v>0.030371203599550055</x:v>
      </x:c>
      <x:c r="N17" s="14" t="n">
        <x:f>SUMIFS('统计计数'!$N$5:$N$76,'统计计数'!$B$5:$B$76,"N_H0",'统计计数'!$A$5:$A$76,"a")/$D17</x:f>
        <x:v>0</x:v>
      </x:c>
    </x:row>
    <x:row r="18" ht="23" customHeight="1">
      <x:c r="A18" s="12" t="str">
        <x:v>a</x:v>
      </x:c>
      <x:c r="B18" s="12" t="str">
        <x:v>N</x:v>
      </x:c>
      <x:c r="C18" s="12" t="str">
        <x:v>H1</x:v>
      </x:c>
      <x:c r="D18" s="11" t="n">
        <x:f>SUMIFS('统计计数'!$C$5:$C$76,'统计计数'!$B$5:$B$76,"N_H1",'统计计数'!$A$5:$A$76,"a")</x:f>
        <x:v>1778</x:v>
      </x:c>
      <x:c r="E18" s="14" t="n">
        <x:f>SUMIFS('统计计数'!$E$5:$E$76,'统计计数'!$B$5:$B$76,"N_H1",'统计计数'!$A$5:$A$76,"a")/$D18</x:f>
        <x:v>0</x:v>
      </x:c>
      <x:c r="F18" s="14" t="n">
        <x:f>SUMIFS('统计计数'!$F$5:$F$76,'统计计数'!$B$5:$B$76,"N_H1",'统计计数'!$A$5:$A$76,"a")/$D18</x:f>
        <x:v>0.13835770528683913</x:v>
      </x:c>
      <x:c r="G18" s="14" t="n">
        <x:f>SUMIFS('统计计数'!$G$5:$G$76,'统计计数'!$B$5:$B$76,"N_H1",'统计计数'!$A$5:$A$76,"a")/$D18</x:f>
        <x:v>0</x:v>
      </x:c>
      <x:c r="H18" s="14" t="n">
        <x:f>SUMIFS('统计计数'!$H$5:$H$76,'统计计数'!$B$5:$B$76,"N_H1",'统计计数'!$A$5:$A$76,"a")/$D18</x:f>
        <x:v>0</x:v>
      </x:c>
      <x:c r="I18" s="14" t="n">
        <x:f>SUMIFS('统计计数'!$I$5:$I$76,'统计计数'!$B$5:$B$76,"N_H1",'统计计数'!$A$5:$A$76,"a")/$D18</x:f>
        <x:v>0.6310461192350956</x:v>
      </x:c>
      <x:c r="J18" s="14" t="n">
        <x:f>SUMIFS('统计计数'!$J$5:$J$76,'统计计数'!$B$5:$B$76,"N_H1",'统计计数'!$A$5:$A$76,"a")/$D18</x:f>
        <x:v>0.003937007874015748</x:v>
      </x:c>
      <x:c r="K18" s="14" t="n">
        <x:f>SUMIFS('统计计数'!$K$5:$K$76,'统计计数'!$B$5:$B$76,"N_H1",'统计计数'!$A$5:$A$76,"a")/$D18</x:f>
        <x:v>0.18335208098987626</x:v>
      </x:c>
      <x:c r="L18" s="14" t="n">
        <x:f>SUMIFS('统计计数'!$L$5:$L$76,'统计计数'!$B$5:$B$76,"N_H1",'统计计数'!$A$5:$A$76,"a")/$D18</x:f>
        <x:v>0.012935883014623173</x:v>
      </x:c>
      <x:c r="M18" s="14" t="n">
        <x:f>SUMIFS('统计计数'!$M$5:$M$76,'统计计数'!$B$5:$B$76,"N_H1",'统计计数'!$A$5:$A$76,"a")/$D18</x:f>
        <x:v>0.030371203599550055</x:v>
      </x:c>
      <x:c r="N18" s="14" t="n">
        <x:f>SUMIFS('统计计数'!$N$5:$N$76,'统计计数'!$B$5:$B$76,"N_H1",'统计计数'!$A$5:$A$76,"a")/$D18</x:f>
        <x:v>0</x:v>
      </x:c>
    </x:row>
    <x:row r="19" ht="23" customHeight="1">
      <x:c r="A19" s="12" t="str">
        <x:v>a</x:v>
      </x:c>
      <x:c r="B19" s="12" t="str">
        <x:v>C</x:v>
      </x:c>
      <x:c r="C19" s="12" t="str">
        <x:v>H0</x:v>
      </x:c>
      <x:c r="D19" s="11" t="n">
        <x:f>SUMIFS('统计计数'!$C$5:$C$76,'统计计数'!$B$5:$B$76,"C_H0",'统计计数'!$A$5:$A$76,"a")</x:f>
        <x:v>1778</x:v>
      </x:c>
      <x:c r="E19" s="14" t="n">
        <x:f>SUMIFS('统计计数'!$E$5:$E$76,'统计计数'!$B$5:$B$76,"C_H0",'统计计数'!$A$5:$A$76,"a")/$D19</x:f>
        <x:v>0</x:v>
      </x:c>
      <x:c r="F19" s="14" t="n">
        <x:f>SUMIFS('统计计数'!$F$5:$F$76,'统计计数'!$B$5:$B$76,"C_H0",'统计计数'!$A$5:$A$76,"a")/$D19</x:f>
        <x:v>0.38357705286839144</x:v>
      </x:c>
      <x:c r="G19" s="14" t="n">
        <x:f>SUMIFS('统计计数'!$G$5:$G$76,'统计计数'!$B$5:$B$76,"C_H0",'统计计数'!$A$5:$A$76,"a")/$D19</x:f>
        <x:v>0</x:v>
      </x:c>
      <x:c r="H19" s="14" t="n">
        <x:f>SUMIFS('统计计数'!$H$5:$H$76,'统计计数'!$B$5:$B$76,"C_H0",'统计计数'!$A$5:$A$76,"a")/$D19</x:f>
        <x:v>0</x:v>
      </x:c>
      <x:c r="I19" s="14" t="n">
        <x:f>SUMIFS('统计计数'!$I$5:$I$76,'统计计数'!$B$5:$B$76,"C_H0",'统计计数'!$A$5:$A$76,"a")/$D19</x:f>
        <x:v>0.6040494938132733</x:v>
      </x:c>
      <x:c r="J19" s="14" t="n">
        <x:f>SUMIFS('统计计数'!$J$5:$J$76,'统计计数'!$B$5:$B$76,"C_H0",'统计计数'!$A$5:$A$76,"a")/$D19</x:f>
        <x:v>0</x:v>
      </x:c>
      <x:c r="K19" s="14" t="n">
        <x:f>SUMIFS('统计计数'!$K$5:$K$76,'统计计数'!$B$5:$B$76,"C_H0",'统计计数'!$A$5:$A$76,"a")/$D19</x:f>
        <x:v>0</x:v>
      </x:c>
      <x:c r="L19" s="14" t="n">
        <x:f>SUMIFS('统计计数'!$L$5:$L$76,'统计计数'!$B$5:$B$76,"C_H0",'统计计数'!$A$5:$A$76,"a")/$D19</x:f>
        <x:v>0</x:v>
      </x:c>
      <x:c r="M19" s="14" t="n">
        <x:f>SUMIFS('统计计数'!$M$5:$M$76,'统计计数'!$B$5:$B$76,"C_H0",'统计计数'!$A$5:$A$76,"a")/$D19</x:f>
        <x:v>0.012373453318335208</x:v>
      </x:c>
      <x:c r="N19" s="14" t="n">
        <x:f>SUMIFS('统计计数'!$N$5:$N$76,'统计计数'!$B$5:$B$76,"C_H0",'统计计数'!$A$5:$A$76,"a")/$D19</x:f>
        <x:v>0</x:v>
      </x:c>
    </x:row>
    <x:row r="20" ht="23" customHeight="1">
      <x:c r="A20" s="12" t="str">
        <x:v>a</x:v>
      </x:c>
      <x:c r="B20" s="12" t="str">
        <x:v>C</x:v>
      </x:c>
      <x:c r="C20" s="12" t="str">
        <x:v>H1</x:v>
      </x:c>
      <x:c r="D20" s="11" t="n">
        <x:f>SUMIFS('统计计数'!$C$5:$C$76,'统计计数'!$B$5:$B$76,"C_H1",'统计计数'!$A$5:$A$76,"a")</x:f>
        <x:v>1778</x:v>
      </x:c>
      <x:c r="E20" s="14" t="n">
        <x:f>SUMIFS('统计计数'!$E$5:$E$76,'统计计数'!$B$5:$B$76,"C_H1",'统计计数'!$A$5:$A$76,"a")/$D20</x:f>
        <x:v>0</x:v>
      </x:c>
      <x:c r="F20" s="14" t="n">
        <x:f>SUMIFS('统计计数'!$F$5:$F$76,'统计计数'!$B$5:$B$76,"C_H1",'统计计数'!$A$5:$A$76,"a")/$D20</x:f>
        <x:v>0.38357705286839144</x:v>
      </x:c>
      <x:c r="G20" s="14" t="n">
        <x:f>SUMIFS('统计计数'!$G$5:$G$76,'统计计数'!$B$5:$B$76,"C_H1",'统计计数'!$A$5:$A$76,"a")/$D20</x:f>
        <x:v>0</x:v>
      </x:c>
      <x:c r="H20" s="14" t="n">
        <x:f>SUMIFS('统计计数'!$H$5:$H$76,'统计计数'!$B$5:$B$76,"C_H1",'统计计数'!$A$5:$A$76,"a")/$D20</x:f>
        <x:v>0</x:v>
      </x:c>
      <x:c r="I20" s="14" t="n">
        <x:f>SUMIFS('统计计数'!$I$5:$I$76,'统计计数'!$B$5:$B$76,"C_H1",'统计计数'!$A$5:$A$76,"a")/$D20</x:f>
        <x:v>0.6040494938132733</x:v>
      </x:c>
      <x:c r="J20" s="14" t="n">
        <x:f>SUMIFS('统计计数'!$J$5:$J$76,'统计计数'!$B$5:$B$76,"C_H1",'统计计数'!$A$5:$A$76,"a")/$D20</x:f>
        <x:v>0</x:v>
      </x:c>
      <x:c r="K20" s="14" t="n">
        <x:f>SUMIFS('统计计数'!$K$5:$K$76,'统计计数'!$B$5:$B$76,"C_H1",'统计计数'!$A$5:$A$76,"a")/$D20</x:f>
        <x:v>0</x:v>
      </x:c>
      <x:c r="L20" s="14" t="n">
        <x:f>SUMIFS('统计计数'!$L$5:$L$76,'统计计数'!$B$5:$B$76,"C_H1",'统计计数'!$A$5:$A$76,"a")/$D20</x:f>
        <x:v>0</x:v>
      </x:c>
      <x:c r="M20" s="14" t="n">
        <x:f>SUMIFS('统计计数'!$M$5:$M$76,'统计计数'!$B$5:$B$76,"C_H1",'统计计数'!$A$5:$A$76,"a")/$D20</x:f>
        <x:v>0.012373453318335208</x:v>
      </x:c>
      <x:c r="N20" s="14" t="n">
        <x:f>SUMIFS('统计计数'!$N$5:$N$76,'统计计数'!$B$5:$B$76,"C_H1",'统计计数'!$A$5:$A$76,"a")/$D20</x:f>
        <x:v>0</x:v>
      </x:c>
    </x:row>
    <x:row r="21" ht="23" customHeight="1">
      <x:c r="A21" s="12" t="str">
        <x:v>a</x:v>
      </x:c>
      <x:c r="B21" s="12" t="str">
        <x:v>NG</x:v>
      </x:c>
      <x:c r="C21" s="12" t="str">
        <x:v>H0</x:v>
      </x:c>
      <x:c r="D21" s="11" t="n">
        <x:f>SUMIFS('统计计数'!$C$5:$C$76,'统计计数'!$B$5:$B$76,"NG_H0",'统计计数'!$A$5:$A$76,"a")</x:f>
        <x:v>1778</x:v>
      </x:c>
      <x:c r="E21" s="14" t="n">
        <x:f>SUMIFS('统计计数'!$E$5:$E$76,'统计计数'!$B$5:$B$76,"NG_H0",'统计计数'!$A$5:$A$76,"a")/$D21</x:f>
        <x:v>0</x:v>
      </x:c>
      <x:c r="F21" s="14" t="n">
        <x:f>SUMIFS('统计计数'!$F$5:$F$76,'统计计数'!$B$5:$B$76,"NG_H0",'统计计数'!$A$5:$A$76,"a")/$D21</x:f>
        <x:v>0.10573678290213723</x:v>
      </x:c>
      <x:c r="G21" s="14" t="n">
        <x:f>SUMIFS('统计计数'!$G$5:$G$76,'统计计数'!$B$5:$B$76,"NG_H0",'统计计数'!$A$5:$A$76,"a")/$D21</x:f>
        <x:v>0</x:v>
      </x:c>
      <x:c r="H21" s="14" t="n">
        <x:f>SUMIFS('统计计数'!$H$5:$H$76,'统计计数'!$B$5:$B$76,"NG_H0",'统计计数'!$A$5:$A$76,"a")/$D21</x:f>
        <x:v>0</x:v>
      </x:c>
      <x:c r="I21" s="14" t="n">
        <x:f>SUMIFS('统计计数'!$I$5:$I$76,'统计计数'!$B$5:$B$76,"NG_H0",'统计计数'!$A$5:$A$76,"a")/$D21</x:f>
        <x:v>0.3065241844769404</x:v>
      </x:c>
      <x:c r="J21" s="14" t="n">
        <x:f>SUMIFS('统计计数'!$J$5:$J$76,'统计计数'!$B$5:$B$76,"NG_H0",'统计计数'!$A$5:$A$76,"a")/$D21</x:f>
        <x:v>0.3610798650168729</x:v>
      </x:c>
      <x:c r="K21" s="14" t="n">
        <x:f>SUMIFS('统计计数'!$K$5:$K$76,'统计计数'!$B$5:$B$76,"NG_H0",'统计计数'!$A$5:$A$76,"a")/$D21</x:f>
        <x:v>0.18335208098987626</x:v>
      </x:c>
      <x:c r="L21" s="14" t="n">
        <x:f>SUMIFS('统计计数'!$L$5:$L$76,'统计计数'!$B$5:$B$76,"NG_H0",'统计计数'!$A$5:$A$76,"a")/$D21</x:f>
        <x:v>0.012935883014623173</x:v>
      </x:c>
      <x:c r="M21" s="14" t="n">
        <x:f>SUMIFS('统计计数'!$M$5:$M$76,'统计计数'!$B$5:$B$76,"NG_H0",'统计计数'!$A$5:$A$76,"a")/$D21</x:f>
        <x:v>0.030371203599550055</x:v>
      </x:c>
      <x:c r="N21" s="14" t="n">
        <x:f>SUMIFS('统计计数'!$N$5:$N$76,'统计计数'!$B$5:$B$76,"NG_H0",'统计计数'!$A$5:$A$76,"a")/$D21</x:f>
        <x:v>0</x:v>
      </x:c>
    </x:row>
    <x:row r="22" ht="23" customHeight="1">
      <x:c r="A22" s="12" t="str">
        <x:v>a</x:v>
      </x:c>
      <x:c r="B22" s="12" t="str">
        <x:v>NG</x:v>
      </x:c>
      <x:c r="C22" s="12" t="str">
        <x:v>H1</x:v>
      </x:c>
      <x:c r="D22" s="11" t="n">
        <x:f>SUMIFS('统计计数'!$C$5:$C$76,'统计计数'!$B$5:$B$76,"NG_H1",'统计计数'!$A$5:$A$76,"a")</x:f>
        <x:v>1778</x:v>
      </x:c>
      <x:c r="E22" s="14" t="n">
        <x:f>SUMIFS('统计计数'!$E$5:$E$76,'统计计数'!$B$5:$B$76,"NG_H1",'统计计数'!$A$5:$A$76,"a")/$D22</x:f>
        <x:v>0</x:v>
      </x:c>
      <x:c r="F22" s="14" t="n">
        <x:f>SUMIFS('统计计数'!$F$5:$F$76,'统计计数'!$B$5:$B$76,"NG_H1",'统计计数'!$A$5:$A$76,"a")/$D22</x:f>
        <x:v>0.10573678290213723</x:v>
      </x:c>
      <x:c r="G22" s="14" t="n">
        <x:f>SUMIFS('统计计数'!$G$5:$G$76,'统计计数'!$B$5:$B$76,"NG_H1",'统计计数'!$A$5:$A$76,"a")/$D22</x:f>
        <x:v>0</x:v>
      </x:c>
      <x:c r="H22" s="14" t="n">
        <x:f>SUMIFS('统计计数'!$H$5:$H$76,'统计计数'!$B$5:$B$76,"NG_H1",'统计计数'!$A$5:$A$76,"a")/$D22</x:f>
        <x:v>0</x:v>
      </x:c>
      <x:c r="I22" s="14" t="n">
        <x:f>SUMIFS('统计计数'!$I$5:$I$76,'统计计数'!$B$5:$B$76,"NG_H1",'统计计数'!$A$5:$A$76,"a")/$D22</x:f>
        <x:v>0.3065241844769404</x:v>
      </x:c>
      <x:c r="J22" s="14" t="n">
        <x:f>SUMIFS('统计计数'!$J$5:$J$76,'统计计数'!$B$5:$B$76,"NG_H1",'统计计数'!$A$5:$A$76,"a")/$D22</x:f>
        <x:v>0.3610798650168729</x:v>
      </x:c>
      <x:c r="K22" s="14" t="n">
        <x:f>SUMIFS('统计计数'!$K$5:$K$76,'统计计数'!$B$5:$B$76,"NG_H1",'统计计数'!$A$5:$A$76,"a")/$D22</x:f>
        <x:v>0.18335208098987626</x:v>
      </x:c>
      <x:c r="L22" s="14" t="n">
        <x:f>SUMIFS('统计计数'!$L$5:$L$76,'统计计数'!$B$5:$B$76,"NG_H1",'统计计数'!$A$5:$A$76,"a")/$D22</x:f>
        <x:v>0.012935883014623173</x:v>
      </x:c>
      <x:c r="M22" s="14" t="n">
        <x:f>SUMIFS('统计计数'!$M$5:$M$76,'统计计数'!$B$5:$B$76,"NG_H1",'统计计数'!$A$5:$A$76,"a")/$D22</x:f>
        <x:v>0.030371203599550055</x:v>
      </x:c>
      <x:c r="N22" s="14" t="n">
        <x:f>SUMIFS('统计计数'!$N$5:$N$76,'统计计数'!$B$5:$B$76,"NG_H1",'统计计数'!$A$5:$A$76,"a")/$D22</x:f>
        <x:v>0</x:v>
      </x:c>
    </x:row>
    <x:row r="23" ht="23" customHeight="1">
      <x:c r="A23" s="12" t="str">
        <x:v>a</x:v>
      </x:c>
      <x:c r="B23" s="12" t="str">
        <x:v>CG</x:v>
      </x:c>
      <x:c r="C23" s="12" t="str">
        <x:v>H0</x:v>
      </x:c>
      <x:c r="D23" s="11" t="n">
        <x:f>SUMIFS('统计计数'!$C$5:$C$76,'统计计数'!$B$5:$B$76,"CG_H0",'统计计数'!$A$5:$A$76,"a")</x:f>
        <x:v>1778</x:v>
      </x:c>
      <x:c r="E23" s="14" t="n">
        <x:f>SUMIFS('统计计数'!$E$5:$E$76,'统计计数'!$B$5:$B$76,"CG_H0",'统计计数'!$A$5:$A$76,"a")/$D23</x:f>
        <x:v>0</x:v>
      </x:c>
      <x:c r="F23" s="14" t="n">
        <x:f>SUMIFS('统计计数'!$F$5:$F$76,'统计计数'!$B$5:$B$76,"CG_H0",'统计计数'!$A$5:$A$76,"a")/$D23</x:f>
        <x:v>0.1377952755905512</x:v>
      </x:c>
      <x:c r="G23" s="14" t="n">
        <x:f>SUMIFS('统计计数'!$G$5:$G$76,'统计计数'!$B$5:$B$76,"CG_H0",'统计计数'!$A$5:$A$76,"a")/$D23</x:f>
        <x:v>0</x:v>
      </x:c>
      <x:c r="H23" s="14" t="n">
        <x:f>SUMIFS('统计计数'!$H$5:$H$76,'统计计数'!$B$5:$B$76,"CG_H0",'统计计数'!$A$5:$A$76,"a")/$D23</x:f>
        <x:v>0</x:v>
      </x:c>
      <x:c r="I23" s="14" t="n">
        <x:f>SUMIFS('统计计数'!$I$5:$I$76,'统计计数'!$B$5:$B$76,"CG_H0",'统计计数'!$A$5:$A$76,"a")/$D23</x:f>
        <x:v>0.3847019122609674</x:v>
      </x:c>
      <x:c r="J23" s="14" t="n">
        <x:f>SUMIFS('统计计数'!$J$5:$J$76,'统计计数'!$B$5:$B$76,"CG_H0",'统计计数'!$A$5:$A$76,"a")/$D23</x:f>
        <x:v>0.4651293588301462</x:v>
      </x:c>
      <x:c r="K23" s="14" t="n">
        <x:f>SUMIFS('统计计数'!$K$5:$K$76,'统计计数'!$B$5:$B$76,"CG_H0",'统计计数'!$A$5:$A$76,"a")/$D23</x:f>
        <x:v>0</x:v>
      </x:c>
      <x:c r="L23" s="14" t="n">
        <x:f>SUMIFS('统计计数'!$L$5:$L$76,'统计计数'!$B$5:$B$76,"CG_H0",'统计计数'!$A$5:$A$76,"a")/$D23</x:f>
        <x:v>0</x:v>
      </x:c>
      <x:c r="M23" s="14" t="n">
        <x:f>SUMIFS('统计计数'!$M$5:$M$76,'统计计数'!$B$5:$B$76,"CG_H0",'统计计数'!$A$5:$A$76,"a")/$D23</x:f>
        <x:v>0.012373453318335208</x:v>
      </x:c>
      <x:c r="N23" s="14" t="n">
        <x:f>SUMIFS('统计计数'!$N$5:$N$76,'统计计数'!$B$5:$B$76,"CG_H0",'统计计数'!$A$5:$A$76,"a")/$D23</x:f>
        <x:v>0</x:v>
      </x:c>
    </x:row>
    <x:row r="24" ht="23" customHeight="1">
      <x:c r="A24" s="12" t="str">
        <x:v>a</x:v>
      </x:c>
      <x:c r="B24" s="12" t="str">
        <x:v>CG</x:v>
      </x:c>
      <x:c r="C24" s="12" t="str">
        <x:v>H1</x:v>
      </x:c>
      <x:c r="D24" s="11" t="n">
        <x:f>SUMIFS('统计计数'!$C$5:$C$76,'统计计数'!$B$5:$B$76,"CG_H1",'统计计数'!$A$5:$A$76,"a")</x:f>
        <x:v>1778</x:v>
      </x:c>
      <x:c r="E24" s="14" t="n">
        <x:f>SUMIFS('统计计数'!$E$5:$E$76,'统计计数'!$B$5:$B$76,"CG_H1",'统计计数'!$A$5:$A$76,"a")/$D24</x:f>
        <x:v>0</x:v>
      </x:c>
      <x:c r="F24" s="14" t="n">
        <x:f>SUMIFS('统计计数'!$F$5:$F$76,'统计计数'!$B$5:$B$76,"CG_H1",'统计计数'!$A$5:$A$76,"a")/$D24</x:f>
        <x:v>0.1377952755905512</x:v>
      </x:c>
      <x:c r="G24" s="14" t="n">
        <x:f>SUMIFS('统计计数'!$G$5:$G$76,'统计计数'!$B$5:$B$76,"CG_H1",'统计计数'!$A$5:$A$76,"a")/$D24</x:f>
        <x:v>0</x:v>
      </x:c>
      <x:c r="H24" s="14" t="n">
        <x:f>SUMIFS('统计计数'!$H$5:$H$76,'统计计数'!$B$5:$B$76,"CG_H1",'统计计数'!$A$5:$A$76,"a")/$D24</x:f>
        <x:v>0</x:v>
      </x:c>
      <x:c r="I24" s="14" t="n">
        <x:f>SUMIFS('统计计数'!$I$5:$I$76,'统计计数'!$B$5:$B$76,"CG_H1",'统计计数'!$A$5:$A$76,"a")/$D24</x:f>
        <x:v>0.3847019122609674</x:v>
      </x:c>
      <x:c r="J24" s="14" t="n">
        <x:f>SUMIFS('统计计数'!$J$5:$J$76,'统计计数'!$B$5:$B$76,"CG_H1",'统计计数'!$A$5:$A$76,"a")/$D24</x:f>
        <x:v>0.4651293588301462</x:v>
      </x:c>
      <x:c r="K24" s="14" t="n">
        <x:f>SUMIFS('统计计数'!$K$5:$K$76,'统计计数'!$B$5:$B$76,"CG_H1",'统计计数'!$A$5:$A$76,"a")/$D24</x:f>
        <x:v>0</x:v>
      </x:c>
      <x:c r="L24" s="14" t="n">
        <x:f>SUMIFS('统计计数'!$L$5:$L$76,'统计计数'!$B$5:$B$76,"CG_H1",'统计计数'!$A$5:$A$76,"a")/$D24</x:f>
        <x:v>0</x:v>
      </x:c>
      <x:c r="M24" s="14" t="n">
        <x:f>SUMIFS('统计计数'!$M$5:$M$76,'统计计数'!$B$5:$B$76,"CG_H1",'统计计数'!$A$5:$A$76,"a")/$D24</x:f>
        <x:v>0.012373453318335208</x:v>
      </x:c>
      <x:c r="N24" s="14" t="n">
        <x:f>SUMIFS('统计计数'!$N$5:$N$76,'统计计数'!$B$5:$B$76,"CG_H1",'统计计数'!$A$5:$A$76,"a")/$D24</x:f>
        <x:v>0</x:v>
      </x:c>
    </x:row>
    <x:row r="25" ht="23" customHeight="1">
      <x:c r="A25" s="12" t="str">
        <x:v>a</x:v>
      </x:c>
      <x:c r="B25" s="12" t="str">
        <x:v>NC</x:v>
      </x:c>
      <x:c r="C25" s="12" t="str">
        <x:v>H0</x:v>
      </x:c>
      <x:c r="D25" s="11" t="n">
        <x:f>SUMIFS('统计计数'!$C$5:$C$76,'统计计数'!$B$5:$B$76,"NC_H0",'统计计数'!$A$5:$A$76,"a")</x:f>
        <x:v>1778</x:v>
      </x:c>
      <x:c r="E25" s="14" t="n">
        <x:f>SUMIFS('统计计数'!$E$5:$E$76,'统计计数'!$B$5:$B$76,"NC_H0",'统计计数'!$A$5:$A$76,"a")/$D25</x:f>
        <x:v>0</x:v>
      </x:c>
      <x:c r="F25" s="14" t="n">
        <x:f>SUMIFS('统计计数'!$F$5:$F$76,'统计计数'!$B$5:$B$76,"NC_H0",'统计计数'!$A$5:$A$76,"a")/$D25</x:f>
        <x:v>0.3233970753655793</x:v>
      </x:c>
      <x:c r="G25" s="14" t="n">
        <x:f>SUMIFS('统计计数'!$G$5:$G$76,'统计计数'!$B$5:$B$76,"NC_H0",'统计计数'!$A$5:$A$76,"a")/$D25</x:f>
        <x:v>0</x:v>
      </x:c>
      <x:c r="H25" s="14" t="n">
        <x:f>SUMIFS('统计计数'!$H$5:$H$76,'统计计数'!$B$5:$B$76,"NC_H0",'统计计数'!$A$5:$A$76,"a")/$D25</x:f>
        <x:v>0</x:v>
      </x:c>
      <x:c r="I25" s="14" t="n">
        <x:f>SUMIFS('统计计数'!$I$5:$I$76,'统计计数'!$B$5:$B$76,"NC_H0",'统计计数'!$A$5:$A$76,"a")/$D25</x:f>
        <x:v>0.44938132733408326</x:v>
      </x:c>
      <x:c r="J25" s="14" t="n">
        <x:f>SUMIFS('统计计数'!$J$5:$J$76,'统计计数'!$B$5:$B$76,"NC_H0",'统计计数'!$A$5:$A$76,"a")/$D25</x:f>
        <x:v>0</x:v>
      </x:c>
      <x:c r="K25" s="14" t="n">
        <x:f>SUMIFS('统计计数'!$K$5:$K$76,'统计计数'!$B$5:$B$76,"NC_H0",'统计计数'!$A$5:$A$76,"a")/$D25</x:f>
        <x:v>0.19010123734533182</x:v>
      </x:c>
      <x:c r="L25" s="14" t="n">
        <x:f>SUMIFS('统计计数'!$L$5:$L$76,'统计计数'!$B$5:$B$76,"NC_H0",'统计计数'!$A$5:$A$76,"a")/$D25</x:f>
        <x:v>0.010686164229471317</x:v>
      </x:c>
      <x:c r="M25" s="14" t="n">
        <x:f>SUMIFS('统计计数'!$M$5:$M$76,'统计计数'!$B$5:$B$76,"NC_H0",'统计计数'!$A$5:$A$76,"a")/$D25</x:f>
        <x:v>0.026434195725534307</x:v>
      </x:c>
      <x:c r="N25" s="14" t="n">
        <x:f>SUMIFS('统计计数'!$N$5:$N$76,'统计计数'!$B$5:$B$76,"NC_H0",'统计计数'!$A$5:$A$76,"a")/$D25</x:f>
        <x:v>0</x:v>
      </x:c>
    </x:row>
    <x:row r="26" ht="23" customHeight="1">
      <x:c r="A26" s="12" t="str">
        <x:v>a</x:v>
      </x:c>
      <x:c r="B26" s="12" t="str">
        <x:v>NC</x:v>
      </x:c>
      <x:c r="C26" s="12" t="str">
        <x:v>H1</x:v>
      </x:c>
      <x:c r="D26" s="11" t="n">
        <x:f>SUMIFS('统计计数'!$C$5:$C$76,'统计计数'!$B$5:$B$76,"NC_H1",'统计计数'!$A$5:$A$76,"a")</x:f>
        <x:v>1778</x:v>
      </x:c>
      <x:c r="E26" s="14" t="n">
        <x:f>SUMIFS('统计计数'!$E$5:$E$76,'统计计数'!$B$5:$B$76,"NC_H1",'统计计数'!$A$5:$A$76,"a")/$D26</x:f>
        <x:v>0</x:v>
      </x:c>
      <x:c r="F26" s="14" t="n">
        <x:f>SUMIFS('统计计数'!$F$5:$F$76,'统计计数'!$B$5:$B$76,"NC_H1",'统计计数'!$A$5:$A$76,"a")/$D26</x:f>
        <x:v>0.3233970753655793</x:v>
      </x:c>
      <x:c r="G26" s="14" t="n">
        <x:f>SUMIFS('统计计数'!$G$5:$G$76,'统计计数'!$B$5:$B$76,"NC_H1",'统计计数'!$A$5:$A$76,"a")/$D26</x:f>
        <x:v>0</x:v>
      </x:c>
      <x:c r="H26" s="14" t="n">
        <x:f>SUMIFS('统计计数'!$H$5:$H$76,'统计计数'!$B$5:$B$76,"NC_H1",'统计计数'!$A$5:$A$76,"a")/$D26</x:f>
        <x:v>0</x:v>
      </x:c>
      <x:c r="I26" s="14" t="n">
        <x:f>SUMIFS('统计计数'!$I$5:$I$76,'统计计数'!$B$5:$B$76,"NC_H1",'统计计数'!$A$5:$A$76,"a")/$D26</x:f>
        <x:v>0.44938132733408326</x:v>
      </x:c>
      <x:c r="J26" s="14" t="n">
        <x:f>SUMIFS('统计计数'!$J$5:$J$76,'统计计数'!$B$5:$B$76,"NC_H1",'统计计数'!$A$5:$A$76,"a")/$D26</x:f>
        <x:v>0</x:v>
      </x:c>
      <x:c r="K26" s="14" t="n">
        <x:f>SUMIFS('统计计数'!$K$5:$K$76,'统计计数'!$B$5:$B$76,"NC_H1",'统计计数'!$A$5:$A$76,"a")/$D26</x:f>
        <x:v>0.19010123734533182</x:v>
      </x:c>
      <x:c r="L26" s="14" t="n">
        <x:f>SUMIFS('统计计数'!$L$5:$L$76,'统计计数'!$B$5:$B$76,"NC_H1",'统计计数'!$A$5:$A$76,"a")/$D26</x:f>
        <x:v>0.010686164229471317</x:v>
      </x:c>
      <x:c r="M26" s="14" t="n">
        <x:f>SUMIFS('统计计数'!$M$5:$M$76,'统计计数'!$B$5:$B$76,"NC_H1",'统计计数'!$A$5:$A$76,"a")/$D26</x:f>
        <x:v>0.026434195725534307</x:v>
      </x:c>
      <x:c r="N26" s="14" t="n">
        <x:f>SUMIFS('统计计数'!$N$5:$N$76,'统计计数'!$B$5:$B$76,"NC_H1",'统计计数'!$A$5:$A$76,"a")/$D26</x:f>
        <x:v>0</x:v>
      </x:c>
    </x:row>
    <x:row r="27" ht="23" customHeight="1">
      <x:c r="A27" s="12" t="str">
        <x:v>a</x:v>
      </x:c>
      <x:c r="B27" s="12" t="str">
        <x:v>NCG</x:v>
      </x:c>
      <x:c r="C27" s="12" t="str">
        <x:v>H0</x:v>
      </x:c>
      <x:c r="D27" s="11" t="n">
        <x:f>SUMIFS('统计计数'!$C$5:$C$76,'统计计数'!$B$5:$B$76,"NCG_H0",'统计计数'!$A$5:$A$76,"a")</x:f>
        <x:v>1778</x:v>
      </x:c>
      <x:c r="E27" s="14" t="n">
        <x:f>SUMIFS('统计计数'!$E$5:$E$76,'统计计数'!$B$5:$B$76,"NCG_H0",'统计计数'!$A$5:$A$76,"a")/$D27</x:f>
        <x:v>0</x:v>
      </x:c>
      <x:c r="F27" s="14" t="n">
        <x:f>SUMIFS('统计计数'!$F$5:$F$76,'统计计数'!$B$5:$B$76,"NCG_H0",'统计计数'!$A$5:$A$76,"a")/$D27</x:f>
        <x:v>0.10573678290213723</x:v>
      </x:c>
      <x:c r="G27" s="14" t="n">
        <x:f>SUMIFS('统计计数'!$G$5:$G$76,'统计计数'!$B$5:$B$76,"NCG_H0",'统计计数'!$A$5:$A$76,"a")/$D27</x:f>
        <x:v>0</x:v>
      </x:c>
      <x:c r="H27" s="14" t="n">
        <x:f>SUMIFS('统计计数'!$H$5:$H$76,'统计计数'!$B$5:$B$76,"NCG_H0",'统计计数'!$A$5:$A$76,"a")/$D27</x:f>
        <x:v>0</x:v>
      </x:c>
      <x:c r="I27" s="14" t="n">
        <x:f>SUMIFS('统计计数'!$I$5:$I$76,'统计计数'!$B$5:$B$76,"NCG_H0",'统计计数'!$A$5:$A$76,"a")/$D27</x:f>
        <x:v>0.30202474690663667</x:v>
      </x:c>
      <x:c r="J27" s="14" t="n">
        <x:f>SUMIFS('统计计数'!$J$5:$J$76,'统计计数'!$B$5:$B$76,"NCG_H0",'统计计数'!$A$5:$A$76,"a")/$D27</x:f>
        <x:v>0.36501687289088863</x:v>
      </x:c>
      <x:c r="K27" s="14" t="n">
        <x:f>SUMIFS('统计计数'!$K$5:$K$76,'统计计数'!$B$5:$B$76,"NCG_H0",'统计计数'!$A$5:$A$76,"a")/$D27</x:f>
        <x:v>0.19010123734533182</x:v>
      </x:c>
      <x:c r="L27" s="14" t="n">
        <x:f>SUMIFS('统计计数'!$L$5:$L$76,'统计计数'!$B$5:$B$76,"NCG_H0",'统计计数'!$A$5:$A$76,"a")/$D27</x:f>
        <x:v>0.010686164229471317</x:v>
      </x:c>
      <x:c r="M27" s="14" t="n">
        <x:f>SUMIFS('统计计数'!$M$5:$M$76,'统计计数'!$B$5:$B$76,"NCG_H0",'统计计数'!$A$5:$A$76,"a")/$D27</x:f>
        <x:v>0.026434195725534307</x:v>
      </x:c>
      <x:c r="N27" s="14" t="n">
        <x:f>SUMIFS('统计计数'!$N$5:$N$76,'统计计数'!$B$5:$B$76,"NCG_H0",'统计计数'!$A$5:$A$76,"a")/$D27</x:f>
        <x:v>0</x:v>
      </x:c>
    </x:row>
    <x:row r="28" ht="23" customHeight="1">
      <x:c r="A28" s="12" t="str">
        <x:v>a</x:v>
      </x:c>
      <x:c r="B28" s="12" t="str">
        <x:v>NCG</x:v>
      </x:c>
      <x:c r="C28" s="12" t="str">
        <x:v>H1</x:v>
      </x:c>
      <x:c r="D28" s="11" t="n">
        <x:f>SUMIFS('统计计数'!$C$5:$C$76,'统计计数'!$B$5:$B$76,"NCG_H1",'统计计数'!$A$5:$A$76,"a")</x:f>
        <x:v>1778</x:v>
      </x:c>
      <x:c r="E28" s="14" t="n">
        <x:f>SUMIFS('统计计数'!$E$5:$E$76,'统计计数'!$B$5:$B$76,"NCG_H1",'统计计数'!$A$5:$A$76,"a")/$D28</x:f>
        <x:v>0</x:v>
      </x:c>
      <x:c r="F28" s="14" t="n">
        <x:f>SUMIFS('统计计数'!$F$5:$F$76,'统计计数'!$B$5:$B$76,"NCG_H1",'统计计数'!$A$5:$A$76,"a")/$D28</x:f>
        <x:v>0.10573678290213723</x:v>
      </x:c>
      <x:c r="G28" s="14" t="n">
        <x:f>SUMIFS('统计计数'!$G$5:$G$76,'统计计数'!$B$5:$B$76,"NCG_H1",'统计计数'!$A$5:$A$76,"a")/$D28</x:f>
        <x:v>0</x:v>
      </x:c>
      <x:c r="H28" s="14" t="n">
        <x:f>SUMIFS('统计计数'!$H$5:$H$76,'统计计数'!$B$5:$B$76,"NCG_H1",'统计计数'!$A$5:$A$76,"a")/$D28</x:f>
        <x:v>0</x:v>
      </x:c>
      <x:c r="I28" s="14" t="n">
        <x:f>SUMIFS('统计计数'!$I$5:$I$76,'统计计数'!$B$5:$B$76,"NCG_H1",'统计计数'!$A$5:$A$76,"a")/$D28</x:f>
        <x:v>0.30202474690663667</x:v>
      </x:c>
      <x:c r="J28" s="14" t="n">
        <x:f>SUMIFS('统计计数'!$J$5:$J$76,'统计计数'!$B$5:$B$76,"NCG_H1",'统计计数'!$A$5:$A$76,"a")/$D28</x:f>
        <x:v>0.36501687289088863</x:v>
      </x:c>
      <x:c r="K28" s="14" t="n">
        <x:f>SUMIFS('统计计数'!$K$5:$K$76,'统计计数'!$B$5:$B$76,"NCG_H1",'统计计数'!$A$5:$A$76,"a")/$D28</x:f>
        <x:v>0.19010123734533182</x:v>
      </x:c>
      <x:c r="L28" s="14" t="n">
        <x:f>SUMIFS('统计计数'!$L$5:$L$76,'统计计数'!$B$5:$B$76,"NCG_H1",'统计计数'!$A$5:$A$76,"a")/$D28</x:f>
        <x:v>0.010686164229471317</x:v>
      </x:c>
      <x:c r="M28" s="14" t="n">
        <x:f>SUMIFS('统计计数'!$M$5:$M$76,'统计计数'!$B$5:$B$76,"NCG_H1",'统计计数'!$A$5:$A$76,"a")/$D28</x:f>
        <x:v>0.026434195725534307</x:v>
      </x:c>
      <x:c r="N28" s="14" t="n">
        <x:f>SUMIFS('统计计数'!$N$5:$N$76,'统计计数'!$B$5:$B$76,"NCG_H1",'统计计数'!$A$5:$A$76,"a")/$D28</x:f>
        <x:v>0</x:v>
      </x:c>
    </x:row>
    <x:row r="29" ht="23" customHeight="1">
      <x:c r="A29" s="12" t="str">
        <x:v>b</x:v>
      </x:c>
      <x:c r="B29" s="12" t="str">
        <x:v>N</x:v>
      </x:c>
      <x:c r="C29" s="12" t="str">
        <x:v>H0</x:v>
      </x:c>
      <x:c r="D29" s="11" t="n">
        <x:f>SUMIFS('统计计数'!$C$5:$C$76,'统计计数'!$B$5:$B$76,"N_H0",'统计计数'!$A$5:$A$76,"b")</x:f>
        <x:v>1481</x:v>
      </x:c>
      <x:c r="E29" s="14" t="n">
        <x:f>SUMIFS('统计计数'!$E$5:$E$76,'统计计数'!$B$5:$B$76,"N_H0",'统计计数'!$A$5:$A$76,"b")/$D29</x:f>
        <x:v>0</x:v>
      </x:c>
      <x:c r="F29" s="14" t="n">
        <x:f>SUMIFS('统计计数'!$F$5:$F$76,'统计计数'!$B$5:$B$76,"N_H0",'统计计数'!$A$5:$A$76,"b")/$D29</x:f>
        <x:v>0.08305199189736664</x:v>
      </x:c>
      <x:c r="G29" s="14" t="n">
        <x:f>SUMIFS('统计计数'!$G$5:$G$76,'统计计数'!$B$5:$B$76,"N_H0",'统计计数'!$A$5:$A$76,"b")/$D29</x:f>
        <x:v>0</x:v>
      </x:c>
      <x:c r="H29" s="14" t="n">
        <x:f>SUMIFS('统计计数'!$H$5:$H$76,'统计计数'!$B$5:$B$76,"N_H0",'统计计数'!$A$5:$A$76,"b")/$D29</x:f>
        <x:v>0</x:v>
      </x:c>
      <x:c r="I29" s="14" t="n">
        <x:f>SUMIFS('统计计数'!$I$5:$I$76,'统计计数'!$B$5:$B$76,"N_H0",'统计计数'!$A$5:$A$76,"b")/$D29</x:f>
        <x:v>0.6090479405806887</x:v>
      </x:c>
      <x:c r="J29" s="14" t="n">
        <x:f>SUMIFS('统计计数'!$J$5:$J$76,'统计计数'!$B$5:$B$76,"N_H0",'统计计数'!$A$5:$A$76,"b")/$D29</x:f>
        <x:v>0.004051316677920324</x:v>
      </x:c>
      <x:c r="K29" s="14" t="n">
        <x:f>SUMIFS('统计计数'!$K$5:$K$76,'统计计数'!$B$5:$B$76,"N_H0",'统计计数'!$A$5:$A$76,"b")/$D29</x:f>
        <x:v>0.20459149223497636</x:v>
      </x:c>
      <x:c r="L29" s="14" t="n">
        <x:f>SUMIFS('统计计数'!$L$5:$L$76,'统计计数'!$B$5:$B$76,"N_H0",'统计计数'!$A$5:$A$76,"b")/$D29</x:f>
        <x:v>0.027683997299122215</x:v>
      </x:c>
      <x:c r="M29" s="14" t="n">
        <x:f>SUMIFS('统计计数'!$M$5:$M$76,'统计计数'!$B$5:$B$76,"N_H0",'统计计数'!$A$5:$A$76,"b")/$D29</x:f>
        <x:v>0.07157326130992572</x:v>
      </x:c>
      <x:c r="N29" s="14" t="n">
        <x:f>SUMIFS('统计计数'!$N$5:$N$76,'统计计数'!$B$5:$B$76,"N_H0",'统计计数'!$A$5:$A$76,"b")/$D29</x:f>
        <x:v>0</x:v>
      </x:c>
    </x:row>
    <x:row r="30" ht="23" customHeight="1">
      <x:c r="A30" s="12" t="str">
        <x:v>b</x:v>
      </x:c>
      <x:c r="B30" s="12" t="str">
        <x:v>N</x:v>
      </x:c>
      <x:c r="C30" s="12" t="str">
        <x:v>H1</x:v>
      </x:c>
      <x:c r="D30" s="11" t="n">
        <x:f>SUMIFS('统计计数'!$C$5:$C$76,'统计计数'!$B$5:$B$76,"N_H1",'统计计数'!$A$5:$A$76,"b")</x:f>
        <x:v>1481</x:v>
      </x:c>
      <x:c r="E30" s="14" t="n">
        <x:f>SUMIFS('统计计数'!$E$5:$E$76,'统计计数'!$B$5:$B$76,"N_H1",'统计计数'!$A$5:$A$76,"b")/$D30</x:f>
        <x:v>0</x:v>
      </x:c>
      <x:c r="F30" s="14" t="n">
        <x:f>SUMIFS('统计计数'!$F$5:$F$76,'统计计数'!$B$5:$B$76,"N_H1",'统计计数'!$A$5:$A$76,"b")/$D30</x:f>
        <x:v>0.07629979743416611</x:v>
      </x:c>
      <x:c r="G30" s="14" t="n">
        <x:f>SUMIFS('统计计数'!$G$5:$G$76,'统计计数'!$B$5:$B$76,"N_H1",'统计计数'!$A$5:$A$76,"b")/$D30</x:f>
        <x:v>0</x:v>
      </x:c>
      <x:c r="H30" s="14" t="n">
        <x:f>SUMIFS('统计计数'!$H$5:$H$76,'统计计数'!$B$5:$B$76,"N_H1",'统计计数'!$A$5:$A$76,"b")/$D30</x:f>
        <x:v>0</x:v>
      </x:c>
      <x:c r="I30" s="14" t="n">
        <x:f>SUMIFS('统计计数'!$I$5:$I$76,'统计计数'!$B$5:$B$76,"N_H1",'统计计数'!$A$5:$A$76,"b")/$D30</x:f>
        <x:v>0.599594868332208</x:v>
      </x:c>
      <x:c r="J30" s="14" t="n">
        <x:f>SUMIFS('统计计数'!$J$5:$J$76,'统计计数'!$B$5:$B$76,"N_H1",'统计计数'!$A$5:$A$76,"b")/$D30</x:f>
        <x:v>0.02025658338960162</x:v>
      </x:c>
      <x:c r="K30" s="14" t="n">
        <x:f>SUMIFS('统计计数'!$K$5:$K$76,'统计计数'!$B$5:$B$76,"N_H1",'统计计数'!$A$5:$A$76,"b")/$D30</x:f>
        <x:v>0.20459149223497636</x:v>
      </x:c>
      <x:c r="L30" s="14" t="n">
        <x:f>SUMIFS('统计计数'!$L$5:$L$76,'统计计数'!$B$5:$B$76,"N_H1",'统计计数'!$A$5:$A$76,"b")/$D30</x:f>
        <x:v>0.027683997299122215</x:v>
      </x:c>
      <x:c r="M30" s="14" t="n">
        <x:f>SUMIFS('统计计数'!$M$5:$M$76,'统计计数'!$B$5:$B$76,"N_H1",'统计计数'!$A$5:$A$76,"b")/$D30</x:f>
        <x:v>0.07157326130992572</x:v>
      </x:c>
      <x:c r="N30" s="14" t="n">
        <x:f>SUMIFS('统计计数'!$N$5:$N$76,'统计计数'!$B$5:$B$76,"N_H1",'统计计数'!$A$5:$A$76,"b")/$D30</x:f>
        <x:v>0</x:v>
      </x:c>
    </x:row>
    <x:row r="31" ht="23" customHeight="1">
      <x:c r="A31" s="12" t="str">
        <x:v>b</x:v>
      </x:c>
      <x:c r="B31" s="12" t="str">
        <x:v>C</x:v>
      </x:c>
      <x:c r="C31" s="12" t="str">
        <x:v>H0</x:v>
      </x:c>
      <x:c r="D31" s="11" t="n">
        <x:f>SUMIFS('统计计数'!$C$5:$C$76,'统计计数'!$B$5:$B$76,"C_H0",'统计计数'!$A$5:$A$76,"b")</x:f>
        <x:v>1481</x:v>
      </x:c>
      <x:c r="E31" s="14" t="n">
        <x:f>SUMIFS('统计计数'!$E$5:$E$76,'统计计数'!$B$5:$B$76,"C_H0",'统计计数'!$A$5:$A$76,"b")/$D31</x:f>
        <x:v>0</x:v>
      </x:c>
      <x:c r="F31" s="14" t="n">
        <x:f>SUMIFS('统计计数'!$F$5:$F$76,'统计计数'!$B$5:$B$76,"C_H0",'统计计数'!$A$5:$A$76,"b")/$D31</x:f>
        <x:v>0.23835246455097908</x:v>
      </x:c>
      <x:c r="G31" s="14" t="n">
        <x:f>SUMIFS('统计计数'!$G$5:$G$76,'统计计数'!$B$5:$B$76,"C_H0",'统计计数'!$A$5:$A$76,"b")/$D31</x:f>
        <x:v>0</x:v>
      </x:c>
      <x:c r="H31" s="14" t="n">
        <x:f>SUMIFS('统计计数'!$H$5:$H$76,'统计计数'!$B$5:$B$76,"C_H0",'统计计数'!$A$5:$A$76,"b")/$D31</x:f>
        <x:v>0</x:v>
      </x:c>
      <x:c r="I31" s="14" t="n">
        <x:f>SUMIFS('统计计数'!$I$5:$I$76,'统计计数'!$B$5:$B$76,"C_H0",'统计计数'!$A$5:$A$76,"b")/$D31</x:f>
        <x:v>0.761647535449021</x:v>
      </x:c>
      <x:c r="J31" s="14" t="n">
        <x:f>SUMIFS('统计计数'!$J$5:$J$76,'统计计数'!$B$5:$B$76,"C_H0",'统计计数'!$A$5:$A$76,"b")/$D31</x:f>
        <x:v>0</x:v>
      </x:c>
      <x:c r="K31" s="14" t="n">
        <x:f>SUMIFS('统计计数'!$K$5:$K$76,'统计计数'!$B$5:$B$76,"C_H0",'统计计数'!$A$5:$A$76,"b")/$D31</x:f>
        <x:v>0</x:v>
      </x:c>
      <x:c r="L31" s="14" t="n">
        <x:f>SUMIFS('统计计数'!$L$5:$L$76,'统计计数'!$B$5:$B$76,"C_H0",'统计计数'!$A$5:$A$76,"b")/$D31</x:f>
        <x:v>0</x:v>
      </x:c>
      <x:c r="M31" s="14" t="n">
        <x:f>SUMIFS('统计计数'!$M$5:$M$76,'统计计数'!$B$5:$B$76,"C_H0",'统计计数'!$A$5:$A$76,"b")/$D31</x:f>
        <x:v>0</x:v>
      </x:c>
      <x:c r="N31" s="14" t="n">
        <x:f>SUMIFS('统计计数'!$N$5:$N$76,'统计计数'!$B$5:$B$76,"C_H0",'统计计数'!$A$5:$A$76,"b")/$D31</x:f>
        <x:v>0</x:v>
      </x:c>
    </x:row>
    <x:row r="32" ht="23" customHeight="1">
      <x:c r="A32" s="12" t="str">
        <x:v>b</x:v>
      </x:c>
      <x:c r="B32" s="12" t="str">
        <x:v>C</x:v>
      </x:c>
      <x:c r="C32" s="12" t="str">
        <x:v>H1</x:v>
      </x:c>
      <x:c r="D32" s="11" t="n">
        <x:f>SUMIFS('统计计数'!$C$5:$C$76,'统计计数'!$B$5:$B$76,"C_H1",'统计计数'!$A$5:$A$76,"b")</x:f>
        <x:v>1481</x:v>
      </x:c>
      <x:c r="E32" s="14" t="n">
        <x:f>SUMIFS('统计计数'!$E$5:$E$76,'统计计数'!$B$5:$B$76,"C_H1",'统计计数'!$A$5:$A$76,"b")/$D32</x:f>
        <x:v>0</x:v>
      </x:c>
      <x:c r="F32" s="14" t="n">
        <x:f>SUMIFS('统计计数'!$F$5:$F$76,'统计计数'!$B$5:$B$76,"C_H1",'统计计数'!$A$5:$A$76,"b")/$D32</x:f>
        <x:v>0.21809588116137746</x:v>
      </x:c>
      <x:c r="G32" s="14" t="n">
        <x:f>SUMIFS('统计计数'!$G$5:$G$76,'统计计数'!$B$5:$B$76,"C_H1",'统计计数'!$A$5:$A$76,"b")/$D32</x:f>
        <x:v>0</x:v>
      </x:c>
      <x:c r="H32" s="14" t="n">
        <x:f>SUMIFS('统计计数'!$H$5:$H$76,'统计计数'!$B$5:$B$76,"C_H1",'统计计数'!$A$5:$A$76,"b")/$D32</x:f>
        <x:v>0</x:v>
      </x:c>
      <x:c r="I32" s="14" t="n">
        <x:f>SUMIFS('统计计数'!$I$5:$I$76,'统计计数'!$B$5:$B$76,"C_H1",'统计计数'!$A$5:$A$76,"b")/$D32</x:f>
        <x:v>0.761647535449021</x:v>
      </x:c>
      <x:c r="J32" s="14" t="n">
        <x:f>SUMIFS('统计计数'!$J$5:$J$76,'统计计数'!$B$5:$B$76,"C_H1",'统计计数'!$A$5:$A$76,"b")/$D32</x:f>
        <x:v>0.02025658338960162</x:v>
      </x:c>
      <x:c r="K32" s="14" t="n">
        <x:f>SUMIFS('统计计数'!$K$5:$K$76,'统计计数'!$B$5:$B$76,"C_H1",'统计计数'!$A$5:$A$76,"b")/$D32</x:f>
        <x:v>0</x:v>
      </x:c>
      <x:c r="L32" s="14" t="n">
        <x:f>SUMIFS('统计计数'!$L$5:$L$76,'统计计数'!$B$5:$B$76,"C_H1",'统计计数'!$A$5:$A$76,"b")/$D32</x:f>
        <x:v>0</x:v>
      </x:c>
      <x:c r="M32" s="14" t="n">
        <x:f>SUMIFS('统计计数'!$M$5:$M$76,'统计计数'!$B$5:$B$76,"C_H1",'统计计数'!$A$5:$A$76,"b")/$D32</x:f>
        <x:v>0</x:v>
      </x:c>
      <x:c r="N32" s="14" t="n">
        <x:f>SUMIFS('统计计数'!$N$5:$N$76,'统计计数'!$B$5:$B$76,"C_H1",'统计计数'!$A$5:$A$76,"b")/$D32</x:f>
        <x:v>0</x:v>
      </x:c>
    </x:row>
    <x:row r="33" ht="23" customHeight="1">
      <x:c r="A33" s="12" t="str">
        <x:v>b</x:v>
      </x:c>
      <x:c r="B33" s="12" t="str">
        <x:v>NG</x:v>
      </x:c>
      <x:c r="C33" s="12" t="str">
        <x:v>H0</x:v>
      </x:c>
      <x:c r="D33" s="11" t="n">
        <x:f>SUMIFS('统计计数'!$C$5:$C$76,'统计计数'!$B$5:$B$76,"NG_H0",'统计计数'!$A$5:$A$76,"b")</x:f>
        <x:v>1481</x:v>
      </x:c>
      <x:c r="E33" s="14" t="n">
        <x:f>SUMIFS('统计计数'!$E$5:$E$76,'统计计数'!$B$5:$B$76,"NG_H0",'统计计数'!$A$5:$A$76,"b")/$D33</x:f>
        <x:v>0</x:v>
      </x:c>
      <x:c r="F33" s="14" t="n">
        <x:f>SUMIFS('统计计数'!$F$5:$F$76,'统计计数'!$B$5:$B$76,"NG_H0",'统计计数'!$A$5:$A$76,"b")/$D33</x:f>
        <x:v>0.05064145847400405</x:v>
      </x:c>
      <x:c r="G33" s="14" t="n">
        <x:f>SUMIFS('统计计数'!$G$5:$G$76,'统计计数'!$B$5:$B$76,"NG_H0",'统计计数'!$A$5:$A$76,"b")/$D33</x:f>
        <x:v>0</x:v>
      </x:c>
      <x:c r="H33" s="14" t="n">
        <x:f>SUMIFS('统计计数'!$H$5:$H$76,'统计计数'!$B$5:$B$76,"NG_H0",'统计计数'!$A$5:$A$76,"b")/$D33</x:f>
        <x:v>0</x:v>
      </x:c>
      <x:c r="I33" s="14" t="n">
        <x:f>SUMIFS('统计计数'!$I$5:$I$76,'统计计数'!$B$5:$B$76,"NG_H0",'统计计数'!$A$5:$A$76,"b")/$D33</x:f>
        <x:v>0.3673193787981094</x:v>
      </x:c>
      <x:c r="J33" s="14" t="n">
        <x:f>SUMIFS('统计计数'!$J$5:$J$76,'统计计数'!$B$5:$B$76,"NG_H0",'统计计数'!$A$5:$A$76,"b")/$D33</x:f>
        <x:v>0.27819041188386223</x:v>
      </x:c>
      <x:c r="K33" s="14" t="n">
        <x:f>SUMIFS('统计计数'!$K$5:$K$76,'统计计数'!$B$5:$B$76,"NG_H0",'统计计数'!$A$5:$A$76,"b")/$D33</x:f>
        <x:v>0.20459149223497636</x:v>
      </x:c>
      <x:c r="L33" s="14" t="n">
        <x:f>SUMIFS('统计计数'!$L$5:$L$76,'统计计数'!$B$5:$B$76,"NG_H0",'统计计数'!$A$5:$A$76,"b")/$D33</x:f>
        <x:v>0.027683997299122215</x:v>
      </x:c>
      <x:c r="M33" s="14" t="n">
        <x:f>SUMIFS('统计计数'!$M$5:$M$76,'统计计数'!$B$5:$B$76,"NG_H0",'统计计数'!$A$5:$A$76,"b")/$D33</x:f>
        <x:v>0.07157326130992572</x:v>
      </x:c>
      <x:c r="N33" s="14" t="n">
        <x:f>SUMIFS('统计计数'!$N$5:$N$76,'统计计数'!$B$5:$B$76,"NG_H0",'统计计数'!$A$5:$A$76,"b")/$D33</x:f>
        <x:v>0</x:v>
      </x:c>
    </x:row>
    <x:row r="34" ht="23" customHeight="1">
      <x:c r="A34" s="12" t="str">
        <x:v>b</x:v>
      </x:c>
      <x:c r="B34" s="12" t="str">
        <x:v>NG</x:v>
      </x:c>
      <x:c r="C34" s="12" t="str">
        <x:v>H1</x:v>
      </x:c>
      <x:c r="D34" s="11" t="n">
        <x:f>SUMIFS('统计计数'!$C$5:$C$76,'统计计数'!$B$5:$B$76,"NG_H1",'统计计数'!$A$5:$A$76,"b")</x:f>
        <x:v>1481</x:v>
      </x:c>
      <x:c r="E34" s="14" t="n">
        <x:f>SUMIFS('统计计数'!$E$5:$E$76,'统计计数'!$B$5:$B$76,"NG_H1",'统计计数'!$A$5:$A$76,"b")/$D34</x:f>
        <x:v>0</x:v>
      </x:c>
      <x:c r="F34" s="14" t="n">
        <x:f>SUMIFS('统计计数'!$F$5:$F$76,'统计计数'!$B$5:$B$76,"NG_H1",'统计计数'!$A$5:$A$76,"b")/$D34</x:f>
        <x:v>0.04591492234976367</x:v>
      </x:c>
      <x:c r="G34" s="14" t="n">
        <x:f>SUMIFS('统计计数'!$G$5:$G$76,'统计计数'!$B$5:$B$76,"NG_H1",'统计计数'!$A$5:$A$76,"b")/$D34</x:f>
        <x:v>0</x:v>
      </x:c>
      <x:c r="H34" s="14" t="n">
        <x:f>SUMIFS('统计计数'!$H$5:$H$76,'统计计数'!$B$5:$B$76,"NG_H1",'统计计数'!$A$5:$A$76,"b")/$D34</x:f>
        <x:v>0</x:v>
      </x:c>
      <x:c r="I34" s="14" t="n">
        <x:f>SUMIFS('统计计数'!$I$5:$I$76,'统计计数'!$B$5:$B$76,"NG_H1",'统计计数'!$A$5:$A$76,"b")/$D34</x:f>
        <x:v>0.36191762322754895</x:v>
      </x:c>
      <x:c r="J34" s="14" t="n">
        <x:f>SUMIFS('统计计数'!$J$5:$J$76,'统计计数'!$B$5:$B$76,"NG_H1",'统计计数'!$A$5:$A$76,"b")/$D34</x:f>
        <x:v>0.28831870357866307</x:v>
      </x:c>
      <x:c r="K34" s="14" t="n">
        <x:f>SUMIFS('统计计数'!$K$5:$K$76,'统计计数'!$B$5:$B$76,"NG_H1",'统计计数'!$A$5:$A$76,"b")/$D34</x:f>
        <x:v>0.20459149223497636</x:v>
      </x:c>
      <x:c r="L34" s="14" t="n">
        <x:f>SUMIFS('统计计数'!$L$5:$L$76,'统计计数'!$B$5:$B$76,"NG_H1",'统计计数'!$A$5:$A$76,"b")/$D34</x:f>
        <x:v>0.027683997299122215</x:v>
      </x:c>
      <x:c r="M34" s="14" t="n">
        <x:f>SUMIFS('统计计数'!$M$5:$M$76,'统计计数'!$B$5:$B$76,"NG_H1",'统计计数'!$A$5:$A$76,"b")/$D34</x:f>
        <x:v>0.07157326130992572</x:v>
      </x:c>
      <x:c r="N34" s="14" t="n">
        <x:f>SUMIFS('统计计数'!$N$5:$N$76,'统计计数'!$B$5:$B$76,"NG_H1",'统计计数'!$A$5:$A$76,"b")/$D34</x:f>
        <x:v>0</x:v>
      </x:c>
    </x:row>
    <x:row r="35" ht="23" customHeight="1">
      <x:c r="A35" s="12" t="str">
        <x:v>b</x:v>
      </x:c>
      <x:c r="B35" s="12" t="str">
        <x:v>CG</x:v>
      </x:c>
      <x:c r="C35" s="12" t="str">
        <x:v>H0</x:v>
      </x:c>
      <x:c r="D35" s="11" t="n">
        <x:f>SUMIFS('统计计数'!$C$5:$C$76,'统计计数'!$B$5:$B$76,"CG_H0",'统计计数'!$A$5:$A$76,"b")</x:f>
        <x:v>1481</x:v>
      </x:c>
      <x:c r="E35" s="14" t="n">
        <x:f>SUMIFS('统计计数'!$E$5:$E$76,'统计计数'!$B$5:$B$76,"CG_H0",'统计计数'!$A$5:$A$76,"b")/$D35</x:f>
        <x:v>0</x:v>
      </x:c>
      <x:c r="F35" s="14" t="n">
        <x:f>SUMIFS('统计计数'!$F$5:$F$76,'统计计数'!$B$5:$B$76,"CG_H0",'统计计数'!$A$5:$A$76,"b")/$D35</x:f>
        <x:v>0.12424037812288993</x:v>
      </x:c>
      <x:c r="G35" s="14" t="n">
        <x:f>SUMIFS('统计计数'!$G$5:$G$76,'统计计数'!$B$5:$B$76,"CG_H0",'统计计数'!$A$5:$A$76,"b")/$D35</x:f>
        <x:v>0</x:v>
      </x:c>
      <x:c r="H35" s="14" t="n">
        <x:f>SUMIFS('统计计数'!$H$5:$H$76,'统计计数'!$B$5:$B$76,"CG_H0",'统计计数'!$A$5:$A$76,"b")/$D35</x:f>
        <x:v>0</x:v>
      </x:c>
      <x:c r="I35" s="14" t="n">
        <x:f>SUMIFS('统计计数'!$I$5:$I$76,'统计计数'!$B$5:$B$76,"CG_H0",'统计计数'!$A$5:$A$76,"b")/$D35</x:f>
        <x:v>0.4490209318028359</x:v>
      </x:c>
      <x:c r="J35" s="14" t="n">
        <x:f>SUMIFS('统计计数'!$J$5:$J$76,'统计计数'!$B$5:$B$76,"CG_H0",'统计计数'!$A$5:$A$76,"b")/$D35</x:f>
        <x:v>0.4267386900742741</x:v>
      </x:c>
      <x:c r="K35" s="14" t="n">
        <x:f>SUMIFS('统计计数'!$K$5:$K$76,'统计计数'!$B$5:$B$76,"CG_H0",'统计计数'!$A$5:$A$76,"b")/$D35</x:f>
        <x:v>0</x:v>
      </x:c>
      <x:c r="L35" s="14" t="n">
        <x:f>SUMIFS('统计计数'!$L$5:$L$76,'统计计数'!$B$5:$B$76,"CG_H0",'统计计数'!$A$5:$A$76,"b")/$D35</x:f>
        <x:v>0</x:v>
      </x:c>
      <x:c r="M35" s="14" t="n">
        <x:f>SUMIFS('统计计数'!$M$5:$M$76,'统计计数'!$B$5:$B$76,"CG_H0",'统计计数'!$A$5:$A$76,"b")/$D35</x:f>
        <x:v>0</x:v>
      </x:c>
      <x:c r="N35" s="14" t="n">
        <x:f>SUMIFS('统计计数'!$N$5:$N$76,'统计计数'!$B$5:$B$76,"CG_H0",'统计计数'!$A$5:$A$76,"b")/$D35</x:f>
        <x:v>0</x:v>
      </x:c>
    </x:row>
    <x:row r="36" ht="23" customHeight="1">
      <x:c r="A36" s="12" t="str">
        <x:v>b</x:v>
      </x:c>
      <x:c r="B36" s="12" t="str">
        <x:v>CG</x:v>
      </x:c>
      <x:c r="C36" s="12" t="str">
        <x:v>H1</x:v>
      </x:c>
      <x:c r="D36" s="11" t="n">
        <x:f>SUMIFS('统计计数'!$C$5:$C$76,'统计计数'!$B$5:$B$76,"CG_H1",'统计计数'!$A$5:$A$76,"b")</x:f>
        <x:v>1481</x:v>
      </x:c>
      <x:c r="E36" s="14" t="n">
        <x:f>SUMIFS('统计计数'!$E$5:$E$76,'统计计数'!$B$5:$B$76,"CG_H1",'统计计数'!$A$5:$A$76,"b")/$D36</x:f>
        <x:v>0</x:v>
      </x:c>
      <x:c r="F36" s="14" t="n">
        <x:f>SUMIFS('统计计数'!$F$5:$F$76,'统计计数'!$B$5:$B$76,"CG_H1",'统计计数'!$A$5:$A$76,"b")/$D36</x:f>
        <x:v>0.11276164753544902</x:v>
      </x:c>
      <x:c r="G36" s="14" t="n">
        <x:f>SUMIFS('统计计数'!$G$5:$G$76,'统计计数'!$B$5:$B$76,"CG_H1",'统计计数'!$A$5:$A$76,"b")/$D36</x:f>
        <x:v>0</x:v>
      </x:c>
      <x:c r="H36" s="14" t="n">
        <x:f>SUMIFS('统计计数'!$H$5:$H$76,'统计计数'!$B$5:$B$76,"CG_H1",'统计计数'!$A$5:$A$76,"b")/$D36</x:f>
        <x:v>0</x:v>
      </x:c>
      <x:c r="I36" s="14" t="n">
        <x:f>SUMIFS('统计计数'!$I$5:$I$76,'统计计数'!$B$5:$B$76,"CG_H1",'统计计数'!$A$5:$A$76,"b")/$D36</x:f>
        <x:v>0.4523970290344362</x:v>
      </x:c>
      <x:c r="J36" s="14" t="n">
        <x:f>SUMIFS('统计计数'!$J$5:$J$76,'统计计数'!$B$5:$B$76,"CG_H1",'统计计数'!$A$5:$A$76,"b")/$D36</x:f>
        <x:v>0.4348413234301148</x:v>
      </x:c>
      <x:c r="K36" s="14" t="n">
        <x:f>SUMIFS('统计计数'!$K$5:$K$76,'统计计数'!$B$5:$B$76,"CG_H1",'统计计数'!$A$5:$A$76,"b")/$D36</x:f>
        <x:v>0</x:v>
      </x:c>
      <x:c r="L36" s="14" t="n">
        <x:f>SUMIFS('统计计数'!$L$5:$L$76,'统计计数'!$B$5:$B$76,"CG_H1",'统计计数'!$A$5:$A$76,"b")/$D36</x:f>
        <x:v>0</x:v>
      </x:c>
      <x:c r="M36" s="14" t="n">
        <x:f>SUMIFS('统计计数'!$M$5:$M$76,'统计计数'!$B$5:$B$76,"CG_H1",'统计计数'!$A$5:$A$76,"b")/$D36</x:f>
        <x:v>0</x:v>
      </x:c>
      <x:c r="N36" s="14" t="n">
        <x:f>SUMIFS('统计计数'!$N$5:$N$76,'统计计数'!$B$5:$B$76,"CG_H1",'统计计数'!$A$5:$A$76,"b")/$D36</x:f>
        <x:v>0</x:v>
      </x:c>
    </x:row>
    <x:row r="37" ht="23" customHeight="1">
      <x:c r="A37" s="12" t="str">
        <x:v>b</x:v>
      </x:c>
      <x:c r="B37" s="12" t="str">
        <x:v>NC</x:v>
      </x:c>
      <x:c r="C37" s="12" t="str">
        <x:v>H0</x:v>
      </x:c>
      <x:c r="D37" s="11" t="n">
        <x:f>SUMIFS('统计计数'!$C$5:$C$76,'统计计数'!$B$5:$B$76,"NC_H0",'统计计数'!$A$5:$A$76,"b")</x:f>
        <x:v>1481</x:v>
      </x:c>
      <x:c r="E37" s="14" t="n">
        <x:f>SUMIFS('统计计数'!$E$5:$E$76,'统计计数'!$B$5:$B$76,"NC_H0",'统计计数'!$A$5:$A$76,"b")/$D37</x:f>
        <x:v>0</x:v>
      </x:c>
      <x:c r="F37" s="14" t="n">
        <x:f>SUMIFS('统计计数'!$F$5:$F$76,'统计计数'!$B$5:$B$76,"NC_H0",'统计计数'!$A$5:$A$76,"b")/$D37</x:f>
        <x:v>0.21269412559081702</x:v>
      </x:c>
      <x:c r="G37" s="14" t="n">
        <x:f>SUMIFS('统计计数'!$G$5:$G$76,'统计计数'!$B$5:$B$76,"NC_H0",'统计计数'!$A$5:$A$76,"b")/$D37</x:f>
        <x:v>0</x:v>
      </x:c>
      <x:c r="H37" s="14" t="n">
        <x:f>SUMIFS('统计计数'!$H$5:$H$76,'统计计数'!$B$5:$B$76,"NC_H0",'统计计数'!$A$5:$A$76,"b")/$D37</x:f>
        <x:v>0</x:v>
      </x:c>
      <x:c r="I37" s="14" t="n">
        <x:f>SUMIFS('统计计数'!$I$5:$I$76,'统计计数'!$B$5:$B$76,"NC_H0",'统计计数'!$A$5:$A$76,"b")/$D37</x:f>
        <x:v>0.49966239027683995</x:v>
      </x:c>
      <x:c r="J37" s="14" t="n">
        <x:f>SUMIFS('统计计数'!$J$5:$J$76,'统计计数'!$B$5:$B$76,"NC_H0",'统计计数'!$A$5:$A$76,"b")/$D37</x:f>
        <x:v>0.004051316677920324</x:v>
      </x:c>
      <x:c r="K37" s="14" t="n">
        <x:f>SUMIFS('统计计数'!$K$5:$K$76,'统计计数'!$B$5:$B$76,"NC_H0",'统计计数'!$A$5:$A$76,"b")/$D37</x:f>
        <x:v>0.23362592842673868</x:v>
      </x:c>
      <x:c r="L37" s="14" t="n">
        <x:f>SUMIFS('统计计数'!$L$5:$L$76,'统计计数'!$B$5:$B$76,"NC_H0",'统计计数'!$A$5:$A$76,"b")/$D37</x:f>
        <x:v>0.02363268062120189</x:v>
      </x:c>
      <x:c r="M37" s="14" t="n">
        <x:f>SUMIFS('统计计数'!$M$5:$M$76,'统计计数'!$B$5:$B$76,"NC_H0",'统计计数'!$A$5:$A$76,"b")/$D37</x:f>
        <x:v>0.02633355840648211</x:v>
      </x:c>
      <x:c r="N37" s="14" t="n">
        <x:f>SUMIFS('统计计数'!$N$5:$N$76,'统计计数'!$B$5:$B$76,"NC_H0",'统计计数'!$A$5:$A$76,"b")/$D37</x:f>
        <x:v>0</x:v>
      </x:c>
    </x:row>
    <x:row r="38" ht="23" customHeight="1">
      <x:c r="A38" s="12" t="str">
        <x:v>b</x:v>
      </x:c>
      <x:c r="B38" s="12" t="str">
        <x:v>NC</x:v>
      </x:c>
      <x:c r="C38" s="12" t="str">
        <x:v>H1</x:v>
      </x:c>
      <x:c r="D38" s="11" t="n">
        <x:f>SUMIFS('统计计数'!$C$5:$C$76,'统计计数'!$B$5:$B$76,"NC_H1",'统计计数'!$A$5:$A$76,"b")</x:f>
        <x:v>1481</x:v>
      </x:c>
      <x:c r="E38" s="14" t="n">
        <x:f>SUMIFS('统计计数'!$E$5:$E$76,'统计计数'!$B$5:$B$76,"NC_H1",'统计计数'!$A$5:$A$76,"b")/$D38</x:f>
        <x:v>0</x:v>
      </x:c>
      <x:c r="F38" s="14" t="n">
        <x:f>SUMIFS('统计计数'!$F$5:$F$76,'统计计数'!$B$5:$B$76,"NC_H1",'统计计数'!$A$5:$A$76,"b")/$D38</x:f>
        <x:v>0.19513841998649561</x:v>
      </x:c>
      <x:c r="G38" s="14" t="n">
        <x:f>SUMIFS('统计计数'!$G$5:$G$76,'统计计数'!$B$5:$B$76,"NC_H1",'统计计数'!$A$5:$A$76,"b")/$D38</x:f>
        <x:v>0</x:v>
      </x:c>
      <x:c r="H38" s="14" t="n">
        <x:f>SUMIFS('统计计数'!$H$5:$H$76,'统计计数'!$B$5:$B$76,"NC_H1",'统计计数'!$A$5:$A$76,"b")/$D38</x:f>
        <x:v>0</x:v>
      </x:c>
      <x:c r="I38" s="14" t="n">
        <x:f>SUMIFS('统计计数'!$I$5:$I$76,'统计计数'!$B$5:$B$76,"NC_H1",'统计计数'!$A$5:$A$76,"b")/$D38</x:f>
        <x:v>0.49358541525995947</x:v>
      </x:c>
      <x:c r="J38" s="14" t="n">
        <x:f>SUMIFS('统计计数'!$J$5:$J$76,'统计计数'!$B$5:$B$76,"NC_H1",'统计计数'!$A$5:$A$76,"b")/$D38</x:f>
        <x:v>0.027683997299122215</x:v>
      </x:c>
      <x:c r="K38" s="14" t="n">
        <x:f>SUMIFS('统计计数'!$K$5:$K$76,'统计计数'!$B$5:$B$76,"NC_H1",'统计计数'!$A$5:$A$76,"b")/$D38</x:f>
        <x:v>0.23362592842673868</x:v>
      </x:c>
      <x:c r="L38" s="14" t="n">
        <x:f>SUMIFS('统计计数'!$L$5:$L$76,'统计计数'!$B$5:$B$76,"NC_H1",'统计计数'!$A$5:$A$76,"b")/$D38</x:f>
        <x:v>0.02363268062120189</x:v>
      </x:c>
      <x:c r="M38" s="14" t="n">
        <x:f>SUMIFS('统计计数'!$M$5:$M$76,'统计计数'!$B$5:$B$76,"NC_H1",'统计计数'!$A$5:$A$76,"b")/$D38</x:f>
        <x:v>0.02633355840648211</x:v>
      </x:c>
      <x:c r="N38" s="14" t="n">
        <x:f>SUMIFS('统计计数'!$N$5:$N$76,'统计计数'!$B$5:$B$76,"NC_H1",'统计计数'!$A$5:$A$76,"b")/$D38</x:f>
        <x:v>0</x:v>
      </x:c>
    </x:row>
    <x:row r="39" ht="23" customHeight="1">
      <x:c r="A39" s="12" t="str">
        <x:v>b</x:v>
      </x:c>
      <x:c r="B39" s="12" t="str">
        <x:v>NCG</x:v>
      </x:c>
      <x:c r="C39" s="12" t="str">
        <x:v>H0</x:v>
      </x:c>
      <x:c r="D39" s="11" t="n">
        <x:f>SUMIFS('统计计数'!$C$5:$C$76,'统计计数'!$B$5:$B$76,"NCG_H0",'统计计数'!$A$5:$A$76,"b")</x:f>
        <x:v>1481</x:v>
      </x:c>
      <x:c r="E39" s="14" t="n">
        <x:f>SUMIFS('统计计数'!$E$5:$E$76,'统计计数'!$B$5:$B$76,"NCG_H0",'统计计数'!$A$5:$A$76,"b")/$D39</x:f>
        <x:v>0</x:v>
      </x:c>
      <x:c r="F39" s="14" t="n">
        <x:f>SUMIFS('统计计数'!$F$5:$F$76,'统计计数'!$B$5:$B$76,"NCG_H0",'统计计数'!$A$5:$A$76,"b")/$D39</x:f>
        <x:v>0.1087103308575287</x:v>
      </x:c>
      <x:c r="G39" s="14" t="n">
        <x:f>SUMIFS('统计计数'!$G$5:$G$76,'统计计数'!$B$5:$B$76,"NCG_H0",'统计计数'!$A$5:$A$76,"b")/$D39</x:f>
        <x:v>0</x:v>
      </x:c>
      <x:c r="H39" s="14" t="n">
        <x:f>SUMIFS('统计计数'!$H$5:$H$76,'统计计数'!$B$5:$B$76,"NCG_H0",'统计计数'!$A$5:$A$76,"b")/$D39</x:f>
        <x:v>0</x:v>
      </x:c>
      <x:c r="I39" s="14" t="n">
        <x:f>SUMIFS('统计计数'!$I$5:$I$76,'统计计数'!$B$5:$B$76,"NCG_H0",'统计计数'!$A$5:$A$76,"b")/$D39</x:f>
        <x:v>0.32478055367994596</x:v>
      </x:c>
      <x:c r="J39" s="14" t="n">
        <x:f>SUMIFS('统计计数'!$J$5:$J$76,'统计计数'!$B$5:$B$76,"NCG_H0",'统计计数'!$A$5:$A$76,"b")/$D39</x:f>
        <x:v>0.28291694800810263</x:v>
      </x:c>
      <x:c r="K39" s="14" t="n">
        <x:f>SUMIFS('统计计数'!$K$5:$K$76,'统计计数'!$B$5:$B$76,"NCG_H0",'统计计数'!$A$5:$A$76,"b")/$D39</x:f>
        <x:v>0.23362592842673868</x:v>
      </x:c>
      <x:c r="L39" s="14" t="n">
        <x:f>SUMIFS('统计计数'!$L$5:$L$76,'统计计数'!$B$5:$B$76,"NCG_H0",'统计计数'!$A$5:$A$76,"b")/$D39</x:f>
        <x:v>0.02363268062120189</x:v>
      </x:c>
      <x:c r="M39" s="14" t="n">
        <x:f>SUMIFS('统计计数'!$M$5:$M$76,'统计计数'!$B$5:$B$76,"NCG_H0",'统计计数'!$A$5:$A$76,"b")/$D39</x:f>
        <x:v>0.02633355840648211</x:v>
      </x:c>
      <x:c r="N39" s="14" t="n">
        <x:f>SUMIFS('统计计数'!$N$5:$N$76,'统计计数'!$B$5:$B$76,"NCG_H0",'统计计数'!$A$5:$A$76,"b")/$D39</x:f>
        <x:v>0</x:v>
      </x:c>
    </x:row>
    <x:row r="40" ht="23" customHeight="1">
      <x:c r="A40" s="12" t="str">
        <x:v>b</x:v>
      </x:c>
      <x:c r="B40" s="12" t="str">
        <x:v>NCG</x:v>
      </x:c>
      <x:c r="C40" s="12" t="str">
        <x:v>H1</x:v>
      </x:c>
      <x:c r="D40" s="11" t="n">
        <x:f>SUMIFS('统计计数'!$C$5:$C$76,'统计计数'!$B$5:$B$76,"NCG_H1",'统计计数'!$A$5:$A$76,"b")</x:f>
        <x:v>1481</x:v>
      </x:c>
      <x:c r="E40" s="14" t="n">
        <x:f>SUMIFS('统计计数'!$E$5:$E$76,'统计计数'!$B$5:$B$76,"NCG_H1",'统计计数'!$A$5:$A$76,"b")/$D40</x:f>
        <x:v>0</x:v>
      </x:c>
      <x:c r="F40" s="14" t="n">
        <x:f>SUMIFS('统计计数'!$F$5:$F$76,'统计计数'!$B$5:$B$76,"NCG_H1",'统计计数'!$A$5:$A$76,"b")/$D40</x:f>
        <x:v>0.09925725860904794</x:v>
      </x:c>
      <x:c r="G40" s="14" t="n">
        <x:f>SUMIFS('统计计数'!$G$5:$G$76,'统计计数'!$B$5:$B$76,"NCG_H1",'统计计数'!$A$5:$A$76,"b")/$D40</x:f>
        <x:v>0</x:v>
      </x:c>
      <x:c r="H40" s="14" t="n">
        <x:f>SUMIFS('统计计数'!$H$5:$H$76,'统计计数'!$B$5:$B$76,"NCG_H1",'统计计数'!$A$5:$A$76,"b")/$D40</x:f>
        <x:v>0</x:v>
      </x:c>
      <x:c r="I40" s="14" t="n">
        <x:f>SUMIFS('统计计数'!$I$5:$I$76,'统计计数'!$B$5:$B$76,"NCG_H1",'统计计数'!$A$5:$A$76,"b")/$D40</x:f>
        <x:v>0.32478055367994596</x:v>
      </x:c>
      <x:c r="J40" s="14" t="n">
        <x:f>SUMIFS('统计计数'!$J$5:$J$76,'统计计数'!$B$5:$B$76,"NCG_H1",'统计计数'!$A$5:$A$76,"b")/$D40</x:f>
        <x:v>0.2923700202565834</x:v>
      </x:c>
      <x:c r="K40" s="14" t="n">
        <x:f>SUMIFS('统计计数'!$K$5:$K$76,'统计计数'!$B$5:$B$76,"NCG_H1",'统计计数'!$A$5:$A$76,"b")/$D40</x:f>
        <x:v>0.23362592842673868</x:v>
      </x:c>
      <x:c r="L40" s="14" t="n">
        <x:f>SUMIFS('统计计数'!$L$5:$L$76,'统计计数'!$B$5:$B$76,"NCG_H1",'统计计数'!$A$5:$A$76,"b")/$D40</x:f>
        <x:v>0.02363268062120189</x:v>
      </x:c>
      <x:c r="M40" s="14" t="n">
        <x:f>SUMIFS('统计计数'!$M$5:$M$76,'统计计数'!$B$5:$B$76,"NCG_H1",'统计计数'!$A$5:$A$76,"b")/$D40</x:f>
        <x:v>0.02633355840648211</x:v>
      </x:c>
      <x:c r="N40" s="14" t="n">
        <x:f>SUMIFS('统计计数'!$N$5:$N$76,'统计计数'!$B$5:$B$76,"NCG_H1",'统计计数'!$A$5:$A$76,"b")/$D40</x:f>
        <x:v>0</x:v>
      </x:c>
    </x:row>
    <x:row r="41" ht="23" customHeight="1">
      <x:c r="A41" s="12" t="str">
        <x:v>c</x:v>
      </x:c>
      <x:c r="B41" s="12" t="str">
        <x:v>N</x:v>
      </x:c>
      <x:c r="C41" s="12" t="str">
        <x:v>H0</x:v>
      </x:c>
      <x:c r="D41" s="11" t="n">
        <x:f>SUMIFS('统计计数'!$C$5:$C$76,'统计计数'!$B$5:$B$76,"N_H0",'统计计数'!$A$5:$A$76,"c")</x:f>
        <x:v>1747</x:v>
      </x:c>
      <x:c r="E41" s="14" t="n">
        <x:f>SUMIFS('统计计数'!$E$5:$E$76,'统计计数'!$B$5:$B$76,"N_H0",'统计计数'!$A$5:$A$76,"c")/$D41</x:f>
        <x:v>0</x:v>
      </x:c>
      <x:c r="F41" s="14" t="n">
        <x:f>SUMIFS('统计计数'!$F$5:$F$76,'统计计数'!$B$5:$B$76,"N_H0",'统计计数'!$A$5:$A$76,"c")/$D41</x:f>
        <x:v>0.10589582140812821</x:v>
      </x:c>
      <x:c r="G41" s="14" t="n">
        <x:f>SUMIFS('统计计数'!$G$5:$G$76,'统计计数'!$B$5:$B$76,"N_H0",'统计计数'!$A$5:$A$76,"c")/$D41</x:f>
        <x:v>0</x:v>
      </x:c>
      <x:c r="H41" s="14" t="n">
        <x:f>SUMIFS('统计计数'!$H$5:$H$76,'统计计数'!$B$5:$B$76,"N_H0",'统计计数'!$A$5:$A$76,"c")/$D41</x:f>
        <x:v>0</x:v>
      </x:c>
      <x:c r="I41" s="14" t="n">
        <x:f>SUMIFS('统计计数'!$I$5:$I$76,'统计计数'!$B$5:$B$76,"N_H0",'统计计数'!$A$5:$A$76,"c")/$D41</x:f>
        <x:v>0.5752718946765885</x:v>
      </x:c>
      <x:c r="J41" s="14" t="n">
        <x:f>SUMIFS('统计计数'!$J$5:$J$76,'统计计数'!$B$5:$B$76,"N_H0",'统计计数'!$A$5:$A$76,"c")/$D41</x:f>
        <x:v>0</x:v>
      </x:c>
      <x:c r="K41" s="14" t="n">
        <x:f>SUMIFS('统计计数'!$K$5:$K$76,'统计计数'!$B$5:$B$76,"N_H0",'统计计数'!$A$5:$A$76,"c")/$D41</x:f>
        <x:v>0.25701202060675443</x:v>
      </x:c>
      <x:c r="L41" s="14" t="n">
        <x:f>SUMIFS('统计计数'!$L$5:$L$76,'统计计数'!$B$5:$B$76,"N_H0",'统计计数'!$A$5:$A$76,"c")/$D41</x:f>
        <x:v>0.018889524899828276</x:v>
      </x:c>
      <x:c r="M41" s="14" t="n">
        <x:f>SUMIFS('统计计数'!$M$5:$M$76,'统计计数'!$B$5:$B$76,"N_H0",'统计计数'!$A$5:$A$76,"c")/$D41</x:f>
        <x:v>0.04293073840870063</x:v>
      </x:c>
      <x:c r="N41" s="14" t="n">
        <x:f>SUMIFS('统计计数'!$N$5:$N$76,'统计计数'!$B$5:$B$76,"N_H0",'统计计数'!$A$5:$A$76,"c")/$D41</x:f>
        <x:v>0</x:v>
      </x:c>
    </x:row>
    <x:row r="42" ht="23" customHeight="1">
      <x:c r="A42" s="12" t="str">
        <x:v>c</x:v>
      </x:c>
      <x:c r="B42" s="12" t="str">
        <x:v>N</x:v>
      </x:c>
      <x:c r="C42" s="12" t="str">
        <x:v>H1</x:v>
      </x:c>
      <x:c r="D42" s="11" t="n">
        <x:f>SUMIFS('统计计数'!$C$5:$C$76,'统计计数'!$B$5:$B$76,"N_H1",'统计计数'!$A$5:$A$76,"c")</x:f>
        <x:v>1747</x:v>
      </x:c>
      <x:c r="E42" s="14" t="n">
        <x:f>SUMIFS('统计计数'!$E$5:$E$76,'统计计数'!$B$5:$B$76,"N_H1",'统计计数'!$A$5:$A$76,"c")/$D42</x:f>
        <x:v>0</x:v>
      </x:c>
      <x:c r="F42" s="14" t="n">
        <x:f>SUMIFS('统计计数'!$F$5:$F$76,'统计计数'!$B$5:$B$76,"N_H1",'统计计数'!$A$5:$A$76,"c")/$D42</x:f>
        <x:v>0.10589582140812821</x:v>
      </x:c>
      <x:c r="G42" s="14" t="n">
        <x:f>SUMIFS('统计计数'!$G$5:$G$76,'统计计数'!$B$5:$B$76,"N_H1",'统计计数'!$A$5:$A$76,"c")/$D42</x:f>
        <x:v>0</x:v>
      </x:c>
      <x:c r="H42" s="14" t="n">
        <x:f>SUMIFS('统计计数'!$H$5:$H$76,'统计计数'!$B$5:$B$76,"N_H1",'统计计数'!$A$5:$A$76,"c")/$D42</x:f>
        <x:v>0</x:v>
      </x:c>
      <x:c r="I42" s="14" t="n">
        <x:f>SUMIFS('统计计数'!$I$5:$I$76,'统计计数'!$B$5:$B$76,"N_H1",'统计计数'!$A$5:$A$76,"c")/$D42</x:f>
        <x:v>0.5558099599313108</x:v>
      </x:c>
      <x:c r="J42" s="14" t="n">
        <x:f>SUMIFS('统计计数'!$J$5:$J$76,'统计计数'!$B$5:$B$76,"N_H1",'统计计数'!$A$5:$A$76,"c")/$D42</x:f>
        <x:v>0.019461934745277618</x:v>
      </x:c>
      <x:c r="K42" s="14" t="n">
        <x:f>SUMIFS('统计计数'!$K$5:$K$76,'统计计数'!$B$5:$B$76,"N_H1",'统计计数'!$A$5:$A$76,"c")/$D42</x:f>
        <x:v>0.25701202060675443</x:v>
      </x:c>
      <x:c r="L42" s="14" t="n">
        <x:f>SUMIFS('统计计数'!$L$5:$L$76,'统计计数'!$B$5:$B$76,"N_H1",'统计计数'!$A$5:$A$76,"c")/$D42</x:f>
        <x:v>0.018889524899828276</x:v>
      </x:c>
      <x:c r="M42" s="14" t="n">
        <x:f>SUMIFS('统计计数'!$M$5:$M$76,'统计计数'!$B$5:$B$76,"N_H1",'统计计数'!$A$5:$A$76,"c")/$D42</x:f>
        <x:v>0.04293073840870063</x:v>
      </x:c>
      <x:c r="N42" s="14" t="n">
        <x:f>SUMIFS('统计计数'!$N$5:$N$76,'统计计数'!$B$5:$B$76,"N_H1",'统计计数'!$A$5:$A$76,"c")/$D42</x:f>
        <x:v>0</x:v>
      </x:c>
    </x:row>
    <x:row r="43" ht="23" customHeight="1">
      <x:c r="A43" s="12" t="str">
        <x:v>c</x:v>
      </x:c>
      <x:c r="B43" s="12" t="str">
        <x:v>C</x:v>
      </x:c>
      <x:c r="C43" s="12" t="str">
        <x:v>H0</x:v>
      </x:c>
      <x:c r="D43" s="11" t="n">
        <x:f>SUMIFS('统计计数'!$C$5:$C$76,'统计计数'!$B$5:$B$76,"C_H0",'统计计数'!$A$5:$A$76,"c")</x:f>
        <x:v>1747</x:v>
      </x:c>
      <x:c r="E43" s="14" t="n">
        <x:f>SUMIFS('统计计数'!$E$5:$E$76,'统计计数'!$B$5:$B$76,"C_H0",'统计计数'!$A$5:$A$76,"c")/$D43</x:f>
        <x:v>0</x:v>
      </x:c>
      <x:c r="F43" s="14" t="n">
        <x:f>SUMIFS('统计计数'!$F$5:$F$76,'统计计数'!$B$5:$B$76,"C_H0",'统计计数'!$A$5:$A$76,"c")/$D43</x:f>
        <x:v>0.28334287349742415</x:v>
      </x:c>
      <x:c r="G43" s="14" t="n">
        <x:f>SUMIFS('统计计数'!$G$5:$G$76,'统计计数'!$B$5:$B$76,"C_H0",'统计计数'!$A$5:$A$76,"c")/$D43</x:f>
        <x:v>0</x:v>
      </x:c>
      <x:c r="H43" s="14" t="n">
        <x:f>SUMIFS('统计计数'!$H$5:$H$76,'统计计数'!$B$5:$B$76,"C_H0",'统计计数'!$A$5:$A$76,"c")/$D43</x:f>
        <x:v>0</x:v>
      </x:c>
      <x:c r="I43" s="14" t="n">
        <x:f>SUMIFS('统计计数'!$I$5:$I$76,'统计计数'!$B$5:$B$76,"C_H0",'统计计数'!$A$5:$A$76,"c")/$D43</x:f>
        <x:v>0.7166571265025758</x:v>
      </x:c>
      <x:c r="J43" s="14" t="n">
        <x:f>SUMIFS('统计计数'!$J$5:$J$76,'统计计数'!$B$5:$B$76,"C_H0",'统计计数'!$A$5:$A$76,"c")/$D43</x:f>
        <x:v>0</x:v>
      </x:c>
      <x:c r="K43" s="14" t="n">
        <x:f>SUMIFS('统计计数'!$K$5:$K$76,'统计计数'!$B$5:$B$76,"C_H0",'统计计数'!$A$5:$A$76,"c")/$D43</x:f>
        <x:v>0</x:v>
      </x:c>
      <x:c r="L43" s="14" t="n">
        <x:f>SUMIFS('统计计数'!$L$5:$L$76,'统计计数'!$B$5:$B$76,"C_H0",'统计计数'!$A$5:$A$76,"c")/$D43</x:f>
        <x:v>0</x:v>
      </x:c>
      <x:c r="M43" s="14" t="n">
        <x:f>SUMIFS('统计计数'!$M$5:$M$76,'统计计数'!$B$5:$B$76,"C_H0",'统计计数'!$A$5:$A$76,"c")/$D43</x:f>
        <x:v>0</x:v>
      </x:c>
      <x:c r="N43" s="14" t="n">
        <x:f>SUMIFS('统计计数'!$N$5:$N$76,'统计计数'!$B$5:$B$76,"C_H0",'统计计数'!$A$5:$A$76,"c")/$D43</x:f>
        <x:v>0</x:v>
      </x:c>
    </x:row>
    <x:row r="44" ht="23" customHeight="1">
      <x:c r="A44" s="12" t="str">
        <x:v>c</x:v>
      </x:c>
      <x:c r="B44" s="12" t="str">
        <x:v>C</x:v>
      </x:c>
      <x:c r="C44" s="12" t="str">
        <x:v>H1</x:v>
      </x:c>
      <x:c r="D44" s="11" t="n">
        <x:f>SUMIFS('统计计数'!$C$5:$C$76,'统计计数'!$B$5:$B$76,"C_H1",'统计计数'!$A$5:$A$76,"c")</x:f>
        <x:v>1747</x:v>
      </x:c>
      <x:c r="E44" s="14" t="n">
        <x:f>SUMIFS('统计计数'!$E$5:$E$76,'统计计数'!$B$5:$B$76,"C_H1",'统计计数'!$A$5:$A$76,"c")/$D44</x:f>
        <x:v>0</x:v>
      </x:c>
      <x:c r="F44" s="14" t="n">
        <x:f>SUMIFS('统计计数'!$F$5:$F$76,'统计计数'!$B$5:$B$76,"C_H1",'统计计数'!$A$5:$A$76,"c")/$D44</x:f>
        <x:v>0.28105323411562677</x:v>
      </x:c>
      <x:c r="G44" s="14" t="n">
        <x:f>SUMIFS('统计计数'!$G$5:$G$76,'统计计数'!$B$5:$B$76,"C_H1",'统计计数'!$A$5:$A$76,"c")/$D44</x:f>
        <x:v>0</x:v>
      </x:c>
      <x:c r="H44" s="14" t="n">
        <x:f>SUMIFS('统计计数'!$H$5:$H$76,'统计计数'!$B$5:$B$76,"C_H1",'统计计数'!$A$5:$A$76,"c")/$D44</x:f>
        <x:v>0</x:v>
      </x:c>
      <x:c r="I44" s="14" t="n">
        <x:f>SUMIFS('统计计数'!$I$5:$I$76,'统计计数'!$B$5:$B$76,"C_H1",'统计计数'!$A$5:$A$76,"c")/$D44</x:f>
        <x:v>0.7166571265025758</x:v>
      </x:c>
      <x:c r="J44" s="14" t="n">
        <x:f>SUMIFS('统计计数'!$J$5:$J$76,'统计计数'!$B$5:$B$76,"C_H1",'统计计数'!$A$5:$A$76,"c")/$D44</x:f>
        <x:v>0.0022896393817973667</x:v>
      </x:c>
      <x:c r="K44" s="14" t="n">
        <x:f>SUMIFS('统计计数'!$K$5:$K$76,'统计计数'!$B$5:$B$76,"C_H1",'统计计数'!$A$5:$A$76,"c")/$D44</x:f>
        <x:v>0</x:v>
      </x:c>
      <x:c r="L44" s="14" t="n">
        <x:f>SUMIFS('统计计数'!$L$5:$L$76,'统计计数'!$B$5:$B$76,"C_H1",'统计计数'!$A$5:$A$76,"c")/$D44</x:f>
        <x:v>0</x:v>
      </x:c>
      <x:c r="M44" s="14" t="n">
        <x:f>SUMIFS('统计计数'!$M$5:$M$76,'统计计数'!$B$5:$B$76,"C_H1",'统计计数'!$A$5:$A$76,"c")/$D44</x:f>
        <x:v>0</x:v>
      </x:c>
      <x:c r="N44" s="14" t="n">
        <x:f>SUMIFS('统计计数'!$N$5:$N$76,'统计计数'!$B$5:$B$76,"C_H1",'统计计数'!$A$5:$A$76,"c")/$D44</x:f>
        <x:v>0</x:v>
      </x:c>
    </x:row>
    <x:row r="45" ht="23" customHeight="1">
      <x:c r="A45" s="12" t="str">
        <x:v>c</x:v>
      </x:c>
      <x:c r="B45" s="12" t="str">
        <x:v>NG</x:v>
      </x:c>
      <x:c r="C45" s="12" t="str">
        <x:v>H0</x:v>
      </x:c>
      <x:c r="D45" s="11" t="n">
        <x:f>SUMIFS('统计计数'!$C$5:$C$76,'统计计数'!$B$5:$B$76,"NG_H0",'统计计数'!$A$5:$A$76,"c")</x:f>
        <x:v>1747</x:v>
      </x:c>
      <x:c r="E45" s="14" t="n">
        <x:f>SUMIFS('统计计数'!$E$5:$E$76,'统计计数'!$B$5:$B$76,"NG_H0",'统计计数'!$A$5:$A$76,"c")/$D45</x:f>
        <x:v>0</x:v>
      </x:c>
      <x:c r="F45" s="14" t="n">
        <x:f>SUMIFS('统计计数'!$F$5:$F$76,'统计计数'!$B$5:$B$76,"NG_H0",'统计计数'!$A$5:$A$76,"c")/$D45</x:f>
        <x:v>0.07212364052661706</x:v>
      </x:c>
      <x:c r="G45" s="14" t="n">
        <x:f>SUMIFS('统计计数'!$G$5:$G$76,'统计计数'!$B$5:$B$76,"NG_H0",'统计计数'!$A$5:$A$76,"c")/$D45</x:f>
        <x:v>0</x:v>
      </x:c>
      <x:c r="H45" s="14" t="n">
        <x:f>SUMIFS('统计计数'!$H$5:$H$76,'统计计数'!$B$5:$B$76,"NG_H0",'统计计数'!$A$5:$A$76,"c")/$D45</x:f>
        <x:v>0</x:v>
      </x:c>
      <x:c r="I45" s="14" t="n">
        <x:f>SUMIFS('统计计数'!$I$5:$I$76,'统计计数'!$B$5:$B$76,"NG_H0",'统计计数'!$A$5:$A$76,"c")/$D45</x:f>
        <x:v>0.3028048082427018</x:v>
      </x:c>
      <x:c r="J45" s="14" t="n">
        <x:f>SUMIFS('统计计数'!$J$5:$J$76,'统计计数'!$B$5:$B$76,"NG_H0",'统计计数'!$A$5:$A$76,"c")/$D45</x:f>
        <x:v>0.3062392673153978</x:v>
      </x:c>
      <x:c r="K45" s="14" t="n">
        <x:f>SUMIFS('统计计数'!$K$5:$K$76,'统计计数'!$B$5:$B$76,"NG_H0",'统计计数'!$A$5:$A$76,"c")/$D45</x:f>
        <x:v>0.25701202060675443</x:v>
      </x:c>
      <x:c r="L45" s="14" t="n">
        <x:f>SUMIFS('统计计数'!$L$5:$L$76,'统计计数'!$B$5:$B$76,"NG_H0",'统计计数'!$A$5:$A$76,"c")/$D45</x:f>
        <x:v>0.018889524899828276</x:v>
      </x:c>
      <x:c r="M45" s="14" t="n">
        <x:f>SUMIFS('统计计数'!$M$5:$M$76,'统计计数'!$B$5:$B$76,"NG_H0",'统计计数'!$A$5:$A$76,"c")/$D45</x:f>
        <x:v>0.04293073840870063</x:v>
      </x:c>
      <x:c r="N45" s="14" t="n">
        <x:f>SUMIFS('统计计数'!$N$5:$N$76,'统计计数'!$B$5:$B$76,"NG_H0",'统计计数'!$A$5:$A$76,"c")/$D45</x:f>
        <x:v>0</x:v>
      </x:c>
    </x:row>
    <x:row r="46" ht="23" customHeight="1">
      <x:c r="A46" s="12" t="str">
        <x:v>c</x:v>
      </x:c>
      <x:c r="B46" s="12" t="str">
        <x:v>NG</x:v>
      </x:c>
      <x:c r="C46" s="12" t="str">
        <x:v>H1</x:v>
      </x:c>
      <x:c r="D46" s="11" t="n">
        <x:f>SUMIFS('统计计数'!$C$5:$C$76,'统计计数'!$B$5:$B$76,"NG_H1",'统计计数'!$A$5:$A$76,"c")</x:f>
        <x:v>1747</x:v>
      </x:c>
      <x:c r="E46" s="14" t="n">
        <x:f>SUMIFS('统计计数'!$E$5:$E$76,'统计计数'!$B$5:$B$76,"NG_H1",'统计计数'!$A$5:$A$76,"c")/$D46</x:f>
        <x:v>0</x:v>
      </x:c>
      <x:c r="F46" s="14" t="n">
        <x:f>SUMIFS('统计计数'!$F$5:$F$76,'统计计数'!$B$5:$B$76,"NG_H1",'统计计数'!$A$5:$A$76,"c")/$D46</x:f>
        <x:v>0.061247853463079566</x:v>
      </x:c>
      <x:c r="G46" s="14" t="n">
        <x:f>SUMIFS('统计计数'!$G$5:$G$76,'统计计数'!$B$5:$B$76,"NG_H1",'统计计数'!$A$5:$A$76,"c")/$D46</x:f>
        <x:v>0</x:v>
      </x:c>
      <x:c r="H46" s="14" t="n">
        <x:f>SUMIFS('统计计数'!$H$5:$H$76,'统计计数'!$B$5:$B$76,"NG_H1",'统计计数'!$A$5:$A$76,"c")/$D46</x:f>
        <x:v>0</x:v>
      </x:c>
      <x:c r="I46" s="14" t="n">
        <x:f>SUMIFS('统计计数'!$I$5:$I$76,'统计计数'!$B$5:$B$76,"NG_H1",'统计计数'!$A$5:$A$76,"c")/$D46</x:f>
        <x:v>0.3039496279336005</x:v>
      </x:c>
      <x:c r="J46" s="14" t="n">
        <x:f>SUMIFS('统计计数'!$J$5:$J$76,'统计计数'!$B$5:$B$76,"NG_H1",'统计计数'!$A$5:$A$76,"c")/$D46</x:f>
        <x:v>0.31597023468803664</x:v>
      </x:c>
      <x:c r="K46" s="14" t="n">
        <x:f>SUMIFS('统计计数'!$K$5:$K$76,'统计计数'!$B$5:$B$76,"NG_H1",'统计计数'!$A$5:$A$76,"c")/$D46</x:f>
        <x:v>0.25701202060675443</x:v>
      </x:c>
      <x:c r="L46" s="14" t="n">
        <x:f>SUMIFS('统计计数'!$L$5:$L$76,'统计计数'!$B$5:$B$76,"NG_H1",'统计计数'!$A$5:$A$76,"c")/$D46</x:f>
        <x:v>0.018889524899828276</x:v>
      </x:c>
      <x:c r="M46" s="14" t="n">
        <x:f>SUMIFS('统计计数'!$M$5:$M$76,'统计计数'!$B$5:$B$76,"NG_H1",'统计计数'!$A$5:$A$76,"c")/$D46</x:f>
        <x:v>0.04293073840870063</x:v>
      </x:c>
      <x:c r="N46" s="14" t="n">
        <x:f>SUMIFS('统计计数'!$N$5:$N$76,'统计计数'!$B$5:$B$76,"NG_H1",'统计计数'!$A$5:$A$76,"c")/$D46</x:f>
        <x:v>0</x:v>
      </x:c>
    </x:row>
    <x:row r="47" ht="23" customHeight="1">
      <x:c r="A47" s="12" t="str">
        <x:v>c</x:v>
      </x:c>
      <x:c r="B47" s="12" t="str">
        <x:v>CG</x:v>
      </x:c>
      <x:c r="C47" s="12" t="str">
        <x:v>H0</x:v>
      </x:c>
      <x:c r="D47" s="11" t="n">
        <x:f>SUMIFS('统计计数'!$C$5:$C$76,'统计计数'!$B$5:$B$76,"CG_H0",'统计计数'!$A$5:$A$76,"c")</x:f>
        <x:v>1747</x:v>
      </x:c>
      <x:c r="E47" s="14" t="n">
        <x:f>SUMIFS('统计计数'!$E$5:$E$76,'统计计数'!$B$5:$B$76,"CG_H0",'统计计数'!$A$5:$A$76,"c")/$D47</x:f>
        <x:v>0</x:v>
      </x:c>
      <x:c r="F47" s="14" t="n">
        <x:f>SUMIFS('统计计数'!$F$5:$F$76,'统计计数'!$B$5:$B$76,"CG_H0",'统计计数'!$A$5:$A$76,"c")/$D47</x:f>
        <x:v>0.1327990841442473</x:v>
      </x:c>
      <x:c r="G47" s="14" t="n">
        <x:f>SUMIFS('统计计数'!$G$5:$G$76,'统计计数'!$B$5:$B$76,"CG_H0",'统计计数'!$A$5:$A$76,"c")/$D47</x:f>
        <x:v>0</x:v>
      </x:c>
      <x:c r="H47" s="14" t="n">
        <x:f>SUMIFS('统计计数'!$H$5:$H$76,'统计计数'!$B$5:$B$76,"CG_H0",'统计计数'!$A$5:$A$76,"c")/$D47</x:f>
        <x:v>0</x:v>
      </x:c>
      <x:c r="I47" s="14" t="n">
        <x:f>SUMIFS('统计计数'!$I$5:$I$76,'统计计数'!$B$5:$B$76,"CG_H0",'统计计数'!$A$5:$A$76,"c")/$D47</x:f>
        <x:v>0.35432169433314253</x:v>
      </x:c>
      <x:c r="J47" s="14" t="n">
        <x:f>SUMIFS('统计计数'!$J$5:$J$76,'统计计数'!$B$5:$B$76,"CG_H0",'统计计数'!$A$5:$A$76,"c")/$D47</x:f>
        <x:v>0.5128792215226102</x:v>
      </x:c>
      <x:c r="K47" s="14" t="n">
        <x:f>SUMIFS('统计计数'!$K$5:$K$76,'统计计数'!$B$5:$B$76,"CG_H0",'统计计数'!$A$5:$A$76,"c")/$D47</x:f>
        <x:v>0</x:v>
      </x:c>
      <x:c r="L47" s="14" t="n">
        <x:f>SUMIFS('统计计数'!$L$5:$L$76,'统计计数'!$B$5:$B$76,"CG_H0",'统计计数'!$A$5:$A$76,"c")/$D47</x:f>
        <x:v>0</x:v>
      </x:c>
      <x:c r="M47" s="14" t="n">
        <x:f>SUMIFS('统计计数'!$M$5:$M$76,'统计计数'!$B$5:$B$76,"CG_H0",'统计计数'!$A$5:$A$76,"c")/$D47</x:f>
        <x:v>0</x:v>
      </x:c>
      <x:c r="N47" s="14" t="n">
        <x:f>SUMIFS('统计计数'!$N$5:$N$76,'统计计数'!$B$5:$B$76,"CG_H0",'统计计数'!$A$5:$A$76,"c")/$D47</x:f>
        <x:v>0</x:v>
      </x:c>
    </x:row>
    <x:row r="48" ht="23" customHeight="1">
      <x:c r="A48" s="12" t="str">
        <x:v>c</x:v>
      </x:c>
      <x:c r="B48" s="12" t="str">
        <x:v>CG</x:v>
      </x:c>
      <x:c r="C48" s="12" t="str">
        <x:v>H1</x:v>
      </x:c>
      <x:c r="D48" s="11" t="n">
        <x:f>SUMIFS('统计计数'!$C$5:$C$76,'统计计数'!$B$5:$B$76,"CG_H1",'统计计数'!$A$5:$A$76,"c")</x:f>
        <x:v>1747</x:v>
      </x:c>
      <x:c r="E48" s="14" t="n">
        <x:f>SUMIFS('统计计数'!$E$5:$E$76,'统计计数'!$B$5:$B$76,"CG_H1",'统计计数'!$A$5:$A$76,"c")/$D48</x:f>
        <x:v>0</x:v>
      </x:c>
      <x:c r="F48" s="14" t="n">
        <x:f>SUMIFS('统计计数'!$F$5:$F$76,'统计计数'!$B$5:$B$76,"CG_H1",'统计计数'!$A$5:$A$76,"c")/$D48</x:f>
        <x:v>0.10646823125357756</x:v>
      </x:c>
      <x:c r="G48" s="14" t="n">
        <x:f>SUMIFS('统计计数'!$G$5:$G$76,'统计计数'!$B$5:$B$76,"CG_H1",'统计计数'!$A$5:$A$76,"c")/$D48</x:f>
        <x:v>0</x:v>
      </x:c>
      <x:c r="H48" s="14" t="n">
        <x:f>SUMIFS('统计计数'!$H$5:$H$76,'统计计数'!$B$5:$B$76,"CG_H1",'统计计数'!$A$5:$A$76,"c")/$D48</x:f>
        <x:v>0</x:v>
      </x:c>
      <x:c r="I48" s="14" t="n">
        <x:f>SUMIFS('统计计数'!$I$5:$I$76,'统计计数'!$B$5:$B$76,"CG_H1",'统计计数'!$A$5:$A$76,"c")/$D48</x:f>
        <x:v>0.3800801373783629</x:v>
      </x:c>
      <x:c r="J48" s="14" t="n">
        <x:f>SUMIFS('统计计数'!$J$5:$J$76,'统计计数'!$B$5:$B$76,"CG_H1",'统计计数'!$A$5:$A$76,"c")/$D48</x:f>
        <x:v>0.5134516313680595</x:v>
      </x:c>
      <x:c r="K48" s="14" t="n">
        <x:f>SUMIFS('统计计数'!$K$5:$K$76,'统计计数'!$B$5:$B$76,"CG_H1",'统计计数'!$A$5:$A$76,"c")/$D48</x:f>
        <x:v>0</x:v>
      </x:c>
      <x:c r="L48" s="14" t="n">
        <x:f>SUMIFS('统计计数'!$L$5:$L$76,'统计计数'!$B$5:$B$76,"CG_H1",'统计计数'!$A$5:$A$76,"c")/$D48</x:f>
        <x:v>0</x:v>
      </x:c>
      <x:c r="M48" s="14" t="n">
        <x:f>SUMIFS('统计计数'!$M$5:$M$76,'统计计数'!$B$5:$B$76,"CG_H1",'统计计数'!$A$5:$A$76,"c")/$D48</x:f>
        <x:v>0</x:v>
      </x:c>
      <x:c r="N48" s="14" t="n">
        <x:f>SUMIFS('统计计数'!$N$5:$N$76,'统计计数'!$B$5:$B$76,"CG_H1",'统计计数'!$A$5:$A$76,"c")/$D48</x:f>
        <x:v>0</x:v>
      </x:c>
    </x:row>
    <x:row r="49" ht="23" customHeight="1">
      <x:c r="A49" s="12" t="str">
        <x:v>c</x:v>
      </x:c>
      <x:c r="B49" s="12" t="str">
        <x:v>NC</x:v>
      </x:c>
      <x:c r="C49" s="12" t="str">
        <x:v>H0</x:v>
      </x:c>
      <x:c r="D49" s="11" t="n">
        <x:f>SUMIFS('统计计数'!$C$5:$C$76,'统计计数'!$B$5:$B$76,"NC_H0",'统计计数'!$A$5:$A$76,"c")</x:f>
        <x:v>1747</x:v>
      </x:c>
      <x:c r="E49" s="14" t="n">
        <x:f>SUMIFS('统计计数'!$E$5:$E$76,'统计计数'!$B$5:$B$76,"NC_H0",'统计计数'!$A$5:$A$76,"c")/$D49</x:f>
        <x:v>0</x:v>
      </x:c>
      <x:c r="F49" s="14" t="n">
        <x:f>SUMIFS('统计计数'!$F$5:$F$76,'统计计数'!$B$5:$B$76,"NC_H0",'统计计数'!$A$5:$A$76,"c")/$D49</x:f>
        <x:v>0.25186033199771035</x:v>
      </x:c>
      <x:c r="G49" s="14" t="n">
        <x:f>SUMIFS('统计计数'!$G$5:$G$76,'统计计数'!$B$5:$B$76,"NC_H0",'统计计数'!$A$5:$A$76,"c")/$D49</x:f>
        <x:v>0</x:v>
      </x:c>
      <x:c r="H49" s="14" t="n">
        <x:f>SUMIFS('统计计数'!$H$5:$H$76,'统计计数'!$B$5:$B$76,"NC_H0",'统计计数'!$A$5:$A$76,"c")/$D49</x:f>
        <x:v>0</x:v>
      </x:c>
      <x:c r="I49" s="14" t="n">
        <x:f>SUMIFS('统计计数'!$I$5:$I$76,'统计计数'!$B$5:$B$76,"NC_H0",'统计计数'!$A$5:$A$76,"c")/$D49</x:f>
        <x:v>0.4607899255867201</x:v>
      </x:c>
      <x:c r="J49" s="14" t="n">
        <x:f>SUMIFS('统计计数'!$J$5:$J$76,'统计计数'!$B$5:$B$76,"NC_H0",'统计计数'!$A$5:$A$76,"c")/$D49</x:f>
        <x:v>0</x:v>
      </x:c>
      <x:c r="K49" s="14" t="n">
        <x:f>SUMIFS('统计计数'!$K$5:$K$76,'统计计数'!$B$5:$B$76,"NC_H0",'统计计数'!$A$5:$A$76,"c")/$D49</x:f>
        <x:v>0.2455638236977676</x:v>
      </x:c>
      <x:c r="L49" s="14" t="n">
        <x:f>SUMIFS('统计计数'!$L$5:$L$76,'统计计数'!$B$5:$B$76,"NC_H0",'统计计数'!$A$5:$A$76,"c")/$D49</x:f>
        <x:v>0.018889524899828276</x:v>
      </x:c>
      <x:c r="M49" s="14" t="n">
        <x:f>SUMIFS('统计计数'!$M$5:$M$76,'统计计数'!$B$5:$B$76,"NC_H0",'统计计数'!$A$5:$A$76,"c")/$D49</x:f>
        <x:v>0.02289639381797367</x:v>
      </x:c>
      <x:c r="N49" s="14" t="n">
        <x:f>SUMIFS('统计计数'!$N$5:$N$76,'统计计数'!$B$5:$B$76,"NC_H0",'统计计数'!$A$5:$A$76,"c")/$D49</x:f>
        <x:v>0</x:v>
      </x:c>
    </x:row>
    <x:row r="50" ht="23" customHeight="1">
      <x:c r="A50" s="12" t="str">
        <x:v>c</x:v>
      </x:c>
      <x:c r="B50" s="12" t="str">
        <x:v>NC</x:v>
      </x:c>
      <x:c r="C50" s="12" t="str">
        <x:v>H1</x:v>
      </x:c>
      <x:c r="D50" s="11" t="n">
        <x:f>SUMIFS('统计计数'!$C$5:$C$76,'统计计数'!$B$5:$B$76,"NC_H1",'统计计数'!$A$5:$A$76,"c")</x:f>
        <x:v>1747</x:v>
      </x:c>
      <x:c r="E50" s="14" t="n">
        <x:f>SUMIFS('统计计数'!$E$5:$E$76,'统计计数'!$B$5:$B$76,"NC_H1",'统计计数'!$A$5:$A$76,"c")/$D50</x:f>
        <x:v>0</x:v>
      </x:c>
      <x:c r="F50" s="14" t="n">
        <x:f>SUMIFS('统计计数'!$F$5:$F$76,'统计计数'!$B$5:$B$76,"NC_H1",'统计计数'!$A$5:$A$76,"c")/$D50</x:f>
        <x:v>0.2484258729250143</x:v>
      </x:c>
      <x:c r="G50" s="14" t="n">
        <x:f>SUMIFS('统计计数'!$G$5:$G$76,'统计计数'!$B$5:$B$76,"NC_H1",'统计计数'!$A$5:$A$76,"c")/$D50</x:f>
        <x:v>0</x:v>
      </x:c>
      <x:c r="H50" s="14" t="n">
        <x:f>SUMIFS('统计计数'!$H$5:$H$76,'统计计数'!$B$5:$B$76,"NC_H1",'统计计数'!$A$5:$A$76,"c")/$D50</x:f>
        <x:v>0</x:v>
      </x:c>
      <x:c r="I50" s="14" t="n">
        <x:f>SUMIFS('统计计数'!$I$5:$I$76,'统计计数'!$B$5:$B$76,"NC_H1",'统计计数'!$A$5:$A$76,"c")/$D50</x:f>
        <x:v>0.4419004006868918</x:v>
      </x:c>
      <x:c r="J50" s="14" t="n">
        <x:f>SUMIFS('统计计数'!$J$5:$J$76,'统计计数'!$B$5:$B$76,"NC_H1",'统计计数'!$A$5:$A$76,"c")/$D50</x:f>
        <x:v>0.021179164281625643</x:v>
      </x:c>
      <x:c r="K50" s="14" t="n">
        <x:f>SUMIFS('统计计数'!$K$5:$K$76,'统计计数'!$B$5:$B$76,"NC_H1",'统计计数'!$A$5:$A$76,"c")/$D50</x:f>
        <x:v>0.2467086433886663</x:v>
      </x:c>
      <x:c r="L50" s="14" t="n">
        <x:f>SUMIFS('统计计数'!$L$5:$L$76,'统计计数'!$B$5:$B$76,"NC_H1",'统计计数'!$A$5:$A$76,"c")/$D50</x:f>
        <x:v>0.018889524899828276</x:v>
      </x:c>
      <x:c r="M50" s="14" t="n">
        <x:f>SUMIFS('统计计数'!$M$5:$M$76,'统计计数'!$B$5:$B$76,"NC_H1",'统计计数'!$A$5:$A$76,"c")/$D50</x:f>
        <x:v>0.02289639381797367</x:v>
      </x:c>
      <x:c r="N50" s="14" t="n">
        <x:f>SUMIFS('统计计数'!$N$5:$N$76,'统计计数'!$B$5:$B$76,"NC_H1",'统计计数'!$A$5:$A$76,"c")/$D50</x:f>
        <x:v>0</x:v>
      </x:c>
    </x:row>
    <x:row r="51" ht="23" customHeight="1">
      <x:c r="A51" s="12" t="str">
        <x:v>c</x:v>
      </x:c>
      <x:c r="B51" s="12" t="str">
        <x:v>NCG</x:v>
      </x:c>
      <x:c r="C51" s="12" t="str">
        <x:v>H0</x:v>
      </x:c>
      <x:c r="D51" s="11" t="n">
        <x:f>SUMIFS('统计计数'!$C$5:$C$76,'统计计数'!$B$5:$B$76,"NCG_H0",'统计计数'!$A$5:$A$76,"c")</x:f>
        <x:v>1747</x:v>
      </x:c>
      <x:c r="E51" s="14" t="n">
        <x:f>SUMIFS('统计计数'!$E$5:$E$76,'统计计数'!$B$5:$B$76,"NCG_H0",'统计计数'!$A$5:$A$76,"c")/$D51</x:f>
        <x:v>0</x:v>
      </x:c>
      <x:c r="F51" s="14" t="n">
        <x:f>SUMIFS('统计计数'!$F$5:$F$76,'统计计数'!$B$5:$B$76,"NCG_H0",'统计计数'!$A$5:$A$76,"c")/$D51</x:f>
        <x:v>0.11963365769891242</x:v>
      </x:c>
      <x:c r="G51" s="14" t="n">
        <x:f>SUMIFS('统计计数'!$G$5:$G$76,'统计计数'!$B$5:$B$76,"NCG_H0",'统计计数'!$A$5:$A$76,"c")/$D51</x:f>
        <x:v>0</x:v>
      </x:c>
      <x:c r="H51" s="14" t="n">
        <x:f>SUMIFS('统计计数'!$H$5:$H$76,'统计计数'!$B$5:$B$76,"NCG_H0",'统计计数'!$A$5:$A$76,"c")/$D51</x:f>
        <x:v>0</x:v>
      </x:c>
      <x:c r="I51" s="14" t="n">
        <x:f>SUMIFS('统计计数'!$I$5:$I$76,'统计计数'!$B$5:$B$76,"NCG_H0",'统计计数'!$A$5:$A$76,"c")/$D51</x:f>
        <x:v>0.2621637092157985</x:v>
      </x:c>
      <x:c r="J51" s="14" t="n">
        <x:f>SUMIFS('统计计数'!$J$5:$J$76,'统计计数'!$B$5:$B$76,"NCG_H0",'统计计数'!$A$5:$A$76,"c")/$D51</x:f>
        <x:v>0.3308528906697195</x:v>
      </x:c>
      <x:c r="K51" s="14" t="n">
        <x:f>SUMIFS('统计计数'!$K$5:$K$76,'统计计数'!$B$5:$B$76,"NCG_H0",'统计计数'!$A$5:$A$76,"c")/$D51</x:f>
        <x:v>0.2455638236977676</x:v>
      </x:c>
      <x:c r="L51" s="14" t="n">
        <x:f>SUMIFS('统计计数'!$L$5:$L$76,'统计计数'!$B$5:$B$76,"NCG_H0",'统计计数'!$A$5:$A$76,"c")/$D51</x:f>
        <x:v>0.018889524899828276</x:v>
      </x:c>
      <x:c r="M51" s="14" t="n">
        <x:f>SUMIFS('统计计数'!$M$5:$M$76,'统计计数'!$B$5:$B$76,"NCG_H0",'统计计数'!$A$5:$A$76,"c")/$D51</x:f>
        <x:v>0.02289639381797367</x:v>
      </x:c>
      <x:c r="N51" s="14" t="n">
        <x:f>SUMIFS('统计计数'!$N$5:$N$76,'统计计数'!$B$5:$B$76,"NCG_H0",'统计计数'!$A$5:$A$76,"c")/$D51</x:f>
        <x:v>0</x:v>
      </x:c>
    </x:row>
    <x:row r="52" ht="23" customHeight="1">
      <x:c r="A52" s="12" t="str">
        <x:v>c</x:v>
      </x:c>
      <x:c r="B52" s="12" t="str">
        <x:v>NCG</x:v>
      </x:c>
      <x:c r="C52" s="12" t="str">
        <x:v>H1</x:v>
      </x:c>
      <x:c r="D52" s="11" t="n">
        <x:f>SUMIFS('统计计数'!$C$5:$C$76,'统计计数'!$B$5:$B$76,"NCG_H1",'统计计数'!$A$5:$A$76,"c")</x:f>
        <x:v>1747</x:v>
      </x:c>
      <x:c r="E52" s="14" t="n">
        <x:f>SUMIFS('统计计数'!$E$5:$E$76,'统计计数'!$B$5:$B$76,"NCG_H1",'统计计数'!$A$5:$A$76,"c")/$D52</x:f>
        <x:v>0</x:v>
      </x:c>
      <x:c r="F52" s="14" t="n">
        <x:f>SUMIFS('统计计数'!$F$5:$F$76,'统计计数'!$B$5:$B$76,"NCG_H1",'统计计数'!$A$5:$A$76,"c")/$D52</x:f>
        <x:v>0.09673726388093876</x:v>
      </x:c>
      <x:c r="G52" s="14" t="n">
        <x:f>SUMIFS('统计计数'!$G$5:$G$76,'统计计数'!$B$5:$B$76,"NCG_H1",'统计计数'!$A$5:$A$76,"c")/$D52</x:f>
        <x:v>0</x:v>
      </x:c>
      <x:c r="H52" s="14" t="n">
        <x:f>SUMIFS('统计计数'!$H$5:$H$76,'统计计数'!$B$5:$B$76,"NCG_H1",'统计计数'!$A$5:$A$76,"c")/$D52</x:f>
        <x:v>0</x:v>
      </x:c>
      <x:c r="I52" s="14" t="n">
        <x:f>SUMIFS('统计计数'!$I$5:$I$76,'统计计数'!$B$5:$B$76,"NCG_H1",'统计计数'!$A$5:$A$76,"c")/$D52</x:f>
        <x:v>0.27361190612478536</x:v>
      </x:c>
      <x:c r="J52" s="14" t="n">
        <x:f>SUMIFS('统计计数'!$J$5:$J$76,'统计计数'!$B$5:$B$76,"NCG_H1",'统计计数'!$A$5:$A$76,"c")/$D52</x:f>
        <x:v>0.3411562678878077</x:v>
      </x:c>
      <x:c r="K52" s="14" t="n">
        <x:f>SUMIFS('统计计数'!$K$5:$K$76,'统计计数'!$B$5:$B$76,"NCG_H1",'统计计数'!$A$5:$A$76,"c")/$D52</x:f>
        <x:v>0.2467086433886663</x:v>
      </x:c>
      <x:c r="L52" s="14" t="n">
        <x:f>SUMIFS('统计计数'!$L$5:$L$76,'统计计数'!$B$5:$B$76,"NCG_H1",'统计计数'!$A$5:$A$76,"c")/$D52</x:f>
        <x:v>0.018889524899828276</x:v>
      </x:c>
      <x:c r="M52" s="14" t="n">
        <x:f>SUMIFS('统计计数'!$M$5:$M$76,'统计计数'!$B$5:$B$76,"NCG_H1",'统计计数'!$A$5:$A$76,"c")/$D52</x:f>
        <x:v>0.02289639381797367</x:v>
      </x:c>
      <x:c r="N52" s="14" t="n">
        <x:f>SUMIFS('统计计数'!$N$5:$N$76,'统计计数'!$B$5:$B$76,"NCG_H1",'统计计数'!$A$5:$A$76,"c")/$D52</x:f>
        <x:v>0</x:v>
      </x:c>
    </x:row>
    <x:row r="53" ht="23" customHeight="1">
      <x:c r="A53" s="12" t="str">
        <x:v>d</x:v>
      </x:c>
      <x:c r="B53" s="12" t="str">
        <x:v>N</x:v>
      </x:c>
      <x:c r="C53" s="12" t="str">
        <x:v>H0</x:v>
      </x:c>
      <x:c r="D53" s="11" t="n">
        <x:f>SUMIFS('统计计数'!$C$5:$C$76,'统计计数'!$B$5:$B$76,"N_H0",'统计计数'!$A$5:$A$76,"d")</x:f>
        <x:v>1167</x:v>
      </x:c>
      <x:c r="E53" s="14" t="n">
        <x:f>SUMIFS('统计计数'!$E$5:$E$76,'统计计数'!$B$5:$B$76,"N_H0",'统计计数'!$A$5:$A$76,"d")/$D53</x:f>
        <x:v>0</x:v>
      </x:c>
      <x:c r="F53" s="14" t="n">
        <x:f>SUMIFS('统计计数'!$F$5:$F$76,'统计计数'!$B$5:$B$76,"N_H0",'统计计数'!$A$5:$A$76,"d")/$D53</x:f>
        <x:v>0.13367609254498714</x:v>
      </x:c>
      <x:c r="G53" s="14" t="n">
        <x:f>SUMIFS('统计计数'!$G$5:$G$76,'统计计数'!$B$5:$B$76,"N_H0",'统计计数'!$A$5:$A$76,"d")/$D53</x:f>
        <x:v>0</x:v>
      </x:c>
      <x:c r="H53" s="14" t="n">
        <x:f>SUMIFS('统计计数'!$H$5:$H$76,'统计计数'!$B$5:$B$76,"N_H0",'统计计数'!$A$5:$A$76,"d")/$D53</x:f>
        <x:v>0</x:v>
      </x:c>
      <x:c r="I53" s="14" t="n">
        <x:f>SUMIFS('统计计数'!$I$5:$I$76,'统计计数'!$B$5:$B$76,"N_H0",'统计计数'!$A$5:$A$76,"d")/$D53</x:f>
        <x:v>0.7163667523564696</x:v>
      </x:c>
      <x:c r="J53" s="14" t="n">
        <x:f>SUMIFS('统计计数'!$J$5:$J$76,'统计计数'!$B$5:$B$76,"N_H0",'统计计数'!$A$5:$A$76,"d")/$D53</x:f>
        <x:v>0</x:v>
      </x:c>
      <x:c r="K53" s="14" t="n">
        <x:f>SUMIFS('统计计数'!$K$5:$K$76,'统计计数'!$B$5:$B$76,"N_H0",'统计计数'!$A$5:$A$76,"d")/$D53</x:f>
        <x:v>0.1328191945158526</x:v>
      </x:c>
      <x:c r="L53" s="14" t="n">
        <x:f>SUMIFS('统计计数'!$L$5:$L$76,'统计计数'!$B$5:$B$76,"N_H0",'统计计数'!$A$5:$A$76,"d")/$D53</x:f>
        <x:v>0.010282776349614395</x:v>
      </x:c>
      <x:c r="M53" s="14" t="n">
        <x:f>SUMIFS('统计计数'!$M$5:$M$76,'统计计数'!$B$5:$B$76,"N_H0",'统计计数'!$A$5:$A$76,"d")/$D53</x:f>
        <x:v>0.006855184233076264</x:v>
      </x:c>
      <x:c r="N53" s="14" t="n">
        <x:f>SUMIFS('统计计数'!$N$5:$N$76,'统计计数'!$B$5:$B$76,"N_H0",'统计计数'!$A$5:$A$76,"d")/$D53</x:f>
        <x:v>0</x:v>
      </x:c>
    </x:row>
    <x:row r="54" ht="23" customHeight="1">
      <x:c r="A54" s="12" t="str">
        <x:v>d</x:v>
      </x:c>
      <x:c r="B54" s="12" t="str">
        <x:v>N</x:v>
      </x:c>
      <x:c r="C54" s="12" t="str">
        <x:v>H1</x:v>
      </x:c>
      <x:c r="D54" s="11" t="n">
        <x:f>SUMIFS('统计计数'!$C$5:$C$76,'统计计数'!$B$5:$B$76,"N_H1",'统计计数'!$A$5:$A$76,"d")</x:f>
        <x:v>1167</x:v>
      </x:c>
      <x:c r="E54" s="14" t="n">
        <x:f>SUMIFS('统计计数'!$E$5:$E$76,'统计计数'!$B$5:$B$76,"N_H1",'统计计数'!$A$5:$A$76,"d")/$D54</x:f>
        <x:v>0</x:v>
      </x:c>
      <x:c r="F54" s="14" t="n">
        <x:f>SUMIFS('统计计数'!$F$5:$F$76,'统计计数'!$B$5:$B$76,"N_H1",'统计计数'!$A$5:$A$76,"d")/$D54</x:f>
        <x:v>0.13367609254498714</x:v>
      </x:c>
      <x:c r="G54" s="14" t="n">
        <x:f>SUMIFS('统计计数'!$G$5:$G$76,'统计计数'!$B$5:$B$76,"N_H1",'统计计数'!$A$5:$A$76,"d")/$D54</x:f>
        <x:v>0</x:v>
      </x:c>
      <x:c r="H54" s="14" t="n">
        <x:f>SUMIFS('统计计数'!$H$5:$H$76,'统计计数'!$B$5:$B$76,"N_H1",'统计计数'!$A$5:$A$76,"d")/$D54</x:f>
        <x:v>0</x:v>
      </x:c>
      <x:c r="I54" s="14" t="n">
        <x:f>SUMIFS('统计计数'!$I$5:$I$76,'统计计数'!$B$5:$B$76,"N_H1",'统计计数'!$A$5:$A$76,"d")/$D54</x:f>
        <x:v>0.7060839760068551</x:v>
      </x:c>
      <x:c r="J54" s="14" t="n">
        <x:f>SUMIFS('统计计数'!$J$5:$J$76,'统计计数'!$B$5:$B$76,"N_H1",'统计计数'!$A$5:$A$76,"d")/$D54</x:f>
        <x:v>0.009425878320479864</x:v>
      </x:c>
      <x:c r="K54" s="14" t="n">
        <x:f>SUMIFS('统计计数'!$K$5:$K$76,'统计计数'!$B$5:$B$76,"N_H1",'统计计数'!$A$5:$A$76,"d")/$D54</x:f>
        <x:v>0.13367609254498714</x:v>
      </x:c>
      <x:c r="L54" s="14" t="n">
        <x:f>SUMIFS('统计计数'!$L$5:$L$76,'统计计数'!$B$5:$B$76,"N_H1",'统计计数'!$A$5:$A$76,"d")/$D54</x:f>
        <x:v>0.010282776349614395</x:v>
      </x:c>
      <x:c r="M54" s="14" t="n">
        <x:f>SUMIFS('统计计数'!$M$5:$M$76,'统计计数'!$B$5:$B$76,"N_H1",'统计计数'!$A$5:$A$76,"d")/$D54</x:f>
        <x:v>0.006855184233076264</x:v>
      </x:c>
      <x:c r="N54" s="14" t="n">
        <x:f>SUMIFS('统计计数'!$N$5:$N$76,'统计计数'!$B$5:$B$76,"N_H1",'统计计数'!$A$5:$A$76,"d")/$D54</x:f>
        <x:v>0</x:v>
      </x:c>
    </x:row>
    <x:row r="55" ht="23" customHeight="1">
      <x:c r="A55" s="12" t="str">
        <x:v>d</x:v>
      </x:c>
      <x:c r="B55" s="12" t="str">
        <x:v>C</x:v>
      </x:c>
      <x:c r="C55" s="12" t="str">
        <x:v>H0</x:v>
      </x:c>
      <x:c r="D55" s="11" t="n">
        <x:f>SUMIFS('统计计数'!$C$5:$C$76,'统计计数'!$B$5:$B$76,"C_H0",'统计计数'!$A$5:$A$76,"d")</x:f>
        <x:v>1167</x:v>
      </x:c>
      <x:c r="E55" s="14" t="n">
        <x:f>SUMIFS('统计计数'!$E$5:$E$76,'统计计数'!$B$5:$B$76,"C_H0",'统计计数'!$A$5:$A$76,"d")/$D55</x:f>
        <x:v>0</x:v>
      </x:c>
      <x:c r="F55" s="14" t="n">
        <x:f>SUMIFS('统计计数'!$F$5:$F$76,'统计计数'!$B$5:$B$76,"C_H0",'统计计数'!$A$5:$A$76,"d")/$D55</x:f>
        <x:v>0.2579263067694944</x:v>
      </x:c>
      <x:c r="G55" s="14" t="n">
        <x:f>SUMIFS('统计计数'!$G$5:$G$76,'统计计数'!$B$5:$B$76,"C_H0",'统计计数'!$A$5:$A$76,"d")/$D55</x:f>
        <x:v>0</x:v>
      </x:c>
      <x:c r="H55" s="14" t="n">
        <x:f>SUMIFS('统计计数'!$H$5:$H$76,'统计计数'!$B$5:$B$76,"C_H0",'统计计数'!$A$5:$A$76,"d")/$D55</x:f>
        <x:v>0</x:v>
      </x:c>
      <x:c r="I55" s="14" t="n">
        <x:f>SUMIFS('统计计数'!$I$5:$I$76,'统计计数'!$B$5:$B$76,"C_H0",'统计计数'!$A$5:$A$76,"d")/$D55</x:f>
        <x:v>0.7377892030848329</x:v>
      </x:c>
      <x:c r="J55" s="14" t="n">
        <x:f>SUMIFS('统计计数'!$J$5:$J$76,'统计计数'!$B$5:$B$76,"C_H0",'统计计数'!$A$5:$A$76,"d")/$D55</x:f>
        <x:v>0</x:v>
      </x:c>
      <x:c r="K55" s="14" t="n">
        <x:f>SUMIFS('统计计数'!$K$5:$K$76,'统计计数'!$B$5:$B$76,"C_H0",'统计计数'!$A$5:$A$76,"d")/$D55</x:f>
        <x:v>0.004284490145672665</x:v>
      </x:c>
      <x:c r="L55" s="14" t="n">
        <x:f>SUMIFS('统计计数'!$L$5:$L$76,'统计计数'!$B$5:$B$76,"C_H0",'统计计数'!$A$5:$A$76,"d")/$D55</x:f>
        <x:v>0</x:v>
      </x:c>
      <x:c r="M55" s="14" t="n">
        <x:f>SUMIFS('统计计数'!$M$5:$M$76,'统计计数'!$B$5:$B$76,"C_H0",'统计计数'!$A$5:$A$76,"d")/$D55</x:f>
        <x:v>0</x:v>
      </x:c>
      <x:c r="N55" s="14" t="n">
        <x:f>SUMIFS('统计计数'!$N$5:$N$76,'统计计数'!$B$5:$B$76,"C_H0",'统计计数'!$A$5:$A$76,"d")/$D55</x:f>
        <x:v>0</x:v>
      </x:c>
    </x:row>
    <x:row r="56" ht="23" customHeight="1">
      <x:c r="A56" s="12" t="str">
        <x:v>d</x:v>
      </x:c>
      <x:c r="B56" s="12" t="str">
        <x:v>C</x:v>
      </x:c>
      <x:c r="C56" s="12" t="str">
        <x:v>H1</x:v>
      </x:c>
      <x:c r="D56" s="11" t="n">
        <x:f>SUMIFS('统计计数'!$C$5:$C$76,'统计计数'!$B$5:$B$76,"C_H1",'统计计数'!$A$5:$A$76,"d")</x:f>
        <x:v>1167</x:v>
      </x:c>
      <x:c r="E56" s="14" t="n">
        <x:f>SUMIFS('统计计数'!$E$5:$E$76,'统计计数'!$B$5:$B$76,"C_H1",'统计计数'!$A$5:$A$76,"d")/$D56</x:f>
        <x:v>0</x:v>
      </x:c>
      <x:c r="F56" s="14" t="n">
        <x:f>SUMIFS('统计计数'!$F$5:$F$76,'统计计数'!$B$5:$B$76,"C_H1",'统计计数'!$A$5:$A$76,"d")/$D56</x:f>
        <x:v>0.2579263067694944</x:v>
      </x:c>
      <x:c r="G56" s="14" t="n">
        <x:f>SUMIFS('统计计数'!$G$5:$G$76,'统计计数'!$B$5:$B$76,"C_H1",'统计计数'!$A$5:$A$76,"d")/$D56</x:f>
        <x:v>0</x:v>
      </x:c>
      <x:c r="H56" s="14" t="n">
        <x:f>SUMIFS('统计计数'!$H$5:$H$76,'统计计数'!$B$5:$B$76,"C_H1",'统计计数'!$A$5:$A$76,"d")/$D56</x:f>
        <x:v>0</x:v>
      </x:c>
      <x:c r="I56" s="14" t="n">
        <x:f>SUMIFS('统计计数'!$I$5:$I$76,'统计计数'!$B$5:$B$76,"C_H1",'统计计数'!$A$5:$A$76,"d")/$D56</x:f>
        <x:v>0.7377892030848329</x:v>
      </x:c>
      <x:c r="J56" s="14" t="n">
        <x:f>SUMIFS('统计计数'!$J$5:$J$76,'统计计数'!$B$5:$B$76,"C_H1",'统计计数'!$A$5:$A$76,"d")/$D56</x:f>
        <x:v>0</x:v>
      </x:c>
      <x:c r="K56" s="14" t="n">
        <x:f>SUMIFS('统计计数'!$K$5:$K$76,'统计计数'!$B$5:$B$76,"C_H1",'统计计数'!$A$5:$A$76,"d")/$D56</x:f>
        <x:v>0.004284490145672665</x:v>
      </x:c>
      <x:c r="L56" s="14" t="n">
        <x:f>SUMIFS('统计计数'!$L$5:$L$76,'统计计数'!$B$5:$B$76,"C_H1",'统计计数'!$A$5:$A$76,"d")/$D56</x:f>
        <x:v>0</x:v>
      </x:c>
      <x:c r="M56" s="14" t="n">
        <x:f>SUMIFS('统计计数'!$M$5:$M$76,'统计计数'!$B$5:$B$76,"C_H1",'统计计数'!$A$5:$A$76,"d")/$D56</x:f>
        <x:v>0</x:v>
      </x:c>
      <x:c r="N56" s="14" t="n">
        <x:f>SUMIFS('统计计数'!$N$5:$N$76,'统计计数'!$B$5:$B$76,"C_H1",'统计计数'!$A$5:$A$76,"d")/$D56</x:f>
        <x:v>0</x:v>
      </x:c>
    </x:row>
    <x:row r="57" ht="23" customHeight="1">
      <x:c r="A57" s="12" t="str">
        <x:v>d</x:v>
      </x:c>
      <x:c r="B57" s="12" t="str">
        <x:v>NG</x:v>
      </x:c>
      <x:c r="C57" s="12" t="str">
        <x:v>H0</x:v>
      </x:c>
      <x:c r="D57" s="11" t="n">
        <x:f>SUMIFS('统计计数'!$C$5:$C$76,'统计计数'!$B$5:$B$76,"NG_H0",'统计计数'!$A$5:$A$76,"d")</x:f>
        <x:v>1167</x:v>
      </x:c>
      <x:c r="E57" s="14" t="n">
        <x:f>SUMIFS('统计计数'!$E$5:$E$76,'统计计数'!$B$5:$B$76,"NG_H0",'统计计数'!$A$5:$A$76,"d")/$D57</x:f>
        <x:v>0</x:v>
      </x:c>
      <x:c r="F57" s="14" t="n">
        <x:f>SUMIFS('统计计数'!$F$5:$F$76,'统计计数'!$B$5:$B$76,"NG_H0",'统计计数'!$A$5:$A$76,"d")/$D57</x:f>
        <x:v>0.1268209083119109</x:v>
      </x:c>
      <x:c r="G57" s="14" t="n">
        <x:f>SUMIFS('统计计数'!$G$5:$G$76,'统计计数'!$B$5:$B$76,"NG_H0",'统计计数'!$A$5:$A$76,"d")/$D57</x:f>
        <x:v>0</x:v>
      </x:c>
      <x:c r="H57" s="14" t="n">
        <x:f>SUMIFS('统计计数'!$H$5:$H$76,'统计计数'!$B$5:$B$76,"NG_H0",'统计计数'!$A$5:$A$76,"d")/$D57</x:f>
        <x:v>0</x:v>
      </x:c>
      <x:c r="I57" s="14" t="n">
        <x:f>SUMIFS('统计计数'!$I$5:$I$76,'统计计数'!$B$5:$B$76,"NG_H0",'统计计数'!$A$5:$A$76,"d")/$D57</x:f>
        <x:v>0.35989717223650386</x:v>
      </x:c>
      <x:c r="J57" s="14" t="n">
        <x:f>SUMIFS('统计计数'!$J$5:$J$76,'统计计数'!$B$5:$B$76,"NG_H0",'统计计数'!$A$5:$A$76,"d")/$D57</x:f>
        <x:v>0.363324764353042</x:v>
      </x:c>
      <x:c r="K57" s="14" t="n">
        <x:f>SUMIFS('统计计数'!$K$5:$K$76,'统计计数'!$B$5:$B$76,"NG_H0",'统计计数'!$A$5:$A$76,"d")/$D57</x:f>
        <x:v>0.1328191945158526</x:v>
      </x:c>
      <x:c r="L57" s="14" t="n">
        <x:f>SUMIFS('统计计数'!$L$5:$L$76,'统计计数'!$B$5:$B$76,"NG_H0",'统计计数'!$A$5:$A$76,"d")/$D57</x:f>
        <x:v>0.010282776349614395</x:v>
      </x:c>
      <x:c r="M57" s="14" t="n">
        <x:f>SUMIFS('统计计数'!$M$5:$M$76,'统计计数'!$B$5:$B$76,"NG_H0",'统计计数'!$A$5:$A$76,"d")/$D57</x:f>
        <x:v>0.006855184233076264</x:v>
      </x:c>
      <x:c r="N57" s="14" t="n">
        <x:f>SUMIFS('统计计数'!$N$5:$N$76,'统计计数'!$B$5:$B$76,"NG_H0",'统计计数'!$A$5:$A$76,"d")/$D57</x:f>
        <x:v>0</x:v>
      </x:c>
    </x:row>
    <x:row r="58" ht="23" customHeight="1">
      <x:c r="A58" s="12" t="str">
        <x:v>d</x:v>
      </x:c>
      <x:c r="B58" s="12" t="str">
        <x:v>NG</x:v>
      </x:c>
      <x:c r="C58" s="12" t="str">
        <x:v>H1</x:v>
      </x:c>
      <x:c r="D58" s="11" t="n">
        <x:f>SUMIFS('统计计数'!$C$5:$C$76,'统计计数'!$B$5:$B$76,"NG_H1",'统计计数'!$A$5:$A$76,"d")</x:f>
        <x:v>1167</x:v>
      </x:c>
      <x:c r="E58" s="14" t="n">
        <x:f>SUMIFS('统计计数'!$E$5:$E$76,'统计计数'!$B$5:$B$76,"NG_H1",'统计计数'!$A$5:$A$76,"d")/$D58</x:f>
        <x:v>0</x:v>
      </x:c>
      <x:c r="F58" s="14" t="n">
        <x:f>SUMIFS('统计计数'!$F$5:$F$76,'统计计数'!$B$5:$B$76,"NG_H1",'统计计数'!$A$5:$A$76,"d")/$D58</x:f>
        <x:v>0.1268209083119109</x:v>
      </x:c>
      <x:c r="G58" s="14" t="n">
        <x:f>SUMIFS('统计计数'!$G$5:$G$76,'统计计数'!$B$5:$B$76,"NG_H1",'统计计数'!$A$5:$A$76,"d")/$D58</x:f>
        <x:v>0</x:v>
      </x:c>
      <x:c r="H58" s="14" t="n">
        <x:f>SUMIFS('统计计数'!$H$5:$H$76,'统计计数'!$B$5:$B$76,"NG_H1",'统计计数'!$A$5:$A$76,"d")/$D58</x:f>
        <x:v>0</x:v>
      </x:c>
      <x:c r="I58" s="14" t="n">
        <x:f>SUMIFS('统计计数'!$I$5:$I$76,'统计计数'!$B$5:$B$76,"NG_H1",'统计计数'!$A$5:$A$76,"d")/$D58</x:f>
        <x:v>0.3496143958868895</x:v>
      </x:c>
      <x:c r="J58" s="14" t="n">
        <x:f>SUMIFS('统计计数'!$J$5:$J$76,'统计计数'!$B$5:$B$76,"NG_H1",'统计计数'!$A$5:$A$76,"d")/$D58</x:f>
        <x:v>0.37275064267352187</x:v>
      </x:c>
      <x:c r="K58" s="14" t="n">
        <x:f>SUMIFS('统计计数'!$K$5:$K$76,'统计计数'!$B$5:$B$76,"NG_H1",'统计计数'!$A$5:$A$76,"d")/$D58</x:f>
        <x:v>0.13367609254498714</x:v>
      </x:c>
      <x:c r="L58" s="14" t="n">
        <x:f>SUMIFS('统计计数'!$L$5:$L$76,'统计计数'!$B$5:$B$76,"NG_H1",'统计计数'!$A$5:$A$76,"d")/$D58</x:f>
        <x:v>0.010282776349614395</x:v>
      </x:c>
      <x:c r="M58" s="14" t="n">
        <x:f>SUMIFS('统计计数'!$M$5:$M$76,'统计计数'!$B$5:$B$76,"NG_H1",'统计计数'!$A$5:$A$76,"d")/$D58</x:f>
        <x:v>0.006855184233076264</x:v>
      </x:c>
      <x:c r="N58" s="14" t="n">
        <x:f>SUMIFS('统计计数'!$N$5:$N$76,'统计计数'!$B$5:$B$76,"NG_H1",'统计计数'!$A$5:$A$76,"d")/$D58</x:f>
        <x:v>0</x:v>
      </x:c>
    </x:row>
    <x:row r="59" ht="23" customHeight="1">
      <x:c r="A59" s="12" t="str">
        <x:v>d</x:v>
      </x:c>
      <x:c r="B59" s="12" t="str">
        <x:v>CG</x:v>
      </x:c>
      <x:c r="C59" s="12" t="str">
        <x:v>H0</x:v>
      </x:c>
      <x:c r="D59" s="11" t="n">
        <x:f>SUMIFS('统计计数'!$C$5:$C$76,'统计计数'!$B$5:$B$76,"CG_H0",'统计计数'!$A$5:$A$76,"d")</x:f>
        <x:v>1167</x:v>
      </x:c>
      <x:c r="E59" s="14" t="n">
        <x:f>SUMIFS('统计计数'!$E$5:$E$76,'统计计数'!$B$5:$B$76,"CG_H0",'统计计数'!$A$5:$A$76,"d")/$D59</x:f>
        <x:v>0</x:v>
      </x:c>
      <x:c r="F59" s="14" t="n">
        <x:f>SUMIFS('统计计数'!$F$5:$F$76,'统计计数'!$B$5:$B$76,"CG_H0",'统计计数'!$A$5:$A$76,"d")/$D59</x:f>
        <x:v>0.11825192802056556</x:v>
      </x:c>
      <x:c r="G59" s="14" t="n">
        <x:f>SUMIFS('统计计数'!$G$5:$G$76,'统计计数'!$B$5:$B$76,"CG_H0",'统计计数'!$A$5:$A$76,"d")/$D59</x:f>
        <x:v>0</x:v>
      </x:c>
      <x:c r="H59" s="14" t="n">
        <x:f>SUMIFS('统计计数'!$H$5:$H$76,'统计计数'!$B$5:$B$76,"CG_H0",'统计计数'!$A$5:$A$76,"d")/$D59</x:f>
        <x:v>0</x:v>
      </x:c>
      <x:c r="I59" s="14" t="n">
        <x:f>SUMIFS('统计计数'!$I$5:$I$76,'统计计数'!$B$5:$B$76,"CG_H0",'统计计数'!$A$5:$A$76,"d")/$D59</x:f>
        <x:v>0.4473007712082262</x:v>
      </x:c>
      <x:c r="J59" s="14" t="n">
        <x:f>SUMIFS('统计计数'!$J$5:$J$76,'统计计数'!$B$5:$B$76,"CG_H0",'统计计数'!$A$5:$A$76,"d")/$D59</x:f>
        <x:v>0.4301628106255356</x:v>
      </x:c>
      <x:c r="K59" s="14" t="n">
        <x:f>SUMIFS('统计计数'!$K$5:$K$76,'统计计数'!$B$5:$B$76,"CG_H0",'统计计数'!$A$5:$A$76,"d")/$D59</x:f>
        <x:v>0.004284490145672665</x:v>
      </x:c>
      <x:c r="L59" s="14" t="n">
        <x:f>SUMIFS('统计计数'!$L$5:$L$76,'统计计数'!$B$5:$B$76,"CG_H0",'统计计数'!$A$5:$A$76,"d")/$D59</x:f>
        <x:v>0</x:v>
      </x:c>
      <x:c r="M59" s="14" t="n">
        <x:f>SUMIFS('统计计数'!$M$5:$M$76,'统计计数'!$B$5:$B$76,"CG_H0",'统计计数'!$A$5:$A$76,"d")/$D59</x:f>
        <x:v>0</x:v>
      </x:c>
      <x:c r="N59" s="14" t="n">
        <x:f>SUMIFS('统计计数'!$N$5:$N$76,'统计计数'!$B$5:$B$76,"CG_H0",'统计计数'!$A$5:$A$76,"d")/$D59</x:f>
        <x:v>0</x:v>
      </x:c>
    </x:row>
    <x:row r="60" ht="23" customHeight="1">
      <x:c r="A60" s="12" t="str">
        <x:v>d</x:v>
      </x:c>
      <x:c r="B60" s="12" t="str">
        <x:v>CG</x:v>
      </x:c>
      <x:c r="C60" s="12" t="str">
        <x:v>H1</x:v>
      </x:c>
      <x:c r="D60" s="11" t="n">
        <x:f>SUMIFS('统计计数'!$C$5:$C$76,'统计计数'!$B$5:$B$76,"CG_H1",'统计计数'!$A$5:$A$76,"d")</x:f>
        <x:v>1167</x:v>
      </x:c>
      <x:c r="E60" s="14" t="n">
        <x:f>SUMIFS('统计计数'!$E$5:$E$76,'统计计数'!$B$5:$B$76,"CG_H1",'统计计数'!$A$5:$A$76,"d")/$D60</x:f>
        <x:v>0</x:v>
      </x:c>
      <x:c r="F60" s="14" t="n">
        <x:f>SUMIFS('统计计数'!$F$5:$F$76,'统计计数'!$B$5:$B$76,"CG_H1",'统计计数'!$A$5:$A$76,"d")/$D60</x:f>
        <x:v>0.11139674378748929</x:v>
      </x:c>
      <x:c r="G60" s="14" t="n">
        <x:f>SUMIFS('统计计数'!$G$5:$G$76,'统计计数'!$B$5:$B$76,"CG_H1",'统计计数'!$A$5:$A$76,"d")/$D60</x:f>
        <x:v>0</x:v>
      </x:c>
      <x:c r="H60" s="14" t="n">
        <x:f>SUMIFS('统计计数'!$H$5:$H$76,'统计计数'!$B$5:$B$76,"CG_H1",'统计计数'!$A$5:$A$76,"d")/$D60</x:f>
        <x:v>0</x:v>
      </x:c>
      <x:c r="I60" s="14" t="n">
        <x:f>SUMIFS('统计计数'!$I$5:$I$76,'统计计数'!$B$5:$B$76,"CG_H1",'统计计数'!$A$5:$A$76,"d")/$D60</x:f>
        <x:v>0.4541559554413025</x:v>
      </x:c>
      <x:c r="J60" s="14" t="n">
        <x:f>SUMIFS('统计计数'!$J$5:$J$76,'统计计数'!$B$5:$B$76,"CG_H1",'统计计数'!$A$5:$A$76,"d")/$D60</x:f>
        <x:v>0.4301628106255356</x:v>
      </x:c>
      <x:c r="K60" s="14" t="n">
        <x:f>SUMIFS('统计计数'!$K$5:$K$76,'统计计数'!$B$5:$B$76,"CG_H1",'统计计数'!$A$5:$A$76,"d")/$D60</x:f>
        <x:v>0.004284490145672665</x:v>
      </x:c>
      <x:c r="L60" s="14" t="n">
        <x:f>SUMIFS('统计计数'!$L$5:$L$76,'统计计数'!$B$5:$B$76,"CG_H1",'统计计数'!$A$5:$A$76,"d")/$D60</x:f>
        <x:v>0</x:v>
      </x:c>
      <x:c r="M60" s="14" t="n">
        <x:f>SUMIFS('统计计数'!$M$5:$M$76,'统计计数'!$B$5:$B$76,"CG_H1",'统计计数'!$A$5:$A$76,"d")/$D60</x:f>
        <x:v>0</x:v>
      </x:c>
      <x:c r="N60" s="14" t="n">
        <x:f>SUMIFS('统计计数'!$N$5:$N$76,'统计计数'!$B$5:$B$76,"CG_H1",'统计计数'!$A$5:$A$76,"d")/$D60</x:f>
        <x:v>0</x:v>
      </x:c>
    </x:row>
    <x:row r="61" ht="23" customHeight="1">
      <x:c r="A61" s="12" t="str">
        <x:v>d</x:v>
      </x:c>
      <x:c r="B61" s="12" t="str">
        <x:v>NC</x:v>
      </x:c>
      <x:c r="C61" s="12" t="str">
        <x:v>H0</x:v>
      </x:c>
      <x:c r="D61" s="11" t="n">
        <x:f>SUMIFS('统计计数'!$C$5:$C$76,'统计计数'!$B$5:$B$76,"NC_H0",'统计计数'!$A$5:$A$76,"d")</x:f>
        <x:v>1167</x:v>
      </x:c>
      <x:c r="E61" s="14" t="n">
        <x:f>SUMIFS('统计计数'!$E$5:$E$76,'统计计数'!$B$5:$B$76,"NC_H0",'统计计数'!$A$5:$A$76,"d")/$D61</x:f>
        <x:v>0</x:v>
      </x:c>
      <x:c r="F61" s="14" t="n">
        <x:f>SUMIFS('统计计数'!$F$5:$F$76,'统计计数'!$B$5:$B$76,"NC_H0",'统计计数'!$A$5:$A$76,"d")/$D61</x:f>
        <x:v>0.2827763496143959</x:v>
      </x:c>
      <x:c r="G61" s="14" t="n">
        <x:f>SUMIFS('统计计数'!$G$5:$G$76,'统计计数'!$B$5:$B$76,"NC_H0",'统计计数'!$A$5:$A$76,"d")/$D61</x:f>
        <x:v>0</x:v>
      </x:c>
      <x:c r="H61" s="14" t="n">
        <x:f>SUMIFS('统计计数'!$H$5:$H$76,'统计计数'!$B$5:$B$76,"NC_H0",'统计计数'!$A$5:$A$76,"d")/$D61</x:f>
        <x:v>0</x:v>
      </x:c>
      <x:c r="I61" s="14" t="n">
        <x:f>SUMIFS('统计计数'!$I$5:$I$76,'统计计数'!$B$5:$B$76,"NC_H0",'统计计数'!$A$5:$A$76,"d")/$D61</x:f>
        <x:v>0.5638389031705227</x:v>
      </x:c>
      <x:c r="J61" s="14" t="n">
        <x:f>SUMIFS('统计计数'!$J$5:$J$76,'统计计数'!$B$5:$B$76,"NC_H0",'统计计数'!$A$5:$A$76,"d")/$D61</x:f>
        <x:v>0</x:v>
      </x:c>
      <x:c r="K61" s="14" t="n">
        <x:f>SUMIFS('统计计数'!$K$5:$K$76,'统计计数'!$B$5:$B$76,"NC_H0",'统计计数'!$A$5:$A$76,"d")/$D61</x:f>
        <x:v>0.13624678663239073</x:v>
      </x:c>
      <x:c r="L61" s="14" t="n">
        <x:f>SUMIFS('统计计数'!$L$5:$L$76,'统计计数'!$B$5:$B$76,"NC_H0",'统计计数'!$A$5:$A$76,"d")/$D61</x:f>
        <x:v>0.010282776349614395</x:v>
      </x:c>
      <x:c r="M61" s="14" t="n">
        <x:f>SUMIFS('统计计数'!$M$5:$M$76,'统计计数'!$B$5:$B$76,"NC_H0",'统计计数'!$A$5:$A$76,"d")/$D61</x:f>
        <x:v>0.006855184233076264</x:v>
      </x:c>
      <x:c r="N61" s="14" t="n">
        <x:f>SUMIFS('统计计数'!$N$5:$N$76,'统计计数'!$B$5:$B$76,"NC_H0",'统计计数'!$A$5:$A$76,"d")/$D61</x:f>
        <x:v>0</x:v>
      </x:c>
    </x:row>
    <x:row r="62" ht="23" customHeight="1">
      <x:c r="A62" s="12" t="str">
        <x:v>d</x:v>
      </x:c>
      <x:c r="B62" s="12" t="str">
        <x:v>NC</x:v>
      </x:c>
      <x:c r="C62" s="12" t="str">
        <x:v>H1</x:v>
      </x:c>
      <x:c r="D62" s="11" t="n">
        <x:f>SUMIFS('统计计数'!$C$5:$C$76,'统计计数'!$B$5:$B$76,"NC_H1",'统计计数'!$A$5:$A$76,"d")</x:f>
        <x:v>1167</x:v>
      </x:c>
      <x:c r="E62" s="14" t="n">
        <x:f>SUMIFS('统计计数'!$E$5:$E$76,'统计计数'!$B$5:$B$76,"NC_H1",'统计计数'!$A$5:$A$76,"d")/$D62</x:f>
        <x:v>0</x:v>
      </x:c>
      <x:c r="F62" s="14" t="n">
        <x:f>SUMIFS('统计计数'!$F$5:$F$76,'统计计数'!$B$5:$B$76,"NC_H1",'统计计数'!$A$5:$A$76,"d")/$D62</x:f>
        <x:v>0.2827763496143959</x:v>
      </x:c>
      <x:c r="G62" s="14" t="n">
        <x:f>SUMIFS('统计计数'!$G$5:$G$76,'统计计数'!$B$5:$B$76,"NC_H1",'统计计数'!$A$5:$A$76,"d")/$D62</x:f>
        <x:v>0</x:v>
      </x:c>
      <x:c r="H62" s="14" t="n">
        <x:f>SUMIFS('统计计数'!$H$5:$H$76,'统计计数'!$B$5:$B$76,"NC_H1",'统计计数'!$A$5:$A$76,"d")/$D62</x:f>
        <x:v>0</x:v>
      </x:c>
      <x:c r="I62" s="14" t="n">
        <x:f>SUMIFS('统计计数'!$I$5:$I$76,'统计计数'!$B$5:$B$76,"NC_H1",'统计计数'!$A$5:$A$76,"d")/$D62</x:f>
        <x:v>0.5586975149957155</x:v>
      </x:c>
      <x:c r="J62" s="14" t="n">
        <x:f>SUMIFS('统计计数'!$J$5:$J$76,'统计计数'!$B$5:$B$76,"NC_H1",'统计计数'!$A$5:$A$76,"d")/$D62</x:f>
        <x:v>0.004284490145672665</x:v>
      </x:c>
      <x:c r="K62" s="14" t="n">
        <x:f>SUMIFS('统计计数'!$K$5:$K$76,'统计计数'!$B$5:$B$76,"NC_H1",'统计计数'!$A$5:$A$76,"d")/$D62</x:f>
        <x:v>0.13710368466152528</x:v>
      </x:c>
      <x:c r="L62" s="14" t="n">
        <x:f>SUMIFS('统计计数'!$L$5:$L$76,'统计计数'!$B$5:$B$76,"NC_H1",'统计计数'!$A$5:$A$76,"d")/$D62</x:f>
        <x:v>0.010282776349614395</x:v>
      </x:c>
      <x:c r="M62" s="14" t="n">
        <x:f>SUMIFS('统计计数'!$M$5:$M$76,'统计计数'!$B$5:$B$76,"NC_H1",'统计计数'!$A$5:$A$76,"d")/$D62</x:f>
        <x:v>0.006855184233076264</x:v>
      </x:c>
      <x:c r="N62" s="14" t="n">
        <x:f>SUMIFS('统计计数'!$N$5:$N$76,'统计计数'!$B$5:$B$76,"NC_H1",'统计计数'!$A$5:$A$76,"d")/$D62</x:f>
        <x:v>0</x:v>
      </x:c>
    </x:row>
    <x:row r="63" ht="23" customHeight="1">
      <x:c r="A63" s="12" t="str">
        <x:v>d</x:v>
      </x:c>
      <x:c r="B63" s="12" t="str">
        <x:v>NCG</x:v>
      </x:c>
      <x:c r="C63" s="12" t="str">
        <x:v>H0</x:v>
      </x:c>
      <x:c r="D63" s="11" t="n">
        <x:f>SUMIFS('统计计数'!$C$5:$C$76,'统计计数'!$B$5:$B$76,"NCG_H0",'统计计数'!$A$5:$A$76,"d")</x:f>
        <x:v>1167</x:v>
      </x:c>
      <x:c r="E63" s="14" t="n">
        <x:f>SUMIFS('统计计数'!$E$5:$E$76,'统计计数'!$B$5:$B$76,"NCG_H0",'统计计数'!$A$5:$A$76,"d")/$D63</x:f>
        <x:v>0</x:v>
      </x:c>
      <x:c r="F63" s="14" t="n">
        <x:f>SUMIFS('统计计数'!$F$5:$F$76,'统计计数'!$B$5:$B$76,"NCG_H0",'统计计数'!$A$5:$A$76,"d")/$D63</x:f>
        <x:v>0.14224507283633248</x:v>
      </x:c>
      <x:c r="G63" s="14" t="n">
        <x:f>SUMIFS('统计计数'!$G$5:$G$76,'统计计数'!$B$5:$B$76,"NCG_H0",'统计计数'!$A$5:$A$76,"d")/$D63</x:f>
        <x:v>0</x:v>
      </x:c>
      <x:c r="H63" s="14" t="n">
        <x:f>SUMIFS('统计计数'!$H$5:$H$76,'统计计数'!$B$5:$B$76,"NCG_H0",'统计计数'!$A$5:$A$76,"d")/$D63</x:f>
        <x:v>0</x:v>
      </x:c>
      <x:c r="I63" s="14" t="n">
        <x:f>SUMIFS('统计计数'!$I$5:$I$76,'统计计数'!$B$5:$B$76,"NCG_H0",'统计计数'!$A$5:$A$76,"d")/$D63</x:f>
        <x:v>0.32476435304198803</x:v>
      </x:c>
      <x:c r="J63" s="14" t="n">
        <x:f>SUMIFS('统计计数'!$J$5:$J$76,'统计计数'!$B$5:$B$76,"NCG_H0",'统计计数'!$A$5:$A$76,"d")/$D63</x:f>
        <x:v>0.3796058269065981</x:v>
      </x:c>
      <x:c r="K63" s="14" t="n">
        <x:f>SUMIFS('统计计数'!$K$5:$K$76,'统计计数'!$B$5:$B$76,"NCG_H0",'统计计数'!$A$5:$A$76,"d")/$D63</x:f>
        <x:v>0.13624678663239073</x:v>
      </x:c>
      <x:c r="L63" s="14" t="n">
        <x:f>SUMIFS('统计计数'!$L$5:$L$76,'统计计数'!$B$5:$B$76,"NCG_H0",'统计计数'!$A$5:$A$76,"d")/$D63</x:f>
        <x:v>0.010282776349614395</x:v>
      </x:c>
      <x:c r="M63" s="14" t="n">
        <x:f>SUMIFS('统计计数'!$M$5:$M$76,'统计计数'!$B$5:$B$76,"NCG_H0",'统计计数'!$A$5:$A$76,"d")/$D63</x:f>
        <x:v>0.006855184233076264</x:v>
      </x:c>
      <x:c r="N63" s="14" t="n">
        <x:f>SUMIFS('统计计数'!$N$5:$N$76,'统计计数'!$B$5:$B$76,"NCG_H0",'统计计数'!$A$5:$A$76,"d")/$D63</x:f>
        <x:v>0</x:v>
      </x:c>
    </x:row>
    <x:row r="64" ht="23" customHeight="1">
      <x:c r="A64" s="12" t="str">
        <x:v>d</x:v>
      </x:c>
      <x:c r="B64" s="12" t="str">
        <x:v>NCG</x:v>
      </x:c>
      <x:c r="C64" s="12" t="str">
        <x:v>H1</x:v>
      </x:c>
      <x:c r="D64" s="11" t="n">
        <x:f>SUMIFS('统计计数'!$C$5:$C$76,'统计计数'!$B$5:$B$76,"NCG_H1",'统计计数'!$A$5:$A$76,"d")</x:f>
        <x:v>1167</x:v>
      </x:c>
      <x:c r="E64" s="14" t="n">
        <x:f>SUMIFS('统计计数'!$E$5:$E$76,'统计计数'!$B$5:$B$76,"NCG_H1",'统计计数'!$A$5:$A$76,"d")/$D64</x:f>
        <x:v>0</x:v>
      </x:c>
      <x:c r="F64" s="14" t="n">
        <x:f>SUMIFS('统计计数'!$F$5:$F$76,'统计计数'!$B$5:$B$76,"NCG_H1",'统计计数'!$A$5:$A$76,"d")/$D64</x:f>
        <x:v>0.1353898886032562</x:v>
      </x:c>
      <x:c r="G64" s="14" t="n">
        <x:f>SUMIFS('统计计数'!$G$5:$G$76,'统计计数'!$B$5:$B$76,"NCG_H1",'统计计数'!$A$5:$A$76,"d")/$D64</x:f>
        <x:v>0</x:v>
      </x:c>
      <x:c r="H64" s="14" t="n">
        <x:f>SUMIFS('统计计数'!$H$5:$H$76,'统计计数'!$B$5:$B$76,"NCG_H1",'统计计数'!$A$5:$A$76,"d")/$D64</x:f>
        <x:v>0</x:v>
      </x:c>
      <x:c r="I64" s="14" t="n">
        <x:f>SUMIFS('统计计数'!$I$5:$I$76,'统计计数'!$B$5:$B$76,"NCG_H1",'统计计数'!$A$5:$A$76,"d")/$D64</x:f>
        <x:v>0.3264781491002571</x:v>
      </x:c>
      <x:c r="J64" s="14" t="n">
        <x:f>SUMIFS('统计计数'!$J$5:$J$76,'统计计数'!$B$5:$B$76,"NCG_H1",'统计计数'!$A$5:$A$76,"d")/$D64</x:f>
        <x:v>0.3838903170522708</x:v>
      </x:c>
      <x:c r="K64" s="14" t="n">
        <x:f>SUMIFS('统计计数'!$K$5:$K$76,'统计计数'!$B$5:$B$76,"NCG_H1",'统计计数'!$A$5:$A$76,"d")/$D64</x:f>
        <x:v>0.13710368466152528</x:v>
      </x:c>
      <x:c r="L64" s="14" t="n">
        <x:f>SUMIFS('统计计数'!$L$5:$L$76,'统计计数'!$B$5:$B$76,"NCG_H1",'统计计数'!$A$5:$A$76,"d")/$D64</x:f>
        <x:v>0.010282776349614395</x:v>
      </x:c>
      <x:c r="M64" s="14" t="n">
        <x:f>SUMIFS('统计计数'!$M$5:$M$76,'统计计数'!$B$5:$B$76,"NCG_H1",'统计计数'!$A$5:$A$76,"d")/$D64</x:f>
        <x:v>0.006855184233076264</x:v>
      </x:c>
      <x:c r="N64" s="14" t="n">
        <x:f>SUMIFS('统计计数'!$N$5:$N$76,'统计计数'!$B$5:$B$76,"NCG_H1",'统计计数'!$A$5:$A$76,"d")/$D64</x:f>
        <x:v>0</x:v>
      </x:c>
    </x:row>
    <x:row r="65" ht="23" customHeight="1">
      <x:c r="A65" s="12" t="str">
        <x:v>e</x:v>
      </x:c>
      <x:c r="B65" s="12" t="str">
        <x:v>N</x:v>
      </x:c>
      <x:c r="C65" s="12" t="str">
        <x:v>H0</x:v>
      </x:c>
      <x:c r="D65" s="11" t="n">
        <x:f>SUMIFS('统计计数'!$C$5:$C$76,'统计计数'!$B$5:$B$76,"N_H0",'统计计数'!$A$5:$A$76,"e")</x:f>
        <x:v>3347</x:v>
      </x:c>
      <x:c r="E65" s="14" t="n">
        <x:f>SUMIFS('统计计数'!$E$5:$E$76,'统计计数'!$B$5:$B$76,"N_H0",'统计计数'!$A$5:$A$76,"e")/$D65</x:f>
        <x:v>0</x:v>
      </x:c>
      <x:c r="F65" s="14" t="n">
        <x:f>SUMIFS('统计计数'!$F$5:$F$76,'统计计数'!$B$5:$B$76,"N_H0",'统计计数'!$A$5:$A$76,"e")/$D65</x:f>
        <x:v>0.17089931281744847</x:v>
      </x:c>
      <x:c r="G65" s="14" t="n">
        <x:f>SUMIFS('统计计数'!$G$5:$G$76,'统计计数'!$B$5:$B$76,"N_H0",'统计计数'!$A$5:$A$76,"e")/$D65</x:f>
        <x:v>0</x:v>
      </x:c>
      <x:c r="H65" s="14" t="n">
        <x:f>SUMIFS('统计计数'!$H$5:$H$76,'统计计数'!$B$5:$B$76,"N_H0",'统计计数'!$A$5:$A$76,"e")/$D65</x:f>
        <x:v>0</x:v>
      </x:c>
      <x:c r="I65" s="14" t="n">
        <x:f>SUMIFS('统计计数'!$I$5:$I$76,'统计计数'!$B$5:$B$76,"N_H0",'统计计数'!$A$5:$A$76,"e")/$D65</x:f>
        <x:v>0.554227666567075</x:v>
      </x:c>
      <x:c r="J65" s="14" t="n">
        <x:f>SUMIFS('统计计数'!$J$5:$J$76,'统计计数'!$B$5:$B$76,"N_H0",'统计计数'!$A$5:$A$76,"e")/$D65</x:f>
        <x:v>0</x:v>
      </x:c>
      <x:c r="K65" s="14" t="n">
        <x:f>SUMIFS('统计计数'!$K$5:$K$76,'统计计数'!$B$5:$B$76,"N_H0",'统计计数'!$A$5:$A$76,"e")/$D65</x:f>
        <x:v>0.1870331640274873</x:v>
      </x:c>
      <x:c r="L65" s="14" t="n">
        <x:f>SUMIFS('统计计数'!$L$5:$L$76,'统计计数'!$B$5:$B$76,"N_H0",'统计计数'!$A$5:$A$76,"e")/$D65</x:f>
        <x:v>0.00985957573946818</x:v>
      </x:c>
      <x:c r="M65" s="14" t="n">
        <x:f>SUMIFS('统计计数'!$M$5:$M$76,'统计计数'!$B$5:$B$76,"N_H0",'统计计数'!$A$5:$A$76,"e")/$D65</x:f>
        <x:v>0.07798028084852106</x:v>
      </x:c>
      <x:c r="N65" s="14" t="n">
        <x:f>SUMIFS('统计计数'!$N$5:$N$76,'统计计数'!$B$5:$B$76,"N_H0",'统计计数'!$A$5:$A$76,"e")/$D65</x:f>
        <x:v>0</x:v>
      </x:c>
    </x:row>
    <x:row r="66" ht="23" customHeight="1">
      <x:c r="A66" s="12" t="str">
        <x:v>e</x:v>
      </x:c>
      <x:c r="B66" s="12" t="str">
        <x:v>N</x:v>
      </x:c>
      <x:c r="C66" s="12" t="str">
        <x:v>H1</x:v>
      </x:c>
      <x:c r="D66" s="11" t="n">
        <x:f>SUMIFS('统计计数'!$C$5:$C$76,'统计计数'!$B$5:$B$76,"N_H1",'统计计数'!$A$5:$A$76,"e")</x:f>
        <x:v>3347</x:v>
      </x:c>
      <x:c r="E66" s="14" t="n">
        <x:f>SUMIFS('统计计数'!$E$5:$E$76,'统计计数'!$B$5:$B$76,"N_H1",'统计计数'!$A$5:$A$76,"e")/$D66</x:f>
        <x:v>0</x:v>
      </x:c>
      <x:c r="F66" s="14" t="n">
        <x:f>SUMIFS('统计计数'!$F$5:$F$76,'统计计数'!$B$5:$B$76,"N_H1",'统计计数'!$A$5:$A$76,"e")/$D66</x:f>
        <x:v>0.17089931281744847</x:v>
      </x:c>
      <x:c r="G66" s="14" t="n">
        <x:f>SUMIFS('统计计数'!$G$5:$G$76,'统计计数'!$B$5:$B$76,"N_H1",'统计计数'!$A$5:$A$76,"e")/$D66</x:f>
        <x:v>0</x:v>
      </x:c>
      <x:c r="H66" s="14" t="n">
        <x:f>SUMIFS('统计计数'!$H$5:$H$76,'统计计数'!$B$5:$B$76,"N_H1",'统计计数'!$A$5:$A$76,"e")/$D66</x:f>
        <x:v>0</x:v>
      </x:c>
      <x:c r="I66" s="14" t="n">
        <x:f>SUMIFS('统计计数'!$I$5:$I$76,'统计计数'!$B$5:$B$76,"N_H1",'统计计数'!$A$5:$A$76,"e")/$D66</x:f>
        <x:v>0.5503435912757694</x:v>
      </x:c>
      <x:c r="J66" s="14" t="n">
        <x:f>SUMIFS('统计计数'!$J$5:$J$76,'统计计数'!$B$5:$B$76,"N_H1",'统计计数'!$A$5:$A$76,"e")/$D66</x:f>
        <x:v>0.003884075291305647</x:v>
      </x:c>
      <x:c r="K66" s="14" t="n">
        <x:f>SUMIFS('统计计数'!$K$5:$K$76,'统计计数'!$B$5:$B$76,"N_H1",'统计计数'!$A$5:$A$76,"e")/$D66</x:f>
        <x:v>0.1870331640274873</x:v>
      </x:c>
      <x:c r="L66" s="14" t="n">
        <x:f>SUMIFS('统计计数'!$L$5:$L$76,'统计计数'!$B$5:$B$76,"N_H1",'统计计数'!$A$5:$A$76,"e")/$D66</x:f>
        <x:v>0.00985957573946818</x:v>
      </x:c>
      <x:c r="M66" s="14" t="n">
        <x:f>SUMIFS('统计计数'!$M$5:$M$76,'统计计数'!$B$5:$B$76,"N_H1",'统计计数'!$A$5:$A$76,"e")/$D66</x:f>
        <x:v>0.07798028084852106</x:v>
      </x:c>
      <x:c r="N66" s="14" t="n">
        <x:f>SUMIFS('统计计数'!$N$5:$N$76,'统计计数'!$B$5:$B$76,"N_H1",'统计计数'!$A$5:$A$76,"e")/$D66</x:f>
        <x:v>0</x:v>
      </x:c>
    </x:row>
    <x:row r="67" ht="23" customHeight="1">
      <x:c r="A67" s="12" t="str">
        <x:v>e</x:v>
      </x:c>
      <x:c r="B67" s="12" t="str">
        <x:v>C</x:v>
      </x:c>
      <x:c r="C67" s="12" t="str">
        <x:v>H0</x:v>
      </x:c>
      <x:c r="D67" s="11" t="n">
        <x:f>SUMIFS('统计计数'!$C$5:$C$76,'统计计数'!$B$5:$B$76,"C_H0",'统计计数'!$A$5:$A$76,"e")</x:f>
        <x:v>3347</x:v>
      </x:c>
      <x:c r="E67" s="14" t="n">
        <x:f>SUMIFS('统计计数'!$E$5:$E$76,'统计计数'!$B$5:$B$76,"C_H0",'统计计数'!$A$5:$A$76,"e")/$D67</x:f>
        <x:v>0</x:v>
      </x:c>
      <x:c r="F67" s="14" t="n">
        <x:f>SUMIFS('统计计数'!$F$5:$F$76,'统计计数'!$B$5:$B$76,"C_H0",'统计计数'!$A$5:$A$76,"e")/$D67</x:f>
        <x:v>0.33522557514191814</x:v>
      </x:c>
      <x:c r="G67" s="14" t="n">
        <x:f>SUMIFS('统计计数'!$G$5:$G$76,'统计计数'!$B$5:$B$76,"C_H0",'统计计数'!$A$5:$A$76,"e")/$D67</x:f>
        <x:v>0</x:v>
      </x:c>
      <x:c r="H67" s="14" t="n">
        <x:f>SUMIFS('统计计数'!$H$5:$H$76,'统计计数'!$B$5:$B$76,"C_H0",'统计计数'!$A$5:$A$76,"e")/$D67</x:f>
        <x:v>0</x:v>
      </x:c>
      <x:c r="I67" s="14" t="n">
        <x:f>SUMIFS('统计计数'!$I$5:$I$76,'统计计数'!$B$5:$B$76,"C_H0",'统计计数'!$A$5:$A$76,"e")/$D67</x:f>
        <x:v>0.6585001493875112</x:v>
      </x:c>
      <x:c r="J67" s="14" t="n">
        <x:f>SUMIFS('统计计数'!$J$5:$J$76,'统计计数'!$B$5:$B$76,"C_H0",'统计计数'!$A$5:$A$76,"e")/$D67</x:f>
        <x:v>0</x:v>
      </x:c>
      <x:c r="K67" s="14" t="n">
        <x:f>SUMIFS('统计计数'!$K$5:$K$76,'统计计数'!$B$5:$B$76,"C_H0",'统计计数'!$A$5:$A$76,"e")/$D67</x:f>
        <x:v>0.00627427547057066</x:v>
      </x:c>
      <x:c r="L67" s="14" t="n">
        <x:f>SUMIFS('统计计数'!$L$5:$L$76,'统计计数'!$B$5:$B$76,"C_H0",'统计计数'!$A$5:$A$76,"e")/$D67</x:f>
        <x:v>0</x:v>
      </x:c>
      <x:c r="M67" s="14" t="n">
        <x:f>SUMIFS('统计计数'!$M$5:$M$76,'统计计数'!$B$5:$B$76,"C_H0",'统计计数'!$A$5:$A$76,"e")/$D67</x:f>
        <x:v>0</x:v>
      </x:c>
      <x:c r="N67" s="14" t="n">
        <x:f>SUMIFS('统计计数'!$N$5:$N$76,'统计计数'!$B$5:$B$76,"C_H0",'统计计数'!$A$5:$A$76,"e")/$D67</x:f>
        <x:v>0</x:v>
      </x:c>
    </x:row>
    <x:row r="68" ht="23" customHeight="1">
      <x:c r="A68" s="12" t="str">
        <x:v>e</x:v>
      </x:c>
      <x:c r="B68" s="12" t="str">
        <x:v>C</x:v>
      </x:c>
      <x:c r="C68" s="12" t="str">
        <x:v>H1</x:v>
      </x:c>
      <x:c r="D68" s="11" t="n">
        <x:f>SUMIFS('统计计数'!$C$5:$C$76,'统计计数'!$B$5:$B$76,"C_H1",'统计计数'!$A$5:$A$76,"e")</x:f>
        <x:v>3347</x:v>
      </x:c>
      <x:c r="E68" s="14" t="n">
        <x:f>SUMIFS('统计计数'!$E$5:$E$76,'统计计数'!$B$5:$B$76,"C_H1",'统计计数'!$A$5:$A$76,"e")/$D68</x:f>
        <x:v>0</x:v>
      </x:c>
      <x:c r="F68" s="14" t="n">
        <x:f>SUMIFS('统计计数'!$F$5:$F$76,'统计计数'!$B$5:$B$76,"C_H1",'统计计数'!$A$5:$A$76,"e")/$D68</x:f>
        <x:v>0.33492680011951</x:v>
      </x:c>
      <x:c r="G68" s="14" t="n">
        <x:f>SUMIFS('统计计数'!$G$5:$G$76,'统计计数'!$B$5:$B$76,"C_H1",'统计计数'!$A$5:$A$76,"e")/$D68</x:f>
        <x:v>0</x:v>
      </x:c>
      <x:c r="H68" s="14" t="n">
        <x:f>SUMIFS('统计计数'!$H$5:$H$76,'统计计数'!$B$5:$B$76,"C_H1",'统计计数'!$A$5:$A$76,"e")/$D68</x:f>
        <x:v>0</x:v>
      </x:c>
      <x:c r="I68" s="14" t="n">
        <x:f>SUMIFS('统计计数'!$I$5:$I$76,'统计计数'!$B$5:$B$76,"C_H1",'统计计数'!$A$5:$A$76,"e")/$D68</x:f>
        <x:v>0.6585001493875112</x:v>
      </x:c>
      <x:c r="J68" s="14" t="n">
        <x:f>SUMIFS('统计计数'!$J$5:$J$76,'统计计数'!$B$5:$B$76,"C_H1",'统计计数'!$A$5:$A$76,"e")/$D68</x:f>
        <x:v>0.00029877502240812666</x:v>
      </x:c>
      <x:c r="K68" s="14" t="n">
        <x:f>SUMIFS('统计计数'!$K$5:$K$76,'统计计数'!$B$5:$B$76,"C_H1",'统计计数'!$A$5:$A$76,"e")/$D68</x:f>
        <x:v>0.00627427547057066</x:v>
      </x:c>
      <x:c r="L68" s="14" t="n">
        <x:f>SUMIFS('统计计数'!$L$5:$L$76,'统计计数'!$B$5:$B$76,"C_H1",'统计计数'!$A$5:$A$76,"e")/$D68</x:f>
        <x:v>0</x:v>
      </x:c>
      <x:c r="M68" s="14" t="n">
        <x:f>SUMIFS('统计计数'!$M$5:$M$76,'统计计数'!$B$5:$B$76,"C_H1",'统计计数'!$A$5:$A$76,"e")/$D68</x:f>
        <x:v>0</x:v>
      </x:c>
      <x:c r="N68" s="14" t="n">
        <x:f>SUMIFS('统计计数'!$N$5:$N$76,'统计计数'!$B$5:$B$76,"C_H1",'统计计数'!$A$5:$A$76,"e")/$D68</x:f>
        <x:v>0</x:v>
      </x:c>
    </x:row>
    <x:row r="69" ht="23" customHeight="1">
      <x:c r="A69" s="12" t="str">
        <x:v>e</x:v>
      </x:c>
      <x:c r="B69" s="12" t="str">
        <x:v>NG</x:v>
      </x:c>
      <x:c r="C69" s="12" t="str">
        <x:v>H0</x:v>
      </x:c>
      <x:c r="D69" s="11" t="n">
        <x:f>SUMIFS('统计计数'!$C$5:$C$76,'统计计数'!$B$5:$B$76,"NG_H0",'统计计数'!$A$5:$A$76,"e")</x:f>
        <x:v>3347</x:v>
      </x:c>
      <x:c r="E69" s="14" t="n">
        <x:f>SUMIFS('统计计数'!$E$5:$E$76,'统计计数'!$B$5:$B$76,"NG_H0",'统计计数'!$A$5:$A$76,"e")/$D69</x:f>
        <x:v>0</x:v>
      </x:c>
      <x:c r="F69" s="14" t="n">
        <x:f>SUMIFS('统计计数'!$F$5:$F$76,'统计计数'!$B$5:$B$76,"NG_H0",'统计计数'!$A$5:$A$76,"e")/$D69</x:f>
        <x:v>0.09799820734986556</x:v>
      </x:c>
      <x:c r="G69" s="14" t="n">
        <x:f>SUMIFS('统计计数'!$G$5:$G$76,'统计计数'!$B$5:$B$76,"NG_H0",'统计计数'!$A$5:$A$76,"e")/$D69</x:f>
        <x:v>0</x:v>
      </x:c>
      <x:c r="H69" s="14" t="n">
        <x:f>SUMIFS('统计计数'!$H$5:$H$76,'统计计数'!$B$5:$B$76,"NG_H0",'统计计数'!$A$5:$A$76,"e")/$D69</x:f>
        <x:v>0</x:v>
      </x:c>
      <x:c r="I69" s="14" t="n">
        <x:f>SUMIFS('统计计数'!$I$5:$I$76,'统计计数'!$B$5:$B$76,"NG_H0",'统计计数'!$A$5:$A$76,"e")/$D69</x:f>
        <x:v>0.2832387212429041</x:v>
      </x:c>
      <x:c r="J69" s="14" t="n">
        <x:f>SUMIFS('统计计数'!$J$5:$J$76,'统计计数'!$B$5:$B$76,"NG_H0",'统计计数'!$A$5:$A$76,"e")/$D69</x:f>
        <x:v>0.34389005079175383</x:v>
      </x:c>
      <x:c r="K69" s="14" t="n">
        <x:f>SUMIFS('统计计数'!$K$5:$K$76,'统计计数'!$B$5:$B$76,"NG_H0",'统计计数'!$A$5:$A$76,"e")/$D69</x:f>
        <x:v>0.1870331640274873</x:v>
      </x:c>
      <x:c r="L69" s="14" t="n">
        <x:f>SUMIFS('统计计数'!$L$5:$L$76,'统计计数'!$B$5:$B$76,"NG_H0",'统计计数'!$A$5:$A$76,"e")/$D69</x:f>
        <x:v>0.00985957573946818</x:v>
      </x:c>
      <x:c r="M69" s="14" t="n">
        <x:f>SUMIFS('统计计数'!$M$5:$M$76,'统计计数'!$B$5:$B$76,"NG_H0",'统计计数'!$A$5:$A$76,"e")/$D69</x:f>
        <x:v>0.07798028084852106</x:v>
      </x:c>
      <x:c r="N69" s="14" t="n">
        <x:f>SUMIFS('统计计数'!$N$5:$N$76,'统计计数'!$B$5:$B$76,"NG_H0",'统计计数'!$A$5:$A$76,"e")/$D69</x:f>
        <x:v>0</x:v>
      </x:c>
    </x:row>
    <x:row r="70" ht="23" customHeight="1">
      <x:c r="A70" s="12" t="str">
        <x:v>e</x:v>
      </x:c>
      <x:c r="B70" s="12" t="str">
        <x:v>NG</x:v>
      </x:c>
      <x:c r="C70" s="12" t="str">
        <x:v>H1</x:v>
      </x:c>
      <x:c r="D70" s="11" t="n">
        <x:f>SUMIFS('统计计数'!$C$5:$C$76,'统计计数'!$B$5:$B$76,"NG_H1",'统计计数'!$A$5:$A$76,"e")</x:f>
        <x:v>3347</x:v>
      </x:c>
      <x:c r="E70" s="14" t="n">
        <x:f>SUMIFS('统计计数'!$E$5:$E$76,'统计计数'!$B$5:$B$76,"NG_H1",'统计计数'!$A$5:$A$76,"e")/$D70</x:f>
        <x:v>0</x:v>
      </x:c>
      <x:c r="F70" s="14" t="n">
        <x:f>SUMIFS('统计计数'!$F$5:$F$76,'统计计数'!$B$5:$B$76,"NG_H1",'统计计数'!$A$5:$A$76,"e")/$D70</x:f>
        <x:v>0.07588885569166418</x:v>
      </x:c>
      <x:c r="G70" s="14" t="n">
        <x:f>SUMIFS('统计计数'!$G$5:$G$76,'统计计数'!$B$5:$B$76,"NG_H1",'统计计数'!$A$5:$A$76,"e")/$D70</x:f>
        <x:v>0</x:v>
      </x:c>
      <x:c r="H70" s="14" t="n">
        <x:f>SUMIFS('统计计数'!$H$5:$H$76,'统计计数'!$B$5:$B$76,"NG_H1",'统计计数'!$A$5:$A$76,"e")/$D70</x:f>
        <x:v>0</x:v>
      </x:c>
      <x:c r="I70" s="14" t="n">
        <x:f>SUMIFS('统计计数'!$I$5:$I$76,'统计计数'!$B$5:$B$76,"NG_H1",'统计计数'!$A$5:$A$76,"e")/$D70</x:f>
        <x:v>0.30445174783388107</x:v>
      </x:c>
      <x:c r="J70" s="14" t="n">
        <x:f>SUMIFS('统计计数'!$J$5:$J$76,'统计计数'!$B$5:$B$76,"NG_H1",'统计计数'!$A$5:$A$76,"e")/$D70</x:f>
        <x:v>0.3447863758589782</x:v>
      </x:c>
      <x:c r="K70" s="14" t="n">
        <x:f>SUMIFS('统计计数'!$K$5:$K$76,'统计计数'!$B$5:$B$76,"NG_H1",'统计计数'!$A$5:$A$76,"e")/$D70</x:f>
        <x:v>0.1870331640274873</x:v>
      </x:c>
      <x:c r="L70" s="14" t="n">
        <x:f>SUMIFS('统计计数'!$L$5:$L$76,'统计计数'!$B$5:$B$76,"NG_H1",'统计计数'!$A$5:$A$76,"e")/$D70</x:f>
        <x:v>0.00985957573946818</x:v>
      </x:c>
      <x:c r="M70" s="14" t="n">
        <x:f>SUMIFS('统计计数'!$M$5:$M$76,'统计计数'!$B$5:$B$76,"NG_H1",'统计计数'!$A$5:$A$76,"e")/$D70</x:f>
        <x:v>0.07798028084852106</x:v>
      </x:c>
      <x:c r="N70" s="14" t="n">
        <x:f>SUMIFS('统计计数'!$N$5:$N$76,'统计计数'!$B$5:$B$76,"NG_H1",'统计计数'!$A$5:$A$76,"e")/$D70</x:f>
        <x:v>0</x:v>
      </x:c>
    </x:row>
    <x:row r="71" ht="23" customHeight="1">
      <x:c r="A71" s="12" t="str">
        <x:v>e</x:v>
      </x:c>
      <x:c r="B71" s="12" t="str">
        <x:v>CG</x:v>
      </x:c>
      <x:c r="C71" s="12" t="str">
        <x:v>H0</x:v>
      </x:c>
      <x:c r="D71" s="11" t="n">
        <x:f>SUMIFS('统计计数'!$C$5:$C$76,'统计计数'!$B$5:$B$76,"CG_H0",'统计计数'!$A$5:$A$76,"e")</x:f>
        <x:v>3347</x:v>
      </x:c>
      <x:c r="E71" s="14" t="n">
        <x:f>SUMIFS('统计计数'!$E$5:$E$76,'统计计数'!$B$5:$B$76,"CG_H0",'统计计数'!$A$5:$A$76,"e")/$D71</x:f>
        <x:v>0</x:v>
      </x:c>
      <x:c r="F71" s="14" t="n">
        <x:f>SUMIFS('统计计数'!$F$5:$F$76,'统计计数'!$B$5:$B$76,"CG_H0",'统计计数'!$A$5:$A$76,"e")/$D71</x:f>
        <x:v>0.10606513295488497</x:v>
      </x:c>
      <x:c r="G71" s="14" t="n">
        <x:f>SUMIFS('统计计数'!$G$5:$G$76,'统计计数'!$B$5:$B$76,"CG_H0",'统计计数'!$A$5:$A$76,"e")/$D71</x:f>
        <x:v>0</x:v>
      </x:c>
      <x:c r="H71" s="14" t="n">
        <x:f>SUMIFS('统计计数'!$H$5:$H$76,'统计计数'!$B$5:$B$76,"CG_H0",'统计计数'!$A$5:$A$76,"e")/$D71</x:f>
        <x:v>0</x:v>
      </x:c>
      <x:c r="I71" s="14" t="n">
        <x:f>SUMIFS('统计计数'!$I$5:$I$76,'统计计数'!$B$5:$B$76,"CG_H0",'统计计数'!$A$5:$A$76,"e")/$D71</x:f>
        <x:v>0.38751120406334033</x:v>
      </x:c>
      <x:c r="J71" s="14" t="n">
        <x:f>SUMIFS('统计计数'!$J$5:$J$76,'统计计数'!$B$5:$B$76,"CG_H0",'统计计数'!$A$5:$A$76,"e")/$D71</x:f>
        <x:v>0.5001493875112041</x:v>
      </x:c>
      <x:c r="K71" s="14" t="n">
        <x:f>SUMIFS('统计计数'!$K$5:$K$76,'统计计数'!$B$5:$B$76,"CG_H0",'统计计数'!$A$5:$A$76,"e")/$D71</x:f>
        <x:v>0.00627427547057066</x:v>
      </x:c>
      <x:c r="L71" s="14" t="n">
        <x:f>SUMIFS('统计计数'!$L$5:$L$76,'统计计数'!$B$5:$B$76,"CG_H0",'统计计数'!$A$5:$A$76,"e")/$D71</x:f>
        <x:v>0</x:v>
      </x:c>
      <x:c r="M71" s="14" t="n">
        <x:f>SUMIFS('统计计数'!$M$5:$M$76,'统计计数'!$B$5:$B$76,"CG_H0",'统计计数'!$A$5:$A$76,"e")/$D71</x:f>
        <x:v>0</x:v>
      </x:c>
      <x:c r="N71" s="14" t="n">
        <x:f>SUMIFS('统计计数'!$N$5:$N$76,'统计计数'!$B$5:$B$76,"CG_H0",'统计计数'!$A$5:$A$76,"e")/$D71</x:f>
        <x:v>0</x:v>
      </x:c>
    </x:row>
    <x:row r="72" ht="23" customHeight="1">
      <x:c r="A72" s="12" t="str">
        <x:v>e</x:v>
      </x:c>
      <x:c r="B72" s="12" t="str">
        <x:v>CG</x:v>
      </x:c>
      <x:c r="C72" s="12" t="str">
        <x:v>H1</x:v>
      </x:c>
      <x:c r="D72" s="11" t="n">
        <x:f>SUMIFS('统计计数'!$C$5:$C$76,'统计计数'!$B$5:$B$76,"CG_H1",'统计计数'!$A$5:$A$76,"e")</x:f>
        <x:v>3347</x:v>
      </x:c>
      <x:c r="E72" s="14" t="n">
        <x:f>SUMIFS('统计计数'!$E$5:$E$76,'统计计数'!$B$5:$B$76,"CG_H1",'统计计数'!$A$5:$A$76,"e")/$D72</x:f>
        <x:v>0</x:v>
      </x:c>
      <x:c r="F72" s="14" t="n">
        <x:f>SUMIFS('统计计数'!$F$5:$F$76,'统计计数'!$B$5:$B$76,"CG_H1",'统计计数'!$A$5:$A$76,"e")/$D72</x:f>
        <x:v>0.07529130564684793</x:v>
      </x:c>
      <x:c r="G72" s="14" t="n">
        <x:f>SUMIFS('统计计数'!$G$5:$G$76,'统计计数'!$B$5:$B$76,"CG_H1",'统计计数'!$A$5:$A$76,"e")/$D72</x:f>
        <x:v>0</x:v>
      </x:c>
      <x:c r="H72" s="14" t="n">
        <x:f>SUMIFS('统计计数'!$H$5:$H$76,'统计计数'!$B$5:$B$76,"CG_H1",'统计计数'!$A$5:$A$76,"e")/$D72</x:f>
        <x:v>0</x:v>
      </x:c>
      <x:c r="I72" s="14" t="n">
        <x:f>SUMIFS('统计计数'!$I$5:$I$76,'统计计数'!$B$5:$B$76,"CG_H1",'统计计数'!$A$5:$A$76,"e")/$D72</x:f>
        <x:v>0.41798625634896924</x:v>
      </x:c>
      <x:c r="J72" s="14" t="n">
        <x:f>SUMIFS('统计计数'!$J$5:$J$76,'统计计数'!$B$5:$B$76,"CG_H1",'统计计数'!$A$5:$A$76,"e")/$D72</x:f>
        <x:v>0.5004481625336122</x:v>
      </x:c>
      <x:c r="K72" s="14" t="n">
        <x:f>SUMIFS('统计计数'!$K$5:$K$76,'统计计数'!$B$5:$B$76,"CG_H1",'统计计数'!$A$5:$A$76,"e")/$D72</x:f>
        <x:v>0.00627427547057066</x:v>
      </x:c>
      <x:c r="L72" s="14" t="n">
        <x:f>SUMIFS('统计计数'!$L$5:$L$76,'统计计数'!$B$5:$B$76,"CG_H1",'统计计数'!$A$5:$A$76,"e")/$D72</x:f>
        <x:v>0</x:v>
      </x:c>
      <x:c r="M72" s="14" t="n">
        <x:f>SUMIFS('统计计数'!$M$5:$M$76,'统计计数'!$B$5:$B$76,"CG_H1",'统计计数'!$A$5:$A$76,"e")/$D72</x:f>
        <x:v>0</x:v>
      </x:c>
      <x:c r="N72" s="14" t="n">
        <x:f>SUMIFS('统计计数'!$N$5:$N$76,'统计计数'!$B$5:$B$76,"CG_H1",'统计计数'!$A$5:$A$76,"e")/$D72</x:f>
        <x:v>0</x:v>
      </x:c>
    </x:row>
    <x:row r="73" ht="23" customHeight="1">
      <x:c r="A73" s="12" t="str">
        <x:v>e</x:v>
      </x:c>
      <x:c r="B73" s="12" t="str">
        <x:v>NC</x:v>
      </x:c>
      <x:c r="C73" s="12" t="str">
        <x:v>H0</x:v>
      </x:c>
      <x:c r="D73" s="11" t="n">
        <x:f>SUMIFS('统计计数'!$C$5:$C$76,'统计计数'!$B$5:$B$76,"NC_H0",'统计计数'!$A$5:$A$76,"e")</x:f>
        <x:v>3347</x:v>
      </x:c>
      <x:c r="E73" s="14" t="n">
        <x:f>SUMIFS('统计计数'!$E$5:$E$76,'统计计数'!$B$5:$B$76,"NC_H0",'统计计数'!$A$5:$A$76,"e")/$D73</x:f>
        <x:v>0</x:v>
      </x:c>
      <x:c r="F73" s="14" t="n">
        <x:f>SUMIFS('统计计数'!$F$5:$F$76,'统计计数'!$B$5:$B$76,"NC_H0",'统计计数'!$A$5:$A$76,"e")/$D73</x:f>
        <x:v>0.32207947415596055</x:v>
      </x:c>
      <x:c r="G73" s="14" t="n">
        <x:f>SUMIFS('统计计数'!$G$5:$G$76,'统计计数'!$B$5:$B$76,"NC_H0",'统计计数'!$A$5:$A$76,"e")/$D73</x:f>
        <x:v>0</x:v>
      </x:c>
      <x:c r="H73" s="14" t="n">
        <x:f>SUMIFS('统计计数'!$H$5:$H$76,'统计计数'!$B$5:$B$76,"NC_H0",'统计计数'!$A$5:$A$76,"e")/$D73</x:f>
        <x:v>0</x:v>
      </x:c>
      <x:c r="I73" s="14" t="n">
        <x:f>SUMIFS('统计计数'!$I$5:$I$76,'统计计数'!$B$5:$B$76,"NC_H0",'统计计数'!$A$5:$A$76,"e")/$D73</x:f>
        <x:v>0.40693158051986855</x:v>
      </x:c>
      <x:c r="J73" s="14" t="n">
        <x:f>SUMIFS('统计计数'!$J$5:$J$76,'统计计数'!$B$5:$B$76,"NC_H0",'统计计数'!$A$5:$A$76,"e")/$D73</x:f>
        <x:v>0</x:v>
      </x:c>
      <x:c r="K73" s="14" t="n">
        <x:f>SUMIFS('统计计数'!$K$5:$K$76,'统计计数'!$B$5:$B$76,"NC_H0",'统计计数'!$A$5:$A$76,"e")/$D73</x:f>
        <x:v>0.20525844039438304</x:v>
      </x:c>
      <x:c r="L73" s="14" t="n">
        <x:f>SUMIFS('统计计数'!$L$5:$L$76,'统计计数'!$B$5:$B$76,"NC_H0",'统计计数'!$A$5:$A$76,"e")/$D73</x:f>
        <x:v>0.009560800717060053</x:v>
      </x:c>
      <x:c r="M73" s="14" t="n">
        <x:f>SUMIFS('统计计数'!$M$5:$M$76,'统计计数'!$B$5:$B$76,"NC_H0",'统计计数'!$A$5:$A$76,"e")/$D73</x:f>
        <x:v>0.056169704212727815</x:v>
      </x:c>
      <x:c r="N73" s="14" t="n">
        <x:f>SUMIFS('统计计数'!$N$5:$N$76,'统计计数'!$B$5:$B$76,"NC_H0",'统计计数'!$A$5:$A$76,"e")/$D73</x:f>
        <x:v>0</x:v>
      </x:c>
    </x:row>
    <x:row r="74" ht="23" customHeight="1">
      <x:c r="A74" s="12" t="str">
        <x:v>e</x:v>
      </x:c>
      <x:c r="B74" s="12" t="str">
        <x:v>NC</x:v>
      </x:c>
      <x:c r="C74" s="12" t="str">
        <x:v>H1</x:v>
      </x:c>
      <x:c r="D74" s="11" t="n">
        <x:f>SUMIFS('统计计数'!$C$5:$C$76,'统计计数'!$B$5:$B$76,"NC_H1",'统计计数'!$A$5:$A$76,"e")</x:f>
        <x:v>3347</x:v>
      </x:c>
      <x:c r="E74" s="14" t="n">
        <x:f>SUMIFS('统计计数'!$E$5:$E$76,'统计计数'!$B$5:$B$76,"NC_H1",'统计计数'!$A$5:$A$76,"e")/$D74</x:f>
        <x:v>0</x:v>
      </x:c>
      <x:c r="F74" s="14" t="n">
        <x:f>SUMIFS('统计计数'!$F$5:$F$76,'统计计数'!$B$5:$B$76,"NC_H1",'统计计数'!$A$5:$A$76,"e")/$D74</x:f>
        <x:v>0.32178069913355245</x:v>
      </x:c>
      <x:c r="G74" s="14" t="n">
        <x:f>SUMIFS('统计计数'!$G$5:$G$76,'统计计数'!$B$5:$B$76,"NC_H1",'统计计数'!$A$5:$A$76,"e")/$D74</x:f>
        <x:v>0</x:v>
      </x:c>
      <x:c r="H74" s="14" t="n">
        <x:f>SUMIFS('统计计数'!$H$5:$H$76,'统计计数'!$B$5:$B$76,"NC_H1",'统计计数'!$A$5:$A$76,"e")/$D74</x:f>
        <x:v>0</x:v>
      </x:c>
      <x:c r="I74" s="14" t="n">
        <x:f>SUMIFS('统计计数'!$I$5:$I$76,'统计计数'!$B$5:$B$76,"NC_H1",'统计计数'!$A$5:$A$76,"e")/$D74</x:f>
        <x:v>0.4039438302957873</x:v>
      </x:c>
      <x:c r="J74" s="14" t="n">
        <x:f>SUMIFS('统计计数'!$J$5:$J$76,'统计计数'!$B$5:$B$76,"NC_H1",'统计计数'!$A$5:$A$76,"e")/$D74</x:f>
        <x:v>0.0032865252464893933</x:v>
      </x:c>
      <x:c r="K74" s="14" t="n">
        <x:f>SUMIFS('统计计数'!$K$5:$K$76,'统计计数'!$B$5:$B$76,"NC_H1",'统计计数'!$A$5:$A$76,"e")/$D74</x:f>
        <x:v>0.20525844039438304</x:v>
      </x:c>
      <x:c r="L74" s="14" t="n">
        <x:f>SUMIFS('统计计数'!$L$5:$L$76,'统计计数'!$B$5:$B$76,"NC_H1",'统计计数'!$A$5:$A$76,"e")/$D74</x:f>
        <x:v>0.009560800717060053</x:v>
      </x:c>
      <x:c r="M74" s="14" t="n">
        <x:f>SUMIFS('统计计数'!$M$5:$M$76,'统计计数'!$B$5:$B$76,"NC_H1",'统计计数'!$A$5:$A$76,"e")/$D74</x:f>
        <x:v>0.056169704212727815</x:v>
      </x:c>
      <x:c r="N74" s="14" t="n">
        <x:f>SUMIFS('统计计数'!$N$5:$N$76,'统计计数'!$B$5:$B$76,"NC_H1",'统计计数'!$A$5:$A$76,"e")/$D74</x:f>
        <x:v>0</x:v>
      </x:c>
    </x:row>
    <x:row r="75" ht="23" customHeight="1">
      <x:c r="A75" s="12" t="str">
        <x:v>e</x:v>
      </x:c>
      <x:c r="B75" s="12" t="str">
        <x:v>NCG</x:v>
      </x:c>
      <x:c r="C75" s="12" t="str">
        <x:v>H0</x:v>
      </x:c>
      <x:c r="D75" s="11" t="n">
        <x:f>SUMIFS('统计计数'!$C$5:$C$76,'统计计数'!$B$5:$B$76,"NCG_H0",'统计计数'!$A$5:$A$76,"e")</x:f>
        <x:v>3347</x:v>
      </x:c>
      <x:c r="E75" s="14" t="n">
        <x:f>SUMIFS('统计计数'!$E$5:$E$76,'统计计数'!$B$5:$B$76,"NCG_H0",'统计计数'!$A$5:$A$76,"e")/$D75</x:f>
        <x:v>0</x:v>
      </x:c>
      <x:c r="F75" s="14" t="n">
        <x:f>SUMIFS('统计计数'!$F$5:$F$76,'统计计数'!$B$5:$B$76,"NCG_H0",'统计计数'!$A$5:$A$76,"e")/$D75</x:f>
        <x:v>0.10546758291006872</x:v>
      </x:c>
      <x:c r="G75" s="14" t="n">
        <x:f>SUMIFS('统计计数'!$G$5:$G$76,'统计计数'!$B$5:$B$76,"NCG_H0",'统计计数'!$A$5:$A$76,"e")/$D75</x:f>
        <x:v>0</x:v>
      </x:c>
      <x:c r="H75" s="14" t="n">
        <x:f>SUMIFS('统计计数'!$H$5:$H$76,'统计计数'!$B$5:$B$76,"NCG_H0",'统计计数'!$A$5:$A$76,"e")/$D75</x:f>
        <x:v>0</x:v>
      </x:c>
      <x:c r="I75" s="14" t="n">
        <x:f>SUMIFS('统计计数'!$I$5:$I$76,'统计计数'!$B$5:$B$76,"NCG_H0",'统计计数'!$A$5:$A$76,"e")/$D75</x:f>
        <x:v>0.26471466985360026</x:v>
      </x:c>
      <x:c r="J75" s="14" t="n">
        <x:f>SUMIFS('统计计数'!$J$5:$J$76,'统计计数'!$B$5:$B$76,"NCG_H0",'统计计数'!$A$5:$A$76,"e")/$D75</x:f>
        <x:v>0.35882880191216016</x:v>
      </x:c>
      <x:c r="K75" s="14" t="n">
        <x:f>SUMIFS('统计计数'!$K$5:$K$76,'统计计数'!$B$5:$B$76,"NCG_H0",'统计计数'!$A$5:$A$76,"e")/$D75</x:f>
        <x:v>0.20525844039438304</x:v>
      </x:c>
      <x:c r="L75" s="14" t="n">
        <x:f>SUMIFS('统计计数'!$L$5:$L$76,'统计计数'!$B$5:$B$76,"NCG_H0",'统计计数'!$A$5:$A$76,"e")/$D75</x:f>
        <x:v>0.009560800717060053</x:v>
      </x:c>
      <x:c r="M75" s="14" t="n">
        <x:f>SUMIFS('统计计数'!$M$5:$M$76,'统计计数'!$B$5:$B$76,"NCG_H0",'统计计数'!$A$5:$A$76,"e")/$D75</x:f>
        <x:v>0.056169704212727815</x:v>
      </x:c>
      <x:c r="N75" s="14" t="n">
        <x:f>SUMIFS('统计计数'!$N$5:$N$76,'统计计数'!$B$5:$B$76,"NCG_H0",'统计计数'!$A$5:$A$76,"e")/$D75</x:f>
        <x:v>0</x:v>
      </x:c>
    </x:row>
    <x:row r="76" ht="23" customHeight="1">
      <x:c r="A76" s="12" t="str">
        <x:v>e</x:v>
      </x:c>
      <x:c r="B76" s="12" t="str">
        <x:v>NCG</x:v>
      </x:c>
      <x:c r="C76" s="12" t="str">
        <x:v>H1</x:v>
      </x:c>
      <x:c r="D76" s="11" t="n">
        <x:f>SUMIFS('统计计数'!$C$5:$C$76,'统计计数'!$B$5:$B$76,"NCG_H1",'统计计数'!$A$5:$A$76,"e")</x:f>
        <x:v>3347</x:v>
      </x:c>
      <x:c r="E76" s="14" t="n">
        <x:f>SUMIFS('统计计数'!$E$5:$E$76,'统计计数'!$B$5:$B$76,"NCG_H1",'统计计数'!$A$5:$A$76,"e")/$D76</x:f>
        <x:v>0</x:v>
      </x:c>
      <x:c r="F76" s="14" t="n">
        <x:f>SUMIFS('统计计数'!$F$5:$F$76,'统计计数'!$B$5:$B$76,"NCG_H1",'统计计数'!$A$5:$A$76,"e")/$D76</x:f>
        <x:v>0.0818643561398267</x:v>
      </x:c>
      <x:c r="G76" s="14" t="n">
        <x:f>SUMIFS('统计计数'!$G$5:$G$76,'统计计数'!$B$5:$B$76,"NCG_H1",'统计计数'!$A$5:$A$76,"e")/$D76</x:f>
        <x:v>0</x:v>
      </x:c>
      <x:c r="H76" s="14" t="n">
        <x:f>SUMIFS('统计计数'!$H$5:$H$76,'统计计数'!$B$5:$B$76,"NCG_H1",'统计计数'!$A$5:$A$76,"e")/$D76</x:f>
        <x:v>0</x:v>
      </x:c>
      <x:c r="I76" s="14" t="n">
        <x:f>SUMIFS('统计计数'!$I$5:$I$76,'统计计数'!$B$5:$B$76,"NCG_H1",'统计计数'!$A$5:$A$76,"e")/$D76</x:f>
        <x:v>0.2880191216014341</x:v>
      </x:c>
      <x:c r="J76" s="14" t="n">
        <x:f>SUMIFS('统计计数'!$J$5:$J$76,'统计计数'!$B$5:$B$76,"NCG_H1",'统计计数'!$A$5:$A$76,"e")/$D76</x:f>
        <x:v>0.35912757693456826</x:v>
      </x:c>
      <x:c r="K76" s="14" t="n">
        <x:f>SUMIFS('统计计数'!$K$5:$K$76,'统计计数'!$B$5:$B$76,"NCG_H1",'统计计数'!$A$5:$A$76,"e")/$D76</x:f>
        <x:v>0.20525844039438304</x:v>
      </x:c>
      <x:c r="L76" s="14" t="n">
        <x:f>SUMIFS('统计计数'!$L$5:$L$76,'统计计数'!$B$5:$B$76,"NCG_H1",'统计计数'!$A$5:$A$76,"e")/$D76</x:f>
        <x:v>0.009560800717060053</x:v>
      </x:c>
      <x:c r="M76" s="14" t="n">
        <x:f>SUMIFS('统计计数'!$M$5:$M$76,'统计计数'!$B$5:$B$76,"NCG_H1",'统计计数'!$A$5:$A$76,"e")/$D76</x:f>
        <x:v>0.056169704212727815</x:v>
      </x:c>
      <x:c r="N76" s="14" t="n">
        <x:f>SUMIFS('统计计数'!$N$5:$N$76,'统计计数'!$B$5:$B$76,"NCG_H1",'统计计数'!$A$5:$A$76,"e")/$D76</x:f>
        <x:v>0</x:v>
      </x:c>
    </x:row>
    <x:row r="77" ht="23" customHeight="1">
      <x:c r="A77" s="12" t="str">
        <x:v>f</x:v>
      </x:c>
      <x:c r="B77" s="12" t="str">
        <x:v>N</x:v>
      </x:c>
      <x:c r="C77" s="12" t="str">
        <x:v>H0</x:v>
      </x:c>
      <x:c r="D77" s="11" t="n">
        <x:f>SUMIFS('统计计数'!$C$5:$C$76,'统计计数'!$B$5:$B$76,"N_H0",'统计计数'!$A$5:$A$76,"f")</x:f>
        <x:v>1480</x:v>
      </x:c>
      <x:c r="E77" s="14" t="n">
        <x:f>SUMIFS('统计计数'!$E$5:$E$76,'统计计数'!$B$5:$B$76,"N_H0",'统计计数'!$A$5:$A$76,"f")/$D77</x:f>
        <x:v>0</x:v>
      </x:c>
      <x:c r="F77" s="14" t="n">
        <x:f>SUMIFS('统计计数'!$F$5:$F$76,'统计计数'!$B$5:$B$76,"N_H0",'统计计数'!$A$5:$A$76,"f")/$D77</x:f>
        <x:v>0.17567567567567569</x:v>
      </x:c>
      <x:c r="G77" s="14" t="n">
        <x:f>SUMIFS('统计计数'!$G$5:$G$76,'统计计数'!$B$5:$B$76,"N_H0",'统计计数'!$A$5:$A$76,"f")/$D77</x:f>
        <x:v>0</x:v>
      </x:c>
      <x:c r="H77" s="14" t="n">
        <x:f>SUMIFS('统计计数'!$H$5:$H$76,'统计计数'!$B$5:$B$76,"N_H0",'统计计数'!$A$5:$A$76,"f")/$D77</x:f>
        <x:v>0</x:v>
      </x:c>
      <x:c r="I77" s="14" t="n">
        <x:f>SUMIFS('统计计数'!$I$5:$I$76,'统计计数'!$B$5:$B$76,"N_H0",'统计计数'!$A$5:$A$76,"f")/$D77</x:f>
        <x:v>0.525</x:v>
      </x:c>
      <x:c r="J77" s="14" t="n">
        <x:f>SUMIFS('统计计数'!$J$5:$J$76,'统计计数'!$B$5:$B$76,"N_H0",'统计计数'!$A$5:$A$76,"f")/$D77</x:f>
        <x:v>0</x:v>
      </x:c>
      <x:c r="K77" s="14" t="n">
        <x:f>SUMIFS('统计计数'!$K$5:$K$76,'统计计数'!$B$5:$B$76,"N_H0",'统计计数'!$A$5:$A$76,"f")/$D77</x:f>
        <x:v>0.22297297297297297</x:v>
      </x:c>
      <x:c r="L77" s="14" t="n">
        <x:f>SUMIFS('统计计数'!$L$5:$L$76,'统计计数'!$B$5:$B$76,"N_H0",'统计计数'!$A$5:$A$76,"f")/$D77</x:f>
        <x:v>0.008108108108108109</x:v>
      </x:c>
      <x:c r="M77" s="14" t="n">
        <x:f>SUMIFS('统计计数'!$M$5:$M$76,'统计计数'!$B$5:$B$76,"N_H0",'统计计数'!$A$5:$A$76,"f")/$D77</x:f>
        <x:v>0.06824324324324324</x:v>
      </x:c>
      <x:c r="N77" s="14" t="n">
        <x:f>SUMIFS('统计计数'!$N$5:$N$76,'统计计数'!$B$5:$B$76,"N_H0",'统计计数'!$A$5:$A$76,"f")/$D77</x:f>
        <x:v>0</x:v>
      </x:c>
    </x:row>
    <x:row r="78" ht="23" customHeight="1">
      <x:c r="A78" s="12" t="str">
        <x:v>f</x:v>
      </x:c>
      <x:c r="B78" s="12" t="str">
        <x:v>N</x:v>
      </x:c>
      <x:c r="C78" s="12" t="str">
        <x:v>H1</x:v>
      </x:c>
      <x:c r="D78" s="11" t="n">
        <x:f>SUMIFS('统计计数'!$C$5:$C$76,'统计计数'!$B$5:$B$76,"N_H1",'统计计数'!$A$5:$A$76,"f")</x:f>
        <x:v>1480</x:v>
      </x:c>
      <x:c r="E78" s="14" t="n">
        <x:f>SUMIFS('统计计数'!$E$5:$E$76,'统计计数'!$B$5:$B$76,"N_H1",'统计计数'!$A$5:$A$76,"f")/$D78</x:f>
        <x:v>0</x:v>
      </x:c>
      <x:c r="F78" s="14" t="n">
        <x:f>SUMIFS('统计计数'!$F$5:$F$76,'统计计数'!$B$5:$B$76,"N_H1",'统计计数'!$A$5:$A$76,"f")/$D78</x:f>
        <x:v>0.1304054054054054</x:v>
      </x:c>
      <x:c r="G78" s="14" t="n">
        <x:f>SUMIFS('统计计数'!$G$5:$G$76,'统计计数'!$B$5:$B$76,"N_H1",'统计计数'!$A$5:$A$76,"f")/$D78</x:f>
        <x:v>0</x:v>
      </x:c>
      <x:c r="H78" s="14" t="n">
        <x:f>SUMIFS('统计计数'!$H$5:$H$76,'统计计数'!$B$5:$B$76,"N_H1",'统计计数'!$A$5:$A$76,"f")/$D78</x:f>
        <x:v>0</x:v>
      </x:c>
      <x:c r="I78" s="14" t="n">
        <x:f>SUMIFS('统计计数'!$I$5:$I$76,'统计计数'!$B$5:$B$76,"N_H1",'统计计数'!$A$5:$A$76,"f")/$D78</x:f>
        <x:v>0.4912162162162162</x:v>
      </x:c>
      <x:c r="J78" s="14" t="n">
        <x:f>SUMIFS('统计计数'!$J$5:$J$76,'统计计数'!$B$5:$B$76,"N_H1",'统计计数'!$A$5:$A$76,"f")/$D78</x:f>
        <x:v>0.07702702702702703</x:v>
      </x:c>
      <x:c r="K78" s="14" t="n">
        <x:f>SUMIFS('统计计数'!$K$5:$K$76,'统计计数'!$B$5:$B$76,"N_H1",'统计计数'!$A$5:$A$76,"f")/$D78</x:f>
        <x:v>0.225</x:v>
      </x:c>
      <x:c r="L78" s="14" t="n">
        <x:f>SUMIFS('统计计数'!$L$5:$L$76,'统计计数'!$B$5:$B$76,"N_H1",'统计计数'!$A$5:$A$76,"f")/$D78</x:f>
        <x:v>0.008108108108108109</x:v>
      </x:c>
      <x:c r="M78" s="14" t="n">
        <x:f>SUMIFS('统计计数'!$M$5:$M$76,'统计计数'!$B$5:$B$76,"N_H1",'统计计数'!$A$5:$A$76,"f")/$D78</x:f>
        <x:v>0.06824324324324324</x:v>
      </x:c>
      <x:c r="N78" s="14" t="n">
        <x:f>SUMIFS('统计计数'!$N$5:$N$76,'统计计数'!$B$5:$B$76,"N_H1",'统计计数'!$A$5:$A$76,"f")/$D78</x:f>
        <x:v>0</x:v>
      </x:c>
    </x:row>
    <x:row r="79" ht="23" customHeight="1">
      <x:c r="A79" s="12" t="str">
        <x:v>f</x:v>
      </x:c>
      <x:c r="B79" s="12" t="str">
        <x:v>C</x:v>
      </x:c>
      <x:c r="C79" s="12" t="str">
        <x:v>H0</x:v>
      </x:c>
      <x:c r="D79" s="11" t="n">
        <x:f>SUMIFS('统计计数'!$C$5:$C$76,'统计计数'!$B$5:$B$76,"C_H0",'统计计数'!$A$5:$A$76,"f")</x:f>
        <x:v>1480</x:v>
      </x:c>
      <x:c r="E79" s="14" t="n">
        <x:f>SUMIFS('统计计数'!$E$5:$E$76,'统计计数'!$B$5:$B$76,"C_H0",'统计计数'!$A$5:$A$76,"f")/$D79</x:f>
        <x:v>0</x:v>
      </x:c>
      <x:c r="F79" s="14" t="n">
        <x:f>SUMIFS('统计计数'!$F$5:$F$76,'统计计数'!$B$5:$B$76,"C_H0",'统计计数'!$A$5:$A$76,"f")/$D79</x:f>
        <x:v>0.37567567567567567</x:v>
      </x:c>
      <x:c r="G79" s="14" t="n">
        <x:f>SUMIFS('统计计数'!$G$5:$G$76,'统计计数'!$B$5:$B$76,"C_H0",'统计计数'!$A$5:$A$76,"f")/$D79</x:f>
        <x:v>0</x:v>
      </x:c>
      <x:c r="H79" s="14" t="n">
        <x:f>SUMIFS('统计计数'!$H$5:$H$76,'统计计数'!$B$5:$B$76,"C_H0",'统计计数'!$A$5:$A$76,"f")/$D79</x:f>
        <x:v>0</x:v>
      </x:c>
      <x:c r="I79" s="14" t="n">
        <x:f>SUMIFS('统计计数'!$I$5:$I$76,'统计计数'!$B$5:$B$76,"C_H0",'统计计数'!$A$5:$A$76,"f")/$D79</x:f>
        <x:v>0.6236486486486487</x:v>
      </x:c>
      <x:c r="J79" s="14" t="n">
        <x:f>SUMIFS('统计计数'!$J$5:$J$76,'统计计数'!$B$5:$B$76,"C_H0",'统计计数'!$A$5:$A$76,"f")/$D79</x:f>
        <x:v>0</x:v>
      </x:c>
      <x:c r="K79" s="14" t="n">
        <x:f>SUMIFS('统计计数'!$K$5:$K$76,'统计计数'!$B$5:$B$76,"C_H0",'统计计数'!$A$5:$A$76,"f")/$D79</x:f>
        <x:v>0</x:v>
      </x:c>
      <x:c r="L79" s="14" t="n">
        <x:f>SUMIFS('统计计数'!$L$5:$L$76,'统计计数'!$B$5:$B$76,"C_H0",'统计计数'!$A$5:$A$76,"f")/$D79</x:f>
        <x:v>0</x:v>
      </x:c>
      <x:c r="M79" s="14" t="n">
        <x:f>SUMIFS('统计计数'!$M$5:$M$76,'统计计数'!$B$5:$B$76,"C_H0",'统计计数'!$A$5:$A$76,"f")/$D79</x:f>
        <x:v>0.0006756756756756757</x:v>
      </x:c>
      <x:c r="N79" s="14" t="n">
        <x:f>SUMIFS('统计计数'!$N$5:$N$76,'统计计数'!$B$5:$B$76,"C_H0",'统计计数'!$A$5:$A$76,"f")/$D79</x:f>
        <x:v>0</x:v>
      </x:c>
    </x:row>
    <x:row r="80" ht="23" customHeight="1">
      <x:c r="A80" s="12" t="str">
        <x:v>f</x:v>
      </x:c>
      <x:c r="B80" s="12" t="str">
        <x:v>C</x:v>
      </x:c>
      <x:c r="C80" s="12" t="str">
        <x:v>H1</x:v>
      </x:c>
      <x:c r="D80" s="11" t="n">
        <x:f>SUMIFS('统计计数'!$C$5:$C$76,'统计计数'!$B$5:$B$76,"C_H1",'统计计数'!$A$5:$A$76,"f")</x:f>
        <x:v>1480</x:v>
      </x:c>
      <x:c r="E80" s="14" t="n">
        <x:f>SUMIFS('统计计数'!$E$5:$E$76,'统计计数'!$B$5:$B$76,"C_H1",'统计计数'!$A$5:$A$76,"f")/$D80</x:f>
        <x:v>0</x:v>
      </x:c>
      <x:c r="F80" s="14" t="n">
        <x:f>SUMIFS('统计计数'!$F$5:$F$76,'统计计数'!$B$5:$B$76,"C_H1",'统计计数'!$A$5:$A$76,"f")/$D80</x:f>
        <x:v>0.3054054054054054</x:v>
      </x:c>
      <x:c r="G80" s="14" t="n">
        <x:f>SUMIFS('统计计数'!$G$5:$G$76,'统计计数'!$B$5:$B$76,"C_H1",'统计计数'!$A$5:$A$76,"f")/$D80</x:f>
        <x:v>0</x:v>
      </x:c>
      <x:c r="H80" s="14" t="n">
        <x:f>SUMIFS('统计计数'!$H$5:$H$76,'统计计数'!$B$5:$B$76,"C_H1",'统计计数'!$A$5:$A$76,"f")/$D80</x:f>
        <x:v>0</x:v>
      </x:c>
      <x:c r="I80" s="14" t="n">
        <x:f>SUMIFS('统计计数'!$I$5:$I$76,'统计计数'!$B$5:$B$76,"C_H1",'统计计数'!$A$5:$A$76,"f")/$D80</x:f>
        <x:v>0.6236486486486487</x:v>
      </x:c>
      <x:c r="J80" s="14" t="n">
        <x:f>SUMIFS('统计计数'!$J$5:$J$76,'统计计数'!$B$5:$B$76,"C_H1",'统计计数'!$A$5:$A$76,"f")/$D80</x:f>
        <x:v>0.07027027027027027</x:v>
      </x:c>
      <x:c r="K80" s="14" t="n">
        <x:f>SUMIFS('统计计数'!$K$5:$K$76,'统计计数'!$B$5:$B$76,"C_H1",'统计计数'!$A$5:$A$76,"f")/$D80</x:f>
        <x:v>0</x:v>
      </x:c>
      <x:c r="L80" s="14" t="n">
        <x:f>SUMIFS('统计计数'!$L$5:$L$76,'统计计数'!$B$5:$B$76,"C_H1",'统计计数'!$A$5:$A$76,"f")/$D80</x:f>
        <x:v>0</x:v>
      </x:c>
      <x:c r="M80" s="14" t="n">
        <x:f>SUMIFS('统计计数'!$M$5:$M$76,'统计计数'!$B$5:$B$76,"C_H1",'统计计数'!$A$5:$A$76,"f")/$D80</x:f>
        <x:v>0.0006756756756756757</x:v>
      </x:c>
      <x:c r="N80" s="14" t="n">
        <x:f>SUMIFS('统计计数'!$N$5:$N$76,'统计计数'!$B$5:$B$76,"C_H1",'统计计数'!$A$5:$A$76,"f")/$D80</x:f>
        <x:v>0</x:v>
      </x:c>
    </x:row>
    <x:row r="81" ht="23" customHeight="1">
      <x:c r="A81" s="12" t="str">
        <x:v>f</x:v>
      </x:c>
      <x:c r="B81" s="12" t="str">
        <x:v>NG</x:v>
      </x:c>
      <x:c r="C81" s="12" t="str">
        <x:v>H0</x:v>
      </x:c>
      <x:c r="D81" s="11" t="n">
        <x:f>SUMIFS('统计计数'!$C$5:$C$76,'统计计数'!$B$5:$B$76,"NG_H0",'统计计数'!$A$5:$A$76,"f")</x:f>
        <x:v>1480</x:v>
      </x:c>
      <x:c r="E81" s="14" t="n">
        <x:f>SUMIFS('统计计数'!$E$5:$E$76,'统计计数'!$B$5:$B$76,"NG_H0",'统计计数'!$A$5:$A$76,"f")/$D81</x:f>
        <x:v>0</x:v>
      </x:c>
      <x:c r="F81" s="14" t="n">
        <x:f>SUMIFS('统计计数'!$F$5:$F$76,'统计计数'!$B$5:$B$76,"NG_H0",'统计计数'!$A$5:$A$76,"f")/$D81</x:f>
        <x:v>0.15135135135135136</x:v>
      </x:c>
      <x:c r="G81" s="14" t="n">
        <x:f>SUMIFS('统计计数'!$G$5:$G$76,'统计计数'!$B$5:$B$76,"NG_H0",'统计计数'!$A$5:$A$76,"f")/$D81</x:f>
        <x:v>0</x:v>
      </x:c>
      <x:c r="H81" s="14" t="n">
        <x:f>SUMIFS('统计计数'!$H$5:$H$76,'统计计数'!$B$5:$B$76,"NG_H0",'统计计数'!$A$5:$A$76,"f")/$D81</x:f>
        <x:v>0</x:v>
      </x:c>
      <x:c r="I81" s="14" t="n">
        <x:f>SUMIFS('统计计数'!$I$5:$I$76,'统计计数'!$B$5:$B$76,"NG_H0",'统计计数'!$A$5:$A$76,"f")/$D81</x:f>
        <x:v>0.297972972972973</x:v>
      </x:c>
      <x:c r="J81" s="14" t="n">
        <x:f>SUMIFS('统计计数'!$J$5:$J$76,'统计计数'!$B$5:$B$76,"NG_H0",'统计计数'!$A$5:$A$76,"f")/$D81</x:f>
        <x:v>0.25135135135135134</x:v>
      </x:c>
      <x:c r="K81" s="14" t="n">
        <x:f>SUMIFS('统计计数'!$K$5:$K$76,'统计计数'!$B$5:$B$76,"NG_H0",'统计计数'!$A$5:$A$76,"f")/$D81</x:f>
        <x:v>0.22297297297297297</x:v>
      </x:c>
      <x:c r="L81" s="14" t="n">
        <x:f>SUMIFS('统计计数'!$L$5:$L$76,'统计计数'!$B$5:$B$76,"NG_H0",'统计计数'!$A$5:$A$76,"f")/$D81</x:f>
        <x:v>0.008108108108108109</x:v>
      </x:c>
      <x:c r="M81" s="14" t="n">
        <x:f>SUMIFS('统计计数'!$M$5:$M$76,'统计计数'!$B$5:$B$76,"NG_H0",'统计计数'!$A$5:$A$76,"f")/$D81</x:f>
        <x:v>0.06824324324324324</x:v>
      </x:c>
      <x:c r="N81" s="14" t="n">
        <x:f>SUMIFS('统计计数'!$N$5:$N$76,'统计计数'!$B$5:$B$76,"NG_H0",'统计计数'!$A$5:$A$76,"f")/$D81</x:f>
        <x:v>0</x:v>
      </x:c>
    </x:row>
    <x:row r="82" ht="23" customHeight="1">
      <x:c r="A82" s="12" t="str">
        <x:v>f</x:v>
      </x:c>
      <x:c r="B82" s="12" t="str">
        <x:v>NG</x:v>
      </x:c>
      <x:c r="C82" s="12" t="str">
        <x:v>H1</x:v>
      </x:c>
      <x:c r="D82" s="11" t="n">
        <x:f>SUMIFS('统计计数'!$C$5:$C$76,'统计计数'!$B$5:$B$76,"NG_H1",'统计计数'!$A$5:$A$76,"f")</x:f>
        <x:v>1480</x:v>
      </x:c>
      <x:c r="E82" s="14" t="n">
        <x:f>SUMIFS('统计计数'!$E$5:$E$76,'统计计数'!$B$5:$B$76,"NG_H1",'统计计数'!$A$5:$A$76,"f")/$D82</x:f>
        <x:v>0</x:v>
      </x:c>
      <x:c r="F82" s="14" t="n">
        <x:f>SUMIFS('统计计数'!$F$5:$F$76,'统计计数'!$B$5:$B$76,"NG_H1",'统计计数'!$A$5:$A$76,"f")/$D82</x:f>
        <x:v>0.08378378378378379</x:v>
      </x:c>
      <x:c r="G82" s="14" t="n">
        <x:f>SUMIFS('统计计数'!$G$5:$G$76,'统计计数'!$B$5:$B$76,"NG_H1",'统计计数'!$A$5:$A$76,"f")/$D82</x:f>
        <x:v>0</x:v>
      </x:c>
      <x:c r="H82" s="14" t="n">
        <x:f>SUMIFS('统计计数'!$H$5:$H$76,'统计计数'!$B$5:$B$76,"NG_H1",'统计计数'!$A$5:$A$76,"f")/$D82</x:f>
        <x:v>0</x:v>
      </x:c>
      <x:c r="I82" s="14" t="n">
        <x:f>SUMIFS('统计计数'!$I$5:$I$76,'统计计数'!$B$5:$B$76,"NG_H1",'统计计数'!$A$5:$A$76,"f")/$D82</x:f>
        <x:v>0.3202702702702703</x:v>
      </x:c>
      <x:c r="J82" s="14" t="n">
        <x:f>SUMIFS('统计计数'!$J$5:$J$76,'统计计数'!$B$5:$B$76,"NG_H1",'统计计数'!$A$5:$A$76,"f")/$D82</x:f>
        <x:v>0.2945945945945946</x:v>
      </x:c>
      <x:c r="K82" s="14" t="n">
        <x:f>SUMIFS('统计计数'!$K$5:$K$76,'统计计数'!$B$5:$B$76,"NG_H1",'统计计数'!$A$5:$A$76,"f")/$D82</x:f>
        <x:v>0.225</x:v>
      </x:c>
      <x:c r="L82" s="14" t="n">
        <x:f>SUMIFS('统计计数'!$L$5:$L$76,'统计计数'!$B$5:$B$76,"NG_H1",'统计计数'!$A$5:$A$76,"f")/$D82</x:f>
        <x:v>0.008108108108108109</x:v>
      </x:c>
      <x:c r="M82" s="14" t="n">
        <x:f>SUMIFS('统计计数'!$M$5:$M$76,'统计计数'!$B$5:$B$76,"NG_H1",'统计计数'!$A$5:$A$76,"f")/$D82</x:f>
        <x:v>0.06824324324324324</x:v>
      </x:c>
      <x:c r="N82" s="14" t="n">
        <x:f>SUMIFS('统计计数'!$N$5:$N$76,'统计计数'!$B$5:$B$76,"NG_H1",'统计计数'!$A$5:$A$76,"f")/$D82</x:f>
        <x:v>0</x:v>
      </x:c>
    </x:row>
    <x:row r="83" ht="23" customHeight="1">
      <x:c r="A83" s="12" t="str">
        <x:v>f</x:v>
      </x:c>
      <x:c r="B83" s="12" t="str">
        <x:v>CG</x:v>
      </x:c>
      <x:c r="C83" s="12" t="str">
        <x:v>H0</x:v>
      </x:c>
      <x:c r="D83" s="11" t="n">
        <x:f>SUMIFS('统计计数'!$C$5:$C$76,'统计计数'!$B$5:$B$76,"CG_H0",'统计计数'!$A$5:$A$76,"f")</x:f>
        <x:v>1480</x:v>
      </x:c>
      <x:c r="E83" s="14" t="n">
        <x:f>SUMIFS('统计计数'!$E$5:$E$76,'统计计数'!$B$5:$B$76,"CG_H0",'统计计数'!$A$5:$A$76,"f")/$D83</x:f>
        <x:v>0</x:v>
      </x:c>
      <x:c r="F83" s="14" t="n">
        <x:f>SUMIFS('统计计数'!$F$5:$F$76,'统计计数'!$B$5:$B$76,"CG_H0",'统计计数'!$A$5:$A$76,"f")/$D83</x:f>
        <x:v>0.21554054054054053</x:v>
      </x:c>
      <x:c r="G83" s="14" t="n">
        <x:f>SUMIFS('统计计数'!$G$5:$G$76,'统计计数'!$B$5:$B$76,"CG_H0",'统计计数'!$A$5:$A$76,"f")/$D83</x:f>
        <x:v>0</x:v>
      </x:c>
      <x:c r="H83" s="14" t="n">
        <x:f>SUMIFS('统计计数'!$H$5:$H$76,'统计计数'!$B$5:$B$76,"CG_H0",'统计计数'!$A$5:$A$76,"f")/$D83</x:f>
        <x:v>0</x:v>
      </x:c>
      <x:c r="I83" s="14" t="n">
        <x:f>SUMIFS('统计计数'!$I$5:$I$76,'统计计数'!$B$5:$B$76,"CG_H0",'统计计数'!$A$5:$A$76,"f")/$D83</x:f>
        <x:v>0.4263513513513513</x:v>
      </x:c>
      <x:c r="J83" s="14" t="n">
        <x:f>SUMIFS('统计计数'!$J$5:$J$76,'统计计数'!$B$5:$B$76,"CG_H0",'统计计数'!$A$5:$A$76,"f")/$D83</x:f>
        <x:v>0.35743243243243245</x:v>
      </x:c>
      <x:c r="K83" s="14" t="n">
        <x:f>SUMIFS('统计计数'!$K$5:$K$76,'统计计数'!$B$5:$B$76,"CG_H0",'统计计数'!$A$5:$A$76,"f")/$D83</x:f>
        <x:v>0</x:v>
      </x:c>
      <x:c r="L83" s="14" t="n">
        <x:f>SUMIFS('统计计数'!$L$5:$L$76,'统计计数'!$B$5:$B$76,"CG_H0",'统计计数'!$A$5:$A$76,"f")/$D83</x:f>
        <x:v>0</x:v>
      </x:c>
      <x:c r="M83" s="14" t="n">
        <x:f>SUMIFS('统计计数'!$M$5:$M$76,'统计计数'!$B$5:$B$76,"CG_H0",'统计计数'!$A$5:$A$76,"f")/$D83</x:f>
        <x:v>0.0006756756756756757</x:v>
      </x:c>
      <x:c r="N83" s="14" t="n">
        <x:f>SUMIFS('统计计数'!$N$5:$N$76,'统计计数'!$B$5:$B$76,"CG_H0",'统计计数'!$A$5:$A$76,"f")/$D83</x:f>
        <x:v>0</x:v>
      </x:c>
    </x:row>
    <x:row r="84" ht="23" customHeight="1">
      <x:c r="A84" s="12" t="str">
        <x:v>f</x:v>
      </x:c>
      <x:c r="B84" s="12" t="str">
        <x:v>CG</x:v>
      </x:c>
      <x:c r="C84" s="12" t="str">
        <x:v>H1</x:v>
      </x:c>
      <x:c r="D84" s="11" t="n">
        <x:f>SUMIFS('统计计数'!$C$5:$C$76,'统计计数'!$B$5:$B$76,"CG_H1",'统计计数'!$A$5:$A$76,"f")</x:f>
        <x:v>1480</x:v>
      </x:c>
      <x:c r="E84" s="14" t="n">
        <x:f>SUMIFS('统计计数'!$E$5:$E$76,'统计计数'!$B$5:$B$76,"CG_H1",'统计计数'!$A$5:$A$76,"f")/$D84</x:f>
        <x:v>0</x:v>
      </x:c>
      <x:c r="F84" s="14" t="n">
        <x:f>SUMIFS('统计计数'!$F$5:$F$76,'统计计数'!$B$5:$B$76,"CG_H1",'统计计数'!$A$5:$A$76,"f")/$D84</x:f>
        <x:v>0.10743243243243243</x:v>
      </x:c>
      <x:c r="G84" s="14" t="n">
        <x:f>SUMIFS('统计计数'!$G$5:$G$76,'统计计数'!$B$5:$B$76,"CG_H1",'统计计数'!$A$5:$A$76,"f")/$D84</x:f>
        <x:v>0</x:v>
      </x:c>
      <x:c r="H84" s="14" t="n">
        <x:f>SUMIFS('统计计数'!$H$5:$H$76,'统计计数'!$B$5:$B$76,"CG_H1",'统计计数'!$A$5:$A$76,"f")/$D84</x:f>
        <x:v>0</x:v>
      </x:c>
      <x:c r="I84" s="14" t="n">
        <x:f>SUMIFS('统计计数'!$I$5:$I$76,'统计计数'!$B$5:$B$76,"CG_H1",'统计计数'!$A$5:$A$76,"f")/$D84</x:f>
        <x:v>0.4756756756756757</x:v>
      </x:c>
      <x:c r="J84" s="14" t="n">
        <x:f>SUMIFS('统计计数'!$J$5:$J$76,'统计计数'!$B$5:$B$76,"CG_H1",'统计计数'!$A$5:$A$76,"f")/$D84</x:f>
        <x:v>0.41621621621621624</x:v>
      </x:c>
      <x:c r="K84" s="14" t="n">
        <x:f>SUMIFS('统计计数'!$K$5:$K$76,'统计计数'!$B$5:$B$76,"CG_H1",'统计计数'!$A$5:$A$76,"f")/$D84</x:f>
        <x:v>0</x:v>
      </x:c>
      <x:c r="L84" s="14" t="n">
        <x:f>SUMIFS('统计计数'!$L$5:$L$76,'统计计数'!$B$5:$B$76,"CG_H1",'统计计数'!$A$5:$A$76,"f")/$D84</x:f>
        <x:v>0</x:v>
      </x:c>
      <x:c r="M84" s="14" t="n">
        <x:f>SUMIFS('统计计数'!$M$5:$M$76,'统计计数'!$B$5:$B$76,"CG_H1",'统计计数'!$A$5:$A$76,"f")/$D84</x:f>
        <x:v>0.0006756756756756757</x:v>
      </x:c>
      <x:c r="N84" s="14" t="n">
        <x:f>SUMIFS('统计计数'!$N$5:$N$76,'统计计数'!$B$5:$B$76,"CG_H1",'统计计数'!$A$5:$A$76,"f")/$D84</x:f>
        <x:v>0</x:v>
      </x:c>
    </x:row>
    <x:row r="85" ht="23" customHeight="1">
      <x:c r="A85" s="12" t="str">
        <x:v>f</x:v>
      </x:c>
      <x:c r="B85" s="12" t="str">
        <x:v>NC</x:v>
      </x:c>
      <x:c r="C85" s="12" t="str">
        <x:v>H0</x:v>
      </x:c>
      <x:c r="D85" s="11" t="n">
        <x:f>SUMIFS('统计计数'!$C$5:$C$76,'统计计数'!$B$5:$B$76,"NC_H0",'统计计数'!$A$5:$A$76,"f")</x:f>
        <x:v>1480</x:v>
      </x:c>
      <x:c r="E85" s="14" t="n">
        <x:f>SUMIFS('统计计数'!$E$5:$E$76,'统计计数'!$B$5:$B$76,"NC_H0",'统计计数'!$A$5:$A$76,"f")/$D85</x:f>
        <x:v>0</x:v>
      </x:c>
      <x:c r="F85" s="14" t="n">
        <x:f>SUMIFS('统计计数'!$F$5:$F$76,'统计计数'!$B$5:$B$76,"NC_H0",'统计计数'!$A$5:$A$76,"f")/$D85</x:f>
        <x:v>0.3027027027027027</x:v>
      </x:c>
      <x:c r="G85" s="14" t="n">
        <x:f>SUMIFS('统计计数'!$G$5:$G$76,'统计计数'!$B$5:$B$76,"NC_H0",'统计计数'!$A$5:$A$76,"f")/$D85</x:f>
        <x:v>0</x:v>
      </x:c>
      <x:c r="H85" s="14" t="n">
        <x:f>SUMIFS('统计计数'!$H$5:$H$76,'统计计数'!$B$5:$B$76,"NC_H0",'统计计数'!$A$5:$A$76,"f")/$D85</x:f>
        <x:v>0</x:v>
      </x:c>
      <x:c r="I85" s="14" t="n">
        <x:f>SUMIFS('统计计数'!$I$5:$I$76,'统计计数'!$B$5:$B$76,"NC_H0",'统计计数'!$A$5:$A$76,"f")/$D85</x:f>
        <x:v>0.44256756756756754</x:v>
      </x:c>
      <x:c r="J85" s="14" t="n">
        <x:f>SUMIFS('统计计数'!$J$5:$J$76,'统计计数'!$B$5:$B$76,"NC_H0",'统计计数'!$A$5:$A$76,"f")/$D85</x:f>
        <x:v>0</x:v>
      </x:c>
      <x:c r="K85" s="14" t="n">
        <x:f>SUMIFS('统计计数'!$K$5:$K$76,'统计计数'!$B$5:$B$76,"NC_H0",'统计计数'!$A$5:$A$76,"f")/$D85</x:f>
        <x:v>0.21283783783783783</x:v>
      </x:c>
      <x:c r="L85" s="14" t="n">
        <x:f>SUMIFS('统计计数'!$L$5:$L$76,'统计计数'!$B$5:$B$76,"NC_H0",'统计计数'!$A$5:$A$76,"f")/$D85</x:f>
        <x:v>0.006756756756756757</x:v>
      </x:c>
      <x:c r="M85" s="14" t="n">
        <x:f>SUMIFS('统计计数'!$M$5:$M$76,'统计计数'!$B$5:$B$76,"NC_H0",'统计计数'!$A$5:$A$76,"f")/$D85</x:f>
        <x:v>0.03513513513513514</x:v>
      </x:c>
      <x:c r="N85" s="14" t="n">
        <x:f>SUMIFS('统计计数'!$N$5:$N$76,'统计计数'!$B$5:$B$76,"NC_H0",'统计计数'!$A$5:$A$76,"f")/$D85</x:f>
        <x:v>0</x:v>
      </x:c>
    </x:row>
    <x:row r="86" ht="23" customHeight="1">
      <x:c r="A86" s="12" t="str">
        <x:v>f</x:v>
      </x:c>
      <x:c r="B86" s="12" t="str">
        <x:v>NC</x:v>
      </x:c>
      <x:c r="C86" s="12" t="str">
        <x:v>H1</x:v>
      </x:c>
      <x:c r="D86" s="11" t="n">
        <x:f>SUMIFS('统计计数'!$C$5:$C$76,'统计计数'!$B$5:$B$76,"NC_H1",'统计计数'!$A$5:$A$76,"f")</x:f>
        <x:v>1480</x:v>
      </x:c>
      <x:c r="E86" s="14" t="n">
        <x:f>SUMIFS('统计计数'!$E$5:$E$76,'统计计数'!$B$5:$B$76,"NC_H1",'统计计数'!$A$5:$A$76,"f")/$D86</x:f>
        <x:v>0</x:v>
      </x:c>
      <x:c r="F86" s="14" t="n">
        <x:f>SUMIFS('统计计数'!$F$5:$F$76,'统计计数'!$B$5:$B$76,"NC_H1",'统计计数'!$A$5:$A$76,"f")/$D86</x:f>
        <x:v>0.25472972972972974</x:v>
      </x:c>
      <x:c r="G86" s="14" t="n">
        <x:f>SUMIFS('统计计数'!$G$5:$G$76,'统计计数'!$B$5:$B$76,"NC_H1",'统计计数'!$A$5:$A$76,"f")/$D86</x:f>
        <x:v>0</x:v>
      </x:c>
      <x:c r="H86" s="14" t="n">
        <x:f>SUMIFS('统计计数'!$H$5:$H$76,'统计计数'!$B$5:$B$76,"NC_H1",'统计计数'!$A$5:$A$76,"f")/$D86</x:f>
        <x:v>0</x:v>
      </x:c>
      <x:c r="I86" s="14" t="n">
        <x:f>SUMIFS('统计计数'!$I$5:$I$76,'统计计数'!$B$5:$B$76,"NC_H1",'统计计数'!$A$5:$A$76,"f")/$D86</x:f>
        <x:v>0.40945945945945944</x:v>
      </x:c>
      <x:c r="J86" s="14" t="n">
        <x:f>SUMIFS('统计计数'!$J$5:$J$76,'统计计数'!$B$5:$B$76,"NC_H1",'统计计数'!$A$5:$A$76,"f")/$D86</x:f>
        <x:v>0.07972972972972973</x:v>
      </x:c>
      <x:c r="K86" s="14" t="n">
        <x:f>SUMIFS('统计计数'!$K$5:$K$76,'统计计数'!$B$5:$B$76,"NC_H1",'统计计数'!$A$5:$A$76,"f")/$D86</x:f>
        <x:v>0.2141891891891892</x:v>
      </x:c>
      <x:c r="L86" s="14" t="n">
        <x:f>SUMIFS('统计计数'!$L$5:$L$76,'统计计数'!$B$5:$B$76,"NC_H1",'统计计数'!$A$5:$A$76,"f")/$D86</x:f>
        <x:v>0.006756756756756757</x:v>
      </x:c>
      <x:c r="M86" s="14" t="n">
        <x:f>SUMIFS('统计计数'!$M$5:$M$76,'统计计数'!$B$5:$B$76,"NC_H1",'统计计数'!$A$5:$A$76,"f")/$D86</x:f>
        <x:v>0.03513513513513514</x:v>
      </x:c>
      <x:c r="N86" s="14" t="n">
        <x:f>SUMIFS('统计计数'!$N$5:$N$76,'统计计数'!$B$5:$B$76,"NC_H1",'统计计数'!$A$5:$A$76,"f")/$D86</x:f>
        <x:v>0</x:v>
      </x:c>
    </x:row>
    <x:row r="87" ht="23" customHeight="1">
      <x:c r="A87" s="12" t="str">
        <x:v>f</x:v>
      </x:c>
      <x:c r="B87" s="12" t="str">
        <x:v>NCG</x:v>
      </x:c>
      <x:c r="C87" s="12" t="str">
        <x:v>H0</x:v>
      </x:c>
      <x:c r="D87" s="11" t="n">
        <x:f>SUMIFS('统计计数'!$C$5:$C$76,'统计计数'!$B$5:$B$76,"NCG_H0",'统计计数'!$A$5:$A$76,"f")</x:f>
        <x:v>1480</x:v>
      </x:c>
      <x:c r="E87" s="14" t="n">
        <x:f>SUMIFS('统计计数'!$E$5:$E$76,'统计计数'!$B$5:$B$76,"NCG_H0",'统计计数'!$A$5:$A$76,"f")/$D87</x:f>
        <x:v>0</x:v>
      </x:c>
      <x:c r="F87" s="14" t="n">
        <x:f>SUMIFS('统计计数'!$F$5:$F$76,'统计计数'!$B$5:$B$76,"NCG_H0",'统计计数'!$A$5:$A$76,"f")/$D87</x:f>
        <x:v>0.1804054054054054</x:v>
      </x:c>
      <x:c r="G87" s="14" t="n">
        <x:f>SUMIFS('统计计数'!$G$5:$G$76,'统计计数'!$B$5:$B$76,"NCG_H0",'统计计数'!$A$5:$A$76,"f")/$D87</x:f>
        <x:v>0</x:v>
      </x:c>
      <x:c r="H87" s="14" t="n">
        <x:f>SUMIFS('统计计数'!$H$5:$H$76,'统计计数'!$B$5:$B$76,"NCG_H0",'统计计数'!$A$5:$A$76,"f")/$D87</x:f>
        <x:v>0</x:v>
      </x:c>
      <x:c r="I87" s="14" t="n">
        <x:f>SUMIFS('统计计数'!$I$5:$I$76,'统计计数'!$B$5:$B$76,"NCG_H0",'统计计数'!$A$5:$A$76,"f")/$D87</x:f>
        <x:v>0.30945945945945946</x:v>
      </x:c>
      <x:c r="J87" s="14" t="n">
        <x:f>SUMIFS('统计计数'!$J$5:$J$76,'统计计数'!$B$5:$B$76,"NCG_H0",'统计计数'!$A$5:$A$76,"f")/$D87</x:f>
        <x:v>0.2554054054054054</x:v>
      </x:c>
      <x:c r="K87" s="14" t="n">
        <x:f>SUMIFS('统计计数'!$K$5:$K$76,'统计计数'!$B$5:$B$76,"NCG_H0",'统计计数'!$A$5:$A$76,"f")/$D87</x:f>
        <x:v>0.21283783783783783</x:v>
      </x:c>
      <x:c r="L87" s="14" t="n">
        <x:f>SUMIFS('统计计数'!$L$5:$L$76,'统计计数'!$B$5:$B$76,"NCG_H0",'统计计数'!$A$5:$A$76,"f")/$D87</x:f>
        <x:v>0.006756756756756757</x:v>
      </x:c>
      <x:c r="M87" s="14" t="n">
        <x:f>SUMIFS('统计计数'!$M$5:$M$76,'统计计数'!$B$5:$B$76,"NCG_H0",'统计计数'!$A$5:$A$76,"f")/$D87</x:f>
        <x:v>0.03513513513513514</x:v>
      </x:c>
      <x:c r="N87" s="14" t="n">
        <x:f>SUMIFS('统计计数'!$N$5:$N$76,'统计计数'!$B$5:$B$76,"NCG_H0",'统计计数'!$A$5:$A$76,"f")/$D87</x:f>
        <x:v>0</x:v>
      </x:c>
    </x:row>
    <x:row r="88" ht="23" customHeight="1">
      <x:c r="A88" s="12" t="str">
        <x:v>f</x:v>
      </x:c>
      <x:c r="B88" s="12" t="str">
        <x:v>NCG</x:v>
      </x:c>
      <x:c r="C88" s="12" t="str">
        <x:v>H1</x:v>
      </x:c>
      <x:c r="D88" s="11" t="n">
        <x:f>SUMIFS('统计计数'!$C$5:$C$76,'统计计数'!$B$5:$B$76,"NCG_H1",'统计计数'!$A$5:$A$76,"f")</x:f>
        <x:v>1480</x:v>
      </x:c>
      <x:c r="E88" s="14" t="n">
        <x:f>SUMIFS('统计计数'!$E$5:$E$76,'统计计数'!$B$5:$B$76,"NCG_H1",'统计计数'!$A$5:$A$76,"f")/$D88</x:f>
        <x:v>0</x:v>
      </x:c>
      <x:c r="F88" s="14" t="n">
        <x:f>SUMIFS('统计计数'!$F$5:$F$76,'统计计数'!$B$5:$B$76,"NCG_H1",'统计计数'!$A$5:$A$76,"f")/$D88</x:f>
        <x:v>0.10202702702702703</x:v>
      </x:c>
      <x:c r="G88" s="14" t="n">
        <x:f>SUMIFS('统计计数'!$G$5:$G$76,'统计计数'!$B$5:$B$76,"NCG_H1",'统计计数'!$A$5:$A$76,"f")/$D88</x:f>
        <x:v>0</x:v>
      </x:c>
      <x:c r="H88" s="14" t="n">
        <x:f>SUMIFS('统计计数'!$H$5:$H$76,'统计计数'!$B$5:$B$76,"NCG_H1",'统计计数'!$A$5:$A$76,"f")/$D88</x:f>
        <x:v>0</x:v>
      </x:c>
      <x:c r="I88" s="14" t="n">
        <x:f>SUMIFS('统计计数'!$I$5:$I$76,'统计计数'!$B$5:$B$76,"NCG_H1",'统计计数'!$A$5:$A$76,"f")/$D88</x:f>
        <x:v>0.3493243243243243</x:v>
      </x:c>
      <x:c r="J88" s="14" t="n">
        <x:f>SUMIFS('统计计数'!$J$5:$J$76,'统计计数'!$B$5:$B$76,"NCG_H1",'统计计数'!$A$5:$A$76,"f")/$D88</x:f>
        <x:v>0.2925675675675676</x:v>
      </x:c>
      <x:c r="K88" s="14" t="n">
        <x:f>SUMIFS('统计计数'!$K$5:$K$76,'统计计数'!$B$5:$B$76,"NCG_H1",'统计计数'!$A$5:$A$76,"f")/$D88</x:f>
        <x:v>0.2141891891891892</x:v>
      </x:c>
      <x:c r="L88" s="14" t="n">
        <x:f>SUMIFS('统计计数'!$L$5:$L$76,'统计计数'!$B$5:$B$76,"NCG_H1",'统计计数'!$A$5:$A$76,"f")/$D88</x:f>
        <x:v>0.006756756756756757</x:v>
      </x:c>
      <x:c r="M88" s="14" t="n">
        <x:f>SUMIFS('统计计数'!$M$5:$M$76,'统计计数'!$B$5:$B$76,"NCG_H1",'统计计数'!$A$5:$A$76,"f")/$D88</x:f>
        <x:v>0.03513513513513514</x:v>
      </x:c>
      <x:c r="N88" s="14" t="n">
        <x:f>SUMIFS('统计计数'!$N$5:$N$76,'统计计数'!$B$5:$B$76,"NCG_H1",'统计计数'!$A$5:$A$76,"f")/$D88</x:f>
        <x:v>0</x:v>
      </x:c>
    </x:row>
  </x:sheetData>
  <x:conditionalFormatting sqref="E5:N88">
    <x:cfRule type="colorScale" priority="1">
      <x:colorScale>
        <x:cfvo type="min"/>
        <x:cfvo type="percentile" val="50"/>
        <x:cfvo type="max"/>
        <x:color rgb="FFFFFFFF"/>
        <x:color rgb="FFDCE7F5"/>
        <x:color rgb="FF4676B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6f6b2daffd6443b"/>
  </x:tableParts>
</x:worksheet>
</file>

<file path=xl/worksheets/sheet3.xml><?xml version="1.0" encoding="utf-8"?>
<x:worksheet xmlns:x="http://schemas.openxmlformats.org/spreadsheetml/2006/main">
  <x:sheetPr>
    <x:tabColor rgb="FF23395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3" t="str">
        <x:v>P等级三角形占比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分母为源三角形实例数；不等于实际简化后数量或显存。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8" t="str">
        <x:v>模型</x:v>
      </x:c>
      <x:c r="B4" s="8" t="str">
        <x:v>组合</x:v>
      </x:c>
      <x:c r="C4" s="8" t="str">
        <x:v>树辅助</x:v>
      </x:c>
      <x:c r="D4" s="8" t="str">
        <x:v>源三角形数</x:v>
      </x:c>
      <x:c r="E4" s="8" t="str">
        <x:v>P1</x:v>
      </x:c>
      <x:c r="F4" s="8" t="str">
        <x:v>P2</x:v>
      </x:c>
      <x:c r="G4" s="8" t="str">
        <x:v>P3</x:v>
      </x:c>
      <x:c r="H4" s="8" t="str">
        <x:v>P4</x:v>
      </x:c>
      <x:c r="I4" s="8" t="str">
        <x:v>P5</x:v>
      </x:c>
      <x:c r="J4" s="8" t="str">
        <x:v>P6</x:v>
      </x:c>
      <x:c r="K4" s="8" t="str">
        <x:v>P7</x:v>
      </x:c>
      <x:c r="L4" s="8" t="str">
        <x:v>P8</x:v>
      </x:c>
      <x:c r="M4" s="8" t="str">
        <x:v>P9</x:v>
      </x:c>
      <x:c r="N4" s="8" t="str">
        <x:v>P10</x:v>
      </x:c>
    </x:row>
    <x:row r="5" ht="23" customHeight="1">
      <x:c r="A5" s="12" t="str">
        <x:v>ALL</x:v>
      </x:c>
      <x:c r="B5" s="12" t="str">
        <x:v>N</x:v>
      </x:c>
      <x:c r="C5" s="12" t="str">
        <x:v>H0</x:v>
      </x:c>
      <x:c r="D5" s="11" t="n">
        <x:f>SUMIFS('统计计数'!$D$5:$D$76,'统计计数'!$B$5:$B$76,"N_H0")</x:f>
        <x:v>40794715</x:v>
      </x:c>
      <x:c r="E5" s="14" t="n">
        <x:f>SUMIFS('统计计数'!$O$5:$O$76,'统计计数'!$B$5:$B$76,"N_H0")/$D5</x:f>
        <x:v>0</x:v>
      </x:c>
      <x:c r="F5" s="14" t="n">
        <x:f>SUMIFS('统计计数'!$P$5:$P$76,'统计计数'!$B$5:$B$76,"N_H0")/$D5</x:f>
        <x:v>0.05804379317271857</x:v>
      </x:c>
      <x:c r="G5" s="14" t="n">
        <x:f>SUMIFS('统计计数'!$Q$5:$Q$76,'统计计数'!$B$5:$B$76,"N_H0")/$D5</x:f>
        <x:v>0</x:v>
      </x:c>
      <x:c r="H5" s="14" t="n">
        <x:f>SUMIFS('统计计数'!$R$5:$R$76,'统计计数'!$B$5:$B$76,"N_H0")/$D5</x:f>
        <x:v>0</x:v>
      </x:c>
      <x:c r="I5" s="14" t="n">
        <x:f>SUMIFS('统计计数'!$S$5:$S$76,'统计计数'!$B$5:$B$76,"N_H0")/$D5</x:f>
        <x:v>0.42058060707128364</x:v>
      </x:c>
      <x:c r="J5" s="14" t="n">
        <x:f>SUMIFS('统计计数'!$T$5:$T$76,'统计计数'!$B$5:$B$76,"N_H0")/$D5</x:f>
        <x:v>0.001960008790354339</x:v>
      </x:c>
      <x:c r="K5" s="14" t="n">
        <x:f>SUMIFS('统计计数'!$U$5:$U$76,'统计计数'!$B$5:$B$76,"N_H0")/$D5</x:f>
        <x:v>0.3144929680229412</x:v>
      </x:c>
      <x:c r="L5" s="14" t="n">
        <x:f>SUMIFS('统计计数'!$V$5:$V$76,'统计计数'!$B$5:$B$76,"N_H0")/$D5</x:f>
        <x:v>0.05129360506624449</x:v>
      </x:c>
      <x:c r="M5" s="14" t="n">
        <x:f>SUMIFS('统计计数'!$W$5:$W$76,'统计计数'!$B$5:$B$76,"N_H0")/$D5</x:f>
        <x:v>0.15362901787645777</x:v>
      </x:c>
      <x:c r="N5" s="14" t="n">
        <x:f>SUMIFS('统计计数'!$X$5:$X$76,'统计计数'!$B$5:$B$76,"N_H0")/$D5</x:f>
        <x:v>0</x:v>
      </x:c>
    </x:row>
    <x:row r="6" ht="23" customHeight="1">
      <x:c r="A6" s="12" t="str">
        <x:v>ALL</x:v>
      </x:c>
      <x:c r="B6" s="12" t="str">
        <x:v>N</x:v>
      </x:c>
      <x:c r="C6" s="12" t="str">
        <x:v>H1</x:v>
      </x:c>
      <x:c r="D6" s="11" t="n">
        <x:f>SUMIFS('统计计数'!$D$5:$D$76,'统计计数'!$B$5:$B$76,"N_H1")</x:f>
        <x:v>40794715</x:v>
      </x:c>
      <x:c r="E6" s="14" t="n">
        <x:f>SUMIFS('统计计数'!$O$5:$O$76,'统计计数'!$B$5:$B$76,"N_H1")/$D6</x:f>
        <x:v>0</x:v>
      </x:c>
      <x:c r="F6" s="14" t="n">
        <x:f>SUMIFS('统计计数'!$P$5:$P$76,'统计计数'!$B$5:$B$76,"N_H1")/$D6</x:f>
        <x:v>0.05764452576761475</x:v>
      </x:c>
      <x:c r="G6" s="14" t="n">
        <x:f>SUMIFS('统计计数'!$Q$5:$Q$76,'统计计数'!$B$5:$B$76,"N_H1")/$D6</x:f>
        <x:v>0</x:v>
      </x:c>
      <x:c r="H6" s="14" t="n">
        <x:f>SUMIFS('统计计数'!$R$5:$R$76,'统计计数'!$B$5:$B$76,"N_H1")/$D6</x:f>
        <x:v>0</x:v>
      </x:c>
      <x:c r="I6" s="14" t="n">
        <x:f>SUMIFS('统计计数'!$S$5:$S$76,'统计计数'!$B$5:$B$76,"N_H1")/$D6</x:f>
        <x:v>0.4163376064767213</x:v>
      </x:c>
      <x:c r="J6" s="14" t="n">
        <x:f>SUMIFS('统计计数'!$T$5:$T$76,'统计计数'!$B$5:$B$76,"N_H1")/$D6</x:f>
        <x:v>0.006513833961090303</x:v>
      </x:c>
      <x:c r="K6" s="14" t="n">
        <x:f>SUMIFS('统计计数'!$U$5:$U$76,'统计计数'!$B$5:$B$76,"N_H1")/$D6</x:f>
        <x:v>0.31458141085187136</x:v>
      </x:c>
      <x:c r="L6" s="14" t="n">
        <x:f>SUMIFS('统计计数'!$V$5:$V$76,'统计计数'!$B$5:$B$76,"N_H1")/$D6</x:f>
        <x:v>0.05129360506624449</x:v>
      </x:c>
      <x:c r="M6" s="14" t="n">
        <x:f>SUMIFS('统计计数'!$W$5:$W$76,'统计计数'!$B$5:$B$76,"N_H1")/$D6</x:f>
        <x:v>0.15362901787645777</x:v>
      </x:c>
      <x:c r="N6" s="14" t="n">
        <x:f>SUMIFS('统计计数'!$X$5:$X$76,'统计计数'!$B$5:$B$76,"N_H1")/$D6</x:f>
        <x:v>0</x:v>
      </x:c>
    </x:row>
    <x:row r="7" ht="23" customHeight="1">
      <x:c r="A7" s="12" t="str">
        <x:v>ALL</x:v>
      </x:c>
      <x:c r="B7" s="12" t="str">
        <x:v>C</x:v>
      </x:c>
      <x:c r="C7" s="12" t="str">
        <x:v>H0</x:v>
      </x:c>
      <x:c r="D7" s="11" t="n">
        <x:f>SUMIFS('统计计数'!$D$5:$D$76,'统计计数'!$B$5:$B$76,"C_H0")</x:f>
        <x:v>40794715</x:v>
      </x:c>
      <x:c r="E7" s="14" t="n">
        <x:f>SUMIFS('统计计数'!$O$5:$O$76,'统计计数'!$B$5:$B$76,"C_H0")/$D7</x:f>
        <x:v>0</x:v>
      </x:c>
      <x:c r="F7" s="14" t="n">
        <x:f>SUMIFS('统计计数'!$P$5:$P$76,'统计计数'!$B$5:$B$76,"C_H0")/$D7</x:f>
        <x:v>0.20218682738683186</x:v>
      </x:c>
      <x:c r="G7" s="14" t="n">
        <x:f>SUMIFS('统计计数'!$Q$5:$Q$76,'统计计数'!$B$5:$B$76,"C_H0")/$D7</x:f>
        <x:v>0</x:v>
      </x:c>
      <x:c r="H7" s="14" t="n">
        <x:f>SUMIFS('统计计数'!$R$5:$R$76,'统计计数'!$B$5:$B$76,"C_H0")/$D7</x:f>
        <x:v>0</x:v>
      </x:c>
      <x:c r="I7" s="14" t="n">
        <x:f>SUMIFS('统计计数'!$S$5:$S$76,'统计计数'!$B$5:$B$76,"C_H0")/$D7</x:f>
        <x:v>0.7964948155661831</x:v>
      </x:c>
      <x:c r="J7" s="14" t="n">
        <x:f>SUMIFS('统计计数'!$T$5:$T$76,'统计计数'!$B$5:$B$76,"C_H0")/$D7</x:f>
        <x:v>0</x:v>
      </x:c>
      <x:c r="K7" s="14" t="n">
        <x:f>SUMIFS('统计计数'!$U$5:$U$76,'统计计数'!$B$5:$B$76,"C_H0")/$D7</x:f>
        <x:v>0.001081169460308768</x:v>
      </x:c>
      <x:c r="L7" s="14" t="n">
        <x:f>SUMIFS('统计计数'!$V$5:$V$76,'统计计数'!$B$5:$B$76,"C_H0")/$D7</x:f>
        <x:v>0</x:v>
      </x:c>
      <x:c r="M7" s="14" t="n">
        <x:f>SUMIFS('统计计数'!$W$5:$W$76,'统计计数'!$B$5:$B$76,"C_H0")/$D7</x:f>
        <x:v>0.00023718758667636236</x:v>
      </x:c>
      <x:c r="N7" s="14" t="n">
        <x:f>SUMIFS('统计计数'!$X$5:$X$76,'统计计数'!$B$5:$B$76,"C_H0")/$D7</x:f>
        <x:v>0</x:v>
      </x:c>
    </x:row>
    <x:row r="8" ht="23" customHeight="1">
      <x:c r="A8" s="12" t="str">
        <x:v>ALL</x:v>
      </x:c>
      <x:c r="B8" s="12" t="str">
        <x:v>C</x:v>
      </x:c>
      <x:c r="C8" s="12" t="str">
        <x:v>H1</x:v>
      </x:c>
      <x:c r="D8" s="11" t="n">
        <x:f>SUMIFS('统计计数'!$D$5:$D$76,'统计计数'!$B$5:$B$76,"C_H1")</x:f>
        <x:v>40794715</x:v>
      </x:c>
      <x:c r="E8" s="14" t="n">
        <x:f>SUMIFS('统计计数'!$O$5:$O$76,'统计计数'!$B$5:$B$76,"C_H1")/$D8</x:f>
        <x:v>0</x:v>
      </x:c>
      <x:c r="F8" s="14" t="n">
        <x:f>SUMIFS('统计计数'!$P$5:$P$76,'统计计数'!$B$5:$B$76,"C_H1")/$D8</x:f>
        <x:v>0.20095661901302656</x:v>
      </x:c>
      <x:c r="G8" s="14" t="n">
        <x:f>SUMIFS('统计计数'!$Q$5:$Q$76,'统计计数'!$B$5:$B$76,"C_H1")/$D8</x:f>
        <x:v>0</x:v>
      </x:c>
      <x:c r="H8" s="14" t="n">
        <x:f>SUMIFS('统计计数'!$R$5:$R$76,'统计计数'!$B$5:$B$76,"C_H1")/$D8</x:f>
        <x:v>0</x:v>
      </x:c>
      <x:c r="I8" s="14" t="n">
        <x:f>SUMIFS('统计计数'!$S$5:$S$76,'统计计数'!$B$5:$B$76,"C_H1")/$D8</x:f>
        <x:v>0.7964948155661831</x:v>
      </x:c>
      <x:c r="J8" s="14" t="n">
        <x:f>SUMIFS('统计计数'!$T$5:$T$76,'统计计数'!$B$5:$B$76,"C_H1")/$D8</x:f>
        <x:v>0.0012302083738052834</x:v>
      </x:c>
      <x:c r="K8" s="14" t="n">
        <x:f>SUMIFS('统计计数'!$U$5:$U$76,'统计计数'!$B$5:$B$76,"C_H1")/$D8</x:f>
        <x:v>0.001081169460308768</x:v>
      </x:c>
      <x:c r="L8" s="14" t="n">
        <x:f>SUMIFS('统计计数'!$V$5:$V$76,'统计计数'!$B$5:$B$76,"C_H1")/$D8</x:f>
        <x:v>0</x:v>
      </x:c>
      <x:c r="M8" s="14" t="n">
        <x:f>SUMIFS('统计计数'!$W$5:$W$76,'统计计数'!$B$5:$B$76,"C_H1")/$D8</x:f>
        <x:v>0.00023718758667636236</x:v>
      </x:c>
      <x:c r="N8" s="14" t="n">
        <x:f>SUMIFS('统计计数'!$X$5:$X$76,'统计计数'!$B$5:$B$76,"C_H1")/$D8</x:f>
        <x:v>0</x:v>
      </x:c>
    </x:row>
    <x:row r="9" ht="23" customHeight="1">
      <x:c r="A9" s="12" t="str">
        <x:v>ALL</x:v>
      </x:c>
      <x:c r="B9" s="12" t="str">
        <x:v>NG</x:v>
      </x:c>
      <x:c r="C9" s="12" t="str">
        <x:v>H0</x:v>
      </x:c>
      <x:c r="D9" s="11" t="n">
        <x:f>SUMIFS('统计计数'!$D$5:$D$76,'统计计数'!$B$5:$B$76,"NG_H0")</x:f>
        <x:v>40794715</x:v>
      </x:c>
      <x:c r="E9" s="14" t="n">
        <x:f>SUMIFS('统计计数'!$O$5:$O$76,'统计计数'!$B$5:$B$76,"NG_H0")/$D9</x:f>
        <x:v>0</x:v>
      </x:c>
      <x:c r="F9" s="14" t="n">
        <x:f>SUMIFS('统计计数'!$P$5:$P$76,'统计计数'!$B$5:$B$76,"NG_H0")/$D9</x:f>
        <x:v>0.021842584266123687</x:v>
      </x:c>
      <x:c r="G9" s="14" t="n">
        <x:f>SUMIFS('统计计数'!$Q$5:$Q$76,'统计计数'!$B$5:$B$76,"NG_H0")/$D9</x:f>
        <x:v>0</x:v>
      </x:c>
      <x:c r="H9" s="14" t="n">
        <x:f>SUMIFS('统计计数'!$R$5:$R$76,'统计计数'!$B$5:$B$76,"NG_H0")/$D9</x:f>
        <x:v>0</x:v>
      </x:c>
      <x:c r="I9" s="14" t="n">
        <x:f>SUMIFS('统计计数'!$S$5:$S$76,'统计计数'!$B$5:$B$76,"NG_H0")/$D9</x:f>
        <x:v>0.11803685845090472</x:v>
      </x:c>
      <x:c r="J9" s="14" t="n">
        <x:f>SUMIFS('统计计数'!$T$5:$T$76,'统计计数'!$B$5:$B$76,"NG_H0")/$D9</x:f>
        <x:v>0.3407049663173281</x:v>
      </x:c>
      <x:c r="K9" s="14" t="n">
        <x:f>SUMIFS('统计计数'!$U$5:$U$76,'统计计数'!$B$5:$B$76,"NG_H0")/$D9</x:f>
        <x:v>0.3144929680229412</x:v>
      </x:c>
      <x:c r="L9" s="14" t="n">
        <x:f>SUMIFS('统计计数'!$V$5:$V$76,'统计计数'!$B$5:$B$76,"NG_H0")/$D9</x:f>
        <x:v>0.05129360506624449</x:v>
      </x:c>
      <x:c r="M9" s="14" t="n">
        <x:f>SUMIFS('统计计数'!$W$5:$W$76,'统计计数'!$B$5:$B$76,"NG_H0")/$D9</x:f>
        <x:v>0.15362901787645777</x:v>
      </x:c>
      <x:c r="N9" s="14" t="n">
        <x:f>SUMIFS('统计计数'!$X$5:$X$76,'统计计数'!$B$5:$B$76,"NG_H0")/$D9</x:f>
        <x:v>0</x:v>
      </x:c>
    </x:row>
    <x:row r="10" ht="23" customHeight="1">
      <x:c r="A10" s="12" t="str">
        <x:v>ALL</x:v>
      </x:c>
      <x:c r="B10" s="12" t="str">
        <x:v>NG</x:v>
      </x:c>
      <x:c r="C10" s="12" t="str">
        <x:v>H1</x:v>
      </x:c>
      <x:c r="D10" s="11" t="n">
        <x:f>SUMIFS('统计计数'!$D$5:$D$76,'统计计数'!$B$5:$B$76,"NG_H1")</x:f>
        <x:v>40794715</x:v>
      </x:c>
      <x:c r="E10" s="14" t="n">
        <x:f>SUMIFS('统计计数'!$O$5:$O$76,'统计计数'!$B$5:$B$76,"NG_H1")/$D10</x:f>
        <x:v>0</x:v>
      </x:c>
      <x:c r="F10" s="14" t="n">
        <x:f>SUMIFS('统计计数'!$P$5:$P$76,'统计计数'!$B$5:$B$76,"NG_H1")/$D10</x:f>
        <x:v>0.018148086093995264</x:v>
      </x:c>
      <x:c r="G10" s="14" t="n">
        <x:f>SUMIFS('统计计数'!$Q$5:$Q$76,'统计计数'!$B$5:$B$76,"NG_H1")/$D10</x:f>
        <x:v>0</x:v>
      </x:c>
      <x:c r="H10" s="14" t="n">
        <x:f>SUMIFS('统计计数'!$R$5:$R$76,'统计计数'!$B$5:$B$76,"NG_H1")/$D10</x:f>
        <x:v>0</x:v>
      </x:c>
      <x:c r="I10" s="14" t="n">
        <x:f>SUMIFS('统计计数'!$S$5:$S$76,'统计计数'!$B$5:$B$76,"NG_H1")/$D10</x:f>
        <x:v>0.12077005563098063</x:v>
      </x:c>
      <x:c r="J10" s="14" t="n">
        <x:f>SUMIFS('统计计数'!$T$5:$T$76,'统计计数'!$B$5:$B$76,"NG_H1")/$D10</x:f>
        <x:v>0.3415778244804505</x:v>
      </x:c>
      <x:c r="K10" s="14" t="n">
        <x:f>SUMIFS('统计计数'!$U$5:$U$76,'统计计数'!$B$5:$B$76,"NG_H1")/$D10</x:f>
        <x:v>0.31458141085187136</x:v>
      </x:c>
      <x:c r="L10" s="14" t="n">
        <x:f>SUMIFS('统计计数'!$V$5:$V$76,'统计计数'!$B$5:$B$76,"NG_H1")/$D10</x:f>
        <x:v>0.05129360506624449</x:v>
      </x:c>
      <x:c r="M10" s="14" t="n">
        <x:f>SUMIFS('统计计数'!$W$5:$W$76,'统计计数'!$B$5:$B$76,"NG_H1")/$D10</x:f>
        <x:v>0.15362901787645777</x:v>
      </x:c>
      <x:c r="N10" s="14" t="n">
        <x:f>SUMIFS('统计计数'!$X$5:$X$76,'统计计数'!$B$5:$B$76,"NG_H1")/$D10</x:f>
        <x:v>0</x:v>
      </x:c>
    </x:row>
    <x:row r="11" ht="23" customHeight="1">
      <x:c r="A11" s="12" t="str">
        <x:v>ALL</x:v>
      </x:c>
      <x:c r="B11" s="12" t="str">
        <x:v>CG</x:v>
      </x:c>
      <x:c r="C11" s="12" t="str">
        <x:v>H0</x:v>
      </x:c>
      <x:c r="D11" s="11" t="n">
        <x:f>SUMIFS('统计计数'!$D$5:$D$76,'统计计数'!$B$5:$B$76,"CG_H0")</x:f>
        <x:v>40794715</x:v>
      </x:c>
      <x:c r="E11" s="14" t="n">
        <x:f>SUMIFS('统计计数'!$O$5:$O$76,'统计计数'!$B$5:$B$76,"CG_H0")/$D11</x:f>
        <x:v>0</x:v>
      </x:c>
      <x:c r="F11" s="14" t="n">
        <x:f>SUMIFS('统计计数'!$P$5:$P$76,'统计计数'!$B$5:$B$76,"CG_H0")/$D11</x:f>
        <x:v>0.04314053916052606</x:v>
      </x:c>
      <x:c r="G11" s="14" t="n">
        <x:f>SUMIFS('统计计数'!$Q$5:$Q$76,'统计计数'!$B$5:$B$76,"CG_H0")/$D11</x:f>
        <x:v>0</x:v>
      </x:c>
      <x:c r="H11" s="14" t="n">
        <x:f>SUMIFS('统计计数'!$R$5:$R$76,'统计计数'!$B$5:$B$76,"CG_H0")/$D11</x:f>
        <x:v>0</x:v>
      </x:c>
      <x:c r="I11" s="14" t="n">
        <x:f>SUMIFS('统计计数'!$S$5:$S$76,'统计计数'!$B$5:$B$76,"CG_H0")/$D11</x:f>
        <x:v>0.1818841484736442</x:v>
      </x:c>
      <x:c r="J11" s="14" t="n">
        <x:f>SUMIFS('统计计数'!$T$5:$T$76,'统计计数'!$B$5:$B$76,"CG_H0")/$D11</x:f>
        <x:v>0.7736569553188446</x:v>
      </x:c>
      <x:c r="K11" s="14" t="n">
        <x:f>SUMIFS('统计计数'!$U$5:$U$76,'统计计数'!$B$5:$B$76,"CG_H0")/$D11</x:f>
        <x:v>0.001081169460308768</x:v>
      </x:c>
      <x:c r="L11" s="14" t="n">
        <x:f>SUMIFS('统计计数'!$V$5:$V$76,'统计计数'!$B$5:$B$76,"CG_H0")/$D11</x:f>
        <x:v>0</x:v>
      </x:c>
      <x:c r="M11" s="14" t="n">
        <x:f>SUMIFS('统计计数'!$W$5:$W$76,'统计计数'!$B$5:$B$76,"CG_H0")/$D11</x:f>
        <x:v>0.00023718758667636236</x:v>
      </x:c>
      <x:c r="N11" s="14" t="n">
        <x:f>SUMIFS('统计计数'!$X$5:$X$76,'统计计数'!$B$5:$B$76,"CG_H0")/$D11</x:f>
        <x:v>0</x:v>
      </x:c>
    </x:row>
    <x:row r="12" ht="23" customHeight="1">
      <x:c r="A12" s="12" t="str">
        <x:v>ALL</x:v>
      </x:c>
      <x:c r="B12" s="12" t="str">
        <x:v>CG</x:v>
      </x:c>
      <x:c r="C12" s="12" t="str">
        <x:v>H1</x:v>
      </x:c>
      <x:c r="D12" s="11" t="n">
        <x:f>SUMIFS('统计计数'!$D$5:$D$76,'统计计数'!$B$5:$B$76,"CG_H1")</x:f>
        <x:v>40794715</x:v>
      </x:c>
      <x:c r="E12" s="14" t="n">
        <x:f>SUMIFS('统计计数'!$O$5:$O$76,'统计计数'!$B$5:$B$76,"CG_H1")/$D12</x:f>
        <x:v>0</x:v>
      </x:c>
      <x:c r="F12" s="14" t="n">
        <x:f>SUMIFS('统计计数'!$P$5:$P$76,'统计计数'!$B$5:$B$76,"CG_H1")/$D12</x:f>
        <x:v>0.03548273348643323</x:v>
      </x:c>
      <x:c r="G12" s="14" t="n">
        <x:f>SUMIFS('统计计数'!$Q$5:$Q$76,'统计计数'!$B$5:$B$76,"CG_H1")/$D12</x:f>
        <x:v>0</x:v>
      </x:c>
      <x:c r="H12" s="14" t="n">
        <x:f>SUMIFS('统计计数'!$R$5:$R$76,'统计计数'!$B$5:$B$76,"CG_H1")/$D12</x:f>
        <x:v>0</x:v>
      </x:c>
      <x:c r="I12" s="14" t="n">
        <x:f>SUMIFS('统计计数'!$S$5:$S$76,'统计计数'!$B$5:$B$76,"CG_H1")/$D12</x:f>
        <x:v>0.18877719822285804</x:v>
      </x:c>
      <x:c r="J12" s="14" t="n">
        <x:f>SUMIFS('统计计数'!$T$5:$T$76,'统计计数'!$B$5:$B$76,"CG_H1")/$D12</x:f>
        <x:v>0.7744217112437236</x:v>
      </x:c>
      <x:c r="K12" s="14" t="n">
        <x:f>SUMIFS('统计计数'!$U$5:$U$76,'统计计数'!$B$5:$B$76,"CG_H1")/$D12</x:f>
        <x:v>0.001081169460308768</x:v>
      </x:c>
      <x:c r="L12" s="14" t="n">
        <x:f>SUMIFS('统计计数'!$V$5:$V$76,'统计计数'!$B$5:$B$76,"CG_H1")/$D12</x:f>
        <x:v>0</x:v>
      </x:c>
      <x:c r="M12" s="14" t="n">
        <x:f>SUMIFS('统计计数'!$W$5:$W$76,'统计计数'!$B$5:$B$76,"CG_H1")/$D12</x:f>
        <x:v>0.00023718758667636236</x:v>
      </x:c>
      <x:c r="N12" s="14" t="n">
        <x:f>SUMIFS('统计计数'!$X$5:$X$76,'统计计数'!$B$5:$B$76,"CG_H1")/$D12</x:f>
        <x:v>0</x:v>
      </x:c>
    </x:row>
    <x:row r="13" ht="23" customHeight="1">
      <x:c r="A13" s="12" t="str">
        <x:v>ALL</x:v>
      </x:c>
      <x:c r="B13" s="12" t="str">
        <x:v>NC</x:v>
      </x:c>
      <x:c r="C13" s="12" t="str">
        <x:v>H0</x:v>
      </x:c>
      <x:c r="D13" s="11" t="n">
        <x:f>SUMIFS('统计计数'!$D$5:$D$76,'统计计数'!$B$5:$B$76,"NC_H0")</x:f>
        <x:v>40794715</x:v>
      </x:c>
      <x:c r="E13" s="14" t="n">
        <x:f>SUMIFS('统计计数'!$O$5:$O$76,'统计计数'!$B$5:$B$76,"NC_H0")/$D13</x:f>
        <x:v>0</x:v>
      </x:c>
      <x:c r="F13" s="14" t="n">
        <x:f>SUMIFS('统计计数'!$P$5:$P$76,'统计计数'!$B$5:$B$76,"NC_H0")/$D13</x:f>
        <x:v>0.13970598887625518</x:v>
      </x:c>
      <x:c r="G13" s="14" t="n">
        <x:f>SUMIFS('统计计数'!$Q$5:$Q$76,'统计计数'!$B$5:$B$76,"NC_H0")/$D13</x:f>
        <x:v>0</x:v>
      </x:c>
      <x:c r="H13" s="14" t="n">
        <x:f>SUMIFS('统计计数'!$R$5:$R$76,'统计计数'!$B$5:$B$76,"NC_H0")/$D13</x:f>
        <x:v>0</x:v>
      </x:c>
      <x:c r="I13" s="14" t="n">
        <x:f>SUMIFS('统计计数'!$S$5:$S$76,'统计计数'!$B$5:$B$76,"NC_H0")/$D13</x:f>
        <x:v>0.36526961887097387</x:v>
      </x:c>
      <x:c r="J13" s="14" t="n">
        <x:f>SUMIFS('统计计数'!$T$5:$T$76,'统计计数'!$B$5:$B$76,"NC_H0")/$D13</x:f>
        <x:v>0.0016344764266645814</x:v>
      </x:c>
      <x:c r="K13" s="14" t="n">
        <x:f>SUMIFS('统计计数'!$U$5:$U$76,'统计计数'!$B$5:$B$76,"NC_H0")/$D13</x:f>
        <x:v>0.38650489407757843</x:v>
      </x:c>
      <x:c r="L13" s="14" t="n">
        <x:f>SUMIFS('统计计数'!$V$5:$V$76,'统计计数'!$B$5:$B$76,"NC_H0")/$D13</x:f>
        <x:v>0.04994156718584748</x:v>
      </x:c>
      <x:c r="M13" s="14" t="n">
        <x:f>SUMIFS('统计计数'!$W$5:$W$76,'统计计数'!$B$5:$B$76,"NC_H0")/$D13</x:f>
        <x:v>0.05694345456268048</x:v>
      </x:c>
      <x:c r="N13" s="14" t="n">
        <x:f>SUMIFS('统计计数'!$X$5:$X$76,'统计计数'!$B$5:$B$76,"NC_H0")/$D13</x:f>
        <x:v>0</x:v>
      </x:c>
    </x:row>
    <x:row r="14" ht="23" customHeight="1">
      <x:c r="A14" s="12" t="str">
        <x:v>ALL</x:v>
      </x:c>
      <x:c r="B14" s="12" t="str">
        <x:v>NC</x:v>
      </x:c>
      <x:c r="C14" s="12" t="str">
        <x:v>H1</x:v>
      </x:c>
      <x:c r="D14" s="11" t="n">
        <x:f>SUMIFS('统计计数'!$D$5:$D$76,'统计计数'!$B$5:$B$76,"NC_H1")</x:f>
        <x:v>40794715</x:v>
      </x:c>
      <x:c r="E14" s="14" t="n">
        <x:f>SUMIFS('统计计数'!$O$5:$O$76,'统计计数'!$B$5:$B$76,"NC_H1")/$D14</x:f>
        <x:v>0</x:v>
      </x:c>
      <x:c r="F14" s="14" t="n">
        <x:f>SUMIFS('统计计数'!$P$5:$P$76,'统计计数'!$B$5:$B$76,"NC_H1")/$D14</x:f>
        <x:v>0.13854922138811362</x:v>
      </x:c>
      <x:c r="G14" s="14" t="n">
        <x:f>SUMIFS('统计计数'!$Q$5:$Q$76,'统计计数'!$B$5:$B$76,"NC_H1")/$D14</x:f>
        <x:v>0</x:v>
      </x:c>
      <x:c r="H14" s="14" t="n">
        <x:f>SUMIFS('统计计数'!$R$5:$R$76,'统计计数'!$B$5:$B$76,"NC_H1")/$D14</x:f>
        <x:v>0</x:v>
      </x:c>
      <x:c r="I14" s="14" t="n">
        <x:f>SUMIFS('统计计数'!$S$5:$S$76,'统计计数'!$B$5:$B$76,"NC_H1")/$D14</x:f>
        <x:v>0.3623785090789334</x:v>
      </x:c>
      <x:c r="J14" s="14" t="n">
        <x:f>SUMIFS('统计计数'!$T$5:$T$76,'统计计数'!$B$5:$B$76,"NC_H1")/$D14</x:f>
        <x:v>0.005566554393136464</x:v>
      </x:c>
      <x:c r="K14" s="14" t="n">
        <x:f>SUMIFS('统计计数'!$U$5:$U$76,'统计计数'!$B$5:$B$76,"NC_H1")/$D14</x:f>
        <x:v>0.3866206933912886</x:v>
      </x:c>
      <x:c r="L14" s="14" t="n">
        <x:f>SUMIFS('统计计数'!$V$5:$V$76,'统计计数'!$B$5:$B$76,"NC_H1")/$D14</x:f>
        <x:v>0.04994156718584748</x:v>
      </x:c>
      <x:c r="M14" s="14" t="n">
        <x:f>SUMIFS('统计计数'!$W$5:$W$76,'统计计数'!$B$5:$B$76,"NC_H1")/$D14</x:f>
        <x:v>0.05694345456268048</x:v>
      </x:c>
      <x:c r="N14" s="14" t="n">
        <x:f>SUMIFS('统计计数'!$X$5:$X$76,'统计计数'!$B$5:$B$76,"NC_H1")/$D14</x:f>
        <x:v>0</x:v>
      </x:c>
    </x:row>
    <x:row r="15" ht="23" customHeight="1">
      <x:c r="A15" s="12" t="str">
        <x:v>ALL</x:v>
      </x:c>
      <x:c r="B15" s="12" t="str">
        <x:v>NCG</x:v>
      </x:c>
      <x:c r="C15" s="12" t="str">
        <x:v>H0</x:v>
      </x:c>
      <x:c r="D15" s="11" t="n">
        <x:f>SUMIFS('统计计数'!$D$5:$D$76,'统计计数'!$B$5:$B$76,"NCG_H0")</x:f>
        <x:v>40794715</x:v>
      </x:c>
      <x:c r="E15" s="14" t="n">
        <x:f>SUMIFS('统计计数'!$O$5:$O$76,'统计计数'!$B$5:$B$76,"NCG_H0")/$D15</x:f>
        <x:v>0</x:v>
      </x:c>
      <x:c r="F15" s="14" t="n">
        <x:f>SUMIFS('统计计数'!$P$5:$P$76,'统计计数'!$B$5:$B$76,"NCG_H0")/$D15</x:f>
        <x:v>0.03733150237720744</x:v>
      </x:c>
      <x:c r="G15" s="14" t="n">
        <x:f>SUMIFS('统计计数'!$Q$5:$Q$76,'统计计数'!$B$5:$B$76,"NCG_H0")/$D15</x:f>
        <x:v>0</x:v>
      </x:c>
      <x:c r="H15" s="14" t="n">
        <x:f>SUMIFS('统计计数'!$R$5:$R$76,'统计计数'!$B$5:$B$76,"NCG_H0")/$D15</x:f>
        <x:v>0</x:v>
      </x:c>
      <x:c r="I15" s="14" t="n">
        <x:f>SUMIFS('统计计数'!$S$5:$S$76,'统计计数'!$B$5:$B$76,"NCG_H0")/$D15</x:f>
        <x:v>0.11194312792723272</x:v>
      </x:c>
      <x:c r="J15" s="14" t="n">
        <x:f>SUMIFS('统计计数'!$T$5:$T$76,'统计计数'!$B$5:$B$76,"NCG_H0")/$D15</x:f>
        <x:v>0.3573354538694534</x:v>
      </x:c>
      <x:c r="K15" s="14" t="n">
        <x:f>SUMIFS('统计计数'!$U$5:$U$76,'统计计数'!$B$5:$B$76,"NCG_H0")/$D15</x:f>
        <x:v>0.38650489407757843</x:v>
      </x:c>
      <x:c r="L15" s="14" t="n">
        <x:f>SUMIFS('统计计数'!$V$5:$V$76,'统计计数'!$B$5:$B$76,"NCG_H0")/$D15</x:f>
        <x:v>0.04994156718584748</x:v>
      </x:c>
      <x:c r="M15" s="14" t="n">
        <x:f>SUMIFS('统计计数'!$W$5:$W$76,'统计计数'!$B$5:$B$76,"NCG_H0")/$D15</x:f>
        <x:v>0.05694345456268048</x:v>
      </x:c>
      <x:c r="N15" s="14" t="n">
        <x:f>SUMIFS('统计计数'!$X$5:$X$76,'统计计数'!$B$5:$B$76,"NCG_H0")/$D15</x:f>
        <x:v>0</x:v>
      </x:c>
    </x:row>
    <x:row r="16" ht="23" customHeight="1">
      <x:c r="A16" s="12" t="str">
        <x:v>ALL</x:v>
      </x:c>
      <x:c r="B16" s="12" t="str">
        <x:v>NCG</x:v>
      </x:c>
      <x:c r="C16" s="12" t="str">
        <x:v>H1</x:v>
      </x:c>
      <x:c r="D16" s="11" t="n">
        <x:f>SUMIFS('统计计数'!$D$5:$D$76,'统计计数'!$B$5:$B$76,"NCG_H1")</x:f>
        <x:v>40794715</x:v>
      </x:c>
      <x:c r="E16" s="14" t="n">
        <x:f>SUMIFS('统计计数'!$O$5:$O$76,'统计计数'!$B$5:$B$76,"NCG_H1")/$D16</x:f>
        <x:v>0</x:v>
      </x:c>
      <x:c r="F16" s="14" t="n">
        <x:f>SUMIFS('统计计数'!$P$5:$P$76,'统计计数'!$B$5:$B$76,"NCG_H1")/$D16</x:f>
        <x:v>0.031242331267665433</x:v>
      </x:c>
      <x:c r="G16" s="14" t="n">
        <x:f>SUMIFS('统计计数'!$Q$5:$Q$76,'统计计数'!$B$5:$B$76,"NCG_H1")/$D16</x:f>
        <x:v>0</x:v>
      </x:c>
      <x:c r="H16" s="14" t="n">
        <x:f>SUMIFS('统计计数'!$R$5:$R$76,'统计计数'!$B$5:$B$76,"NCG_H1")/$D16</x:f>
        <x:v>0</x:v>
      </x:c>
      <x:c r="I16" s="14" t="n">
        <x:f>SUMIFS('统计计数'!$S$5:$S$76,'统计计数'!$B$5:$B$76,"NCG_H1")/$D16</x:f>
        <x:v>0.11699912598972685</x:v>
      </x:c>
      <x:c r="J16" s="14" t="n">
        <x:f>SUMIFS('统计计数'!$T$5:$T$76,'统计计数'!$B$5:$B$76,"NCG_H1")/$D16</x:f>
        <x:v>0.3582528276027912</x:v>
      </x:c>
      <x:c r="K16" s="14" t="n">
        <x:f>SUMIFS('统计计数'!$U$5:$U$76,'统计计数'!$B$5:$B$76,"NCG_H1")/$D16</x:f>
        <x:v>0.3866206933912886</x:v>
      </x:c>
      <x:c r="L16" s="14" t="n">
        <x:f>SUMIFS('统计计数'!$V$5:$V$76,'统计计数'!$B$5:$B$76,"NCG_H1")/$D16</x:f>
        <x:v>0.04994156718584748</x:v>
      </x:c>
      <x:c r="M16" s="14" t="n">
        <x:f>SUMIFS('统计计数'!$W$5:$W$76,'统计计数'!$B$5:$B$76,"NCG_H1")/$D16</x:f>
        <x:v>0.05694345456268048</x:v>
      </x:c>
      <x:c r="N16" s="14" t="n">
        <x:f>SUMIFS('统计计数'!$X$5:$X$76,'统计计数'!$B$5:$B$76,"NCG_H1")/$D16</x:f>
        <x:v>0</x:v>
      </x:c>
    </x:row>
    <x:row r="17" ht="23" customHeight="1">
      <x:c r="A17" s="12" t="str">
        <x:v>a</x:v>
      </x:c>
      <x:c r="B17" s="12" t="str">
        <x:v>N</x:v>
      </x:c>
      <x:c r="C17" s="12" t="str">
        <x:v>H0</x:v>
      </x:c>
      <x:c r="D17" s="11" t="n">
        <x:f>SUMIFS('统计计数'!$D$5:$D$76,'统计计数'!$B$5:$B$76,"N_H0",'统计计数'!$A$5:$A$76,"a")</x:f>
        <x:v>5469879</x:v>
      </x:c>
      <x:c r="E17" s="14" t="n">
        <x:f>SUMIFS('统计计数'!$O$5:$O$76,'统计计数'!$B$5:$B$76,"N_H0",'统计计数'!$A$5:$A$76,"a")/$D17</x:f>
        <x:v>0</x:v>
      </x:c>
      <x:c r="F17" s="14" t="n">
        <x:f>SUMIFS('统计计数'!$P$5:$P$76,'统计计数'!$B$5:$B$76,"N_H0",'统计计数'!$A$5:$A$76,"a")/$D17</x:f>
        <x:v>0.03163324088156246</x:v>
      </x:c>
      <x:c r="G17" s="14" t="n">
        <x:f>SUMIFS('统计计数'!$Q$5:$Q$76,'统计计数'!$B$5:$B$76,"N_H0",'统计计数'!$A$5:$A$76,"a")/$D17</x:f>
        <x:v>0</x:v>
      </x:c>
      <x:c r="H17" s="14" t="n">
        <x:f>SUMIFS('统计计数'!$R$5:$R$76,'统计计数'!$B$5:$B$76,"N_H0",'统计计数'!$A$5:$A$76,"a")/$D17</x:f>
        <x:v>0</x:v>
      </x:c>
      <x:c r="I17" s="14" t="n">
        <x:f>SUMIFS('统计计数'!$S$5:$S$76,'统计计数'!$B$5:$B$76,"N_H0",'统计计数'!$A$5:$A$76,"a")/$D17</x:f>
        <x:v>0.3995892779346673</x:v>
      </x:c>
      <x:c r="J17" s="14" t="n">
        <x:f>SUMIFS('统计计数'!$T$5:$T$76,'统计计数'!$B$5:$B$76,"N_H0",'统计计数'!$A$5:$A$76,"a")/$D17</x:f>
        <x:v>0.002427841639641389</x:v>
      </x:c>
      <x:c r="K17" s="14" t="n">
        <x:f>SUMIFS('统计计数'!$U$5:$U$76,'统计计数'!$B$5:$B$76,"N_H0",'统计计数'!$A$5:$A$76,"a")/$D17</x:f>
        <x:v>0.5185215248819947</x:v>
      </x:c>
      <x:c r="L17" s="14" t="n">
        <x:f>SUMIFS('统计计数'!$V$5:$V$76,'统计计数'!$B$5:$B$76,"N_H0",'统计计数'!$A$5:$A$76,"a")/$D17</x:f>
        <x:v>0.01436777669122114</x:v>
      </x:c>
      <x:c r="M17" s="14" t="n">
        <x:f>SUMIFS('统计计数'!$W$5:$W$76,'统计计数'!$B$5:$B$76,"N_H0",'统计计数'!$A$5:$A$76,"a")/$D17</x:f>
        <x:v>0.033460337970913065</x:v>
      </x:c>
      <x:c r="N17" s="14" t="n">
        <x:f>SUMIFS('统计计数'!$X$5:$X$76,'统计计数'!$B$5:$B$76,"N_H0",'统计计数'!$A$5:$A$76,"a")/$D17</x:f>
        <x:v>0</x:v>
      </x:c>
    </x:row>
    <x:row r="18" ht="23" customHeight="1">
      <x:c r="A18" s="12" t="str">
        <x:v>a</x:v>
      </x:c>
      <x:c r="B18" s="12" t="str">
        <x:v>N</x:v>
      </x:c>
      <x:c r="C18" s="12" t="str">
        <x:v>H1</x:v>
      </x:c>
      <x:c r="D18" s="11" t="n">
        <x:f>SUMIFS('统计计数'!$D$5:$D$76,'统计计数'!$B$5:$B$76,"N_H1",'统计计数'!$A$5:$A$76,"a")</x:f>
        <x:v>5469879</x:v>
      </x:c>
      <x:c r="E18" s="14" t="n">
        <x:f>SUMIFS('统计计数'!$O$5:$O$76,'统计计数'!$B$5:$B$76,"N_H1",'统计计数'!$A$5:$A$76,"a")/$D18</x:f>
        <x:v>0</x:v>
      </x:c>
      <x:c r="F18" s="14" t="n">
        <x:f>SUMIFS('统计计数'!$P$5:$P$76,'统计计数'!$B$5:$B$76,"N_H1",'统计计数'!$A$5:$A$76,"a")/$D18</x:f>
        <x:v>0.03163324088156246</x:v>
      </x:c>
      <x:c r="G18" s="14" t="n">
        <x:f>SUMIFS('统计计数'!$Q$5:$Q$76,'统计计数'!$B$5:$B$76,"N_H1",'统计计数'!$A$5:$A$76,"a")/$D18</x:f>
        <x:v>0</x:v>
      </x:c>
      <x:c r="H18" s="14" t="n">
        <x:f>SUMIFS('统计计数'!$R$5:$R$76,'统计计数'!$B$5:$B$76,"N_H1",'统计计数'!$A$5:$A$76,"a")/$D18</x:f>
        <x:v>0</x:v>
      </x:c>
      <x:c r="I18" s="14" t="n">
        <x:f>SUMIFS('统计计数'!$S$5:$S$76,'统计计数'!$B$5:$B$76,"N_H1",'统计计数'!$A$5:$A$76,"a")/$D18</x:f>
        <x:v>0.3995892779346673</x:v>
      </x:c>
      <x:c r="J18" s="14" t="n">
        <x:f>SUMIFS('统计计数'!$T$5:$T$76,'统计计数'!$B$5:$B$76,"N_H1",'统计计数'!$A$5:$A$76,"a")/$D18</x:f>
        <x:v>0.002427841639641389</x:v>
      </x:c>
      <x:c r="K18" s="14" t="n">
        <x:f>SUMIFS('统计计数'!$U$5:$U$76,'统计计数'!$B$5:$B$76,"N_H1",'统计计数'!$A$5:$A$76,"a")/$D18</x:f>
        <x:v>0.5185215248819947</x:v>
      </x:c>
      <x:c r="L18" s="14" t="n">
        <x:f>SUMIFS('统计计数'!$V$5:$V$76,'统计计数'!$B$5:$B$76,"N_H1",'统计计数'!$A$5:$A$76,"a")/$D18</x:f>
        <x:v>0.01436777669122114</x:v>
      </x:c>
      <x:c r="M18" s="14" t="n">
        <x:f>SUMIFS('统计计数'!$W$5:$W$76,'统计计数'!$B$5:$B$76,"N_H1",'统计计数'!$A$5:$A$76,"a")/$D18</x:f>
        <x:v>0.033460337970913065</x:v>
      </x:c>
      <x:c r="N18" s="14" t="n">
        <x:f>SUMIFS('统计计数'!$X$5:$X$76,'统计计数'!$B$5:$B$76,"N_H1",'统计计数'!$A$5:$A$76,"a")/$D18</x:f>
        <x:v>0</x:v>
      </x:c>
    </x:row>
    <x:row r="19" ht="23" customHeight="1">
      <x:c r="A19" s="12" t="str">
        <x:v>a</x:v>
      </x:c>
      <x:c r="B19" s="12" t="str">
        <x:v>C</x:v>
      </x:c>
      <x:c r="C19" s="12" t="str">
        <x:v>H0</x:v>
      </x:c>
      <x:c r="D19" s="11" t="n">
        <x:f>SUMIFS('统计计数'!$D$5:$D$76,'统计计数'!$B$5:$B$76,"C_H0",'统计计数'!$A$5:$A$76,"a")</x:f>
        <x:v>5469879</x:v>
      </x:c>
      <x:c r="E19" s="14" t="n">
        <x:f>SUMIFS('统计计数'!$O$5:$O$76,'统计计数'!$B$5:$B$76,"C_H0",'统计计数'!$A$5:$A$76,"a")/$D19</x:f>
        <x:v>0</x:v>
      </x:c>
      <x:c r="F19" s="14" t="n">
        <x:f>SUMIFS('统计计数'!$P$5:$P$76,'统计计数'!$B$5:$B$76,"C_H0",'统计计数'!$A$5:$A$76,"a")/$D19</x:f>
        <x:v>0.1696026548302074</x:v>
      </x:c>
      <x:c r="G19" s="14" t="n">
        <x:f>SUMIFS('统计计数'!$Q$5:$Q$76,'统计计数'!$B$5:$B$76,"C_H0",'统计计数'!$A$5:$A$76,"a")/$D19</x:f>
        <x:v>0</x:v>
      </x:c>
      <x:c r="H19" s="14" t="n">
        <x:f>SUMIFS('统计计数'!$R$5:$R$76,'统计计数'!$B$5:$B$76,"C_H0",'统计计数'!$A$5:$A$76,"a")/$D19</x:f>
        <x:v>0</x:v>
      </x:c>
      <x:c r="I19" s="14" t="n">
        <x:f>SUMIFS('统计计数'!$S$5:$S$76,'统计计数'!$B$5:$B$76,"C_H0",'统计计数'!$A$5:$A$76,"a")/$D19</x:f>
        <x:v>0.8287804903911037</x:v>
      </x:c>
      <x:c r="J19" s="14" t="n">
        <x:f>SUMIFS('统计计数'!$T$5:$T$76,'统计计数'!$B$5:$B$76,"C_H0",'统计计数'!$A$5:$A$76,"a")/$D19</x:f>
        <x:v>0</x:v>
      </x:c>
      <x:c r="K19" s="14" t="n">
        <x:f>SUMIFS('统计计数'!$U$5:$U$76,'统计计数'!$B$5:$B$76,"C_H0",'统计计数'!$A$5:$A$76,"a")/$D19</x:f>
        <x:v>0</x:v>
      </x:c>
      <x:c r="L19" s="14" t="n">
        <x:f>SUMIFS('统计计数'!$V$5:$V$76,'统计计数'!$B$5:$B$76,"C_H0",'统计计数'!$A$5:$A$76,"a")/$D19</x:f>
        <x:v>0</x:v>
      </x:c>
      <x:c r="M19" s="14" t="n">
        <x:f>SUMIFS('统计计数'!$W$5:$W$76,'统计计数'!$B$5:$B$76,"C_H0",'统计计数'!$A$5:$A$76,"a")/$D19</x:f>
        <x:v>0.0016168547786888888</x:v>
      </x:c>
      <x:c r="N19" s="14" t="n">
        <x:f>SUMIFS('统计计数'!$X$5:$X$76,'统计计数'!$B$5:$B$76,"C_H0",'统计计数'!$A$5:$A$76,"a")/$D19</x:f>
        <x:v>0</x:v>
      </x:c>
    </x:row>
    <x:row r="20" ht="23" customHeight="1">
      <x:c r="A20" s="12" t="str">
        <x:v>a</x:v>
      </x:c>
      <x:c r="B20" s="12" t="str">
        <x:v>C</x:v>
      </x:c>
      <x:c r="C20" s="12" t="str">
        <x:v>H1</x:v>
      </x:c>
      <x:c r="D20" s="11" t="n">
        <x:f>SUMIFS('统计计数'!$D$5:$D$76,'统计计数'!$B$5:$B$76,"C_H1",'统计计数'!$A$5:$A$76,"a")</x:f>
        <x:v>5469879</x:v>
      </x:c>
      <x:c r="E20" s="14" t="n">
        <x:f>SUMIFS('统计计数'!$O$5:$O$76,'统计计数'!$B$5:$B$76,"C_H1",'统计计数'!$A$5:$A$76,"a")/$D20</x:f>
        <x:v>0</x:v>
      </x:c>
      <x:c r="F20" s="14" t="n">
        <x:f>SUMIFS('统计计数'!$P$5:$P$76,'统计计数'!$B$5:$B$76,"C_H1",'统计计数'!$A$5:$A$76,"a")/$D20</x:f>
        <x:v>0.1696026548302074</x:v>
      </x:c>
      <x:c r="G20" s="14" t="n">
        <x:f>SUMIFS('统计计数'!$Q$5:$Q$76,'统计计数'!$B$5:$B$76,"C_H1",'统计计数'!$A$5:$A$76,"a")/$D20</x:f>
        <x:v>0</x:v>
      </x:c>
      <x:c r="H20" s="14" t="n">
        <x:f>SUMIFS('统计计数'!$R$5:$R$76,'统计计数'!$B$5:$B$76,"C_H1",'统计计数'!$A$5:$A$76,"a")/$D20</x:f>
        <x:v>0</x:v>
      </x:c>
      <x:c r="I20" s="14" t="n">
        <x:f>SUMIFS('统计计数'!$S$5:$S$76,'统计计数'!$B$5:$B$76,"C_H1",'统计计数'!$A$5:$A$76,"a")/$D20</x:f>
        <x:v>0.8287804903911037</x:v>
      </x:c>
      <x:c r="J20" s="14" t="n">
        <x:f>SUMIFS('统计计数'!$T$5:$T$76,'统计计数'!$B$5:$B$76,"C_H1",'统计计数'!$A$5:$A$76,"a")/$D20</x:f>
        <x:v>0</x:v>
      </x:c>
      <x:c r="K20" s="14" t="n">
        <x:f>SUMIFS('统计计数'!$U$5:$U$76,'统计计数'!$B$5:$B$76,"C_H1",'统计计数'!$A$5:$A$76,"a")/$D20</x:f>
        <x:v>0</x:v>
      </x:c>
      <x:c r="L20" s="14" t="n">
        <x:f>SUMIFS('统计计数'!$V$5:$V$76,'统计计数'!$B$5:$B$76,"C_H1",'统计计数'!$A$5:$A$76,"a")/$D20</x:f>
        <x:v>0</x:v>
      </x:c>
      <x:c r="M20" s="14" t="n">
        <x:f>SUMIFS('统计计数'!$W$5:$W$76,'统计计数'!$B$5:$B$76,"C_H1",'统计计数'!$A$5:$A$76,"a")/$D20</x:f>
        <x:v>0.0016168547786888888</x:v>
      </x:c>
      <x:c r="N20" s="14" t="n">
        <x:f>SUMIFS('统计计数'!$X$5:$X$76,'统计计数'!$B$5:$B$76,"C_H1",'统计计数'!$A$5:$A$76,"a")/$D20</x:f>
        <x:v>0</x:v>
      </x:c>
    </x:row>
    <x:row r="21" ht="23" customHeight="1">
      <x:c r="A21" s="12" t="str">
        <x:v>a</x:v>
      </x:c>
      <x:c r="B21" s="12" t="str">
        <x:v>NG</x:v>
      </x:c>
      <x:c r="C21" s="12" t="str">
        <x:v>H0</x:v>
      </x:c>
      <x:c r="D21" s="11" t="n">
        <x:f>SUMIFS('统计计数'!$D$5:$D$76,'统计计数'!$B$5:$B$76,"NG_H0",'统计计数'!$A$5:$A$76,"a")</x:f>
        <x:v>5469879</x:v>
      </x:c>
      <x:c r="E21" s="14" t="n">
        <x:f>SUMIFS('统计计数'!$O$5:$O$76,'统计计数'!$B$5:$B$76,"NG_H0",'统计计数'!$A$5:$A$76,"a")/$D21</x:f>
        <x:v>0</x:v>
      </x:c>
      <x:c r="F21" s="14" t="n">
        <x:f>SUMIFS('统计计数'!$P$5:$P$76,'统计计数'!$B$5:$B$76,"NG_H0",'统计计数'!$A$5:$A$76,"a")/$D21</x:f>
        <x:v>0.018001860735859056</x:v>
      </x:c>
      <x:c r="G21" s="14" t="n">
        <x:f>SUMIFS('统计计数'!$Q$5:$Q$76,'统计计数'!$B$5:$B$76,"NG_H0",'统计计数'!$A$5:$A$76,"a")/$D21</x:f>
        <x:v>0</x:v>
      </x:c>
      <x:c r="H21" s="14" t="n">
        <x:f>SUMIFS('统计计数'!$R$5:$R$76,'统计计数'!$B$5:$B$76,"NG_H0",'统计计数'!$A$5:$A$76,"a")/$D21</x:f>
        <x:v>0</x:v>
      </x:c>
      <x:c r="I21" s="14" t="n">
        <x:f>SUMIFS('统计计数'!$S$5:$S$76,'统计计数'!$B$5:$B$76,"NG_H0",'统计计数'!$A$5:$A$76,"a")/$D21</x:f>
        <x:v>0.10908760504574233</x:v>
      </x:c>
      <x:c r="J21" s="14" t="n">
        <x:f>SUMIFS('统计计数'!$T$5:$T$76,'统计计数'!$B$5:$B$76,"NG_H0",'统计计数'!$A$5:$A$76,"a")/$D21</x:f>
        <x:v>0.3065608946742698</x:v>
      </x:c>
      <x:c r="K21" s="14" t="n">
        <x:f>SUMIFS('统计计数'!$U$5:$U$76,'统计计数'!$B$5:$B$76,"NG_H0",'统计计数'!$A$5:$A$76,"a")/$D21</x:f>
        <x:v>0.5185215248819947</x:v>
      </x:c>
      <x:c r="L21" s="14" t="n">
        <x:f>SUMIFS('统计计数'!$V$5:$V$76,'统计计数'!$B$5:$B$76,"NG_H0",'统计计数'!$A$5:$A$76,"a")/$D21</x:f>
        <x:v>0.01436777669122114</x:v>
      </x:c>
      <x:c r="M21" s="14" t="n">
        <x:f>SUMIFS('统计计数'!$W$5:$W$76,'统计计数'!$B$5:$B$76,"NG_H0",'统计计数'!$A$5:$A$76,"a")/$D21</x:f>
        <x:v>0.033460337970913065</x:v>
      </x:c>
      <x:c r="N21" s="14" t="n">
        <x:f>SUMIFS('统计计数'!$X$5:$X$76,'统计计数'!$B$5:$B$76,"NG_H0",'统计计数'!$A$5:$A$76,"a")/$D21</x:f>
        <x:v>0</x:v>
      </x:c>
    </x:row>
    <x:row r="22" ht="23" customHeight="1">
      <x:c r="A22" s="12" t="str">
        <x:v>a</x:v>
      </x:c>
      <x:c r="B22" s="12" t="str">
        <x:v>NG</x:v>
      </x:c>
      <x:c r="C22" s="12" t="str">
        <x:v>H1</x:v>
      </x:c>
      <x:c r="D22" s="11" t="n">
        <x:f>SUMIFS('统计计数'!$D$5:$D$76,'统计计数'!$B$5:$B$76,"NG_H1",'统计计数'!$A$5:$A$76,"a")</x:f>
        <x:v>5469879</x:v>
      </x:c>
      <x:c r="E22" s="14" t="n">
        <x:f>SUMIFS('统计计数'!$O$5:$O$76,'统计计数'!$B$5:$B$76,"NG_H1",'统计计数'!$A$5:$A$76,"a")/$D22</x:f>
        <x:v>0</x:v>
      </x:c>
      <x:c r="F22" s="14" t="n">
        <x:f>SUMIFS('统计计数'!$P$5:$P$76,'统计计数'!$B$5:$B$76,"NG_H1",'统计计数'!$A$5:$A$76,"a")/$D22</x:f>
        <x:v>0.018001860735859056</x:v>
      </x:c>
      <x:c r="G22" s="14" t="n">
        <x:f>SUMIFS('统计计数'!$Q$5:$Q$76,'统计计数'!$B$5:$B$76,"NG_H1",'统计计数'!$A$5:$A$76,"a")/$D22</x:f>
        <x:v>0</x:v>
      </x:c>
      <x:c r="H22" s="14" t="n">
        <x:f>SUMIFS('统计计数'!$R$5:$R$76,'统计计数'!$B$5:$B$76,"NG_H1",'统计计数'!$A$5:$A$76,"a")/$D22</x:f>
        <x:v>0</x:v>
      </x:c>
      <x:c r="I22" s="14" t="n">
        <x:f>SUMIFS('统计计数'!$S$5:$S$76,'统计计数'!$B$5:$B$76,"NG_H1",'统计计数'!$A$5:$A$76,"a")/$D22</x:f>
        <x:v>0.10908760504574233</x:v>
      </x:c>
      <x:c r="J22" s="14" t="n">
        <x:f>SUMIFS('统计计数'!$T$5:$T$76,'统计计数'!$B$5:$B$76,"NG_H1",'统计计数'!$A$5:$A$76,"a")/$D22</x:f>
        <x:v>0.3065608946742698</x:v>
      </x:c>
      <x:c r="K22" s="14" t="n">
        <x:f>SUMIFS('统计计数'!$U$5:$U$76,'统计计数'!$B$5:$B$76,"NG_H1",'统计计数'!$A$5:$A$76,"a")/$D22</x:f>
        <x:v>0.5185215248819947</x:v>
      </x:c>
      <x:c r="L22" s="14" t="n">
        <x:f>SUMIFS('统计计数'!$V$5:$V$76,'统计计数'!$B$5:$B$76,"NG_H1",'统计计数'!$A$5:$A$76,"a")/$D22</x:f>
        <x:v>0.01436777669122114</x:v>
      </x:c>
      <x:c r="M22" s="14" t="n">
        <x:f>SUMIFS('统计计数'!$W$5:$W$76,'统计计数'!$B$5:$B$76,"NG_H1",'统计计数'!$A$5:$A$76,"a")/$D22</x:f>
        <x:v>0.033460337970913065</x:v>
      </x:c>
      <x:c r="N22" s="14" t="n">
        <x:f>SUMIFS('统计计数'!$X$5:$X$76,'统计计数'!$B$5:$B$76,"NG_H1",'统计计数'!$A$5:$A$76,"a")/$D22</x:f>
        <x:v>0</x:v>
      </x:c>
    </x:row>
    <x:row r="23" ht="23" customHeight="1">
      <x:c r="A23" s="12" t="str">
        <x:v>a</x:v>
      </x:c>
      <x:c r="B23" s="12" t="str">
        <x:v>CG</x:v>
      </x:c>
      <x:c r="C23" s="12" t="str">
        <x:v>H0</x:v>
      </x:c>
      <x:c r="D23" s="11" t="n">
        <x:f>SUMIFS('统计计数'!$D$5:$D$76,'统计计数'!$B$5:$B$76,"CG_H0",'统计计数'!$A$5:$A$76,"a")</x:f>
        <x:v>5469879</x:v>
      </x:c>
      <x:c r="E23" s="14" t="n">
        <x:f>SUMIFS('统计计数'!$O$5:$O$76,'统计计数'!$B$5:$B$76,"CG_H0",'统计计数'!$A$5:$A$76,"a")/$D23</x:f>
        <x:v>0</x:v>
      </x:c>
      <x:c r="F23" s="14" t="n">
        <x:f>SUMIFS('统计计数'!$P$5:$P$76,'统计计数'!$B$5:$B$76,"CG_H0",'统计计数'!$A$5:$A$76,"a")/$D23</x:f>
        <x:v>0.03803740448371893</x:v>
      </x:c>
      <x:c r="G23" s="14" t="n">
        <x:f>SUMIFS('统计计数'!$Q$5:$Q$76,'统计计数'!$B$5:$B$76,"CG_H0",'统计计数'!$A$5:$A$76,"a")/$D23</x:f>
        <x:v>0</x:v>
      </x:c>
      <x:c r="H23" s="14" t="n">
        <x:f>SUMIFS('统计计数'!$R$5:$R$76,'统计计数'!$B$5:$B$76,"CG_H0",'统计计数'!$A$5:$A$76,"a")/$D23</x:f>
        <x:v>0</x:v>
      </x:c>
      <x:c r="I23" s="14" t="n">
        <x:f>SUMIFS('统计计数'!$S$5:$S$76,'统计计数'!$B$5:$B$76,"CG_H0",'统计计数'!$A$5:$A$76,"a")/$D23</x:f>
        <x:v>0.1334651095572681</x:v>
      </x:c>
      <x:c r="J23" s="14" t="n">
        <x:f>SUMIFS('统计计数'!$T$5:$T$76,'统计计数'!$B$5:$B$76,"CG_H0",'统计计数'!$A$5:$A$76,"a")/$D23</x:f>
        <x:v>0.8268806311803241</x:v>
      </x:c>
      <x:c r="K23" s="14" t="n">
        <x:f>SUMIFS('统计计数'!$U$5:$U$76,'统计计数'!$B$5:$B$76,"CG_H0",'统计计数'!$A$5:$A$76,"a")/$D23</x:f>
        <x:v>0</x:v>
      </x:c>
      <x:c r="L23" s="14" t="n">
        <x:f>SUMIFS('统计计数'!$V$5:$V$76,'统计计数'!$B$5:$B$76,"CG_H0",'统计计数'!$A$5:$A$76,"a")/$D23</x:f>
        <x:v>0</x:v>
      </x:c>
      <x:c r="M23" s="14" t="n">
        <x:f>SUMIFS('统计计数'!$W$5:$W$76,'统计计数'!$B$5:$B$76,"CG_H0",'统计计数'!$A$5:$A$76,"a")/$D23</x:f>
        <x:v>0.0016168547786888888</x:v>
      </x:c>
      <x:c r="N23" s="14" t="n">
        <x:f>SUMIFS('统计计数'!$X$5:$X$76,'统计计数'!$B$5:$B$76,"CG_H0",'统计计数'!$A$5:$A$76,"a")/$D23</x:f>
        <x:v>0</x:v>
      </x:c>
    </x:row>
    <x:row r="24" ht="23" customHeight="1">
      <x:c r="A24" s="12" t="str">
        <x:v>a</x:v>
      </x:c>
      <x:c r="B24" s="12" t="str">
        <x:v>CG</x:v>
      </x:c>
      <x:c r="C24" s="12" t="str">
        <x:v>H1</x:v>
      </x:c>
      <x:c r="D24" s="11" t="n">
        <x:f>SUMIFS('统计计数'!$D$5:$D$76,'统计计数'!$B$5:$B$76,"CG_H1",'统计计数'!$A$5:$A$76,"a")</x:f>
        <x:v>5469879</x:v>
      </x:c>
      <x:c r="E24" s="14" t="n">
        <x:f>SUMIFS('统计计数'!$O$5:$O$76,'统计计数'!$B$5:$B$76,"CG_H1",'统计计数'!$A$5:$A$76,"a")/$D24</x:f>
        <x:v>0</x:v>
      </x:c>
      <x:c r="F24" s="14" t="n">
        <x:f>SUMIFS('统计计数'!$P$5:$P$76,'统计计数'!$B$5:$B$76,"CG_H1",'统计计数'!$A$5:$A$76,"a")/$D24</x:f>
        <x:v>0.03803740448371893</x:v>
      </x:c>
      <x:c r="G24" s="14" t="n">
        <x:f>SUMIFS('统计计数'!$Q$5:$Q$76,'统计计数'!$B$5:$B$76,"CG_H1",'统计计数'!$A$5:$A$76,"a")/$D24</x:f>
        <x:v>0</x:v>
      </x:c>
      <x:c r="H24" s="14" t="n">
        <x:f>SUMIFS('统计计数'!$R$5:$R$76,'统计计数'!$B$5:$B$76,"CG_H1",'统计计数'!$A$5:$A$76,"a")/$D24</x:f>
        <x:v>0</x:v>
      </x:c>
      <x:c r="I24" s="14" t="n">
        <x:f>SUMIFS('统计计数'!$S$5:$S$76,'统计计数'!$B$5:$B$76,"CG_H1",'统计计数'!$A$5:$A$76,"a")/$D24</x:f>
        <x:v>0.1334651095572681</x:v>
      </x:c>
      <x:c r="J24" s="14" t="n">
        <x:f>SUMIFS('统计计数'!$T$5:$T$76,'统计计数'!$B$5:$B$76,"CG_H1",'统计计数'!$A$5:$A$76,"a")/$D24</x:f>
        <x:v>0.8268806311803241</x:v>
      </x:c>
      <x:c r="K24" s="14" t="n">
        <x:f>SUMIFS('统计计数'!$U$5:$U$76,'统计计数'!$B$5:$B$76,"CG_H1",'统计计数'!$A$5:$A$76,"a")/$D24</x:f>
        <x:v>0</x:v>
      </x:c>
      <x:c r="L24" s="14" t="n">
        <x:f>SUMIFS('统计计数'!$V$5:$V$76,'统计计数'!$B$5:$B$76,"CG_H1",'统计计数'!$A$5:$A$76,"a")/$D24</x:f>
        <x:v>0</x:v>
      </x:c>
      <x:c r="M24" s="14" t="n">
        <x:f>SUMIFS('统计计数'!$W$5:$W$76,'统计计数'!$B$5:$B$76,"CG_H1",'统计计数'!$A$5:$A$76,"a")/$D24</x:f>
        <x:v>0.0016168547786888888</x:v>
      </x:c>
      <x:c r="N24" s="14" t="n">
        <x:f>SUMIFS('统计计数'!$X$5:$X$76,'统计计数'!$B$5:$B$76,"CG_H1",'统计计数'!$A$5:$A$76,"a")/$D24</x:f>
        <x:v>0</x:v>
      </x:c>
    </x:row>
    <x:row r="25" ht="23" customHeight="1">
      <x:c r="A25" s="12" t="str">
        <x:v>a</x:v>
      </x:c>
      <x:c r="B25" s="12" t="str">
        <x:v>NC</x:v>
      </x:c>
      <x:c r="C25" s="12" t="str">
        <x:v>H0</x:v>
      </x:c>
      <x:c r="D25" s="11" t="n">
        <x:f>SUMIFS('统计计数'!$D$5:$D$76,'统计计数'!$B$5:$B$76,"NC_H0",'统计计数'!$A$5:$A$76,"a")</x:f>
        <x:v>5469879</x:v>
      </x:c>
      <x:c r="E25" s="14" t="n">
        <x:f>SUMIFS('统计计数'!$O$5:$O$76,'统计计数'!$B$5:$B$76,"NC_H0",'统计计数'!$A$5:$A$76,"a")/$D25</x:f>
        <x:v>0</x:v>
      </x:c>
      <x:c r="F25" s="14" t="n">
        <x:f>SUMIFS('统计计数'!$P$5:$P$76,'统计计数'!$B$5:$B$76,"NC_H0",'统计计数'!$A$5:$A$76,"a")/$D25</x:f>
        <x:v>0.15159055620791612</x:v>
      </x:c>
      <x:c r="G25" s="14" t="n">
        <x:f>SUMIFS('统计计数'!$Q$5:$Q$76,'统计计数'!$B$5:$B$76,"NC_H0",'统计计数'!$A$5:$A$76,"a")/$D25</x:f>
        <x:v>0</x:v>
      </x:c>
      <x:c r="H25" s="14" t="n">
        <x:f>SUMIFS('统计计数'!$R$5:$R$76,'统计计数'!$B$5:$B$76,"NC_H0",'统计计数'!$A$5:$A$76,"a")/$D25</x:f>
        <x:v>0</x:v>
      </x:c>
      <x:c r="I25" s="14" t="n">
        <x:f>SUMIFS('统计计数'!$S$5:$S$76,'统计计数'!$B$5:$B$76,"NC_H0",'统计计数'!$A$5:$A$76,"a")/$D25</x:f>
        <x:v>0.2970250347402566</x:v>
      </x:c>
      <x:c r="J25" s="14" t="n">
        <x:f>SUMIFS('统计计数'!$T$5:$T$76,'统计计数'!$B$5:$B$76,"NC_H0",'统计计数'!$A$5:$A$76,"a")/$D25</x:f>
        <x:v>0</x:v>
      </x:c>
      <x:c r="K25" s="14" t="n">
        <x:f>SUMIFS('统计计数'!$U$5:$U$76,'统计计数'!$B$5:$B$76,"NC_H0",'统计计数'!$A$5:$A$76,"a")/$D25</x:f>
        <x:v>0.5269268296428495</x:v>
      </x:c>
      <x:c r="L25" s="14" t="n">
        <x:f>SUMIFS('统计计数'!$V$5:$V$76,'统计计数'!$B$5:$B$76,"NC_H0",'统计计数'!$A$5:$A$76,"a")/$D25</x:f>
        <x:v>0.013261353678938785</x:v>
      </x:c>
      <x:c r="M25" s="14" t="n">
        <x:f>SUMIFS('统计计数'!$W$5:$W$76,'统计计数'!$B$5:$B$76,"NC_H0",'统计计数'!$A$5:$A$76,"a")/$D25</x:f>
        <x:v>0.011196225730039</x:v>
      </x:c>
      <x:c r="N25" s="14" t="n">
        <x:f>SUMIFS('统计计数'!$X$5:$X$76,'统计计数'!$B$5:$B$76,"NC_H0",'统计计数'!$A$5:$A$76,"a")/$D25</x:f>
        <x:v>0</x:v>
      </x:c>
    </x:row>
    <x:row r="26" ht="23" customHeight="1">
      <x:c r="A26" s="12" t="str">
        <x:v>a</x:v>
      </x:c>
      <x:c r="B26" s="12" t="str">
        <x:v>NC</x:v>
      </x:c>
      <x:c r="C26" s="12" t="str">
        <x:v>H1</x:v>
      </x:c>
      <x:c r="D26" s="11" t="n">
        <x:f>SUMIFS('统计计数'!$D$5:$D$76,'统计计数'!$B$5:$B$76,"NC_H1",'统计计数'!$A$5:$A$76,"a")</x:f>
        <x:v>5469879</x:v>
      </x:c>
      <x:c r="E26" s="14" t="n">
        <x:f>SUMIFS('统计计数'!$O$5:$O$76,'统计计数'!$B$5:$B$76,"NC_H1",'统计计数'!$A$5:$A$76,"a")/$D26</x:f>
        <x:v>0</x:v>
      </x:c>
      <x:c r="F26" s="14" t="n">
        <x:f>SUMIFS('统计计数'!$P$5:$P$76,'统计计数'!$B$5:$B$76,"NC_H1",'统计计数'!$A$5:$A$76,"a")/$D26</x:f>
        <x:v>0.15159055620791612</x:v>
      </x:c>
      <x:c r="G26" s="14" t="n">
        <x:f>SUMIFS('统计计数'!$Q$5:$Q$76,'统计计数'!$B$5:$B$76,"NC_H1",'统计计数'!$A$5:$A$76,"a")/$D26</x:f>
        <x:v>0</x:v>
      </x:c>
      <x:c r="H26" s="14" t="n">
        <x:f>SUMIFS('统计计数'!$R$5:$R$76,'统计计数'!$B$5:$B$76,"NC_H1",'统计计数'!$A$5:$A$76,"a")/$D26</x:f>
        <x:v>0</x:v>
      </x:c>
      <x:c r="I26" s="14" t="n">
        <x:f>SUMIFS('统计计数'!$S$5:$S$76,'统计计数'!$B$5:$B$76,"NC_H1",'统计计数'!$A$5:$A$76,"a")/$D26</x:f>
        <x:v>0.2970250347402566</x:v>
      </x:c>
      <x:c r="J26" s="14" t="n">
        <x:f>SUMIFS('统计计数'!$T$5:$T$76,'统计计数'!$B$5:$B$76,"NC_H1",'统计计数'!$A$5:$A$76,"a")/$D26</x:f>
        <x:v>0</x:v>
      </x:c>
      <x:c r="K26" s="14" t="n">
        <x:f>SUMIFS('统计计数'!$U$5:$U$76,'统计计数'!$B$5:$B$76,"NC_H1",'统计计数'!$A$5:$A$76,"a")/$D26</x:f>
        <x:v>0.5269268296428495</x:v>
      </x:c>
      <x:c r="L26" s="14" t="n">
        <x:f>SUMIFS('统计计数'!$V$5:$V$76,'统计计数'!$B$5:$B$76,"NC_H1",'统计计数'!$A$5:$A$76,"a")/$D26</x:f>
        <x:v>0.013261353678938785</x:v>
      </x:c>
      <x:c r="M26" s="14" t="n">
        <x:f>SUMIFS('统计计数'!$W$5:$W$76,'统计计数'!$B$5:$B$76,"NC_H1",'统计计数'!$A$5:$A$76,"a")/$D26</x:f>
        <x:v>0.011196225730039</x:v>
      </x:c>
      <x:c r="N26" s="14" t="n">
        <x:f>SUMIFS('统计计数'!$X$5:$X$76,'统计计数'!$B$5:$B$76,"NC_H1",'统计计数'!$A$5:$A$76,"a")/$D26</x:f>
        <x:v>0</x:v>
      </x:c>
    </x:row>
    <x:row r="27" ht="23" customHeight="1">
      <x:c r="A27" s="12" t="str">
        <x:v>a</x:v>
      </x:c>
      <x:c r="B27" s="12" t="str">
        <x:v>NCG</x:v>
      </x:c>
      <x:c r="C27" s="12" t="str">
        <x:v>H0</x:v>
      </x:c>
      <x:c r="D27" s="11" t="n">
        <x:f>SUMIFS('统计计数'!$D$5:$D$76,'统计计数'!$B$5:$B$76,"NCG_H0",'统计计数'!$A$5:$A$76,"a")</x:f>
        <x:v>5469879</x:v>
      </x:c>
      <x:c r="E27" s="14" t="n">
        <x:f>SUMIFS('统计计数'!$O$5:$O$76,'统计计数'!$B$5:$B$76,"NCG_H0",'统计计数'!$A$5:$A$76,"a")/$D27</x:f>
        <x:v>0</x:v>
      </x:c>
      <x:c r="F27" s="14" t="n">
        <x:f>SUMIFS('统计计数'!$P$5:$P$76,'统计计数'!$B$5:$B$76,"NCG_H0",'统计计数'!$A$5:$A$76,"a")/$D27</x:f>
        <x:v>0.027898606166608074</x:v>
      </x:c>
      <x:c r="G27" s="14" t="n">
        <x:f>SUMIFS('统计计数'!$Q$5:$Q$76,'统计计数'!$B$5:$B$76,"NCG_H0",'统计计数'!$A$5:$A$76,"a")/$D27</x:f>
        <x:v>0</x:v>
      </x:c>
      <x:c r="H27" s="14" t="n">
        <x:f>SUMIFS('统计计数'!$R$5:$R$76,'统计计数'!$B$5:$B$76,"NCG_H0",'统计计数'!$A$5:$A$76,"a")/$D27</x:f>
        <x:v>0</x:v>
      </x:c>
      <x:c r="I27" s="14" t="n">
        <x:f>SUMIFS('统计计数'!$S$5:$S$76,'统计计数'!$B$5:$B$76,"NCG_H0",'统计计数'!$A$5:$A$76,"a")/$D27</x:f>
        <x:v>0.1053303007251166</x:v>
      </x:c>
      <x:c r="J27" s="14" t="n">
        <x:f>SUMIFS('统计计数'!$T$5:$T$76,'统计计数'!$B$5:$B$76,"NCG_H0",'统计计数'!$A$5:$A$76,"a")/$D27</x:f>
        <x:v>0.31538668405644804</x:v>
      </x:c>
      <x:c r="K27" s="14" t="n">
        <x:f>SUMIFS('统计计数'!$U$5:$U$76,'统计计数'!$B$5:$B$76,"NCG_H0",'统计计数'!$A$5:$A$76,"a")/$D27</x:f>
        <x:v>0.5269268296428495</x:v>
      </x:c>
      <x:c r="L27" s="14" t="n">
        <x:f>SUMIFS('统计计数'!$V$5:$V$76,'统计计数'!$B$5:$B$76,"NCG_H0",'统计计数'!$A$5:$A$76,"a")/$D27</x:f>
        <x:v>0.013261353678938785</x:v>
      </x:c>
      <x:c r="M27" s="14" t="n">
        <x:f>SUMIFS('统计计数'!$W$5:$W$76,'统计计数'!$B$5:$B$76,"NCG_H0",'统计计数'!$A$5:$A$76,"a")/$D27</x:f>
        <x:v>0.011196225730039</x:v>
      </x:c>
      <x:c r="N27" s="14" t="n">
        <x:f>SUMIFS('统计计数'!$X$5:$X$76,'统计计数'!$B$5:$B$76,"NCG_H0",'统计计数'!$A$5:$A$76,"a")/$D27</x:f>
        <x:v>0</x:v>
      </x:c>
    </x:row>
    <x:row r="28" ht="23" customHeight="1">
      <x:c r="A28" s="12" t="str">
        <x:v>a</x:v>
      </x:c>
      <x:c r="B28" s="12" t="str">
        <x:v>NCG</x:v>
      </x:c>
      <x:c r="C28" s="12" t="str">
        <x:v>H1</x:v>
      </x:c>
      <x:c r="D28" s="11" t="n">
        <x:f>SUMIFS('统计计数'!$D$5:$D$76,'统计计数'!$B$5:$B$76,"NCG_H1",'统计计数'!$A$5:$A$76,"a")</x:f>
        <x:v>5469879</x:v>
      </x:c>
      <x:c r="E28" s="14" t="n">
        <x:f>SUMIFS('统计计数'!$O$5:$O$76,'统计计数'!$B$5:$B$76,"NCG_H1",'统计计数'!$A$5:$A$76,"a")/$D28</x:f>
        <x:v>0</x:v>
      </x:c>
      <x:c r="F28" s="14" t="n">
        <x:f>SUMIFS('统计计数'!$P$5:$P$76,'统计计数'!$B$5:$B$76,"NCG_H1",'统计计数'!$A$5:$A$76,"a")/$D28</x:f>
        <x:v>0.027898606166608074</x:v>
      </x:c>
      <x:c r="G28" s="14" t="n">
        <x:f>SUMIFS('统计计数'!$Q$5:$Q$76,'统计计数'!$B$5:$B$76,"NCG_H1",'统计计数'!$A$5:$A$76,"a")/$D28</x:f>
        <x:v>0</x:v>
      </x:c>
      <x:c r="H28" s="14" t="n">
        <x:f>SUMIFS('统计计数'!$R$5:$R$76,'统计计数'!$B$5:$B$76,"NCG_H1",'统计计数'!$A$5:$A$76,"a")/$D28</x:f>
        <x:v>0</x:v>
      </x:c>
      <x:c r="I28" s="14" t="n">
        <x:f>SUMIFS('统计计数'!$S$5:$S$76,'统计计数'!$B$5:$B$76,"NCG_H1",'统计计数'!$A$5:$A$76,"a")/$D28</x:f>
        <x:v>0.1053303007251166</x:v>
      </x:c>
      <x:c r="J28" s="14" t="n">
        <x:f>SUMIFS('统计计数'!$T$5:$T$76,'统计计数'!$B$5:$B$76,"NCG_H1",'统计计数'!$A$5:$A$76,"a")/$D28</x:f>
        <x:v>0.31538668405644804</x:v>
      </x:c>
      <x:c r="K28" s="14" t="n">
        <x:f>SUMIFS('统计计数'!$U$5:$U$76,'统计计数'!$B$5:$B$76,"NCG_H1",'统计计数'!$A$5:$A$76,"a")/$D28</x:f>
        <x:v>0.5269268296428495</x:v>
      </x:c>
      <x:c r="L28" s="14" t="n">
        <x:f>SUMIFS('统计计数'!$V$5:$V$76,'统计计数'!$B$5:$B$76,"NCG_H1",'统计计数'!$A$5:$A$76,"a")/$D28</x:f>
        <x:v>0.013261353678938785</x:v>
      </x:c>
      <x:c r="M28" s="14" t="n">
        <x:f>SUMIFS('统计计数'!$W$5:$W$76,'统计计数'!$B$5:$B$76,"NCG_H1",'统计计数'!$A$5:$A$76,"a")/$D28</x:f>
        <x:v>0.011196225730039</x:v>
      </x:c>
      <x:c r="N28" s="14" t="n">
        <x:f>SUMIFS('统计计数'!$X$5:$X$76,'统计计数'!$B$5:$B$76,"NCG_H1",'统计计数'!$A$5:$A$76,"a")/$D28</x:f>
        <x:v>0</x:v>
      </x:c>
    </x:row>
    <x:row r="29" ht="23" customHeight="1">
      <x:c r="A29" s="12" t="str">
        <x:v>b</x:v>
      </x:c>
      <x:c r="B29" s="12" t="str">
        <x:v>N</x:v>
      </x:c>
      <x:c r="C29" s="12" t="str">
        <x:v>H0</x:v>
      </x:c>
      <x:c r="D29" s="11" t="n">
        <x:f>SUMIFS('统计计数'!$D$5:$D$76,'统计计数'!$B$5:$B$76,"N_H0",'统计计数'!$A$5:$A$76,"b")</x:f>
        <x:v>3433060</x:v>
      </x:c>
      <x:c r="E29" s="14" t="n">
        <x:f>SUMIFS('统计计数'!$O$5:$O$76,'统计计数'!$B$5:$B$76,"N_H0",'统计计数'!$A$5:$A$76,"b")/$D29</x:f>
        <x:v>0</x:v>
      </x:c>
      <x:c r="F29" s="14" t="n">
        <x:f>SUMIFS('统计计数'!$P$5:$P$76,'统计计数'!$B$5:$B$76,"N_H0",'统计计数'!$A$5:$A$76,"b")/$D29</x:f>
        <x:v>0.023387881365312578</x:v>
      </x:c>
      <x:c r="G29" s="14" t="n">
        <x:f>SUMIFS('统计计数'!$Q$5:$Q$76,'统计计数'!$B$5:$B$76,"N_H0",'统计计数'!$A$5:$A$76,"b")/$D29</x:f>
        <x:v>0</x:v>
      </x:c>
      <x:c r="H29" s="14" t="n">
        <x:f>SUMIFS('统计计数'!$R$5:$R$76,'统计计数'!$B$5:$B$76,"N_H0",'统计计数'!$A$5:$A$76,"b")/$D29</x:f>
        <x:v>0</x:v>
      </x:c>
      <x:c r="I29" s="14" t="n">
        <x:f>SUMIFS('统计计数'!$S$5:$S$76,'统计计数'!$B$5:$B$76,"N_H0",'统计计数'!$A$5:$A$76,"b")/$D29</x:f>
        <x:v>0.4759479880922559</x:v>
      </x:c>
      <x:c r="J29" s="14" t="n">
        <x:f>SUMIFS('统计计数'!$T$5:$T$76,'统计计数'!$B$5:$B$76,"N_H0",'统计计数'!$A$5:$A$76,"b")/$D29</x:f>
        <x:v>0.019422322942214815</x:v>
      </x:c>
      <x:c r="K29" s="14" t="n">
        <x:f>SUMIFS('统计计数'!$U$5:$U$76,'统计计数'!$B$5:$B$76,"N_H0",'统计计数'!$A$5:$A$76,"b")/$D29</x:f>
        <x:v>0.2337209370066355</x:v>
      </x:c>
      <x:c r="L29" s="14" t="n">
        <x:f>SUMIFS('统计计数'!$V$5:$V$76,'统计计数'!$B$5:$B$76,"N_H0",'统计计数'!$A$5:$A$76,"b")/$D29</x:f>
        <x:v>0.07250441297268326</x:v>
      </x:c>
      <x:c r="M29" s="14" t="n">
        <x:f>SUMIFS('统计计数'!$W$5:$W$76,'统计计数'!$B$5:$B$76,"N_H0",'统计计数'!$A$5:$A$76,"b")/$D29</x:f>
        <x:v>0.17501645762089799</x:v>
      </x:c>
      <x:c r="N29" s="14" t="n">
        <x:f>SUMIFS('统计计数'!$X$5:$X$76,'统计计数'!$B$5:$B$76,"N_H0",'统计计数'!$A$5:$A$76,"b")/$D29</x:f>
        <x:v>0</x:v>
      </x:c>
    </x:row>
    <x:row r="30" ht="23" customHeight="1">
      <x:c r="A30" s="12" t="str">
        <x:v>b</x:v>
      </x:c>
      <x:c r="B30" s="12" t="str">
        <x:v>N</x:v>
      </x:c>
      <x:c r="C30" s="12" t="str">
        <x:v>H1</x:v>
      </x:c>
      <x:c r="D30" s="11" t="n">
        <x:f>SUMIFS('统计计数'!$D$5:$D$76,'统计计数'!$B$5:$B$76,"N_H1",'统计计数'!$A$5:$A$76,"b")</x:f>
        <x:v>3433060</x:v>
      </x:c>
      <x:c r="E30" s="14" t="n">
        <x:f>SUMIFS('统计计数'!$O$5:$O$76,'统计计数'!$B$5:$B$76,"N_H1",'统计计数'!$A$5:$A$76,"b")/$D30</x:f>
        <x:v>0</x:v>
      </x:c>
      <x:c r="F30" s="14" t="n">
        <x:f>SUMIFS('统计计数'!$P$5:$P$76,'统计计数'!$B$5:$B$76,"N_H1",'统计计数'!$A$5:$A$76,"b")/$D30</x:f>
        <x:v>0.0220176751935591</x:v>
      </x:c>
      <x:c r="G30" s="14" t="n">
        <x:f>SUMIFS('统计计数'!$Q$5:$Q$76,'统计计数'!$B$5:$B$76,"N_H1",'统计计数'!$A$5:$A$76,"b")/$D30</x:f>
        <x:v>0</x:v>
      </x:c>
      <x:c r="H30" s="14" t="n">
        <x:f>SUMIFS('统计计数'!$R$5:$R$76,'统计计数'!$B$5:$B$76,"N_H1",'统计计数'!$A$5:$A$76,"b")/$D30</x:f>
        <x:v>0</x:v>
      </x:c>
      <x:c r="I30" s="14" t="n">
        <x:f>SUMIFS('统计计数'!$S$5:$S$76,'统计计数'!$B$5:$B$76,"N_H1",'统计计数'!$A$5:$A$76,"b")/$D30</x:f>
        <x:v>0.47180591076182765</x:v>
      </x:c>
      <x:c r="J30" s="14" t="n">
        <x:f>SUMIFS('统计计数'!$T$5:$T$76,'统计计数'!$B$5:$B$76,"N_H1",'统计计数'!$A$5:$A$76,"b")/$D30</x:f>
        <x:v>0.024934606444396545</x:v>
      </x:c>
      <x:c r="K30" s="14" t="n">
        <x:f>SUMIFS('统计计数'!$U$5:$U$76,'统计计数'!$B$5:$B$76,"N_H1",'统计计数'!$A$5:$A$76,"b")/$D30</x:f>
        <x:v>0.2337209370066355</x:v>
      </x:c>
      <x:c r="L30" s="14" t="n">
        <x:f>SUMIFS('统计计数'!$V$5:$V$76,'统计计数'!$B$5:$B$76,"N_H1",'统计计数'!$A$5:$A$76,"b")/$D30</x:f>
        <x:v>0.07250441297268326</x:v>
      </x:c>
      <x:c r="M30" s="14" t="n">
        <x:f>SUMIFS('统计计数'!$W$5:$W$76,'统计计数'!$B$5:$B$76,"N_H1",'统计计数'!$A$5:$A$76,"b")/$D30</x:f>
        <x:v>0.17501645762089799</x:v>
      </x:c>
      <x:c r="N30" s="14" t="n">
        <x:f>SUMIFS('统计计数'!$X$5:$X$76,'统计计数'!$B$5:$B$76,"N_H1",'统计计数'!$A$5:$A$76,"b")/$D30</x:f>
        <x:v>0</x:v>
      </x:c>
    </x:row>
    <x:row r="31" ht="23" customHeight="1">
      <x:c r="A31" s="12" t="str">
        <x:v>b</x:v>
      </x:c>
      <x:c r="B31" s="12" t="str">
        <x:v>C</x:v>
      </x:c>
      <x:c r="C31" s="12" t="str">
        <x:v>H0</x:v>
      </x:c>
      <x:c r="D31" s="11" t="n">
        <x:f>SUMIFS('统计计数'!$D$5:$D$76,'统计计数'!$B$5:$B$76,"C_H0",'统计计数'!$A$5:$A$76,"b")</x:f>
        <x:v>3433060</x:v>
      </x:c>
      <x:c r="E31" s="14" t="n">
        <x:f>SUMIFS('统计计数'!$O$5:$O$76,'统计计数'!$B$5:$B$76,"C_H0",'统计计数'!$A$5:$A$76,"b")/$D31</x:f>
        <x:v>0</x:v>
      </x:c>
      <x:c r="F31" s="14" t="n">
        <x:f>SUMIFS('统计计数'!$P$5:$P$76,'统计计数'!$B$5:$B$76,"C_H0",'统计计数'!$A$5:$A$76,"b")/$D31</x:f>
        <x:v>0.21595602756724322</x:v>
      </x:c>
      <x:c r="G31" s="14" t="n">
        <x:f>SUMIFS('统计计数'!$Q$5:$Q$76,'统计计数'!$B$5:$B$76,"C_H0",'统计计数'!$A$5:$A$76,"b")/$D31</x:f>
        <x:v>0</x:v>
      </x:c>
      <x:c r="H31" s="14" t="n">
        <x:f>SUMIFS('统计计数'!$R$5:$R$76,'统计计数'!$B$5:$B$76,"C_H0",'统计计数'!$A$5:$A$76,"b")/$D31</x:f>
        <x:v>0</x:v>
      </x:c>
      <x:c r="I31" s="14" t="n">
        <x:f>SUMIFS('统计计数'!$S$5:$S$76,'统计计数'!$B$5:$B$76,"C_H0",'统计计数'!$A$5:$A$76,"b")/$D31</x:f>
        <x:v>0.7840439724327568</x:v>
      </x:c>
      <x:c r="J31" s="14" t="n">
        <x:f>SUMIFS('统计计数'!$T$5:$T$76,'统计计数'!$B$5:$B$76,"C_H0",'统计计数'!$A$5:$A$76,"b")/$D31</x:f>
        <x:v>0</x:v>
      </x:c>
      <x:c r="K31" s="14" t="n">
        <x:f>SUMIFS('统计计数'!$U$5:$U$76,'统计计数'!$B$5:$B$76,"C_H0",'统计计数'!$A$5:$A$76,"b")/$D31</x:f>
        <x:v>0</x:v>
      </x:c>
      <x:c r="L31" s="14" t="n">
        <x:f>SUMIFS('统计计数'!$V$5:$V$76,'统计计数'!$B$5:$B$76,"C_H0",'统计计数'!$A$5:$A$76,"b")/$D31</x:f>
        <x:v>0</x:v>
      </x:c>
      <x:c r="M31" s="14" t="n">
        <x:f>SUMIFS('统计计数'!$W$5:$W$76,'统计计数'!$B$5:$B$76,"C_H0",'统计计数'!$A$5:$A$76,"b")/$D31</x:f>
        <x:v>0</x:v>
      </x:c>
      <x:c r="N31" s="14" t="n">
        <x:f>SUMIFS('统计计数'!$X$5:$X$76,'统计计数'!$B$5:$B$76,"C_H0",'统计计数'!$A$5:$A$76,"b")/$D31</x:f>
        <x:v>0</x:v>
      </x:c>
    </x:row>
    <x:row r="32" ht="23" customHeight="1">
      <x:c r="A32" s="12" t="str">
        <x:v>b</x:v>
      </x:c>
      <x:c r="B32" s="12" t="str">
        <x:v>C</x:v>
      </x:c>
      <x:c r="C32" s="12" t="str">
        <x:v>H1</x:v>
      </x:c>
      <x:c r="D32" s="11" t="n">
        <x:f>SUMIFS('统计计数'!$D$5:$D$76,'统计计数'!$B$5:$B$76,"C_H1",'统计计数'!$A$5:$A$76,"b")</x:f>
        <x:v>3433060</x:v>
      </x:c>
      <x:c r="E32" s="14" t="n">
        <x:f>SUMIFS('统计计数'!$O$5:$O$76,'统计计数'!$B$5:$B$76,"C_H1",'统计计数'!$A$5:$A$76,"b")/$D32</x:f>
        <x:v>0</x:v>
      </x:c>
      <x:c r="F32" s="14" t="n">
        <x:f>SUMIFS('统计计数'!$P$5:$P$76,'统计计数'!$B$5:$B$76,"C_H1",'统计计数'!$A$5:$A$76,"b")/$D32</x:f>
        <x:v>0.21104495697715742</x:v>
      </x:c>
      <x:c r="G32" s="14" t="n">
        <x:f>SUMIFS('统计计数'!$Q$5:$Q$76,'统计计数'!$B$5:$B$76,"C_H1",'统计计数'!$A$5:$A$76,"b")/$D32</x:f>
        <x:v>0</x:v>
      </x:c>
      <x:c r="H32" s="14" t="n">
        <x:f>SUMIFS('统计计数'!$R$5:$R$76,'统计计数'!$B$5:$B$76,"C_H1",'统计计数'!$A$5:$A$76,"b")/$D32</x:f>
        <x:v>0</x:v>
      </x:c>
      <x:c r="I32" s="14" t="n">
        <x:f>SUMIFS('统计计数'!$S$5:$S$76,'统计计数'!$B$5:$B$76,"C_H1",'统计计数'!$A$5:$A$76,"b")/$D32</x:f>
        <x:v>0.7840439724327568</x:v>
      </x:c>
      <x:c r="J32" s="14" t="n">
        <x:f>SUMIFS('统计计数'!$T$5:$T$76,'统计计数'!$B$5:$B$76,"C_H1",'统计计数'!$A$5:$A$76,"b")/$D32</x:f>
        <x:v>0.004911070590085813</x:v>
      </x:c>
      <x:c r="K32" s="14" t="n">
        <x:f>SUMIFS('统计计数'!$U$5:$U$76,'统计计数'!$B$5:$B$76,"C_H1",'统计计数'!$A$5:$A$76,"b")/$D32</x:f>
        <x:v>0</x:v>
      </x:c>
      <x:c r="L32" s="14" t="n">
        <x:f>SUMIFS('统计计数'!$V$5:$V$76,'统计计数'!$B$5:$B$76,"C_H1",'统计计数'!$A$5:$A$76,"b")/$D32</x:f>
        <x:v>0</x:v>
      </x:c>
      <x:c r="M32" s="14" t="n">
        <x:f>SUMIFS('统计计数'!$W$5:$W$76,'统计计数'!$B$5:$B$76,"C_H1",'统计计数'!$A$5:$A$76,"b")/$D32</x:f>
        <x:v>0</x:v>
      </x:c>
      <x:c r="N32" s="14" t="n">
        <x:f>SUMIFS('统计计数'!$X$5:$X$76,'统计计数'!$B$5:$B$76,"C_H1",'统计计数'!$A$5:$A$76,"b")/$D32</x:f>
        <x:v>0</x:v>
      </x:c>
    </x:row>
    <x:row r="33" ht="23" customHeight="1">
      <x:c r="A33" s="12" t="str">
        <x:v>b</x:v>
      </x:c>
      <x:c r="B33" s="12" t="str">
        <x:v>NG</x:v>
      </x:c>
      <x:c r="C33" s="12" t="str">
        <x:v>H0</x:v>
      </x:c>
      <x:c r="D33" s="11" t="n">
        <x:f>SUMIFS('统计计数'!$D$5:$D$76,'统计计数'!$B$5:$B$76,"NG_H0",'统计计数'!$A$5:$A$76,"b")</x:f>
        <x:v>3433060</x:v>
      </x:c>
      <x:c r="E33" s="14" t="n">
        <x:f>SUMIFS('统计计数'!$O$5:$O$76,'统计计数'!$B$5:$B$76,"NG_H0",'统计计数'!$A$5:$A$76,"b")/$D33</x:f>
        <x:v>0</x:v>
      </x:c>
      <x:c r="F33" s="14" t="n">
        <x:f>SUMIFS('统计计数'!$P$5:$P$76,'统计计数'!$B$5:$B$76,"NG_H0",'统计计数'!$A$5:$A$76,"b")/$D33</x:f>
        <x:v>0.011291384362638579</x:v>
      </x:c>
      <x:c r="G33" s="14" t="n">
        <x:f>SUMIFS('统计计数'!$Q$5:$Q$76,'统计计数'!$B$5:$B$76,"NG_H0",'统计计数'!$A$5:$A$76,"b")/$D33</x:f>
        <x:v>0</x:v>
      </x:c>
      <x:c r="H33" s="14" t="n">
        <x:f>SUMIFS('统计计数'!$R$5:$R$76,'统计计数'!$B$5:$B$76,"NG_H0",'统计计数'!$A$5:$A$76,"b")/$D33</x:f>
        <x:v>0</x:v>
      </x:c>
      <x:c r="I33" s="14" t="n">
        <x:f>SUMIFS('统计计数'!$S$5:$S$76,'统计计数'!$B$5:$B$76,"NG_H0",'统计计数'!$A$5:$A$76,"b")/$D33</x:f>
        <x:v>0.1792261131468719</x:v>
      </x:c>
      <x:c r="J33" s="14" t="n">
        <x:f>SUMIFS('统计计数'!$T$5:$T$76,'统计计数'!$B$5:$B$76,"NG_H0",'统计计数'!$A$5:$A$76,"b")/$D33</x:f>
        <x:v>0.3282406948902728</x:v>
      </x:c>
      <x:c r="K33" s="14" t="n">
        <x:f>SUMIFS('统计计数'!$U$5:$U$76,'统计计数'!$B$5:$B$76,"NG_H0",'统计计数'!$A$5:$A$76,"b")/$D33</x:f>
        <x:v>0.2337209370066355</x:v>
      </x:c>
      <x:c r="L33" s="14" t="n">
        <x:f>SUMIFS('统计计数'!$V$5:$V$76,'统计计数'!$B$5:$B$76,"NG_H0",'统计计数'!$A$5:$A$76,"b")/$D33</x:f>
        <x:v>0.07250441297268326</x:v>
      </x:c>
      <x:c r="M33" s="14" t="n">
        <x:f>SUMIFS('统计计数'!$W$5:$W$76,'统计计数'!$B$5:$B$76,"NG_H0",'统计计数'!$A$5:$A$76,"b")/$D33</x:f>
        <x:v>0.17501645762089799</x:v>
      </x:c>
      <x:c r="N33" s="14" t="n">
        <x:f>SUMIFS('统计计数'!$X$5:$X$76,'统计计数'!$B$5:$B$76,"NG_H0",'统计计数'!$A$5:$A$76,"b")/$D33</x:f>
        <x:v>0</x:v>
      </x:c>
    </x:row>
    <x:row r="34" ht="23" customHeight="1">
      <x:c r="A34" s="12" t="str">
        <x:v>b</x:v>
      </x:c>
      <x:c r="B34" s="12" t="str">
        <x:v>NG</x:v>
      </x:c>
      <x:c r="C34" s="12" t="str">
        <x:v>H1</x:v>
      </x:c>
      <x:c r="D34" s="11" t="n">
        <x:f>SUMIFS('统计计数'!$D$5:$D$76,'统计计数'!$B$5:$B$76,"NG_H1",'统计计数'!$A$5:$A$76,"b")</x:f>
        <x:v>3433060</x:v>
      </x:c>
      <x:c r="E34" s="14" t="n">
        <x:f>SUMIFS('统计计数'!$O$5:$O$76,'统计计数'!$B$5:$B$76,"NG_H1",'统计计数'!$A$5:$A$76,"b")/$D34</x:f>
        <x:v>0</x:v>
      </x:c>
      <x:c r="F34" s="14" t="n">
        <x:f>SUMIFS('统计计数'!$P$5:$P$76,'统计计数'!$B$5:$B$76,"NG_H1",'统计计数'!$A$5:$A$76,"b")/$D34</x:f>
        <x:v>0.010109931081891956</x:v>
      </x:c>
      <x:c r="G34" s="14" t="n">
        <x:f>SUMIFS('统计计数'!$Q$5:$Q$76,'统计计数'!$B$5:$B$76,"NG_H1",'统计计数'!$A$5:$A$76,"b")/$D34</x:f>
        <x:v>0</x:v>
      </x:c>
      <x:c r="H34" s="14" t="n">
        <x:f>SUMIFS('统计计数'!$R$5:$R$76,'统计计数'!$B$5:$B$76,"NG_H1",'统计计数'!$A$5:$A$76,"b")/$D34</x:f>
        <x:v>0</x:v>
      </x:c>
      <x:c r="I34" s="14" t="n">
        <x:f>SUMIFS('统计计数'!$S$5:$S$76,'统计计数'!$B$5:$B$76,"NG_H1",'统计计数'!$A$5:$A$76,"b")/$D34</x:f>
        <x:v>0.17734091451940834</x:v>
      </x:c>
      <x:c r="J34" s="14" t="n">
        <x:f>SUMIFS('统计计数'!$T$5:$T$76,'统计计数'!$B$5:$B$76,"NG_H1",'统计计数'!$A$5:$A$76,"b")/$D34</x:f>
        <x:v>0.331307346798483</x:v>
      </x:c>
      <x:c r="K34" s="14" t="n">
        <x:f>SUMIFS('统计计数'!$U$5:$U$76,'统计计数'!$B$5:$B$76,"NG_H1",'统计计数'!$A$5:$A$76,"b")/$D34</x:f>
        <x:v>0.2337209370066355</x:v>
      </x:c>
      <x:c r="L34" s="14" t="n">
        <x:f>SUMIFS('统计计数'!$V$5:$V$76,'统计计数'!$B$5:$B$76,"NG_H1",'统计计数'!$A$5:$A$76,"b")/$D34</x:f>
        <x:v>0.07250441297268326</x:v>
      </x:c>
      <x:c r="M34" s="14" t="n">
        <x:f>SUMIFS('统计计数'!$W$5:$W$76,'统计计数'!$B$5:$B$76,"NG_H1",'统计计数'!$A$5:$A$76,"b")/$D34</x:f>
        <x:v>0.17501645762089799</x:v>
      </x:c>
      <x:c r="N34" s="14" t="n">
        <x:f>SUMIFS('统计计数'!$X$5:$X$76,'统计计数'!$B$5:$B$76,"NG_H1",'统计计数'!$A$5:$A$76,"b")/$D34</x:f>
        <x:v>0</x:v>
      </x:c>
    </x:row>
    <x:row r="35" ht="23" customHeight="1">
      <x:c r="A35" s="12" t="str">
        <x:v>b</x:v>
      </x:c>
      <x:c r="B35" s="12" t="str">
        <x:v>CG</x:v>
      </x:c>
      <x:c r="C35" s="12" t="str">
        <x:v>H0</x:v>
      </x:c>
      <x:c r="D35" s="11" t="n">
        <x:f>SUMIFS('统计计数'!$D$5:$D$76,'统计计数'!$B$5:$B$76,"CG_H0",'统计计数'!$A$5:$A$76,"b")</x:f>
        <x:v>3433060</x:v>
      </x:c>
      <x:c r="E35" s="14" t="n">
        <x:f>SUMIFS('统计计数'!$O$5:$O$76,'统计计数'!$B$5:$B$76,"CG_H0",'统计计数'!$A$5:$A$76,"b")/$D35</x:f>
        <x:v>0</x:v>
      </x:c>
      <x:c r="F35" s="14" t="n">
        <x:f>SUMIFS('统计计数'!$P$5:$P$76,'统计计数'!$B$5:$B$76,"CG_H0",'统计计数'!$A$5:$A$76,"b")/$D35</x:f>
        <x:v>0.12591623799176246</x:v>
      </x:c>
      <x:c r="G35" s="14" t="n">
        <x:f>SUMIFS('统计计数'!$Q$5:$Q$76,'统计计数'!$B$5:$B$76,"CG_H0",'统计计数'!$A$5:$A$76,"b")/$D35</x:f>
        <x:v>0</x:v>
      </x:c>
      <x:c r="H35" s="14" t="n">
        <x:f>SUMIFS('统计计数'!$R$5:$R$76,'统计计数'!$B$5:$B$76,"CG_H0",'统计计数'!$A$5:$A$76,"b")/$D35</x:f>
        <x:v>0</x:v>
      </x:c>
      <x:c r="I35" s="14" t="n">
        <x:f>SUMIFS('统计计数'!$S$5:$S$76,'统计计数'!$B$5:$B$76,"CG_H0",'统计计数'!$A$5:$A$76,"b")/$D35</x:f>
        <x:v>0.15191753129860824</x:v>
      </x:c>
      <x:c r="J35" s="14" t="n">
        <x:f>SUMIFS('统计计数'!$T$5:$T$76,'统计计数'!$B$5:$B$76,"CG_H0",'统计计数'!$A$5:$A$76,"b")/$D35</x:f>
        <x:v>0.7221662307096293</x:v>
      </x:c>
      <x:c r="K35" s="14" t="n">
        <x:f>SUMIFS('统计计数'!$U$5:$U$76,'统计计数'!$B$5:$B$76,"CG_H0",'统计计数'!$A$5:$A$76,"b")/$D35</x:f>
        <x:v>0</x:v>
      </x:c>
      <x:c r="L35" s="14" t="n">
        <x:f>SUMIFS('统计计数'!$V$5:$V$76,'统计计数'!$B$5:$B$76,"CG_H0",'统计计数'!$A$5:$A$76,"b")/$D35</x:f>
        <x:v>0</x:v>
      </x:c>
      <x:c r="M35" s="14" t="n">
        <x:f>SUMIFS('统计计数'!$W$5:$W$76,'统计计数'!$B$5:$B$76,"CG_H0",'统计计数'!$A$5:$A$76,"b")/$D35</x:f>
        <x:v>0</x:v>
      </x:c>
      <x:c r="N35" s="14" t="n">
        <x:f>SUMIFS('统计计数'!$X$5:$X$76,'统计计数'!$B$5:$B$76,"CG_H0",'统计计数'!$A$5:$A$76,"b")/$D35</x:f>
        <x:v>0</x:v>
      </x:c>
    </x:row>
    <x:row r="36" ht="23" customHeight="1">
      <x:c r="A36" s="12" t="str">
        <x:v>b</x:v>
      </x:c>
      <x:c r="B36" s="12" t="str">
        <x:v>CG</x:v>
      </x:c>
      <x:c r="C36" s="12" t="str">
        <x:v>H1</x:v>
      </x:c>
      <x:c r="D36" s="11" t="n">
        <x:f>SUMIFS('统计计数'!$D$5:$D$76,'统计计数'!$B$5:$B$76,"CG_H1",'统计计数'!$A$5:$A$76,"b")</x:f>
        <x:v>3433060</x:v>
      </x:c>
      <x:c r="E36" s="14" t="n">
        <x:f>SUMIFS('统计计数'!$O$5:$O$76,'统计计数'!$B$5:$B$76,"CG_H1",'统计计数'!$A$5:$A$76,"b")/$D36</x:f>
        <x:v>0</x:v>
      </x:c>
      <x:c r="F36" s="14" t="n">
        <x:f>SUMIFS('统计计数'!$P$5:$P$76,'统计计数'!$B$5:$B$76,"CG_H1",'统计计数'!$A$5:$A$76,"b")/$D36</x:f>
        <x:v>0.12143219168904709</x:v>
      </x:c>
      <x:c r="G36" s="14" t="n">
        <x:f>SUMIFS('统计计数'!$Q$5:$Q$76,'统计计数'!$B$5:$B$76,"CG_H1",'统计计数'!$A$5:$A$76,"b")/$D36</x:f>
        <x:v>0</x:v>
      </x:c>
      <x:c r="H36" s="14" t="n">
        <x:f>SUMIFS('统计计数'!$R$5:$R$76,'统计计数'!$B$5:$B$76,"CG_H1",'统计计数'!$A$5:$A$76,"b")/$D36</x:f>
        <x:v>0</x:v>
      </x:c>
      <x:c r="I36" s="14" t="n">
        <x:f>SUMIFS('统计计数'!$S$5:$S$76,'统计计数'!$B$5:$B$76,"CG_H1",'统计计数'!$A$5:$A$76,"b")/$D36</x:f>
        <x:v>0.15401070764857008</x:v>
      </x:c>
      <x:c r="J36" s="14" t="n">
        <x:f>SUMIFS('统计计数'!$T$5:$T$76,'统计计数'!$B$5:$B$76,"CG_H1",'统计计数'!$A$5:$A$76,"b")/$D36</x:f>
        <x:v>0.7245571006623829</x:v>
      </x:c>
      <x:c r="K36" s="14" t="n">
        <x:f>SUMIFS('统计计数'!$U$5:$U$76,'统计计数'!$B$5:$B$76,"CG_H1",'统计计数'!$A$5:$A$76,"b")/$D36</x:f>
        <x:v>0</x:v>
      </x:c>
      <x:c r="L36" s="14" t="n">
        <x:f>SUMIFS('统计计数'!$V$5:$V$76,'统计计数'!$B$5:$B$76,"CG_H1",'统计计数'!$A$5:$A$76,"b")/$D36</x:f>
        <x:v>0</x:v>
      </x:c>
      <x:c r="M36" s="14" t="n">
        <x:f>SUMIFS('统计计数'!$W$5:$W$76,'统计计数'!$B$5:$B$76,"CG_H1",'统计计数'!$A$5:$A$76,"b")/$D36</x:f>
        <x:v>0</x:v>
      </x:c>
      <x:c r="N36" s="14" t="n">
        <x:f>SUMIFS('统计计数'!$X$5:$X$76,'统计计数'!$B$5:$B$76,"CG_H1",'统计计数'!$A$5:$A$76,"b")/$D36</x:f>
        <x:v>0</x:v>
      </x:c>
    </x:row>
    <x:row r="37" ht="23" customHeight="1">
      <x:c r="A37" s="12" t="str">
        <x:v>b</x:v>
      </x:c>
      <x:c r="B37" s="12" t="str">
        <x:v>NC</x:v>
      </x:c>
      <x:c r="C37" s="12" t="str">
        <x:v>H0</x:v>
      </x:c>
      <x:c r="D37" s="11" t="n">
        <x:f>SUMIFS('统计计数'!$D$5:$D$76,'统计计数'!$B$5:$B$76,"NC_H0",'统计计数'!$A$5:$A$76,"b")</x:f>
        <x:v>3433060</x:v>
      </x:c>
      <x:c r="E37" s="14" t="n">
        <x:f>SUMIFS('统计计数'!$O$5:$O$76,'统计计数'!$B$5:$B$76,"NC_H0",'统计计数'!$A$5:$A$76,"b")/$D37</x:f>
        <x:v>0</x:v>
      </x:c>
      <x:c r="F37" s="14" t="n">
        <x:f>SUMIFS('统计计数'!$P$5:$P$76,'统计计数'!$B$5:$B$76,"NC_H0",'统计计数'!$A$5:$A$76,"b")/$D37</x:f>
        <x:v>0.17073747618742463</x:v>
      </x:c>
      <x:c r="G37" s="14" t="n">
        <x:f>SUMIFS('统计计数'!$Q$5:$Q$76,'统计计数'!$B$5:$B$76,"NC_H0",'统计计数'!$A$5:$A$76,"b")/$D37</x:f>
        <x:v>0</x:v>
      </x:c>
      <x:c r="H37" s="14" t="n">
        <x:f>SUMIFS('统计计数'!$R$5:$R$76,'统计计数'!$B$5:$B$76,"NC_H0",'统计计数'!$A$5:$A$76,"b")/$D37</x:f>
        <x:v>0</x:v>
      </x:c>
      <x:c r="I37" s="14" t="n">
        <x:f>SUMIFS('统计计数'!$S$5:$S$76,'统计计数'!$B$5:$B$76,"NC_H0",'统计计数'!$A$5:$A$76,"b")/$D37</x:f>
        <x:v>0.35545490029303306</x:v>
      </x:c>
      <x:c r="J37" s="14" t="n">
        <x:f>SUMIFS('统计计数'!$T$5:$T$76,'统计计数'!$B$5:$B$76,"NC_H0",'统计计数'!$A$5:$A$76,"b")/$D37</x:f>
        <x:v>0.019422322942214815</x:v>
      </x:c>
      <x:c r="K37" s="14" t="n">
        <x:f>SUMIFS('统计计数'!$U$5:$U$76,'统计计数'!$B$5:$B$76,"NC_H0",'统计计数'!$A$5:$A$76,"b")/$D37</x:f>
        <x:v>0.28618958014133167</x:v>
      </x:c>
      <x:c r="L37" s="14" t="n">
        <x:f>SUMIFS('统计计数'!$V$5:$V$76,'统计计数'!$B$5:$B$76,"NC_H0",'统计计数'!$A$5:$A$76,"b")/$D37</x:f>
        <x:v>0.05855592386966729</x:v>
      </x:c>
      <x:c r="M37" s="14" t="n">
        <x:f>SUMIFS('统计计数'!$W$5:$W$76,'统计计数'!$B$5:$B$76,"NC_H0",'统计计数'!$A$5:$A$76,"b")/$D37</x:f>
        <x:v>0.10963979656632858</x:v>
      </x:c>
      <x:c r="N37" s="14" t="n">
        <x:f>SUMIFS('统计计数'!$X$5:$X$76,'统计计数'!$B$5:$B$76,"NC_H0",'统计计数'!$A$5:$A$76,"b")/$D37</x:f>
        <x:v>0</x:v>
      </x:c>
    </x:row>
    <x:row r="38" ht="23" customHeight="1">
      <x:c r="A38" s="12" t="str">
        <x:v>b</x:v>
      </x:c>
      <x:c r="B38" s="12" t="str">
        <x:v>NC</x:v>
      </x:c>
      <x:c r="C38" s="12" t="str">
        <x:v>H1</x:v>
      </x:c>
      <x:c r="D38" s="11" t="n">
        <x:f>SUMIFS('统计计数'!$D$5:$D$76,'统计计数'!$B$5:$B$76,"NC_H1",'统计计数'!$A$5:$A$76,"b")</x:f>
        <x:v>3433060</x:v>
      </x:c>
      <x:c r="E38" s="14" t="n">
        <x:f>SUMIFS('统计计数'!$O$5:$O$76,'统计计数'!$B$5:$B$76,"NC_H1",'统计计数'!$A$5:$A$76,"b")/$D38</x:f>
        <x:v>0</x:v>
      </x:c>
      <x:c r="F38" s="14" t="n">
        <x:f>SUMIFS('统计计数'!$P$5:$P$76,'统计计数'!$B$5:$B$76,"NC_H1",'统计计数'!$A$5:$A$76,"b")/$D38</x:f>
        <x:v>0.1663845082812418</x:v>
      </x:c>
      <x:c r="G38" s="14" t="n">
        <x:f>SUMIFS('统计计数'!$Q$5:$Q$76,'统计计数'!$B$5:$B$76,"NC_H1",'统计计数'!$A$5:$A$76,"b")/$D38</x:f>
        <x:v>0</x:v>
      </x:c>
      <x:c r="H38" s="14" t="n">
        <x:f>SUMIFS('统计计数'!$R$5:$R$76,'统计计数'!$B$5:$B$76,"NC_H1",'统计计数'!$A$5:$A$76,"b")/$D38</x:f>
        <x:v>0</x:v>
      </x:c>
      <x:c r="I38" s="14" t="n">
        <x:f>SUMIFS('统计计数'!$S$5:$S$76,'统计计数'!$B$5:$B$76,"NC_H1",'统计计数'!$A$5:$A$76,"b")/$D38</x:f>
        <x:v>0.35262885006379147</x:v>
      </x:c>
      <x:c r="J38" s="14" t="n">
        <x:f>SUMIFS('统计计数'!$T$5:$T$76,'统计计数'!$B$5:$B$76,"NC_H1",'统计计数'!$A$5:$A$76,"b")/$D38</x:f>
        <x:v>0.02660134107763919</x:v>
      </x:c>
      <x:c r="K38" s="14" t="n">
        <x:f>SUMIFS('统计计数'!$U$5:$U$76,'统计计数'!$B$5:$B$76,"NC_H1",'统计计数'!$A$5:$A$76,"b")/$D38</x:f>
        <x:v>0.28618958014133167</x:v>
      </x:c>
      <x:c r="L38" s="14" t="n">
        <x:f>SUMIFS('统计计数'!$V$5:$V$76,'统计计数'!$B$5:$B$76,"NC_H1",'统计计数'!$A$5:$A$76,"b")/$D38</x:f>
        <x:v>0.05855592386966729</x:v>
      </x:c>
      <x:c r="M38" s="14" t="n">
        <x:f>SUMIFS('统计计数'!$W$5:$W$76,'统计计数'!$B$5:$B$76,"NC_H1",'统计计数'!$A$5:$A$76,"b")/$D38</x:f>
        <x:v>0.10963979656632858</x:v>
      </x:c>
      <x:c r="N38" s="14" t="n">
        <x:f>SUMIFS('统计计数'!$X$5:$X$76,'统计计数'!$B$5:$B$76,"NC_H1",'统计计数'!$A$5:$A$76,"b")/$D38</x:f>
        <x:v>0</x:v>
      </x:c>
    </x:row>
    <x:row r="39" ht="23" customHeight="1">
      <x:c r="A39" s="12" t="str">
        <x:v>b</x:v>
      </x:c>
      <x:c r="B39" s="12" t="str">
        <x:v>NCG</x:v>
      </x:c>
      <x:c r="C39" s="12" t="str">
        <x:v>H0</x:v>
      </x:c>
      <x:c r="D39" s="11" t="n">
        <x:f>SUMIFS('统计计数'!$D$5:$D$76,'统计计数'!$B$5:$B$76,"NCG_H0",'统计计数'!$A$5:$A$76,"b")</x:f>
        <x:v>3433060</x:v>
      </x:c>
      <x:c r="E39" s="14" t="n">
        <x:f>SUMIFS('统计计数'!$O$5:$O$76,'统计计数'!$B$5:$B$76,"NCG_H0",'统计计数'!$A$5:$A$76,"b")/$D39</x:f>
        <x:v>0</x:v>
      </x:c>
      <x:c r="F39" s="14" t="n">
        <x:f>SUMIFS('统计计数'!$P$5:$P$76,'统计计数'!$B$5:$B$76,"NCG_H0",'统计计数'!$A$5:$A$76,"b")/$D39</x:f>
        <x:v>0.09366803959150145</x:v>
      </x:c>
      <x:c r="G39" s="14" t="n">
        <x:f>SUMIFS('统计计数'!$Q$5:$Q$76,'统计计数'!$B$5:$B$76,"NCG_H0",'统计计数'!$A$5:$A$76,"b")/$D39</x:f>
        <x:v>0</x:v>
      </x:c>
      <x:c r="H39" s="14" t="n">
        <x:f>SUMIFS('统计计数'!$R$5:$R$76,'统计计数'!$B$5:$B$76,"NCG_H0",'统计计数'!$A$5:$A$76,"b")/$D39</x:f>
        <x:v>0</x:v>
      </x:c>
      <x:c r="I39" s="14" t="n">
        <x:f>SUMIFS('统计计数'!$S$5:$S$76,'统计计数'!$B$5:$B$76,"NCG_H0",'统计计数'!$A$5:$A$76,"b")/$D39</x:f>
        <x:v>0.11039597327165852</x:v>
      </x:c>
      <x:c r="J39" s="14" t="n">
        <x:f>SUMIFS('统计计数'!$T$5:$T$76,'统计计数'!$B$5:$B$76,"NCG_H0",'统计计数'!$A$5:$A$76,"b")/$D39</x:f>
        <x:v>0.3415506865595125</x:v>
      </x:c>
      <x:c r="K39" s="14" t="n">
        <x:f>SUMIFS('统计计数'!$U$5:$U$76,'统计计数'!$B$5:$B$76,"NCG_H0",'统计计数'!$A$5:$A$76,"b")/$D39</x:f>
        <x:v>0.28618958014133167</x:v>
      </x:c>
      <x:c r="L39" s="14" t="n">
        <x:f>SUMIFS('统计计数'!$V$5:$V$76,'统计计数'!$B$5:$B$76,"NCG_H0",'统计计数'!$A$5:$A$76,"b")/$D39</x:f>
        <x:v>0.05855592386966729</x:v>
      </x:c>
      <x:c r="M39" s="14" t="n">
        <x:f>SUMIFS('统计计数'!$W$5:$W$76,'统计计数'!$B$5:$B$76,"NCG_H0",'统计计数'!$A$5:$A$76,"b")/$D39</x:f>
        <x:v>0.10963979656632858</x:v>
      </x:c>
      <x:c r="N39" s="14" t="n">
        <x:f>SUMIFS('统计计数'!$X$5:$X$76,'统计计数'!$B$5:$B$76,"NCG_H0",'统计计数'!$A$5:$A$76,"b")/$D39</x:f>
        <x:v>0</x:v>
      </x:c>
    </x:row>
    <x:row r="40" ht="23" customHeight="1">
      <x:c r="A40" s="12" t="str">
        <x:v>b</x:v>
      </x:c>
      <x:c r="B40" s="12" t="str">
        <x:v>NCG</x:v>
      </x:c>
      <x:c r="C40" s="12" t="str">
        <x:v>H1</x:v>
      </x:c>
      <x:c r="D40" s="11" t="n">
        <x:f>SUMIFS('统计计数'!$D$5:$D$76,'统计计数'!$B$5:$B$76,"NCG_H1",'统计计数'!$A$5:$A$76,"b")</x:f>
        <x:v>3433060</x:v>
      </x:c>
      <x:c r="E40" s="14" t="n">
        <x:f>SUMIFS('统计计数'!$O$5:$O$76,'统计计数'!$B$5:$B$76,"NCG_H1",'统计计数'!$A$5:$A$76,"b")/$D40</x:f>
        <x:v>0</x:v>
      </x:c>
      <x:c r="F40" s="14" t="n">
        <x:f>SUMIFS('统计计数'!$P$5:$P$76,'统计计数'!$B$5:$B$76,"NCG_H1",'统计计数'!$A$5:$A$76,"b")/$D40</x:f>
        <x:v>0.09049943781932154</x:v>
      </x:c>
      <x:c r="G40" s="14" t="n">
        <x:f>SUMIFS('统计计数'!$Q$5:$Q$76,'统计计数'!$B$5:$B$76,"NCG_H1",'统计计数'!$A$5:$A$76,"b")/$D40</x:f>
        <x:v>0</x:v>
      </x:c>
      <x:c r="H40" s="14" t="n">
        <x:f>SUMIFS('统计计数'!$R$5:$R$76,'统计计数'!$B$5:$B$76,"NCG_H1",'统计计数'!$A$5:$A$76,"b")/$D40</x:f>
        <x:v>0</x:v>
      </x:c>
      <x:c r="I40" s="14" t="n">
        <x:f>SUMIFS('统计计数'!$S$5:$S$76,'统计计数'!$B$5:$B$76,"NCG_H1",'统计计数'!$A$5:$A$76,"b")/$D40</x:f>
        <x:v>0.11097388335770421</x:v>
      </x:c>
      <x:c r="J40" s="14" t="n">
        <x:f>SUMIFS('统计计数'!$T$5:$T$76,'统计计数'!$B$5:$B$76,"NCG_H1",'统计计数'!$A$5:$A$76,"b")/$D40</x:f>
        <x:v>0.3441413782456467</x:v>
      </x:c>
      <x:c r="K40" s="14" t="n">
        <x:f>SUMIFS('统计计数'!$U$5:$U$76,'统计计数'!$B$5:$B$76,"NCG_H1",'统计计数'!$A$5:$A$76,"b")/$D40</x:f>
        <x:v>0.28618958014133167</x:v>
      </x:c>
      <x:c r="L40" s="14" t="n">
        <x:f>SUMIFS('统计计数'!$V$5:$V$76,'统计计数'!$B$5:$B$76,"NCG_H1",'统计计数'!$A$5:$A$76,"b")/$D40</x:f>
        <x:v>0.05855592386966729</x:v>
      </x:c>
      <x:c r="M40" s="14" t="n">
        <x:f>SUMIFS('统计计数'!$W$5:$W$76,'统计计数'!$B$5:$B$76,"NCG_H1",'统计计数'!$A$5:$A$76,"b")/$D40</x:f>
        <x:v>0.10963979656632858</x:v>
      </x:c>
      <x:c r="N40" s="14" t="n">
        <x:f>SUMIFS('统计计数'!$X$5:$X$76,'统计计数'!$B$5:$B$76,"NCG_H1",'统计计数'!$A$5:$A$76,"b")/$D40</x:f>
        <x:v>0</x:v>
      </x:c>
    </x:row>
    <x:row r="41" ht="23" customHeight="1">
      <x:c r="A41" s="12" t="str">
        <x:v>c</x:v>
      </x:c>
      <x:c r="B41" s="12" t="str">
        <x:v>N</x:v>
      </x:c>
      <x:c r="C41" s="12" t="str">
        <x:v>H0</x:v>
      </x:c>
      <x:c r="D41" s="11" t="n">
        <x:f>SUMIFS('统计计数'!$D$5:$D$76,'统计计数'!$B$5:$B$76,"N_H0",'统计计数'!$A$5:$A$76,"c")</x:f>
        <x:v>11760345</x:v>
      </x:c>
      <x:c r="E41" s="14" t="n">
        <x:f>SUMIFS('统计计数'!$O$5:$O$76,'统计计数'!$B$5:$B$76,"N_H0",'统计计数'!$A$5:$A$76,"c")/$D41</x:f>
        <x:v>0</x:v>
      </x:c>
      <x:c r="F41" s="14" t="n">
        <x:f>SUMIFS('统计计数'!$P$5:$P$76,'统计计数'!$B$5:$B$76,"N_H0",'统计计数'!$A$5:$A$76,"c")/$D41</x:f>
        <x:v>0.039370613702234075</x:v>
      </x:c>
      <x:c r="G41" s="14" t="n">
        <x:f>SUMIFS('统计计数'!$Q$5:$Q$76,'统计计数'!$B$5:$B$76,"N_H0",'统计计数'!$A$5:$A$76,"c")/$D41</x:f>
        <x:v>0</x:v>
      </x:c>
      <x:c r="H41" s="14" t="n">
        <x:f>SUMIFS('统计计数'!$R$5:$R$76,'统计计数'!$B$5:$B$76,"N_H0",'统计计数'!$A$5:$A$76,"c")/$D41</x:f>
        <x:v>0</x:v>
      </x:c>
      <x:c r="I41" s="14" t="n">
        <x:f>SUMIFS('统计计数'!$S$5:$S$76,'统计计数'!$B$5:$B$76,"N_H0",'统计计数'!$A$5:$A$76,"c")/$D41</x:f>
        <x:v>0.3928066736137418</x:v>
      </x:c>
      <x:c r="J41" s="14" t="n">
        <x:f>SUMIFS('统计计数'!$T$5:$T$76,'统计计数'!$B$5:$B$76,"N_H0",'统计计数'!$A$5:$A$76,"c")/$D41</x:f>
        <x:v>0</x:v>
      </x:c>
      <x:c r="K41" s="14" t="n">
        <x:f>SUMIFS('统计计数'!$U$5:$U$76,'统计计数'!$B$5:$B$76,"N_H0",'统计计数'!$A$5:$A$76,"c")/$D41</x:f>
        <x:v>0.3807884037415569</x:v>
      </x:c>
      <x:c r="L41" s="14" t="n">
        <x:f>SUMIFS('统计计数'!$V$5:$V$76,'统计计数'!$B$5:$B$76,"N_H0",'统计计数'!$A$5:$A$76,"c")/$D41</x:f>
        <x:v>0.06750125102622415</x:v>
      </x:c>
      <x:c r="M41" s="14" t="n">
        <x:f>SUMIFS('统计计数'!$W$5:$W$76,'统计计数'!$B$5:$B$76,"N_H0",'统计计数'!$A$5:$A$76,"c")/$D41</x:f>
        <x:v>0.11953305791624311</x:v>
      </x:c>
      <x:c r="N41" s="14" t="n">
        <x:f>SUMIFS('统计计数'!$X$5:$X$76,'统计计数'!$B$5:$B$76,"N_H0",'统计计数'!$A$5:$A$76,"c")/$D41</x:f>
        <x:v>0</x:v>
      </x:c>
    </x:row>
    <x:row r="42" ht="23" customHeight="1">
      <x:c r="A42" s="12" t="str">
        <x:v>c</x:v>
      </x:c>
      <x:c r="B42" s="12" t="str">
        <x:v>N</x:v>
      </x:c>
      <x:c r="C42" s="12" t="str">
        <x:v>H1</x:v>
      </x:c>
      <x:c r="D42" s="11" t="n">
        <x:f>SUMIFS('统计计数'!$D$5:$D$76,'统计计数'!$B$5:$B$76,"N_H1",'统计计数'!$A$5:$A$76,"c")</x:f>
        <x:v>11760345</x:v>
      </x:c>
      <x:c r="E42" s="14" t="n">
        <x:f>SUMIFS('统计计数'!$O$5:$O$76,'统计计数'!$B$5:$B$76,"N_H1",'统计计数'!$A$5:$A$76,"c")/$D42</x:f>
        <x:v>0</x:v>
      </x:c>
      <x:c r="F42" s="14" t="n">
        <x:f>SUMIFS('统计计数'!$P$5:$P$76,'统计计数'!$B$5:$B$76,"N_H1",'统计计数'!$A$5:$A$76,"c")/$D42</x:f>
        <x:v>0.039370613702234075</x:v>
      </x:c>
      <x:c r="G42" s="14" t="n">
        <x:f>SUMIFS('统计计数'!$Q$5:$Q$76,'统计计数'!$B$5:$B$76,"N_H1",'统计计数'!$A$5:$A$76,"c")/$D42</x:f>
        <x:v>0</x:v>
      </x:c>
      <x:c r="H42" s="14" t="n">
        <x:f>SUMIFS('统计计数'!$R$5:$R$76,'统计计数'!$B$5:$B$76,"N_H1",'统计计数'!$A$5:$A$76,"c")/$D42</x:f>
        <x:v>0</x:v>
      </x:c>
      <x:c r="I42" s="14" t="n">
        <x:f>SUMIFS('统计计数'!$S$5:$S$76,'统计计数'!$B$5:$B$76,"N_H1",'统计计数'!$A$5:$A$76,"c")/$D42</x:f>
        <x:v>0.38500962344216944</x:v>
      </x:c>
      <x:c r="J42" s="14" t="n">
        <x:f>SUMIFS('统计计数'!$T$5:$T$76,'统计计数'!$B$5:$B$76,"N_H1",'统计计数'!$A$5:$A$76,"c")/$D42</x:f>
        <x:v>0.007797050171572347</x:v>
      </x:c>
      <x:c r="K42" s="14" t="n">
        <x:f>SUMIFS('统计计数'!$U$5:$U$76,'统计计数'!$B$5:$B$76,"N_H1",'统计计数'!$A$5:$A$76,"c")/$D42</x:f>
        <x:v>0.3807884037415569</x:v>
      </x:c>
      <x:c r="L42" s="14" t="n">
        <x:f>SUMIFS('统计计数'!$V$5:$V$76,'统计计数'!$B$5:$B$76,"N_H1",'统计计数'!$A$5:$A$76,"c")/$D42</x:f>
        <x:v>0.06750125102622415</x:v>
      </x:c>
      <x:c r="M42" s="14" t="n">
        <x:f>SUMIFS('统计计数'!$W$5:$W$76,'统计计数'!$B$5:$B$76,"N_H1",'统计计数'!$A$5:$A$76,"c")/$D42</x:f>
        <x:v>0.11953305791624311</x:v>
      </x:c>
      <x:c r="N42" s="14" t="n">
        <x:f>SUMIFS('统计计数'!$X$5:$X$76,'统计计数'!$B$5:$B$76,"N_H1",'统计计数'!$A$5:$A$76,"c")/$D42</x:f>
        <x:v>0</x:v>
      </x:c>
    </x:row>
    <x:row r="43" ht="23" customHeight="1">
      <x:c r="A43" s="12" t="str">
        <x:v>c</x:v>
      </x:c>
      <x:c r="B43" s="12" t="str">
        <x:v>C</x:v>
      </x:c>
      <x:c r="C43" s="12" t="str">
        <x:v>H0</x:v>
      </x:c>
      <x:c r="D43" s="11" t="n">
        <x:f>SUMIFS('统计计数'!$D$5:$D$76,'统计计数'!$B$5:$B$76,"C_H0",'统计计数'!$A$5:$A$76,"c")</x:f>
        <x:v>11760345</x:v>
      </x:c>
      <x:c r="E43" s="14" t="n">
        <x:f>SUMIFS('统计计数'!$O$5:$O$76,'统计计数'!$B$5:$B$76,"C_H0",'统计计数'!$A$5:$A$76,"c")/$D43</x:f>
        <x:v>0</x:v>
      </x:c>
      <x:c r="F43" s="14" t="n">
        <x:f>SUMIFS('统计计数'!$P$5:$P$76,'统计计数'!$B$5:$B$76,"C_H0",'统计计数'!$A$5:$A$76,"c")/$D43</x:f>
        <x:v>0.10664772164422047</x:v>
      </x:c>
      <x:c r="G43" s="14" t="n">
        <x:f>SUMIFS('统计计数'!$Q$5:$Q$76,'统计计数'!$B$5:$B$76,"C_H0",'统计计数'!$A$5:$A$76,"c")/$D43</x:f>
        <x:v>0</x:v>
      </x:c>
      <x:c r="H43" s="14" t="n">
        <x:f>SUMIFS('统计计数'!$R$5:$R$76,'统计计数'!$B$5:$B$76,"C_H0",'统计计数'!$A$5:$A$76,"c")/$D43</x:f>
        <x:v>0</x:v>
      </x:c>
      <x:c r="I43" s="14" t="n">
        <x:f>SUMIFS('统计计数'!$S$5:$S$76,'统计计数'!$B$5:$B$76,"C_H0",'统计计数'!$A$5:$A$76,"c")/$D43</x:f>
        <x:v>0.8933522783557796</x:v>
      </x:c>
      <x:c r="J43" s="14" t="n">
        <x:f>SUMIFS('统计计数'!$T$5:$T$76,'统计计数'!$B$5:$B$76,"C_H0",'统计计数'!$A$5:$A$76,"c")/$D43</x:f>
        <x:v>0</x:v>
      </x:c>
      <x:c r="K43" s="14" t="n">
        <x:f>SUMIFS('统计计数'!$U$5:$U$76,'统计计数'!$B$5:$B$76,"C_H0",'统计计数'!$A$5:$A$76,"c")/$D43</x:f>
        <x:v>0</x:v>
      </x:c>
      <x:c r="L43" s="14" t="n">
        <x:f>SUMIFS('统计计数'!$V$5:$V$76,'统计计数'!$B$5:$B$76,"C_H0",'统计计数'!$A$5:$A$76,"c")/$D43</x:f>
        <x:v>0</x:v>
      </x:c>
      <x:c r="M43" s="14" t="n">
        <x:f>SUMIFS('统计计数'!$W$5:$W$76,'统计计数'!$B$5:$B$76,"C_H0",'统计计数'!$A$5:$A$76,"c")/$D43</x:f>
        <x:v>0</x:v>
      </x:c>
      <x:c r="N43" s="14" t="n">
        <x:f>SUMIFS('统计计数'!$X$5:$X$76,'统计计数'!$B$5:$B$76,"C_H0",'统计计数'!$A$5:$A$76,"c")/$D43</x:f>
        <x:v>0</x:v>
      </x:c>
    </x:row>
    <x:row r="44" ht="23" customHeight="1">
      <x:c r="A44" s="12" t="str">
        <x:v>c</x:v>
      </x:c>
      <x:c r="B44" s="12" t="str">
        <x:v>C</x:v>
      </x:c>
      <x:c r="C44" s="12" t="str">
        <x:v>H1</x:v>
      </x:c>
      <x:c r="D44" s="11" t="n">
        <x:f>SUMIFS('统计计数'!$D$5:$D$76,'统计计数'!$B$5:$B$76,"C_H1",'统计计数'!$A$5:$A$76,"c")</x:f>
        <x:v>11760345</x:v>
      </x:c>
      <x:c r="E44" s="14" t="n">
        <x:f>SUMIFS('统计计数'!$O$5:$O$76,'统计计数'!$B$5:$B$76,"C_H1",'统计计数'!$A$5:$A$76,"c")/$D44</x:f>
        <x:v>0</x:v>
      </x:c>
      <x:c r="F44" s="14" t="n">
        <x:f>SUMIFS('统计计数'!$P$5:$P$76,'统计计数'!$B$5:$B$76,"C_H1",'统计计数'!$A$5:$A$76,"c")/$D44</x:f>
        <x:v>0.10619297308029654</x:v>
      </x:c>
      <x:c r="G44" s="14" t="n">
        <x:f>SUMIFS('统计计数'!$Q$5:$Q$76,'统计计数'!$B$5:$B$76,"C_H1",'统计计数'!$A$5:$A$76,"c")/$D44</x:f>
        <x:v>0</x:v>
      </x:c>
      <x:c r="H44" s="14" t="n">
        <x:f>SUMIFS('统计计数'!$R$5:$R$76,'统计计数'!$B$5:$B$76,"C_H1",'统计计数'!$A$5:$A$76,"c")/$D44</x:f>
        <x:v>0</x:v>
      </x:c>
      <x:c r="I44" s="14" t="n">
        <x:f>SUMIFS('统计计数'!$S$5:$S$76,'统计计数'!$B$5:$B$76,"C_H1",'统计计数'!$A$5:$A$76,"c")/$D44</x:f>
        <x:v>0.8933522783557796</x:v>
      </x:c>
      <x:c r="J44" s="14" t="n">
        <x:f>SUMIFS('统计计数'!$T$5:$T$76,'统计计数'!$B$5:$B$76,"C_H1",'统计计数'!$A$5:$A$76,"c")/$D44</x:f>
        <x:v>0.0004547485639239325</x:v>
      </x:c>
      <x:c r="K44" s="14" t="n">
        <x:f>SUMIFS('统计计数'!$U$5:$U$76,'统计计数'!$B$5:$B$76,"C_H1",'统计计数'!$A$5:$A$76,"c")/$D44</x:f>
        <x:v>0</x:v>
      </x:c>
      <x:c r="L44" s="14" t="n">
        <x:f>SUMIFS('统计计数'!$V$5:$V$76,'统计计数'!$B$5:$B$76,"C_H1",'统计计数'!$A$5:$A$76,"c")/$D44</x:f>
        <x:v>0</x:v>
      </x:c>
      <x:c r="M44" s="14" t="n">
        <x:f>SUMIFS('统计计数'!$W$5:$W$76,'统计计数'!$B$5:$B$76,"C_H1",'统计计数'!$A$5:$A$76,"c")/$D44</x:f>
        <x:v>0</x:v>
      </x:c>
      <x:c r="N44" s="14" t="n">
        <x:f>SUMIFS('统计计数'!$X$5:$X$76,'统计计数'!$B$5:$B$76,"C_H1",'统计计数'!$A$5:$A$76,"c")/$D44</x:f>
        <x:v>0</x:v>
      </x:c>
    </x:row>
    <x:row r="45" ht="23" customHeight="1">
      <x:c r="A45" s="12" t="str">
        <x:v>c</x:v>
      </x:c>
      <x:c r="B45" s="12" t="str">
        <x:v>NG</x:v>
      </x:c>
      <x:c r="C45" s="12" t="str">
        <x:v>H0</x:v>
      </x:c>
      <x:c r="D45" s="11" t="n">
        <x:f>SUMIFS('统计计数'!$D$5:$D$76,'统计计数'!$B$5:$B$76,"NG_H0",'统计计数'!$A$5:$A$76,"c")</x:f>
        <x:v>11760345</x:v>
      </x:c>
      <x:c r="E45" s="14" t="n">
        <x:f>SUMIFS('统计计数'!$O$5:$O$76,'统计计数'!$B$5:$B$76,"NG_H0",'统计计数'!$A$5:$A$76,"c")/$D45</x:f>
        <x:v>0</x:v>
      </x:c>
      <x:c r="F45" s="14" t="n">
        <x:f>SUMIFS('统计计数'!$P$5:$P$76,'统计计数'!$B$5:$B$76,"NG_H0",'统计计数'!$A$5:$A$76,"c")/$D45</x:f>
        <x:v>0.010403946482862535</x:v>
      </x:c>
      <x:c r="G45" s="14" t="n">
        <x:f>SUMIFS('统计计数'!$Q$5:$Q$76,'统计计数'!$B$5:$B$76,"NG_H0",'统计计数'!$A$5:$A$76,"c")/$D45</x:f>
        <x:v>0</x:v>
      </x:c>
      <x:c r="H45" s="14" t="n">
        <x:f>SUMIFS('统计计数'!$R$5:$R$76,'统计计数'!$B$5:$B$76,"NG_H0",'统计计数'!$A$5:$A$76,"c")/$D45</x:f>
        <x:v>0</x:v>
      </x:c>
      <x:c r="I45" s="14" t="n">
        <x:f>SUMIFS('统计计数'!$S$5:$S$76,'统计计数'!$B$5:$B$76,"NG_H0",'统计计数'!$A$5:$A$76,"c")/$D45</x:f>
        <x:v>0.10190721445671874</x:v>
      </x:c>
      <x:c r="J45" s="14" t="n">
        <x:f>SUMIFS('统计计数'!$T$5:$T$76,'统计计数'!$B$5:$B$76,"NG_H0",'统计计数'!$A$5:$A$76,"c")/$D45</x:f>
        <x:v>0.31986612637639456</x:v>
      </x:c>
      <x:c r="K45" s="14" t="n">
        <x:f>SUMIFS('统计计数'!$U$5:$U$76,'统计计数'!$B$5:$B$76,"NG_H0",'统计计数'!$A$5:$A$76,"c")/$D45</x:f>
        <x:v>0.3807884037415569</x:v>
      </x:c>
      <x:c r="L45" s="14" t="n">
        <x:f>SUMIFS('统计计数'!$V$5:$V$76,'统计计数'!$B$5:$B$76,"NG_H0",'统计计数'!$A$5:$A$76,"c")/$D45</x:f>
        <x:v>0.06750125102622415</x:v>
      </x:c>
      <x:c r="M45" s="14" t="n">
        <x:f>SUMIFS('统计计数'!$W$5:$W$76,'统计计数'!$B$5:$B$76,"NG_H0",'统计计数'!$A$5:$A$76,"c")/$D45</x:f>
        <x:v>0.11953305791624311</x:v>
      </x:c>
      <x:c r="N45" s="14" t="n">
        <x:f>SUMIFS('统计计数'!$X$5:$X$76,'统计计数'!$B$5:$B$76,"NG_H0",'统计计数'!$A$5:$A$76,"c")/$D45</x:f>
        <x:v>0</x:v>
      </x:c>
    </x:row>
    <x:row r="46" ht="23" customHeight="1">
      <x:c r="A46" s="12" t="str">
        <x:v>c</x:v>
      </x:c>
      <x:c r="B46" s="12" t="str">
        <x:v>NG</x:v>
      </x:c>
      <x:c r="C46" s="12" t="str">
        <x:v>H1</x:v>
      </x:c>
      <x:c r="D46" s="11" t="n">
        <x:f>SUMIFS('统计计数'!$D$5:$D$76,'统计计数'!$B$5:$B$76,"NG_H1",'统计计数'!$A$5:$A$76,"c")</x:f>
        <x:v>11760345</x:v>
      </x:c>
      <x:c r="E46" s="14" t="n">
        <x:f>SUMIFS('统计计数'!$O$5:$O$76,'统计计数'!$B$5:$B$76,"NG_H1",'统计计数'!$A$5:$A$76,"c")/$D46</x:f>
        <x:v>0</x:v>
      </x:c>
      <x:c r="F46" s="14" t="n">
        <x:f>SUMIFS('统计计数'!$P$5:$P$76,'统计计数'!$B$5:$B$76,"NG_H1",'统计计数'!$A$5:$A$76,"c")/$D46</x:f>
        <x:v>0.009382547875933912</x:v>
      </x:c>
      <x:c r="G46" s="14" t="n">
        <x:f>SUMIFS('统计计数'!$Q$5:$Q$76,'统计计数'!$B$5:$B$76,"NG_H1",'统计计数'!$A$5:$A$76,"c")/$D46</x:f>
        <x:v>0</x:v>
      </x:c>
      <x:c r="H46" s="14" t="n">
        <x:f>SUMIFS('统计计数'!$R$5:$R$76,'统计计数'!$B$5:$B$76,"NG_H1",'统计计数'!$A$5:$A$76,"c")/$D46</x:f>
        <x:v>0</x:v>
      </x:c>
      <x:c r="I46" s="14" t="n">
        <x:f>SUMIFS('统计计数'!$S$5:$S$76,'统计计数'!$B$5:$B$76,"NG_H1",'统计计数'!$A$5:$A$76,"c")/$D46</x:f>
        <x:v>0.10229801931831081</x:v>
      </x:c>
      <x:c r="J46" s="14" t="n">
        <x:f>SUMIFS('统计计数'!$T$5:$T$76,'统计计数'!$B$5:$B$76,"NG_H1",'统计计数'!$A$5:$A$76,"c")/$D46</x:f>
        <x:v>0.32049672012173114</x:v>
      </x:c>
      <x:c r="K46" s="14" t="n">
        <x:f>SUMIFS('统计计数'!$U$5:$U$76,'统计计数'!$B$5:$B$76,"NG_H1",'统计计数'!$A$5:$A$76,"c")/$D46</x:f>
        <x:v>0.3807884037415569</x:v>
      </x:c>
      <x:c r="L46" s="14" t="n">
        <x:f>SUMIFS('统计计数'!$V$5:$V$76,'统计计数'!$B$5:$B$76,"NG_H1",'统计计数'!$A$5:$A$76,"c")/$D46</x:f>
        <x:v>0.06750125102622415</x:v>
      </x:c>
      <x:c r="M46" s="14" t="n">
        <x:f>SUMIFS('统计计数'!$W$5:$W$76,'统计计数'!$B$5:$B$76,"NG_H1",'统计计数'!$A$5:$A$76,"c")/$D46</x:f>
        <x:v>0.11953305791624311</x:v>
      </x:c>
      <x:c r="N46" s="14" t="n">
        <x:f>SUMIFS('统计计数'!$X$5:$X$76,'统计计数'!$B$5:$B$76,"NG_H1",'统计计数'!$A$5:$A$76,"c")/$D46</x:f>
        <x:v>0</x:v>
      </x:c>
    </x:row>
    <x:row r="47" ht="23" customHeight="1">
      <x:c r="A47" s="12" t="str">
        <x:v>c</x:v>
      </x:c>
      <x:c r="B47" s="12" t="str">
        <x:v>CG</x:v>
      </x:c>
      <x:c r="C47" s="12" t="str">
        <x:v>H0</x:v>
      </x:c>
      <x:c r="D47" s="11" t="n">
        <x:f>SUMIFS('统计计数'!$D$5:$D$76,'统计计数'!$B$5:$B$76,"CG_H0",'统计计数'!$A$5:$A$76,"c")</x:f>
        <x:v>11760345</x:v>
      </x:c>
      <x:c r="E47" s="14" t="n">
        <x:f>SUMIFS('统计计数'!$O$5:$O$76,'统计计数'!$B$5:$B$76,"CG_H0",'统计计数'!$A$5:$A$76,"c")/$D47</x:f>
        <x:v>0</x:v>
      </x:c>
      <x:c r="F47" s="14" t="n">
        <x:f>SUMIFS('统计计数'!$P$5:$P$76,'统计计数'!$B$5:$B$76,"CG_H0",'统计计数'!$A$5:$A$76,"c")/$D47</x:f>
        <x:v>0.03273424376580789</x:v>
      </x:c>
      <x:c r="G47" s="14" t="n">
        <x:f>SUMIFS('统计计数'!$Q$5:$Q$76,'统计计数'!$B$5:$B$76,"CG_H0",'统计计数'!$A$5:$A$76,"c")/$D47</x:f>
        <x:v>0</x:v>
      </x:c>
      <x:c r="H47" s="14" t="n">
        <x:f>SUMIFS('统计计数'!$R$5:$R$76,'统计计数'!$B$5:$B$76,"CG_H0",'统计计数'!$A$5:$A$76,"c")/$D47</x:f>
        <x:v>0</x:v>
      </x:c>
      <x:c r="I47" s="14" t="n">
        <x:f>SUMIFS('统计计数'!$S$5:$S$76,'统计计数'!$B$5:$B$76,"CG_H0",'统计计数'!$A$5:$A$76,"c")/$D47</x:f>
        <x:v>0.1935550360129741</x:v>
      </x:c>
      <x:c r="J47" s="14" t="n">
        <x:f>SUMIFS('统计计数'!$T$5:$T$76,'统计计数'!$B$5:$B$76,"CG_H0",'统计计数'!$A$5:$A$76,"c")/$D47</x:f>
        <x:v>0.773710720221218</x:v>
      </x:c>
      <x:c r="K47" s="14" t="n">
        <x:f>SUMIFS('统计计数'!$U$5:$U$76,'统计计数'!$B$5:$B$76,"CG_H0",'统计计数'!$A$5:$A$76,"c")/$D47</x:f>
        <x:v>0</x:v>
      </x:c>
      <x:c r="L47" s="14" t="n">
        <x:f>SUMIFS('统计计数'!$V$5:$V$76,'统计计数'!$B$5:$B$76,"CG_H0",'统计计数'!$A$5:$A$76,"c")/$D47</x:f>
        <x:v>0</x:v>
      </x:c>
      <x:c r="M47" s="14" t="n">
        <x:f>SUMIFS('统计计数'!$W$5:$W$76,'统计计数'!$B$5:$B$76,"CG_H0",'统计计数'!$A$5:$A$76,"c")/$D47</x:f>
        <x:v>0</x:v>
      </x:c>
      <x:c r="N47" s="14" t="n">
        <x:f>SUMIFS('统计计数'!$X$5:$X$76,'统计计数'!$B$5:$B$76,"CG_H0",'统计计数'!$A$5:$A$76,"c")/$D47</x:f>
        <x:v>0</x:v>
      </x:c>
    </x:row>
    <x:row r="48" ht="23" customHeight="1">
      <x:c r="A48" s="12" t="str">
        <x:v>c</x:v>
      </x:c>
      <x:c r="B48" s="12" t="str">
        <x:v>CG</x:v>
      </x:c>
      <x:c r="C48" s="12" t="str">
        <x:v>H1</x:v>
      </x:c>
      <x:c r="D48" s="11" t="n">
        <x:f>SUMIFS('统计计数'!$D$5:$D$76,'统计计数'!$B$5:$B$76,"CG_H1",'统计计数'!$A$5:$A$76,"c")</x:f>
        <x:v>11760345</x:v>
      </x:c>
      <x:c r="E48" s="14" t="n">
        <x:f>SUMIFS('统计计数'!$O$5:$O$76,'统计计数'!$B$5:$B$76,"CG_H1",'统计计数'!$A$5:$A$76,"c")/$D48</x:f>
        <x:v>0</x:v>
      </x:c>
      <x:c r="F48" s="14" t="n">
        <x:f>SUMIFS('统计计数'!$P$5:$P$76,'统计计数'!$B$5:$B$76,"CG_H1",'统计计数'!$A$5:$A$76,"c")/$D48</x:f>
        <x:v>0.027707350422117718</x:v>
      </x:c>
      <x:c r="G48" s="14" t="n">
        <x:f>SUMIFS('统计计数'!$Q$5:$Q$76,'统计计数'!$B$5:$B$76,"CG_H1",'统计计数'!$A$5:$A$76,"c")/$D48</x:f>
        <x:v>0</x:v>
      </x:c>
      <x:c r="H48" s="14" t="n">
        <x:f>SUMIFS('统计计数'!$R$5:$R$76,'统计计数'!$B$5:$B$76,"CG_H1",'统计计数'!$A$5:$A$76,"c")/$D48</x:f>
        <x:v>0</x:v>
      </x:c>
      <x:c r="I48" s="14" t="n">
        <x:f>SUMIFS('统计计数'!$S$5:$S$76,'统计计数'!$B$5:$B$76,"CG_H1",'统计计数'!$A$5:$A$76,"c")/$D48</x:f>
        <x:v>0.19843261400919787</x:v>
      </x:c>
      <x:c r="J48" s="14" t="n">
        <x:f>SUMIFS('统计计数'!$T$5:$T$76,'统计计数'!$B$5:$B$76,"CG_H1",'统计计数'!$A$5:$A$76,"c")/$D48</x:f>
        <x:v>0.7738600355686844</x:v>
      </x:c>
      <x:c r="K48" s="14" t="n">
        <x:f>SUMIFS('统计计数'!$U$5:$U$76,'统计计数'!$B$5:$B$76,"CG_H1",'统计计数'!$A$5:$A$76,"c")/$D48</x:f>
        <x:v>0</x:v>
      </x:c>
      <x:c r="L48" s="14" t="n">
        <x:f>SUMIFS('统计计数'!$V$5:$V$76,'统计计数'!$B$5:$B$76,"CG_H1",'统计计数'!$A$5:$A$76,"c")/$D48</x:f>
        <x:v>0</x:v>
      </x:c>
      <x:c r="M48" s="14" t="n">
        <x:f>SUMIFS('统计计数'!$W$5:$W$76,'统计计数'!$B$5:$B$76,"CG_H1",'统计计数'!$A$5:$A$76,"c")/$D48</x:f>
        <x:v>0</x:v>
      </x:c>
      <x:c r="N48" s="14" t="n">
        <x:f>SUMIFS('统计计数'!$X$5:$X$76,'统计计数'!$B$5:$B$76,"CG_H1",'统计计数'!$A$5:$A$76,"c")/$D48</x:f>
        <x:v>0</x:v>
      </x:c>
    </x:row>
    <x:row r="49" ht="23" customHeight="1">
      <x:c r="A49" s="12" t="str">
        <x:v>c</x:v>
      </x:c>
      <x:c r="B49" s="12" t="str">
        <x:v>NC</x:v>
      </x:c>
      <x:c r="C49" s="12" t="str">
        <x:v>H0</x:v>
      </x:c>
      <x:c r="D49" s="11" t="n">
        <x:f>SUMIFS('统计计数'!$D$5:$D$76,'统计计数'!$B$5:$B$76,"NC_H0",'统计计数'!$A$5:$A$76,"c")</x:f>
        <x:v>11760345</x:v>
      </x:c>
      <x:c r="E49" s="14" t="n">
        <x:f>SUMIFS('统计计数'!$O$5:$O$76,'统计计数'!$B$5:$B$76,"NC_H0",'统计计数'!$A$5:$A$76,"c")/$D49</x:f>
        <x:v>0</x:v>
      </x:c>
      <x:c r="F49" s="14" t="n">
        <x:f>SUMIFS('统计计数'!$P$5:$P$76,'统计计数'!$B$5:$B$76,"NC_H0",'统计计数'!$A$5:$A$76,"c")/$D49</x:f>
        <x:v>0.08853634821087307</x:v>
      </x:c>
      <x:c r="G49" s="14" t="n">
        <x:f>SUMIFS('统计计数'!$Q$5:$Q$76,'统计计数'!$B$5:$B$76,"NC_H0",'统计计数'!$A$5:$A$76,"c")/$D49</x:f>
        <x:v>0</x:v>
      </x:c>
      <x:c r="H49" s="14" t="n">
        <x:f>SUMIFS('统计计数'!$R$5:$R$76,'统计计数'!$B$5:$B$76,"NC_H0",'统计计数'!$A$5:$A$76,"c")/$D49</x:f>
        <x:v>0</x:v>
      </x:c>
      <x:c r="I49" s="14" t="n">
        <x:f>SUMIFS('统计计数'!$S$5:$S$76,'统计计数'!$B$5:$B$76,"NC_H0",'统计计数'!$A$5:$A$76,"c")/$D49</x:f>
        <x:v>0.3714193758771533</x:v>
      </x:c>
      <x:c r="J49" s="14" t="n">
        <x:f>SUMIFS('统计计数'!$T$5:$T$76,'统计计数'!$B$5:$B$76,"NC_H0",'统计计数'!$A$5:$A$76,"c")/$D49</x:f>
        <x:v>0</x:v>
      </x:c>
      <x:c r="K49" s="14" t="n">
        <x:f>SUMIFS('统计计数'!$U$5:$U$76,'统计计数'!$B$5:$B$76,"NC_H0",'统计计数'!$A$5:$A$76,"c")/$D49</x:f>
        <x:v>0.40472783749116203</x:v>
      </x:c>
      <x:c r="L49" s="14" t="n">
        <x:f>SUMIFS('统计计数'!$V$5:$V$76,'统计计数'!$B$5:$B$76,"NC_H0",'统计计数'!$A$5:$A$76,"c")/$D49</x:f>
        <x:v>0.06750125102622415</x:v>
      </x:c>
      <x:c r="M49" s="14" t="n">
        <x:f>SUMIFS('统计计数'!$W$5:$W$76,'统计计数'!$B$5:$B$76,"NC_H0",'统计计数'!$A$5:$A$76,"c")/$D49</x:f>
        <x:v>0.06781518739458749</x:v>
      </x:c>
      <x:c r="N49" s="14" t="n">
        <x:f>SUMIFS('统计计数'!$X$5:$X$76,'统计计数'!$B$5:$B$76,"NC_H0",'统计计数'!$A$5:$A$76,"c")/$D49</x:f>
        <x:v>0</x:v>
      </x:c>
    </x:row>
    <x:row r="50" ht="23" customHeight="1">
      <x:c r="A50" s="12" t="str">
        <x:v>c</x:v>
      </x:c>
      <x:c r="B50" s="12" t="str">
        <x:v>NC</x:v>
      </x:c>
      <x:c r="C50" s="12" t="str">
        <x:v>H1</x:v>
      </x:c>
      <x:c r="D50" s="11" t="n">
        <x:f>SUMIFS('统计计数'!$D$5:$D$76,'统计计数'!$B$5:$B$76,"NC_H1",'统计计数'!$A$5:$A$76,"c")</x:f>
        <x:v>11760345</x:v>
      </x:c>
      <x:c r="E50" s="14" t="n">
        <x:f>SUMIFS('统计计数'!$O$5:$O$76,'统计计数'!$B$5:$B$76,"NC_H1",'统计计数'!$A$5:$A$76,"c")/$D50</x:f>
        <x:v>0</x:v>
      </x:c>
      <x:c r="F50" s="14" t="n">
        <x:f>SUMIFS('统计计数'!$P$5:$P$76,'统计计数'!$B$5:$B$76,"NC_H1",'统计计数'!$A$5:$A$76,"c")/$D50</x:f>
        <x:v>0.08783398786345128</x:v>
      </x:c>
      <x:c r="G50" s="14" t="n">
        <x:f>SUMIFS('统计计数'!$Q$5:$Q$76,'统计计数'!$B$5:$B$76,"NC_H1",'统计计数'!$A$5:$A$76,"c")/$D50</x:f>
        <x:v>0</x:v>
      </x:c>
      <x:c r="H50" s="14" t="n">
        <x:f>SUMIFS('统计计数'!$R$5:$R$76,'统计计数'!$B$5:$B$76,"NC_H1",'统计计数'!$A$5:$A$76,"c")/$D50</x:f>
        <x:v>0</x:v>
      </x:c>
      <x:c r="I50" s="14" t="n">
        <x:f>SUMIFS('统计计数'!$S$5:$S$76,'统计计数'!$B$5:$B$76,"NC_H1",'统计计数'!$A$5:$A$76,"c")/$D50</x:f>
        <x:v>0.36718752723665843</x:v>
      </x:c>
      <x:c r="J50" s="14" t="n">
        <x:f>SUMIFS('统计计数'!$T$5:$T$76,'统计计数'!$B$5:$B$76,"NC_H1",'统计计数'!$A$5:$A$76,"c")/$D50</x:f>
        <x:v>0.004686597204418748</x:v>
      </x:c>
      <x:c r="K50" s="14" t="n">
        <x:f>SUMIFS('统计计数'!$U$5:$U$76,'统计计数'!$B$5:$B$76,"NC_H1",'统计计数'!$A$5:$A$76,"c")/$D50</x:f>
        <x:v>0.4049754492746599</x:v>
      </x:c>
      <x:c r="L50" s="14" t="n">
        <x:f>SUMIFS('统计计数'!$V$5:$V$76,'统计计数'!$B$5:$B$76,"NC_H1",'统计计数'!$A$5:$A$76,"c")/$D50</x:f>
        <x:v>0.06750125102622415</x:v>
      </x:c>
      <x:c r="M50" s="14" t="n">
        <x:f>SUMIFS('统计计数'!$W$5:$W$76,'统计计数'!$B$5:$B$76,"NC_H1",'统计计数'!$A$5:$A$76,"c")/$D50</x:f>
        <x:v>0.06781518739458749</x:v>
      </x:c>
      <x:c r="N50" s="14" t="n">
        <x:f>SUMIFS('统计计数'!$X$5:$X$76,'统计计数'!$B$5:$B$76,"NC_H1",'统计计数'!$A$5:$A$76,"c")/$D50</x:f>
        <x:v>0</x:v>
      </x:c>
    </x:row>
    <x:row r="51" ht="23" customHeight="1">
      <x:c r="A51" s="12" t="str">
        <x:v>c</x:v>
      </x:c>
      <x:c r="B51" s="12" t="str">
        <x:v>NCG</x:v>
      </x:c>
      <x:c r="C51" s="12" t="str">
        <x:v>H0</x:v>
      </x:c>
      <x:c r="D51" s="11" t="n">
        <x:f>SUMIFS('统计计数'!$D$5:$D$76,'统计计数'!$B$5:$B$76,"NCG_H0",'统计计数'!$A$5:$A$76,"c")</x:f>
        <x:v>11760345</x:v>
      </x:c>
      <x:c r="E51" s="14" t="n">
        <x:f>SUMIFS('统计计数'!$O$5:$O$76,'统计计数'!$B$5:$B$76,"NCG_H0",'统计计数'!$A$5:$A$76,"c")/$D51</x:f>
        <x:v>0</x:v>
      </x:c>
      <x:c r="F51" s="14" t="n">
        <x:f>SUMIFS('统计计数'!$P$5:$P$76,'统计计数'!$B$5:$B$76,"NCG_H0",'统计计数'!$A$5:$A$76,"c")/$D51</x:f>
        <x:v>0.03023176615992133</x:v>
      </x:c>
      <x:c r="G51" s="14" t="n">
        <x:f>SUMIFS('统计计数'!$Q$5:$Q$76,'统计计数'!$B$5:$B$76,"NCG_H0",'统计计数'!$A$5:$A$76,"c")/$D51</x:f>
        <x:v>0</x:v>
      </x:c>
      <x:c r="H51" s="14" t="n">
        <x:f>SUMIFS('统计计数'!$R$5:$R$76,'统计计数'!$B$5:$B$76,"NCG_H0",'统计计数'!$A$5:$A$76,"c")/$D51</x:f>
        <x:v>0</x:v>
      </x:c>
      <x:c r="I51" s="14" t="n">
        <x:f>SUMIFS('统计计数'!$S$5:$S$76,'统计计数'!$B$5:$B$76,"NCG_H0",'统计计数'!$A$5:$A$76,"c")/$D51</x:f>
        <x:v>0.09051962336138948</x:v>
      </x:c>
      <x:c r="J51" s="14" t="n">
        <x:f>SUMIFS('统计计数'!$T$5:$T$76,'统计计数'!$B$5:$B$76,"NCG_H0",'统计计数'!$A$5:$A$76,"c")/$D51</x:f>
        <x:v>0.3392043345667155</x:v>
      </x:c>
      <x:c r="K51" s="14" t="n">
        <x:f>SUMIFS('统计计数'!$U$5:$U$76,'统计计数'!$B$5:$B$76,"NCG_H0",'统计计数'!$A$5:$A$76,"c")/$D51</x:f>
        <x:v>0.40472783749116203</x:v>
      </x:c>
      <x:c r="L51" s="14" t="n">
        <x:f>SUMIFS('统计计数'!$V$5:$V$76,'统计计数'!$B$5:$B$76,"NCG_H0",'统计计数'!$A$5:$A$76,"c")/$D51</x:f>
        <x:v>0.06750125102622415</x:v>
      </x:c>
      <x:c r="M51" s="14" t="n">
        <x:f>SUMIFS('统计计数'!$W$5:$W$76,'统计计数'!$B$5:$B$76,"NCG_H0",'统计计数'!$A$5:$A$76,"c")/$D51</x:f>
        <x:v>0.06781518739458749</x:v>
      </x:c>
      <x:c r="N51" s="14" t="n">
        <x:f>SUMIFS('统计计数'!$X$5:$X$76,'统计计数'!$B$5:$B$76,"NCG_H0",'统计计数'!$A$5:$A$76,"c")/$D51</x:f>
        <x:v>0</x:v>
      </x:c>
    </x:row>
    <x:row r="52" ht="23" customHeight="1">
      <x:c r="A52" s="12" t="str">
        <x:v>c</x:v>
      </x:c>
      <x:c r="B52" s="12" t="str">
        <x:v>NCG</x:v>
      </x:c>
      <x:c r="C52" s="12" t="str">
        <x:v>H1</x:v>
      </x:c>
      <x:c r="D52" s="11" t="n">
        <x:f>SUMIFS('统计计数'!$D$5:$D$76,'统计计数'!$B$5:$B$76,"NCG_H1",'统计计数'!$A$5:$A$76,"c")</x:f>
        <x:v>11760345</x:v>
      </x:c>
      <x:c r="E52" s="14" t="n">
        <x:f>SUMIFS('统计计数'!$O$5:$O$76,'统计计数'!$B$5:$B$76,"NCG_H1",'统计计数'!$A$5:$A$76,"c")/$D52</x:f>
        <x:v>0</x:v>
      </x:c>
      <x:c r="F52" s="14" t="n">
        <x:f>SUMIFS('统计计数'!$P$5:$P$76,'统计计数'!$B$5:$B$76,"NCG_H1",'统计计数'!$A$5:$A$76,"c")/$D52</x:f>
        <x:v>0.025273578283630284</x:v>
      </x:c>
      <x:c r="G52" s="14" t="n">
        <x:f>SUMIFS('统计计数'!$Q$5:$Q$76,'统计计数'!$B$5:$B$76,"NCG_H1",'统计计数'!$A$5:$A$76,"c")/$D52</x:f>
        <x:v>0</x:v>
      </x:c>
      <x:c r="H52" s="14" t="n">
        <x:f>SUMIFS('统计计数'!$R$5:$R$76,'统计计数'!$B$5:$B$76,"NCG_H1",'统计计数'!$A$5:$A$76,"c")/$D52</x:f>
        <x:v>0</x:v>
      </x:c>
      <x:c r="I52" s="14" t="n">
        <x:f>SUMIFS('统计计数'!$S$5:$S$76,'统计计数'!$B$5:$B$76,"NCG_H1",'统计计数'!$A$5:$A$76,"c")/$D52</x:f>
        <x:v>0.09445029036137971</x:v>
      </x:c>
      <x:c r="J52" s="14" t="n">
        <x:f>SUMIFS('统计计数'!$T$5:$T$76,'统计计数'!$B$5:$B$76,"NCG_H1",'统计计数'!$A$5:$A$76,"c")/$D52</x:f>
        <x:v>0.3399842436595185</x:v>
      </x:c>
      <x:c r="K52" s="14" t="n">
        <x:f>SUMIFS('统计计数'!$U$5:$U$76,'统计计数'!$B$5:$B$76,"NCG_H1",'统计计数'!$A$5:$A$76,"c")/$D52</x:f>
        <x:v>0.4049754492746599</x:v>
      </x:c>
      <x:c r="L52" s="14" t="n">
        <x:f>SUMIFS('统计计数'!$V$5:$V$76,'统计计数'!$B$5:$B$76,"NCG_H1",'统计计数'!$A$5:$A$76,"c")/$D52</x:f>
        <x:v>0.06750125102622415</x:v>
      </x:c>
      <x:c r="M52" s="14" t="n">
        <x:f>SUMIFS('统计计数'!$W$5:$W$76,'统计计数'!$B$5:$B$76,"NCG_H1",'统计计数'!$A$5:$A$76,"c")/$D52</x:f>
        <x:v>0.06781518739458749</x:v>
      </x:c>
      <x:c r="N52" s="14" t="n">
        <x:f>SUMIFS('统计计数'!$X$5:$X$76,'统计计数'!$B$5:$B$76,"NCG_H1",'统计计数'!$A$5:$A$76,"c")/$D52</x:f>
        <x:v>0</x:v>
      </x:c>
    </x:row>
    <x:row r="53" ht="23" customHeight="1">
      <x:c r="A53" s="12" t="str">
        <x:v>d</x:v>
      </x:c>
      <x:c r="B53" s="12" t="str">
        <x:v>N</x:v>
      </x:c>
      <x:c r="C53" s="12" t="str">
        <x:v>H0</x:v>
      </x:c>
      <x:c r="D53" s="11" t="n">
        <x:f>SUMIFS('统计计数'!$D$5:$D$76,'统计计数'!$B$5:$B$76,"N_H0",'统计计数'!$A$5:$A$76,"d")</x:f>
        <x:v>1723934</x:v>
      </x:c>
      <x:c r="E53" s="14" t="n">
        <x:f>SUMIFS('统计计数'!$O$5:$O$76,'统计计数'!$B$5:$B$76,"N_H0",'统计计数'!$A$5:$A$76,"d")/$D53</x:f>
        <x:v>0</x:v>
      </x:c>
      <x:c r="F53" s="14" t="n">
        <x:f>SUMIFS('统计计数'!$P$5:$P$76,'统计计数'!$B$5:$B$76,"N_H0",'统计计数'!$A$5:$A$76,"d")/$D53</x:f>
        <x:v>0.06560111930039085</x:v>
      </x:c>
      <x:c r="G53" s="14" t="n">
        <x:f>SUMIFS('统计计数'!$Q$5:$Q$76,'统计计数'!$B$5:$B$76,"N_H0",'统计计数'!$A$5:$A$76,"d")/$D53</x:f>
        <x:v>0</x:v>
      </x:c>
      <x:c r="H53" s="14" t="n">
        <x:f>SUMIFS('统计计数'!$R$5:$R$76,'统计计数'!$B$5:$B$76,"N_H0",'统计计数'!$A$5:$A$76,"d")/$D53</x:f>
        <x:v>0</x:v>
      </x:c>
      <x:c r="I53" s="14" t="n">
        <x:f>SUMIFS('统计计数'!$S$5:$S$76,'统计计数'!$B$5:$B$76,"N_H0",'统计计数'!$A$5:$A$76,"d")/$D53</x:f>
        <x:v>0.7562250062937445</x:v>
      </x:c>
      <x:c r="J53" s="14" t="n">
        <x:f>SUMIFS('统计计数'!$T$5:$T$76,'统计计数'!$B$5:$B$76,"N_H0",'统计计数'!$A$5:$A$76,"d")/$D53</x:f>
        <x:v>0</x:v>
      </x:c>
      <x:c r="K53" s="14" t="n">
        <x:f>SUMIFS('统计计数'!$U$5:$U$76,'统计计数'!$B$5:$B$76,"N_H0",'统计计数'!$A$5:$A$76,"d")/$D53</x:f>
        <x:v>0.14506935880375932</x:v>
      </x:c>
      <x:c r="L53" s="14" t="n">
        <x:f>SUMIFS('统计计数'!$V$5:$V$76,'统计计数'!$B$5:$B$76,"N_H0",'统计计数'!$A$5:$A$76,"d")/$D53</x:f>
        <x:v>0.025746925346329965</x:v>
      </x:c>
      <x:c r="M53" s="14" t="n">
        <x:f>SUMIFS('统计计数'!$W$5:$W$76,'统计计数'!$B$5:$B$76,"N_H0",'统计计数'!$A$5:$A$76,"d")/$D53</x:f>
        <x:v>0.007357590255775453</x:v>
      </x:c>
      <x:c r="N53" s="14" t="n">
        <x:f>SUMIFS('统计计数'!$X$5:$X$76,'统计计数'!$B$5:$B$76,"N_H0",'统计计数'!$A$5:$A$76,"d")/$D53</x:f>
        <x:v>0</x:v>
      </x:c>
    </x:row>
    <x:row r="54" ht="23" customHeight="1">
      <x:c r="A54" s="12" t="str">
        <x:v>d</x:v>
      </x:c>
      <x:c r="B54" s="12" t="str">
        <x:v>N</x:v>
      </x:c>
      <x:c r="C54" s="12" t="str">
        <x:v>H1</x:v>
      </x:c>
      <x:c r="D54" s="11" t="n">
        <x:f>SUMIFS('统计计数'!$D$5:$D$76,'统计计数'!$B$5:$B$76,"N_H1",'统计计数'!$A$5:$A$76,"d")</x:f>
        <x:v>1723934</x:v>
      </x:c>
      <x:c r="E54" s="14" t="n">
        <x:f>SUMIFS('统计计数'!$O$5:$O$76,'统计计数'!$B$5:$B$76,"N_H1",'统计计数'!$A$5:$A$76,"d")/$D54</x:f>
        <x:v>0</x:v>
      </x:c>
      <x:c r="F54" s="14" t="n">
        <x:f>SUMIFS('统计计数'!$P$5:$P$76,'统计计数'!$B$5:$B$76,"N_H1",'统计计数'!$A$5:$A$76,"d")/$D54</x:f>
        <x:v>0.06560111930039085</x:v>
      </x:c>
      <x:c r="G54" s="14" t="n">
        <x:f>SUMIFS('统计计数'!$Q$5:$Q$76,'统计计数'!$B$5:$B$76,"N_H1",'统计计数'!$A$5:$A$76,"d")/$D54</x:f>
        <x:v>0</x:v>
      </x:c>
      <x:c r="H54" s="14" t="n">
        <x:f>SUMIFS('统计计数'!$R$5:$R$76,'统计计数'!$B$5:$B$76,"N_H1",'统计计数'!$A$5:$A$76,"d")/$D54</x:f>
        <x:v>0</x:v>
      </x:c>
      <x:c r="I54" s="14" t="n">
        <x:f>SUMIFS('统计计数'!$S$5:$S$76,'统计计数'!$B$5:$B$76,"N_H1",'统计计数'!$A$5:$A$76,"d")/$D54</x:f>
        <x:v>0.7524835637559211</x:v>
      </x:c>
      <x:c r="J54" s="14" t="n">
        <x:f>SUMIFS('统计计数'!$T$5:$T$76,'统计计数'!$B$5:$B$76,"N_H1",'统计计数'!$A$5:$A$76,"d")/$D54</x:f>
        <x:v>0.003224021337243769</x:v>
      </x:c>
      <x:c r="K54" s="14" t="n">
        <x:f>SUMIFS('统计计数'!$U$5:$U$76,'统计计数'!$B$5:$B$76,"N_H1",'统计计数'!$A$5:$A$76,"d")/$D54</x:f>
        <x:v>0.14558678000433892</x:v>
      </x:c>
      <x:c r="L54" s="14" t="n">
        <x:f>SUMIFS('统计计数'!$V$5:$V$76,'统计计数'!$B$5:$B$76,"N_H1",'统计计数'!$A$5:$A$76,"d")/$D54</x:f>
        <x:v>0.025746925346329965</x:v>
      </x:c>
      <x:c r="M54" s="14" t="n">
        <x:f>SUMIFS('统计计数'!$W$5:$W$76,'统计计数'!$B$5:$B$76,"N_H1",'统计计数'!$A$5:$A$76,"d")/$D54</x:f>
        <x:v>0.007357590255775453</x:v>
      </x:c>
      <x:c r="N54" s="14" t="n">
        <x:f>SUMIFS('统计计数'!$X$5:$X$76,'统计计数'!$B$5:$B$76,"N_H1",'统计计数'!$A$5:$A$76,"d")/$D54</x:f>
        <x:v>0</x:v>
      </x:c>
    </x:row>
    <x:row r="55" ht="23" customHeight="1">
      <x:c r="A55" s="12" t="str">
        <x:v>d</x:v>
      </x:c>
      <x:c r="B55" s="12" t="str">
        <x:v>C</x:v>
      </x:c>
      <x:c r="C55" s="12" t="str">
        <x:v>H0</x:v>
      </x:c>
      <x:c r="D55" s="11" t="n">
        <x:f>SUMIFS('统计计数'!$D$5:$D$76,'统计计数'!$B$5:$B$76,"C_H0",'统计计数'!$A$5:$A$76,"d")</x:f>
        <x:v>1723934</x:v>
      </x:c>
      <x:c r="E55" s="14" t="n">
        <x:f>SUMIFS('统计计数'!$O$5:$O$76,'统计计数'!$B$5:$B$76,"C_H0",'统计计数'!$A$5:$A$76,"d")/$D55</x:f>
        <x:v>0</x:v>
      </x:c>
      <x:c r="F55" s="14" t="n">
        <x:f>SUMIFS('统计计数'!$P$5:$P$76,'统计计数'!$B$5:$B$76,"C_H0",'统计计数'!$A$5:$A$76,"d")/$D55</x:f>
        <x:v>0.1513108970529034</x:v>
      </x:c>
      <x:c r="G55" s="14" t="n">
        <x:f>SUMIFS('统计计数'!$Q$5:$Q$76,'统计计数'!$B$5:$B$76,"C_H0",'统计计数'!$A$5:$A$76,"d")/$D55</x:f>
        <x:v>0</x:v>
      </x:c>
      <x:c r="H55" s="14" t="n">
        <x:f>SUMIFS('统计计数'!$R$5:$R$76,'统计计数'!$B$5:$B$76,"C_H0",'统计计数'!$A$5:$A$76,"d")/$D55</x:f>
        <x:v>0</x:v>
      </x:c>
      <x:c r="I55" s="14" t="n">
        <x:f>SUMIFS('统计计数'!$S$5:$S$76,'统计计数'!$B$5:$B$76,"C_H0",'统计计数'!$A$5:$A$76,"d")/$D55</x:f>
        <x:v>0.8392711089867709</x:v>
      </x:c>
      <x:c r="J55" s="14" t="n">
        <x:f>SUMIFS('统计计数'!$T$5:$T$76,'统计计数'!$B$5:$B$76,"C_H0",'统计计数'!$A$5:$A$76,"d")/$D55</x:f>
        <x:v>0</x:v>
      </x:c>
      <x:c r="K55" s="14" t="n">
        <x:f>SUMIFS('统计计数'!$U$5:$U$76,'统计计数'!$B$5:$B$76,"C_H0",'统计计数'!$A$5:$A$76,"d")/$D55</x:f>
        <x:v>0.009417993960325628</x:v>
      </x:c>
      <x:c r="L55" s="14" t="n">
        <x:f>SUMIFS('统计计数'!$V$5:$V$76,'统计计数'!$B$5:$B$76,"C_H0",'统计计数'!$A$5:$A$76,"d")/$D55</x:f>
        <x:v>0</x:v>
      </x:c>
      <x:c r="M55" s="14" t="n">
        <x:f>SUMIFS('统计计数'!$W$5:$W$76,'统计计数'!$B$5:$B$76,"C_H0",'统计计数'!$A$5:$A$76,"d")/$D55</x:f>
        <x:v>0</x:v>
      </x:c>
      <x:c r="N55" s="14" t="n">
        <x:f>SUMIFS('统计计数'!$X$5:$X$76,'统计计数'!$B$5:$B$76,"C_H0",'统计计数'!$A$5:$A$76,"d")/$D55</x:f>
        <x:v>0</x:v>
      </x:c>
    </x:row>
    <x:row r="56" ht="23" customHeight="1">
      <x:c r="A56" s="12" t="str">
        <x:v>d</x:v>
      </x:c>
      <x:c r="B56" s="12" t="str">
        <x:v>C</x:v>
      </x:c>
      <x:c r="C56" s="12" t="str">
        <x:v>H1</x:v>
      </x:c>
      <x:c r="D56" s="11" t="n">
        <x:f>SUMIFS('统计计数'!$D$5:$D$76,'统计计数'!$B$5:$B$76,"C_H1",'统计计数'!$A$5:$A$76,"d")</x:f>
        <x:v>1723934</x:v>
      </x:c>
      <x:c r="E56" s="14" t="n">
        <x:f>SUMIFS('统计计数'!$O$5:$O$76,'统计计数'!$B$5:$B$76,"C_H1",'统计计数'!$A$5:$A$76,"d")/$D56</x:f>
        <x:v>0</x:v>
      </x:c>
      <x:c r="F56" s="14" t="n">
        <x:f>SUMIFS('统计计数'!$P$5:$P$76,'统计计数'!$B$5:$B$76,"C_H1",'统计计数'!$A$5:$A$76,"d")/$D56</x:f>
        <x:v>0.1513108970529034</x:v>
      </x:c>
      <x:c r="G56" s="14" t="n">
        <x:f>SUMIFS('统计计数'!$Q$5:$Q$76,'统计计数'!$B$5:$B$76,"C_H1",'统计计数'!$A$5:$A$76,"d")/$D56</x:f>
        <x:v>0</x:v>
      </x:c>
      <x:c r="H56" s="14" t="n">
        <x:f>SUMIFS('统计计数'!$R$5:$R$76,'统计计数'!$B$5:$B$76,"C_H1",'统计计数'!$A$5:$A$76,"d")/$D56</x:f>
        <x:v>0</x:v>
      </x:c>
      <x:c r="I56" s="14" t="n">
        <x:f>SUMIFS('统计计数'!$S$5:$S$76,'统计计数'!$B$5:$B$76,"C_H1",'统计计数'!$A$5:$A$76,"d")/$D56</x:f>
        <x:v>0.8392711089867709</x:v>
      </x:c>
      <x:c r="J56" s="14" t="n">
        <x:f>SUMIFS('统计计数'!$T$5:$T$76,'统计计数'!$B$5:$B$76,"C_H1",'统计计数'!$A$5:$A$76,"d")/$D56</x:f>
        <x:v>0</x:v>
      </x:c>
      <x:c r="K56" s="14" t="n">
        <x:f>SUMIFS('统计计数'!$U$5:$U$76,'统计计数'!$B$5:$B$76,"C_H1",'统计计数'!$A$5:$A$76,"d")/$D56</x:f>
        <x:v>0.009417993960325628</x:v>
      </x:c>
      <x:c r="L56" s="14" t="n">
        <x:f>SUMIFS('统计计数'!$V$5:$V$76,'统计计数'!$B$5:$B$76,"C_H1",'统计计数'!$A$5:$A$76,"d")/$D56</x:f>
        <x:v>0</x:v>
      </x:c>
      <x:c r="M56" s="14" t="n">
        <x:f>SUMIFS('统计计数'!$W$5:$W$76,'统计计数'!$B$5:$B$76,"C_H1",'统计计数'!$A$5:$A$76,"d")/$D56</x:f>
        <x:v>0</x:v>
      </x:c>
      <x:c r="N56" s="14" t="n">
        <x:f>SUMIFS('统计计数'!$X$5:$X$76,'统计计数'!$B$5:$B$76,"C_H1",'统计计数'!$A$5:$A$76,"d")/$D56</x:f>
        <x:v>0</x:v>
      </x:c>
    </x:row>
    <x:row r="57" ht="23" customHeight="1">
      <x:c r="A57" s="12" t="str">
        <x:v>d</x:v>
      </x:c>
      <x:c r="B57" s="12" t="str">
        <x:v>NG</x:v>
      </x:c>
      <x:c r="C57" s="12" t="str">
        <x:v>H0</x:v>
      </x:c>
      <x:c r="D57" s="11" t="n">
        <x:f>SUMIFS('统计计数'!$D$5:$D$76,'统计计数'!$B$5:$B$76,"NG_H0",'统计计数'!$A$5:$A$76,"d")</x:f>
        <x:v>1723934</x:v>
      </x:c>
      <x:c r="E57" s="14" t="n">
        <x:f>SUMIFS('统计计数'!$O$5:$O$76,'统计计数'!$B$5:$B$76,"NG_H0",'统计计数'!$A$5:$A$76,"d")/$D57</x:f>
        <x:v>0</x:v>
      </x:c>
      <x:c r="F57" s="14" t="n">
        <x:f>SUMIFS('统计计数'!$P$5:$P$76,'统计计数'!$B$5:$B$76,"NG_H0",'统计计数'!$A$5:$A$76,"d")/$D57</x:f>
        <x:v>0.055415114499743026</x:v>
      </x:c>
      <x:c r="G57" s="14" t="n">
        <x:f>SUMIFS('统计计数'!$Q$5:$Q$76,'统计计数'!$B$5:$B$76,"NG_H0",'统计计数'!$A$5:$A$76,"d")/$D57</x:f>
        <x:v>0</x:v>
      </x:c>
      <x:c r="H57" s="14" t="n">
        <x:f>SUMIFS('统计计数'!$R$5:$R$76,'统计计数'!$B$5:$B$76,"NG_H0",'统计计数'!$A$5:$A$76,"d")/$D57</x:f>
        <x:v>0</x:v>
      </x:c>
      <x:c r="I57" s="14" t="n">
        <x:f>SUMIFS('统计计数'!$S$5:$S$76,'统计计数'!$B$5:$B$76,"NG_H0",'统计计数'!$A$5:$A$76,"d")/$D57</x:f>
        <x:v>0.271821311024668</x:v>
      </x:c>
      <x:c r="J57" s="14" t="n">
        <x:f>SUMIFS('统计计数'!$T$5:$T$76,'统计计数'!$B$5:$B$76,"NG_H0",'统计计数'!$A$5:$A$76,"d")/$D57</x:f>
        <x:v>0.49458970006972425</x:v>
      </x:c>
      <x:c r="K57" s="14" t="n">
        <x:f>SUMIFS('统计计数'!$U$5:$U$76,'统计计数'!$B$5:$B$76,"NG_H0",'统计计数'!$A$5:$A$76,"d")/$D57</x:f>
        <x:v>0.14506935880375932</x:v>
      </x:c>
      <x:c r="L57" s="14" t="n">
        <x:f>SUMIFS('统计计数'!$V$5:$V$76,'统计计数'!$B$5:$B$76,"NG_H0",'统计计数'!$A$5:$A$76,"d")/$D57</x:f>
        <x:v>0.025746925346329965</x:v>
      </x:c>
      <x:c r="M57" s="14" t="n">
        <x:f>SUMIFS('统计计数'!$W$5:$W$76,'统计计数'!$B$5:$B$76,"NG_H0",'统计计数'!$A$5:$A$76,"d")/$D57</x:f>
        <x:v>0.007357590255775453</x:v>
      </x:c>
      <x:c r="N57" s="14" t="n">
        <x:f>SUMIFS('统计计数'!$X$5:$X$76,'统计计数'!$B$5:$B$76,"NG_H0",'统计计数'!$A$5:$A$76,"d")/$D57</x:f>
        <x:v>0</x:v>
      </x:c>
    </x:row>
    <x:row r="58" ht="23" customHeight="1">
      <x:c r="A58" s="12" t="str">
        <x:v>d</x:v>
      </x:c>
      <x:c r="B58" s="12" t="str">
        <x:v>NG</x:v>
      </x:c>
      <x:c r="C58" s="12" t="str">
        <x:v>H1</x:v>
      </x:c>
      <x:c r="D58" s="11" t="n">
        <x:f>SUMIFS('统计计数'!$D$5:$D$76,'统计计数'!$B$5:$B$76,"NG_H1",'统计计数'!$A$5:$A$76,"d")</x:f>
        <x:v>1723934</x:v>
      </x:c>
      <x:c r="E58" s="14" t="n">
        <x:f>SUMIFS('统计计数'!$O$5:$O$76,'统计计数'!$B$5:$B$76,"NG_H1",'统计计数'!$A$5:$A$76,"d")/$D58</x:f>
        <x:v>0</x:v>
      </x:c>
      <x:c r="F58" s="14" t="n">
        <x:f>SUMIFS('统计计数'!$P$5:$P$76,'统计计数'!$B$5:$B$76,"NG_H1",'统计计数'!$A$5:$A$76,"d")/$D58</x:f>
        <x:v>0.055415114499743026</x:v>
      </x:c>
      <x:c r="G58" s="14" t="n">
        <x:f>SUMIFS('统计计数'!$Q$5:$Q$76,'统计计数'!$B$5:$B$76,"NG_H1",'统计计数'!$A$5:$A$76,"d")/$D58</x:f>
        <x:v>0</x:v>
      </x:c>
      <x:c r="H58" s="14" t="n">
        <x:f>SUMIFS('统计计数'!$R$5:$R$76,'统计计数'!$B$5:$B$76,"NG_H1",'统计计数'!$A$5:$A$76,"d")/$D58</x:f>
        <x:v>0</x:v>
      </x:c>
      <x:c r="I58" s="14" t="n">
        <x:f>SUMIFS('统计计数'!$S$5:$S$76,'统计计数'!$B$5:$B$76,"NG_H1",'统计计数'!$A$5:$A$76,"d")/$D58</x:f>
        <x:v>0.2680798684868446</x:v>
      </x:c>
      <x:c r="J58" s="14" t="n">
        <x:f>SUMIFS('统计计数'!$T$5:$T$76,'统计计数'!$B$5:$B$76,"NG_H1",'统计计数'!$A$5:$A$76,"d")/$D58</x:f>
        <x:v>0.497813721406968</x:v>
      </x:c>
      <x:c r="K58" s="14" t="n">
        <x:f>SUMIFS('统计计数'!$U$5:$U$76,'统计计数'!$B$5:$B$76,"NG_H1",'统计计数'!$A$5:$A$76,"d")/$D58</x:f>
        <x:v>0.14558678000433892</x:v>
      </x:c>
      <x:c r="L58" s="14" t="n">
        <x:f>SUMIFS('统计计数'!$V$5:$V$76,'统计计数'!$B$5:$B$76,"NG_H1",'统计计数'!$A$5:$A$76,"d")/$D58</x:f>
        <x:v>0.025746925346329965</x:v>
      </x:c>
      <x:c r="M58" s="14" t="n">
        <x:f>SUMIFS('统计计数'!$W$5:$W$76,'统计计数'!$B$5:$B$76,"NG_H1",'统计计数'!$A$5:$A$76,"d")/$D58</x:f>
        <x:v>0.007357590255775453</x:v>
      </x:c>
      <x:c r="N58" s="14" t="n">
        <x:f>SUMIFS('统计计数'!$X$5:$X$76,'统计计数'!$B$5:$B$76,"NG_H1",'统计计数'!$A$5:$A$76,"d")/$D58</x:f>
        <x:v>0</x:v>
      </x:c>
    </x:row>
    <x:row r="59" ht="23" customHeight="1">
      <x:c r="A59" s="12" t="str">
        <x:v>d</x:v>
      </x:c>
      <x:c r="B59" s="12" t="str">
        <x:v>CG</x:v>
      </x:c>
      <x:c r="C59" s="12" t="str">
        <x:v>H0</x:v>
      </x:c>
      <x:c r="D59" s="11" t="n">
        <x:f>SUMIFS('统计计数'!$D$5:$D$76,'统计计数'!$B$5:$B$76,"CG_H0",'统计计数'!$A$5:$A$76,"d")</x:f>
        <x:v>1723934</x:v>
      </x:c>
      <x:c r="E59" s="14" t="n">
        <x:f>SUMIFS('统计计数'!$O$5:$O$76,'统计计数'!$B$5:$B$76,"CG_H0",'统计计数'!$A$5:$A$76,"d")/$D59</x:f>
        <x:v>0</x:v>
      </x:c>
      <x:c r="F59" s="14" t="n">
        <x:f>SUMIFS('统计计数'!$P$5:$P$76,'统计计数'!$B$5:$B$76,"CG_H0",'统计计数'!$A$5:$A$76,"d")/$D59</x:f>
        <x:v>0.05730729830724378</x:v>
      </x:c>
      <x:c r="G59" s="14" t="n">
        <x:f>SUMIFS('统计计数'!$Q$5:$Q$76,'统计计数'!$B$5:$B$76,"CG_H0",'统计计数'!$A$5:$A$76,"d")/$D59</x:f>
        <x:v>0</x:v>
      </x:c>
      <x:c r="H59" s="14" t="n">
        <x:f>SUMIFS('统计计数'!$R$5:$R$76,'统计计数'!$B$5:$B$76,"CG_H0",'统计计数'!$A$5:$A$76,"d")/$D59</x:f>
        <x:v>0</x:v>
      </x:c>
      <x:c r="I59" s="14" t="n">
        <x:f>SUMIFS('统计计数'!$S$5:$S$76,'统计计数'!$B$5:$B$76,"CG_H0",'统计计数'!$A$5:$A$76,"d")/$D59</x:f>
        <x:v>0.31211635712272046</x:v>
      </x:c>
      <x:c r="J59" s="14" t="n">
        <x:f>SUMIFS('统计计数'!$T$5:$T$76,'统计计数'!$B$5:$B$76,"CG_H0",'统计计数'!$A$5:$A$76,"d")/$D59</x:f>
        <x:v>0.6211583506097101</x:v>
      </x:c>
      <x:c r="K59" s="14" t="n">
        <x:f>SUMIFS('统计计数'!$U$5:$U$76,'统计计数'!$B$5:$B$76,"CG_H0",'统计计数'!$A$5:$A$76,"d")/$D59</x:f>
        <x:v>0.009417993960325628</x:v>
      </x:c>
      <x:c r="L59" s="14" t="n">
        <x:f>SUMIFS('统计计数'!$V$5:$V$76,'统计计数'!$B$5:$B$76,"CG_H0",'统计计数'!$A$5:$A$76,"d")/$D59</x:f>
        <x:v>0</x:v>
      </x:c>
      <x:c r="M59" s="14" t="n">
        <x:f>SUMIFS('统计计数'!$W$5:$W$76,'统计计数'!$B$5:$B$76,"CG_H0",'统计计数'!$A$5:$A$76,"d")/$D59</x:f>
        <x:v>0</x:v>
      </x:c>
      <x:c r="N59" s="14" t="n">
        <x:f>SUMIFS('统计计数'!$X$5:$X$76,'统计计数'!$B$5:$B$76,"CG_H0",'统计计数'!$A$5:$A$76,"d")/$D59</x:f>
        <x:v>0</x:v>
      </x:c>
    </x:row>
    <x:row r="60" ht="23" customHeight="1">
      <x:c r="A60" s="12" t="str">
        <x:v>d</x:v>
      </x:c>
      <x:c r="B60" s="12" t="str">
        <x:v>CG</x:v>
      </x:c>
      <x:c r="C60" s="12" t="str">
        <x:v>H1</x:v>
      </x:c>
      <x:c r="D60" s="11" t="n">
        <x:f>SUMIFS('统计计数'!$D$5:$D$76,'统计计数'!$B$5:$B$76,"CG_H1",'统计计数'!$A$5:$A$76,"d")</x:f>
        <x:v>1723934</x:v>
      </x:c>
      <x:c r="E60" s="14" t="n">
        <x:f>SUMIFS('统计计数'!$O$5:$O$76,'统计计数'!$B$5:$B$76,"CG_H1",'统计计数'!$A$5:$A$76,"d")/$D60</x:f>
        <x:v>0</x:v>
      </x:c>
      <x:c r="F60" s="14" t="n">
        <x:f>SUMIFS('统计计数'!$P$5:$P$76,'统计计数'!$B$5:$B$76,"CG_H1",'统计计数'!$A$5:$A$76,"d")/$D60</x:f>
        <x:v>0.05118873460352891</x:v>
      </x:c>
      <x:c r="G60" s="14" t="n">
        <x:f>SUMIFS('统计计数'!$Q$5:$Q$76,'统计计数'!$B$5:$B$76,"CG_H1",'统计计数'!$A$5:$A$76,"d")/$D60</x:f>
        <x:v>0</x:v>
      </x:c>
      <x:c r="H60" s="14" t="n">
        <x:f>SUMIFS('统计计数'!$R$5:$R$76,'统计计数'!$B$5:$B$76,"CG_H1",'统计计数'!$A$5:$A$76,"d")/$D60</x:f>
        <x:v>0</x:v>
      </x:c>
      <x:c r="I60" s="14" t="n">
        <x:f>SUMIFS('统计计数'!$S$5:$S$76,'统计计数'!$B$5:$B$76,"CG_H1",'统计计数'!$A$5:$A$76,"d")/$D60</x:f>
        <x:v>0.31823492082643534</x:v>
      </x:c>
      <x:c r="J60" s="14" t="n">
        <x:f>SUMIFS('统计计数'!$T$5:$T$76,'统计计数'!$B$5:$B$76,"CG_H1",'统计计数'!$A$5:$A$76,"d")/$D60</x:f>
        <x:v>0.6211583506097101</x:v>
      </x:c>
      <x:c r="K60" s="14" t="n">
        <x:f>SUMIFS('统计计数'!$U$5:$U$76,'统计计数'!$B$5:$B$76,"CG_H1",'统计计数'!$A$5:$A$76,"d")/$D60</x:f>
        <x:v>0.009417993960325628</x:v>
      </x:c>
      <x:c r="L60" s="14" t="n">
        <x:f>SUMIFS('统计计数'!$V$5:$V$76,'统计计数'!$B$5:$B$76,"CG_H1",'统计计数'!$A$5:$A$76,"d")/$D60</x:f>
        <x:v>0</x:v>
      </x:c>
      <x:c r="M60" s="14" t="n">
        <x:f>SUMIFS('统计计数'!$W$5:$W$76,'统计计数'!$B$5:$B$76,"CG_H1",'统计计数'!$A$5:$A$76,"d")/$D60</x:f>
        <x:v>0</x:v>
      </x:c>
      <x:c r="N60" s="14" t="n">
        <x:f>SUMIFS('统计计数'!$X$5:$X$76,'统计计数'!$B$5:$B$76,"CG_H1",'统计计数'!$A$5:$A$76,"d")/$D60</x:f>
        <x:v>0</x:v>
      </x:c>
    </x:row>
    <x:row r="61" ht="23" customHeight="1">
      <x:c r="A61" s="12" t="str">
        <x:v>d</x:v>
      </x:c>
      <x:c r="B61" s="12" t="str">
        <x:v>NC</x:v>
      </x:c>
      <x:c r="C61" s="12" t="str">
        <x:v>H0</x:v>
      </x:c>
      <x:c r="D61" s="11" t="n">
        <x:f>SUMIFS('统计计数'!$D$5:$D$76,'统计计数'!$B$5:$B$76,"NC_H0",'统计计数'!$A$5:$A$76,"d")</x:f>
        <x:v>1723934</x:v>
      </x:c>
      <x:c r="E61" s="14" t="n">
        <x:f>SUMIFS('统计计数'!$O$5:$O$76,'统计计数'!$B$5:$B$76,"NC_H0",'统计计数'!$A$5:$A$76,"d")/$D61</x:f>
        <x:v>0</x:v>
      </x:c>
      <x:c r="F61" s="14" t="n">
        <x:f>SUMIFS('统计计数'!$P$5:$P$76,'统计计数'!$B$5:$B$76,"NC_H0",'统计计数'!$A$5:$A$76,"d")/$D61</x:f>
        <x:v>0.16585089684407872</x:v>
      </x:c>
      <x:c r="G61" s="14" t="n">
        <x:f>SUMIFS('统计计数'!$Q$5:$Q$76,'统计计数'!$B$5:$B$76,"NC_H0",'统计计数'!$A$5:$A$76,"d")/$D61</x:f>
        <x:v>0</x:v>
      </x:c>
      <x:c r="H61" s="14" t="n">
        <x:f>SUMIFS('统计计数'!$R$5:$R$76,'统计计数'!$B$5:$B$76,"NC_H0",'统计计数'!$A$5:$A$76,"d")/$D61</x:f>
        <x:v>0</x:v>
      </x:c>
      <x:c r="I61" s="14" t="n">
        <x:f>SUMIFS('统计计数'!$S$5:$S$76,'统计计数'!$B$5:$B$76,"NC_H0",'统计计数'!$A$5:$A$76,"d")/$D61</x:f>
        <x:v>0.6677668634646106</x:v>
      </x:c>
      <x:c r="J61" s="14" t="n">
        <x:f>SUMIFS('统计计数'!$T$5:$T$76,'统计计数'!$B$5:$B$76,"NC_H0",'统计计数'!$A$5:$A$76,"d")/$D61</x:f>
        <x:v>0</x:v>
      </x:c>
      <x:c r="K61" s="14" t="n">
        <x:f>SUMIFS('统计计数'!$U$5:$U$76,'统计计数'!$B$5:$B$76,"NC_H0",'统计计数'!$A$5:$A$76,"d")/$D61</x:f>
        <x:v>0.13327772408920527</x:v>
      </x:c>
      <x:c r="L61" s="14" t="n">
        <x:f>SUMIFS('统计计数'!$V$5:$V$76,'统计计数'!$B$5:$B$76,"NC_H0",'统计计数'!$A$5:$A$76,"d")/$D61</x:f>
        <x:v>0.025746925346329965</x:v>
      </x:c>
      <x:c r="M61" s="14" t="n">
        <x:f>SUMIFS('统计计数'!$W$5:$W$76,'统计计数'!$B$5:$B$76,"NC_H0",'统计计数'!$A$5:$A$76,"d")/$D61</x:f>
        <x:v>0.007357590255775453</x:v>
      </x:c>
      <x:c r="N61" s="14" t="n">
        <x:f>SUMIFS('统计计数'!$X$5:$X$76,'统计计数'!$B$5:$B$76,"NC_H0",'统计计数'!$A$5:$A$76,"d")/$D61</x:f>
        <x:v>0</x:v>
      </x:c>
    </x:row>
    <x:row r="62" ht="23" customHeight="1">
      <x:c r="A62" s="12" t="str">
        <x:v>d</x:v>
      </x:c>
      <x:c r="B62" s="12" t="str">
        <x:v>NC</x:v>
      </x:c>
      <x:c r="C62" s="12" t="str">
        <x:v>H1</x:v>
      </x:c>
      <x:c r="D62" s="11" t="n">
        <x:f>SUMIFS('统计计数'!$D$5:$D$76,'统计计数'!$B$5:$B$76,"NC_H1",'统计计数'!$A$5:$A$76,"d")</x:f>
        <x:v>1723934</x:v>
      </x:c>
      <x:c r="E62" s="14" t="n">
        <x:f>SUMIFS('统计计数'!$O$5:$O$76,'统计计数'!$B$5:$B$76,"NC_H1",'统计计数'!$A$5:$A$76,"d")/$D62</x:f>
        <x:v>0</x:v>
      </x:c>
      <x:c r="F62" s="14" t="n">
        <x:f>SUMIFS('统计计数'!$P$5:$P$76,'统计计数'!$B$5:$B$76,"NC_H1",'统计计数'!$A$5:$A$76,"d")/$D62</x:f>
        <x:v>0.16585089684407872</x:v>
      </x:c>
      <x:c r="G62" s="14" t="n">
        <x:f>SUMIFS('统计计数'!$Q$5:$Q$76,'统计计数'!$B$5:$B$76,"NC_H1",'统计计数'!$A$5:$A$76,"d")/$D62</x:f>
        <x:v>0</x:v>
      </x:c>
      <x:c r="H62" s="14" t="n">
        <x:f>SUMIFS('统计计数'!$R$5:$R$76,'统计计数'!$B$5:$B$76,"NC_H1",'统计计数'!$A$5:$A$76,"d")/$D62</x:f>
        <x:v>0</x:v>
      </x:c>
      <x:c r="I62" s="14" t="n">
        <x:f>SUMIFS('统计计数'!$S$5:$S$76,'统计计数'!$B$5:$B$76,"NC_H1",'统计计数'!$A$5:$A$76,"d")/$D62</x:f>
        <x:v>0.666184436295125</x:v>
      </x:c>
      <x:c r="J62" s="14" t="n">
        <x:f>SUMIFS('统计计数'!$T$5:$T$76,'统计计数'!$B$5:$B$76,"NC_H1",'统计计数'!$A$5:$A$76,"d")/$D62</x:f>
        <x:v>0.0010650059689060022</x:v>
      </x:c>
      <x:c r="K62" s="14" t="n">
        <x:f>SUMIFS('统计计数'!$U$5:$U$76,'统计计数'!$B$5:$B$76,"NC_H1",'统计计数'!$A$5:$A$76,"d")/$D62</x:f>
        <x:v>0.13379514528978487</x:v>
      </x:c>
      <x:c r="L62" s="14" t="n">
        <x:f>SUMIFS('统计计数'!$V$5:$V$76,'统计计数'!$B$5:$B$76,"NC_H1",'统计计数'!$A$5:$A$76,"d")/$D62</x:f>
        <x:v>0.025746925346329965</x:v>
      </x:c>
      <x:c r="M62" s="14" t="n">
        <x:f>SUMIFS('统计计数'!$W$5:$W$76,'统计计数'!$B$5:$B$76,"NC_H1",'统计计数'!$A$5:$A$76,"d")/$D62</x:f>
        <x:v>0.007357590255775453</x:v>
      </x:c>
      <x:c r="N62" s="14" t="n">
        <x:f>SUMIFS('统计计数'!$X$5:$X$76,'统计计数'!$B$5:$B$76,"NC_H1",'统计计数'!$A$5:$A$76,"d")/$D62</x:f>
        <x:v>0</x:v>
      </x:c>
    </x:row>
    <x:row r="63" ht="23" customHeight="1">
      <x:c r="A63" s="12" t="str">
        <x:v>d</x:v>
      </x:c>
      <x:c r="B63" s="12" t="str">
        <x:v>NCG</x:v>
      </x:c>
      <x:c r="C63" s="12" t="str">
        <x:v>H0</x:v>
      </x:c>
      <x:c r="D63" s="11" t="n">
        <x:f>SUMIFS('统计计数'!$D$5:$D$76,'统计计数'!$B$5:$B$76,"NCG_H0",'统计计数'!$A$5:$A$76,"d")</x:f>
        <x:v>1723934</x:v>
      </x:c>
      <x:c r="E63" s="14" t="n">
        <x:f>SUMIFS('统计计数'!$O$5:$O$76,'统计计数'!$B$5:$B$76,"NCG_H0",'统计计数'!$A$5:$A$76,"d")/$D63</x:f>
        <x:v>0</x:v>
      </x:c>
      <x:c r="F63" s="14" t="n">
        <x:f>SUMIFS('统计计数'!$P$5:$P$76,'统计计数'!$B$5:$B$76,"NCG_H0",'统计计数'!$A$5:$A$76,"d")/$D63</x:f>
        <x:v>0.06401637185646318</x:v>
      </x:c>
      <x:c r="G63" s="14" t="n">
        <x:f>SUMIFS('统计计数'!$Q$5:$Q$76,'统计计数'!$B$5:$B$76,"NCG_H0",'统计计数'!$A$5:$A$76,"d")/$D63</x:f>
        <x:v>0</x:v>
      </x:c>
      <x:c r="H63" s="14" t="n">
        <x:f>SUMIFS('统计计数'!$R$5:$R$76,'统计计数'!$B$5:$B$76,"NCG_H0",'统计计数'!$A$5:$A$76,"d")/$D63</x:f>
        <x:v>0</x:v>
      </x:c>
      <x:c r="I63" s="14" t="n">
        <x:f>SUMIFS('统计计数'!$S$5:$S$76,'统计计数'!$B$5:$B$76,"NCG_H0",'统计计数'!$A$5:$A$76,"d")/$D63</x:f>
        <x:v>0.2618104869443958</x:v>
      </x:c>
      <x:c r="J63" s="14" t="n">
        <x:f>SUMIFS('统计计数'!$T$5:$T$76,'统计计数'!$B$5:$B$76,"NCG_H0",'统计计数'!$A$5:$A$76,"d")/$D63</x:f>
        <x:v>0.5077909015078304</x:v>
      </x:c>
      <x:c r="K63" s="14" t="n">
        <x:f>SUMIFS('统计计数'!$U$5:$U$76,'统计计数'!$B$5:$B$76,"NCG_H0",'统计计数'!$A$5:$A$76,"d")/$D63</x:f>
        <x:v>0.13327772408920527</x:v>
      </x:c>
      <x:c r="L63" s="14" t="n">
        <x:f>SUMIFS('统计计数'!$V$5:$V$76,'统计计数'!$B$5:$B$76,"NCG_H0",'统计计数'!$A$5:$A$76,"d")/$D63</x:f>
        <x:v>0.025746925346329965</x:v>
      </x:c>
      <x:c r="M63" s="14" t="n">
        <x:f>SUMIFS('统计计数'!$W$5:$W$76,'统计计数'!$B$5:$B$76,"NCG_H0",'统计计数'!$A$5:$A$76,"d")/$D63</x:f>
        <x:v>0.007357590255775453</x:v>
      </x:c>
      <x:c r="N63" s="14" t="n">
        <x:f>SUMIFS('统计计数'!$X$5:$X$76,'统计计数'!$B$5:$B$76,"NCG_H0",'统计计数'!$A$5:$A$76,"d")/$D63</x:f>
        <x:v>0</x:v>
      </x:c>
    </x:row>
    <x:row r="64" ht="23" customHeight="1">
      <x:c r="A64" s="12" t="str">
        <x:v>d</x:v>
      </x:c>
      <x:c r="B64" s="12" t="str">
        <x:v>NCG</x:v>
      </x:c>
      <x:c r="C64" s="12" t="str">
        <x:v>H1</x:v>
      </x:c>
      <x:c r="D64" s="11" t="n">
        <x:f>SUMIFS('统计计数'!$D$5:$D$76,'统计计数'!$B$5:$B$76,"NCG_H1",'统计计数'!$A$5:$A$76,"d")</x:f>
        <x:v>1723934</x:v>
      </x:c>
      <x:c r="E64" s="14" t="n">
        <x:f>SUMIFS('统计计数'!$O$5:$O$76,'统计计数'!$B$5:$B$76,"NCG_H1",'统计计数'!$A$5:$A$76,"d")/$D64</x:f>
        <x:v>0</x:v>
      </x:c>
      <x:c r="F64" s="14" t="n">
        <x:f>SUMIFS('统计计数'!$P$5:$P$76,'统计计数'!$B$5:$B$76,"NCG_H1",'统计计数'!$A$5:$A$76,"d")/$D64</x:f>
        <x:v>0.05789780815274831</x:v>
      </x:c>
      <x:c r="G64" s="14" t="n">
        <x:f>SUMIFS('统计计数'!$Q$5:$Q$76,'统计计数'!$B$5:$B$76,"NCG_H1",'统计计数'!$A$5:$A$76,"d")/$D64</x:f>
        <x:v>0</x:v>
      </x:c>
      <x:c r="H64" s="14" t="n">
        <x:f>SUMIFS('统计计数'!$R$5:$R$76,'统计计数'!$B$5:$B$76,"NCG_H1",'统计计数'!$A$5:$A$76,"d")/$D64</x:f>
        <x:v>0</x:v>
      </x:c>
      <x:c r="I64" s="14" t="n">
        <x:f>SUMIFS('统计计数'!$S$5:$S$76,'统计计数'!$B$5:$B$76,"NCG_H1",'统计计数'!$A$5:$A$76,"d")/$D64</x:f>
        <x:v>0.26634662347862503</x:v>
      </x:c>
      <x:c r="J64" s="14" t="n">
        <x:f>SUMIFS('统计计数'!$T$5:$T$76,'统计计数'!$B$5:$B$76,"NCG_H1",'统计计数'!$A$5:$A$76,"d")/$D64</x:f>
        <x:v>0.5088559074767364</x:v>
      </x:c>
      <x:c r="K64" s="14" t="n">
        <x:f>SUMIFS('统计计数'!$U$5:$U$76,'统计计数'!$B$5:$B$76,"NCG_H1",'统计计数'!$A$5:$A$76,"d")/$D64</x:f>
        <x:v>0.13379514528978487</x:v>
      </x:c>
      <x:c r="L64" s="14" t="n">
        <x:f>SUMIFS('统计计数'!$V$5:$V$76,'统计计数'!$B$5:$B$76,"NCG_H1",'统计计数'!$A$5:$A$76,"d")/$D64</x:f>
        <x:v>0.025746925346329965</x:v>
      </x:c>
      <x:c r="M64" s="14" t="n">
        <x:f>SUMIFS('统计计数'!$W$5:$W$76,'统计计数'!$B$5:$B$76,"NCG_H1",'统计计数'!$A$5:$A$76,"d")/$D64</x:f>
        <x:v>0.007357590255775453</x:v>
      </x:c>
      <x:c r="N64" s="14" t="n">
        <x:f>SUMIFS('统计计数'!$X$5:$X$76,'统计计数'!$B$5:$B$76,"NCG_H1",'统计计数'!$A$5:$A$76,"d")/$D64</x:f>
        <x:v>0</x:v>
      </x:c>
    </x:row>
    <x:row r="65" ht="23" customHeight="1">
      <x:c r="A65" s="12" t="str">
        <x:v>e</x:v>
      </x:c>
      <x:c r="B65" s="12" t="str">
        <x:v>N</x:v>
      </x:c>
      <x:c r="C65" s="12" t="str">
        <x:v>H0</x:v>
      </x:c>
      <x:c r="D65" s="11" t="n">
        <x:f>SUMIFS('统计计数'!$D$5:$D$76,'统计计数'!$B$5:$B$76,"N_H0",'统计计数'!$A$5:$A$76,"e")</x:f>
        <x:v>15496224</x:v>
      </x:c>
      <x:c r="E65" s="14" t="n">
        <x:f>SUMIFS('统计计数'!$O$5:$O$76,'统计计数'!$B$5:$B$76,"N_H0",'统计计数'!$A$5:$A$76,"e")/$D65</x:f>
        <x:v>0</x:v>
      </x:c>
      <x:c r="F65" s="14" t="n">
        <x:f>SUMIFS('统计计数'!$P$5:$P$76,'统计计数'!$B$5:$B$76,"N_H0",'统计计数'!$A$5:$A$76,"e")/$D65</x:f>
        <x:v>0.09432659207817337</x:v>
      </x:c>
      <x:c r="G65" s="14" t="n">
        <x:f>SUMIFS('统计计数'!$Q$5:$Q$76,'统计计数'!$B$5:$B$76,"N_H0",'统计计数'!$A$5:$A$76,"e")/$D65</x:f>
        <x:v>0</x:v>
      </x:c>
      <x:c r="H65" s="14" t="n">
        <x:f>SUMIFS('统计计数'!$R$5:$R$76,'统计计数'!$B$5:$B$76,"N_H0",'统计计数'!$A$5:$A$76,"e")/$D65</x:f>
        <x:v>0</x:v>
      </x:c>
      <x:c r="I65" s="14" t="n">
        <x:f>SUMIFS('统计计数'!$S$5:$S$76,'统计计数'!$B$5:$B$76,"N_H0",'统计计数'!$A$5:$A$76,"e")/$D65</x:f>
        <x:v>0.44607821879704374</x:v>
      </x:c>
      <x:c r="J65" s="14" t="n">
        <x:f>SUMIFS('统计计数'!$T$5:$T$76,'统计计数'!$B$5:$B$76,"N_H0",'统计计数'!$A$5:$A$76,"e")/$D65</x:f>
        <x:v>0</x:v>
      </x:c>
      <x:c r="K65" s="14" t="n">
        <x:f>SUMIFS('统计计数'!$U$5:$U$76,'统计计数'!$B$5:$B$76,"N_H0",'统计计数'!$A$5:$A$76,"e")/$D65</x:f>
        <x:v>0.2750291942088602</x:v>
      </x:c>
      <x:c r="L65" s="14" t="n">
        <x:f>SUMIFS('统计计数'!$V$5:$V$76,'统计计数'!$B$5:$B$76,"N_H0",'统计计数'!$A$5:$A$76,"e")/$D65</x:f>
        <x:v>0.05932090295029292</x:v>
      </x:c>
      <x:c r="M65" s="14" t="n">
        <x:f>SUMIFS('统计计数'!$W$5:$W$76,'统计计数'!$B$5:$B$76,"N_H0",'统计计数'!$A$5:$A$76,"e")/$D65</x:f>
        <x:v>0.12524509196562983</x:v>
      </x:c>
      <x:c r="N65" s="14" t="n">
        <x:f>SUMIFS('统计计数'!$X$5:$X$76,'统计计数'!$B$5:$B$76,"N_H0",'统计计数'!$A$5:$A$76,"e")/$D65</x:f>
        <x:v>0</x:v>
      </x:c>
    </x:row>
    <x:row r="66" ht="23" customHeight="1">
      <x:c r="A66" s="12" t="str">
        <x:v>e</x:v>
      </x:c>
      <x:c r="B66" s="12" t="str">
        <x:v>N</x:v>
      </x:c>
      <x:c r="C66" s="12" t="str">
        <x:v>H1</x:v>
      </x:c>
      <x:c r="D66" s="11" t="n">
        <x:f>SUMIFS('统计计数'!$D$5:$D$76,'统计计数'!$B$5:$B$76,"N_H1",'统计计数'!$A$5:$A$76,"e")</x:f>
        <x:v>15496224</x:v>
      </x:c>
      <x:c r="E66" s="14" t="n">
        <x:f>SUMIFS('统计计数'!$O$5:$O$76,'统计计数'!$B$5:$B$76,"N_H1",'统计计数'!$A$5:$A$76,"e")/$D66</x:f>
        <x:v>0</x:v>
      </x:c>
      <x:c r="F66" s="14" t="n">
        <x:f>SUMIFS('统计计数'!$P$5:$P$76,'统计计数'!$B$5:$B$76,"N_H1",'统计计数'!$A$5:$A$76,"e")/$D66</x:f>
        <x:v>0.09432659207817337</x:v>
      </x:c>
      <x:c r="G66" s="14" t="n">
        <x:f>SUMIFS('统计计数'!$Q$5:$Q$76,'统计计数'!$B$5:$B$76,"N_H1",'统计计数'!$A$5:$A$76,"e")/$D66</x:f>
        <x:v>0</x:v>
      </x:c>
      <x:c r="H66" s="14" t="n">
        <x:f>SUMIFS('统计计数'!$R$5:$R$76,'统计计数'!$B$5:$B$76,"N_H1",'统计计数'!$A$5:$A$76,"e")/$D66</x:f>
        <x:v>0</x:v>
      </x:c>
      <x:c r="I66" s="14" t="n">
        <x:f>SUMIFS('统计计数'!$S$5:$S$76,'统计计数'!$B$5:$B$76,"N_H1",'统计计数'!$A$5:$A$76,"e")/$D66</x:f>
        <x:v>0.4445404248157487</x:v>
      </x:c>
      <x:c r="J66" s="14" t="n">
        <x:f>SUMIFS('统计计数'!$T$5:$T$76,'统计计数'!$B$5:$B$76,"N_H1",'统计计数'!$A$5:$A$76,"e")/$D66</x:f>
        <x:v>0.001537793981295056</x:v>
      </x:c>
      <x:c r="K66" s="14" t="n">
        <x:f>SUMIFS('统计计数'!$U$5:$U$76,'统计计数'!$B$5:$B$76,"N_H1",'统计计数'!$A$5:$A$76,"e")/$D66</x:f>
        <x:v>0.2750291942088602</x:v>
      </x:c>
      <x:c r="L66" s="14" t="n">
        <x:f>SUMIFS('统计计数'!$V$5:$V$76,'统计计数'!$B$5:$B$76,"N_H1",'统计计数'!$A$5:$A$76,"e")/$D66</x:f>
        <x:v>0.05932090295029292</x:v>
      </x:c>
      <x:c r="M66" s="14" t="n">
        <x:f>SUMIFS('统计计数'!$W$5:$W$76,'统计计数'!$B$5:$B$76,"N_H1",'统计计数'!$A$5:$A$76,"e")/$D66</x:f>
        <x:v>0.12524509196562983</x:v>
      </x:c>
      <x:c r="N66" s="14" t="n">
        <x:f>SUMIFS('统计计数'!$X$5:$X$76,'统计计数'!$B$5:$B$76,"N_H1",'统计计数'!$A$5:$A$76,"e")/$D66</x:f>
        <x:v>0</x:v>
      </x:c>
    </x:row>
    <x:row r="67" ht="23" customHeight="1">
      <x:c r="A67" s="12" t="str">
        <x:v>e</x:v>
      </x:c>
      <x:c r="B67" s="12" t="str">
        <x:v>C</x:v>
      </x:c>
      <x:c r="C67" s="12" t="str">
        <x:v>H0</x:v>
      </x:c>
      <x:c r="D67" s="11" t="n">
        <x:f>SUMIFS('统计计数'!$D$5:$D$76,'统计计数'!$B$5:$B$76,"C_H0",'统计计数'!$A$5:$A$76,"e")</x:f>
        <x:v>15496224</x:v>
      </x:c>
      <x:c r="E67" s="14" t="n">
        <x:f>SUMIFS('统计计数'!$O$5:$O$76,'统计计数'!$B$5:$B$76,"C_H0",'统计计数'!$A$5:$A$76,"e")/$D67</x:f>
        <x:v>0</x:v>
      </x:c>
      <x:c r="F67" s="14" t="n">
        <x:f>SUMIFS('统计计数'!$P$5:$P$76,'统计计数'!$B$5:$B$76,"C_H0",'统计计数'!$A$5:$A$76,"e")/$D67</x:f>
        <x:v>0.18157597618619864</x:v>
      </x:c>
      <x:c r="G67" s="14" t="n">
        <x:f>SUMIFS('统计计数'!$Q$5:$Q$76,'统计计数'!$B$5:$B$76,"C_H0",'统计计数'!$A$5:$A$76,"e")/$D67</x:f>
        <x:v>0</x:v>
      </x:c>
      <x:c r="H67" s="14" t="n">
        <x:f>SUMIFS('统计计数'!$R$5:$R$76,'统计计数'!$B$5:$B$76,"C_H0",'统计计数'!$A$5:$A$76,"e")/$D67</x:f>
        <x:v>0</x:v>
      </x:c>
      <x:c r="I67" s="14" t="n">
        <x:f>SUMIFS('统计计数'!$S$5:$S$76,'统计计数'!$B$5:$B$76,"C_H0",'统计计数'!$A$5:$A$76,"e")/$D67</x:f>
        <x:v>0.8166255211592192</x:v>
      </x:c>
      <x:c r="J67" s="14" t="n">
        <x:f>SUMIFS('统计计数'!$T$5:$T$76,'统计计数'!$B$5:$B$76,"C_H0",'统计计数'!$A$5:$A$76,"e")/$D67</x:f>
        <x:v>0</x:v>
      </x:c>
      <x:c r="K67" s="14" t="n">
        <x:f>SUMIFS('统计计数'!$U$5:$U$76,'统计计数'!$B$5:$B$76,"C_H0",'统计计数'!$A$5:$A$76,"e")/$D67</x:f>
        <x:v>0.0017985026545821743</x:v>
      </x:c>
      <x:c r="L67" s="14" t="n">
        <x:f>SUMIFS('统计计数'!$V$5:$V$76,'统计计数'!$B$5:$B$76,"C_H0",'统计计数'!$A$5:$A$76,"e")/$D67</x:f>
        <x:v>0</x:v>
      </x:c>
      <x:c r="M67" s="14" t="n">
        <x:f>SUMIFS('统计计数'!$W$5:$W$76,'统计计数'!$B$5:$B$76,"C_H0",'统计计数'!$A$5:$A$76,"e")/$D67</x:f>
        <x:v>0</x:v>
      </x:c>
      <x:c r="N67" s="14" t="n">
        <x:f>SUMIFS('统计计数'!$X$5:$X$76,'统计计数'!$B$5:$B$76,"C_H0",'统计计数'!$A$5:$A$76,"e")/$D67</x:f>
        <x:v>0</x:v>
      </x:c>
    </x:row>
    <x:row r="68" ht="23" customHeight="1">
      <x:c r="A68" s="12" t="str">
        <x:v>e</x:v>
      </x:c>
      <x:c r="B68" s="12" t="str">
        <x:v>C</x:v>
      </x:c>
      <x:c r="C68" s="12" t="str">
        <x:v>H1</x:v>
      </x:c>
      <x:c r="D68" s="11" t="n">
        <x:f>SUMIFS('统计计数'!$D$5:$D$76,'统计计数'!$B$5:$B$76,"C_H1",'统计计数'!$A$5:$A$76,"e")</x:f>
        <x:v>15496224</x:v>
      </x:c>
      <x:c r="E68" s="14" t="n">
        <x:f>SUMIFS('统计计数'!$O$5:$O$76,'统计计数'!$B$5:$B$76,"C_H1",'统计计数'!$A$5:$A$76,"e")/$D68</x:f>
        <x:v>0</x:v>
      </x:c>
      <x:c r="F68" s="14" t="n">
        <x:f>SUMIFS('统计计数'!$P$5:$P$76,'统计计数'!$B$5:$B$76,"C_H1",'统计计数'!$A$5:$A$76,"e")/$D68</x:f>
        <x:v>0.18151247684597227</x:v>
      </x:c>
      <x:c r="G68" s="14" t="n">
        <x:f>SUMIFS('统计计数'!$Q$5:$Q$76,'统计计数'!$B$5:$B$76,"C_H1",'统计计数'!$A$5:$A$76,"e")/$D68</x:f>
        <x:v>0</x:v>
      </x:c>
      <x:c r="H68" s="14" t="n">
        <x:f>SUMIFS('统计计数'!$R$5:$R$76,'统计计数'!$B$5:$B$76,"C_H1",'统计计数'!$A$5:$A$76,"e")/$D68</x:f>
        <x:v>0</x:v>
      </x:c>
      <x:c r="I68" s="14" t="n">
        <x:f>SUMIFS('统计计数'!$S$5:$S$76,'统计计数'!$B$5:$B$76,"C_H1",'统计计数'!$A$5:$A$76,"e")/$D68</x:f>
        <x:v>0.8166255211592192</x:v>
      </x:c>
      <x:c r="J68" s="14" t="n">
        <x:f>SUMIFS('统计计数'!$T$5:$T$76,'统计计数'!$B$5:$B$76,"C_H1",'统计计数'!$A$5:$A$76,"e")/$D68</x:f>
        <x:v>0.00006349934022636741</x:v>
      </x:c>
      <x:c r="K68" s="14" t="n">
        <x:f>SUMIFS('统计计数'!$U$5:$U$76,'统计计数'!$B$5:$B$76,"C_H1",'统计计数'!$A$5:$A$76,"e")/$D68</x:f>
        <x:v>0.0017985026545821743</x:v>
      </x:c>
      <x:c r="L68" s="14" t="n">
        <x:f>SUMIFS('统计计数'!$V$5:$V$76,'统计计数'!$B$5:$B$76,"C_H1",'统计计数'!$A$5:$A$76,"e")/$D68</x:f>
        <x:v>0</x:v>
      </x:c>
      <x:c r="M68" s="14" t="n">
        <x:f>SUMIFS('统计计数'!$W$5:$W$76,'统计计数'!$B$5:$B$76,"C_H1",'统计计数'!$A$5:$A$76,"e")/$D68</x:f>
        <x:v>0</x:v>
      </x:c>
      <x:c r="N68" s="14" t="n">
        <x:f>SUMIFS('统计计数'!$X$5:$X$76,'统计计数'!$B$5:$B$76,"C_H1",'统计计数'!$A$5:$A$76,"e")/$D68</x:f>
        <x:v>0</x:v>
      </x:c>
    </x:row>
    <x:row r="69" ht="23" customHeight="1">
      <x:c r="A69" s="12" t="str">
        <x:v>e</x:v>
      </x:c>
      <x:c r="B69" s="12" t="str">
        <x:v>NG</x:v>
      </x:c>
      <x:c r="C69" s="12" t="str">
        <x:v>H0</x:v>
      </x:c>
      <x:c r="D69" s="11" t="n">
        <x:f>SUMIFS('统计计数'!$D$5:$D$76,'统计计数'!$B$5:$B$76,"NG_H0",'统计计数'!$A$5:$A$76,"e")</x:f>
        <x:v>15496224</x:v>
      </x:c>
      <x:c r="E69" s="14" t="n">
        <x:f>SUMIFS('统计计数'!$O$5:$O$76,'统计计数'!$B$5:$B$76,"NG_H0",'统计计数'!$A$5:$A$76,"e")/$D69</x:f>
        <x:v>0</x:v>
      </x:c>
      <x:c r="F69" s="14" t="n">
        <x:f>SUMIFS('统计计数'!$P$5:$P$76,'统计计数'!$B$5:$B$76,"NG_H0",'统计计数'!$A$5:$A$76,"e")/$D69</x:f>
        <x:v>0.030486136493638707</x:v>
      </x:c>
      <x:c r="G69" s="14" t="n">
        <x:f>SUMIFS('统计计数'!$Q$5:$Q$76,'统计计数'!$B$5:$B$76,"NG_H0",'统计计数'!$A$5:$A$76,"e")/$D69</x:f>
        <x:v>0</x:v>
      </x:c>
      <x:c r="H69" s="14" t="n">
        <x:f>SUMIFS('统计计数'!$R$5:$R$76,'统计计数'!$B$5:$B$76,"NG_H0",'统计计数'!$A$5:$A$76,"e")/$D69</x:f>
        <x:v>0</x:v>
      </x:c>
      <x:c r="I69" s="14" t="n">
        <x:f>SUMIFS('统计计数'!$S$5:$S$76,'统计计数'!$B$5:$B$76,"NG_H0",'统计计数'!$A$5:$A$76,"e")/$D69</x:f>
        <x:v>0.11036456365111914</x:v>
      </x:c>
      <x:c r="J69" s="14" t="n">
        <x:f>SUMIFS('统计计数'!$T$5:$T$76,'统计计数'!$B$5:$B$76,"NG_H0",'统计计数'!$A$5:$A$76,"e")/$D69</x:f>
        <x:v>0.39955411073045927</x:v>
      </x:c>
      <x:c r="K69" s="14" t="n">
        <x:f>SUMIFS('统计计数'!$U$5:$U$76,'统计计数'!$B$5:$B$76,"NG_H0",'统计计数'!$A$5:$A$76,"e")/$D69</x:f>
        <x:v>0.2750291942088602</x:v>
      </x:c>
      <x:c r="L69" s="14" t="n">
        <x:f>SUMIFS('统计计数'!$V$5:$V$76,'统计计数'!$B$5:$B$76,"NG_H0",'统计计数'!$A$5:$A$76,"e")/$D69</x:f>
        <x:v>0.05932090295029292</x:v>
      </x:c>
      <x:c r="M69" s="14" t="n">
        <x:f>SUMIFS('统计计数'!$W$5:$W$76,'统计计数'!$B$5:$B$76,"NG_H0",'统计计数'!$A$5:$A$76,"e")/$D69</x:f>
        <x:v>0.12524509196562983</x:v>
      </x:c>
      <x:c r="N69" s="14" t="n">
        <x:f>SUMIFS('统计计数'!$X$5:$X$76,'统计计数'!$B$5:$B$76,"NG_H0",'统计计数'!$A$5:$A$76,"e")/$D69</x:f>
        <x:v>0</x:v>
      </x:c>
    </x:row>
    <x:row r="70" ht="23" customHeight="1">
      <x:c r="A70" s="12" t="str">
        <x:v>e</x:v>
      </x:c>
      <x:c r="B70" s="12" t="str">
        <x:v>NG</x:v>
      </x:c>
      <x:c r="C70" s="12" t="str">
        <x:v>H1</x:v>
      </x:c>
      <x:c r="D70" s="11" t="n">
        <x:f>SUMIFS('统计计数'!$D$5:$D$76,'统计计数'!$B$5:$B$76,"NG_H1",'统计计数'!$A$5:$A$76,"e")</x:f>
        <x:v>15496224</x:v>
      </x:c>
      <x:c r="E70" s="14" t="n">
        <x:f>SUMIFS('统计计数'!$O$5:$O$76,'统计计数'!$B$5:$B$76,"NG_H1",'统计计数'!$A$5:$A$76,"e")/$D70</x:f>
        <x:v>0</x:v>
      </x:c>
      <x:c r="F70" s="14" t="n">
        <x:f>SUMIFS('统计计数'!$P$5:$P$76,'统计计数'!$B$5:$B$76,"NG_H1",'统计计数'!$A$5:$A$76,"e")/$D70</x:f>
        <x:v>0.022992439964729473</x:v>
      </x:c>
      <x:c r="G70" s="14" t="n">
        <x:f>SUMIFS('统计计数'!$Q$5:$Q$76,'统计计数'!$B$5:$B$76,"NG_H1",'统计计数'!$A$5:$A$76,"e")/$D70</x:f>
        <x:v>0</x:v>
      </x:c>
      <x:c r="H70" s="14" t="n">
        <x:f>SUMIFS('统计计数'!$R$5:$R$76,'统计计数'!$B$5:$B$76,"NG_H1",'统计计数'!$A$5:$A$76,"e")/$D70</x:f>
        <x:v>0</x:v>
      </x:c>
      <x:c r="I70" s="14" t="n">
        <x:f>SUMIFS('统计计数'!$S$5:$S$76,'统计计数'!$B$5:$B$76,"NG_H1",'统计计数'!$A$5:$A$76,"e")/$D70</x:f>
        <x:v>0.11765266170649057</x:v>
      </x:c>
      <x:c r="J70" s="14" t="n">
        <x:f>SUMIFS('统计计数'!$T$5:$T$76,'统计计数'!$B$5:$B$76,"NG_H1",'统计计数'!$A$5:$A$76,"e")/$D70</x:f>
        <x:v>0.39975970920399706</x:v>
      </x:c>
      <x:c r="K70" s="14" t="n">
        <x:f>SUMIFS('统计计数'!$U$5:$U$76,'统计计数'!$B$5:$B$76,"NG_H1",'统计计数'!$A$5:$A$76,"e")/$D70</x:f>
        <x:v>0.2750291942088602</x:v>
      </x:c>
      <x:c r="L70" s="14" t="n">
        <x:f>SUMIFS('统计计数'!$V$5:$V$76,'统计计数'!$B$5:$B$76,"NG_H1",'统计计数'!$A$5:$A$76,"e")/$D70</x:f>
        <x:v>0.05932090295029292</x:v>
      </x:c>
      <x:c r="M70" s="14" t="n">
        <x:f>SUMIFS('统计计数'!$W$5:$W$76,'统计计数'!$B$5:$B$76,"NG_H1",'统计计数'!$A$5:$A$76,"e")/$D70</x:f>
        <x:v>0.12524509196562983</x:v>
      </x:c>
      <x:c r="N70" s="14" t="n">
        <x:f>SUMIFS('统计计数'!$X$5:$X$76,'统计计数'!$B$5:$B$76,"NG_H1",'统计计数'!$A$5:$A$76,"e")/$D70</x:f>
        <x:v>0</x:v>
      </x:c>
    </x:row>
    <x:row r="71" ht="23" customHeight="1">
      <x:c r="A71" s="12" t="str">
        <x:v>e</x:v>
      </x:c>
      <x:c r="B71" s="12" t="str">
        <x:v>CG</x:v>
      </x:c>
      <x:c r="C71" s="12" t="str">
        <x:v>H0</x:v>
      </x:c>
      <x:c r="D71" s="11" t="n">
        <x:f>SUMIFS('统计计数'!$D$5:$D$76,'统计计数'!$B$5:$B$76,"CG_H0",'统计计数'!$A$5:$A$76,"e")</x:f>
        <x:v>15496224</x:v>
      </x:c>
      <x:c r="E71" s="14" t="n">
        <x:f>SUMIFS('统计计数'!$O$5:$O$76,'统计计数'!$B$5:$B$76,"CG_H0",'统计计数'!$A$5:$A$76,"e")/$D71</x:f>
        <x:v>0</x:v>
      </x:c>
      <x:c r="F71" s="14" t="n">
        <x:f>SUMIFS('统计计数'!$P$5:$P$76,'统计计数'!$B$5:$B$76,"CG_H0",'统计计数'!$A$5:$A$76,"e")/$D71</x:f>
        <x:v>0.03279715109951947</x:v>
      </x:c>
      <x:c r="G71" s="14" t="n">
        <x:f>SUMIFS('统计计数'!$Q$5:$Q$76,'统计计数'!$B$5:$B$76,"CG_H0",'统计计数'!$A$5:$A$76,"e")/$D71</x:f>
        <x:v>0</x:v>
      </x:c>
      <x:c r="H71" s="14" t="n">
        <x:f>SUMIFS('统计计数'!$R$5:$R$76,'统计计数'!$B$5:$B$76,"CG_H0",'统计计数'!$A$5:$A$76,"e")/$D71</x:f>
        <x:v>0</x:v>
      </x:c>
      <x:c r="I71" s="14" t="n">
        <x:f>SUMIFS('统计计数'!$S$5:$S$76,'统计计数'!$B$5:$B$76,"CG_H0",'统计计数'!$A$5:$A$76,"e")/$D71</x:f>
        <x:v>0.1979674532324778</x:v>
      </x:c>
      <x:c r="J71" s="14" t="n">
        <x:f>SUMIFS('统计计数'!$T$5:$T$76,'统计计数'!$B$5:$B$76,"CG_H0",'统计计数'!$A$5:$A$76,"e")/$D71</x:f>
        <x:v>0.7674368930134206</x:v>
      </x:c>
      <x:c r="K71" s="14" t="n">
        <x:f>SUMIFS('统计计数'!$U$5:$U$76,'统计计数'!$B$5:$B$76,"CG_H0",'统计计数'!$A$5:$A$76,"e")/$D71</x:f>
        <x:v>0.0017985026545821743</x:v>
      </x:c>
      <x:c r="L71" s="14" t="n">
        <x:f>SUMIFS('统计计数'!$V$5:$V$76,'统计计数'!$B$5:$B$76,"CG_H0",'统计计数'!$A$5:$A$76,"e")/$D71</x:f>
        <x:v>0</x:v>
      </x:c>
      <x:c r="M71" s="14" t="n">
        <x:f>SUMIFS('统计计数'!$W$5:$W$76,'统计计数'!$B$5:$B$76,"CG_H0",'统计计数'!$A$5:$A$76,"e")/$D71</x:f>
        <x:v>0</x:v>
      </x:c>
      <x:c r="N71" s="14" t="n">
        <x:f>SUMIFS('统计计数'!$X$5:$X$76,'统计计数'!$B$5:$B$76,"CG_H0",'统计计数'!$A$5:$A$76,"e")/$D71</x:f>
        <x:v>0</x:v>
      </x:c>
    </x:row>
    <x:row r="72" ht="23" customHeight="1">
      <x:c r="A72" s="12" t="str">
        <x:v>e</x:v>
      </x:c>
      <x:c r="B72" s="12" t="str">
        <x:v>CG</x:v>
      </x:c>
      <x:c r="C72" s="12" t="str">
        <x:v>H1</x:v>
      </x:c>
      <x:c r="D72" s="11" t="n">
        <x:f>SUMIFS('统计计数'!$D$5:$D$76,'统计计数'!$B$5:$B$76,"CG_H1",'统计计数'!$A$5:$A$76,"e")</x:f>
        <x:v>15496224</x:v>
      </x:c>
      <x:c r="E72" s="14" t="n">
        <x:f>SUMIFS('统计计数'!$O$5:$O$76,'统计计数'!$B$5:$B$76,"CG_H1",'统计计数'!$A$5:$A$76,"e")/$D72</x:f>
        <x:v>0</x:v>
      </x:c>
      <x:c r="F72" s="14" t="n">
        <x:f>SUMIFS('统计计数'!$P$5:$P$76,'统计计数'!$B$5:$B$76,"CG_H1",'统计计数'!$A$5:$A$76,"e")/$D72</x:f>
        <x:v>0.02225355028424989</x:v>
      </x:c>
      <x:c r="G72" s="14" t="n">
        <x:f>SUMIFS('统计计数'!$Q$5:$Q$76,'统计计数'!$B$5:$B$76,"CG_H1",'统计计数'!$A$5:$A$76,"e")/$D72</x:f>
        <x:v>0</x:v>
      </x:c>
      <x:c r="H72" s="14" t="n">
        <x:f>SUMIFS('统计计数'!$R$5:$R$76,'统计计数'!$B$5:$B$76,"CG_H1",'统计计数'!$A$5:$A$76,"e")/$D72</x:f>
        <x:v>0</x:v>
      </x:c>
      <x:c r="I72" s="14" t="n">
        <x:f>SUMIFS('统计计数'!$S$5:$S$76,'统计计数'!$B$5:$B$76,"CG_H1",'统计计数'!$A$5:$A$76,"e")/$D72</x:f>
        <x:v>0.208447554707521</x:v>
      </x:c>
      <x:c r="J72" s="14" t="n">
        <x:f>SUMIFS('统计计数'!$T$5:$T$76,'统计计数'!$B$5:$B$76,"CG_H1",'统计计数'!$A$5:$A$76,"e")/$D72</x:f>
        <x:v>0.767500392353647</x:v>
      </x:c>
      <x:c r="K72" s="14" t="n">
        <x:f>SUMIFS('统计计数'!$U$5:$U$76,'统计计数'!$B$5:$B$76,"CG_H1",'统计计数'!$A$5:$A$76,"e")/$D72</x:f>
        <x:v>0.0017985026545821743</x:v>
      </x:c>
      <x:c r="L72" s="14" t="n">
        <x:f>SUMIFS('统计计数'!$V$5:$V$76,'统计计数'!$B$5:$B$76,"CG_H1",'统计计数'!$A$5:$A$76,"e")/$D72</x:f>
        <x:v>0</x:v>
      </x:c>
      <x:c r="M72" s="14" t="n">
        <x:f>SUMIFS('统计计数'!$W$5:$W$76,'统计计数'!$B$5:$B$76,"CG_H1",'统计计数'!$A$5:$A$76,"e")/$D72</x:f>
        <x:v>0</x:v>
      </x:c>
      <x:c r="N72" s="14" t="n">
        <x:f>SUMIFS('统计计数'!$X$5:$X$76,'统计计数'!$B$5:$B$76,"CG_H1",'统计计数'!$A$5:$A$76,"e")/$D72</x:f>
        <x:v>0</x:v>
      </x:c>
    </x:row>
    <x:row r="73" ht="23" customHeight="1">
      <x:c r="A73" s="12" t="str">
        <x:v>e</x:v>
      </x:c>
      <x:c r="B73" s="12" t="str">
        <x:v>NC</x:v>
      </x:c>
      <x:c r="C73" s="12" t="str">
        <x:v>H0</x:v>
      </x:c>
      <x:c r="D73" s="11" t="n">
        <x:f>SUMIFS('统计计数'!$D$5:$D$76,'统计计数'!$B$5:$B$76,"NC_H0",'统计计数'!$A$5:$A$76,"e")</x:f>
        <x:v>15496224</x:v>
      </x:c>
      <x:c r="E73" s="14" t="n">
        <x:f>SUMIFS('统计计数'!$O$5:$O$76,'统计计数'!$B$5:$B$76,"NC_H0",'统计计数'!$A$5:$A$76,"e")/$D73</x:f>
        <x:v>0</x:v>
      </x:c>
      <x:c r="F73" s="14" t="n">
        <x:f>SUMIFS('统计计数'!$P$5:$P$76,'统计计数'!$B$5:$B$76,"NC_H0",'统计计数'!$A$5:$A$76,"e")/$D73</x:f>
        <x:v>0.17683714432625652</x:v>
      </x:c>
      <x:c r="G73" s="14" t="n">
        <x:f>SUMIFS('统计计数'!$Q$5:$Q$76,'统计计数'!$B$5:$B$76,"NC_H0",'统计计数'!$A$5:$A$76,"e")/$D73</x:f>
        <x:v>0</x:v>
      </x:c>
      <x:c r="H73" s="14" t="n">
        <x:f>SUMIFS('统计计数'!$R$5:$R$76,'统计计数'!$B$5:$B$76,"NC_H0",'统计计数'!$A$5:$A$76,"e")/$D73</x:f>
        <x:v>0</x:v>
      </x:c>
      <x:c r="I73" s="14" t="n">
        <x:f>SUMIFS('统计计数'!$S$5:$S$76,'统计计数'!$B$5:$B$76,"NC_H0",'统计计数'!$A$5:$A$76,"e")/$D73</x:f>
        <x:v>0.39403663757054624</x:v>
      </x:c>
      <x:c r="J73" s="14" t="n">
        <x:f>SUMIFS('统计计数'!$T$5:$T$76,'统计计数'!$B$5:$B$76,"NC_H0",'统计计数'!$A$5:$A$76,"e")/$D73</x:f>
        <x:v>0</x:v>
      </x:c>
      <x:c r="K73" s="14" t="n">
        <x:f>SUMIFS('统计计数'!$U$5:$U$76,'统计计数'!$B$5:$B$76,"NC_H0",'统计计数'!$A$5:$A$76,"e")/$D73</x:f>
        <x:v>0.30670374924884924</x:v>
      </x:c>
      <x:c r="L73" s="14" t="n">
        <x:f>SUMIFS('统计计数'!$V$5:$V$76,'统计计数'!$B$5:$B$76,"NC_H0",'统计计数'!$A$5:$A$76,"e")/$D73</x:f>
        <x:v>0.059283603541094916</x:v>
      </x:c>
      <x:c r="M73" s="14" t="n">
        <x:f>SUMIFS('统计计数'!$W$5:$W$76,'统计计数'!$B$5:$B$76,"NC_H0",'统计计数'!$A$5:$A$76,"e")/$D73</x:f>
        <x:v>0.06313886531325309</x:v>
      </x:c>
      <x:c r="N73" s="14" t="n">
        <x:f>SUMIFS('统计计数'!$X$5:$X$76,'统计计数'!$B$5:$B$76,"NC_H0",'统计计数'!$A$5:$A$76,"e")/$D73</x:f>
        <x:v>0</x:v>
      </x:c>
    </x:row>
    <x:row r="74" ht="23" customHeight="1">
      <x:c r="A74" s="12" t="str">
        <x:v>e</x:v>
      </x:c>
      <x:c r="B74" s="12" t="str">
        <x:v>NC</x:v>
      </x:c>
      <x:c r="C74" s="12" t="str">
        <x:v>H1</x:v>
      </x:c>
      <x:c r="D74" s="11" t="n">
        <x:f>SUMIFS('统计计数'!$D$5:$D$76,'统计计数'!$B$5:$B$76,"NC_H1",'统计计数'!$A$5:$A$76,"e")</x:f>
        <x:v>15496224</x:v>
      </x:c>
      <x:c r="E74" s="14" t="n">
        <x:f>SUMIFS('统计计数'!$O$5:$O$76,'统计计数'!$B$5:$B$76,"NC_H1",'统计计数'!$A$5:$A$76,"e")/$D74</x:f>
        <x:v>0</x:v>
      </x:c>
      <x:c r="F74" s="14" t="n">
        <x:f>SUMIFS('统计计数'!$P$5:$P$76,'统计计数'!$B$5:$B$76,"NC_H1",'统计计数'!$A$5:$A$76,"e")/$D74</x:f>
        <x:v>0.17677364498603015</x:v>
      </x:c>
      <x:c r="G74" s="14" t="n">
        <x:f>SUMIFS('统计计数'!$Q$5:$Q$76,'统计计数'!$B$5:$B$76,"NC_H1",'统计计数'!$A$5:$A$76,"e")/$D74</x:f>
        <x:v>0</x:v>
      </x:c>
      <x:c r="H74" s="14" t="n">
        <x:f>SUMIFS('统计计数'!$R$5:$R$76,'统计计数'!$B$5:$B$76,"NC_H1",'统计计数'!$A$5:$A$76,"e")/$D74</x:f>
        <x:v>0</x:v>
      </x:c>
      <x:c r="I74" s="14" t="n">
        <x:f>SUMIFS('统计计数'!$S$5:$S$76,'统计计数'!$B$5:$B$76,"NC_H1",'统计计数'!$A$5:$A$76,"e")/$D74</x:f>
        <x:v>0.392704442062789</x:v>
      </x:c>
      <x:c r="J74" s="14" t="n">
        <x:f>SUMIFS('统计计数'!$T$5:$T$76,'统计计数'!$B$5:$B$76,"NC_H1",'统计计数'!$A$5:$A$76,"e")/$D74</x:f>
        <x:v>0.001395694847983612</x:v>
      </x:c>
      <x:c r="K74" s="14" t="n">
        <x:f>SUMIFS('统计计数'!$U$5:$U$76,'统计计数'!$B$5:$B$76,"NC_H1",'统计计数'!$A$5:$A$76,"e")/$D74</x:f>
        <x:v>0.30670374924884924</x:v>
      </x:c>
      <x:c r="L74" s="14" t="n">
        <x:f>SUMIFS('统计计数'!$V$5:$V$76,'统计计数'!$B$5:$B$76,"NC_H1",'统计计数'!$A$5:$A$76,"e")/$D74</x:f>
        <x:v>0.059283603541094916</x:v>
      </x:c>
      <x:c r="M74" s="14" t="n">
        <x:f>SUMIFS('统计计数'!$W$5:$W$76,'统计计数'!$B$5:$B$76,"NC_H1",'统计计数'!$A$5:$A$76,"e")/$D74</x:f>
        <x:v>0.06313886531325309</x:v>
      </x:c>
      <x:c r="N74" s="14" t="n">
        <x:f>SUMIFS('统计计数'!$X$5:$X$76,'统计计数'!$B$5:$B$76,"NC_H1",'统计计数'!$A$5:$A$76,"e")/$D74</x:f>
        <x:v>0</x:v>
      </x:c>
    </x:row>
    <x:row r="75" ht="23" customHeight="1">
      <x:c r="A75" s="12" t="str">
        <x:v>e</x:v>
      </x:c>
      <x:c r="B75" s="12" t="str">
        <x:v>NCG</x:v>
      </x:c>
      <x:c r="C75" s="12" t="str">
        <x:v>H0</x:v>
      </x:c>
      <x:c r="D75" s="11" t="n">
        <x:f>SUMIFS('统计计数'!$D$5:$D$76,'统计计数'!$B$5:$B$76,"NCG_H0",'统计计数'!$A$5:$A$76,"e")</x:f>
        <x:v>15496224</x:v>
      </x:c>
      <x:c r="E75" s="14" t="n">
        <x:f>SUMIFS('统计计数'!$O$5:$O$76,'统计计数'!$B$5:$B$76,"NCG_H0",'统计计数'!$A$5:$A$76,"e")/$D75</x:f>
        <x:v>0</x:v>
      </x:c>
      <x:c r="F75" s="14" t="n">
        <x:f>SUMIFS('统计计数'!$P$5:$P$76,'统计计数'!$B$5:$B$76,"NCG_H0",'统计计数'!$A$5:$A$76,"e")/$D75</x:f>
        <x:v>0.030498139417705888</x:v>
      </x:c>
      <x:c r="G75" s="14" t="n">
        <x:f>SUMIFS('统计计数'!$Q$5:$Q$76,'统计计数'!$B$5:$B$76,"NCG_H0",'统计计数'!$A$5:$A$76,"e")/$D75</x:f>
        <x:v>0</x:v>
      </x:c>
      <x:c r="H75" s="14" t="n">
        <x:f>SUMIFS('统计计数'!$R$5:$R$76,'统计计数'!$B$5:$B$76,"NCG_H0",'统计计数'!$A$5:$A$76,"e")/$D75</x:f>
        <x:v>0</x:v>
      </x:c>
      <x:c r="I75" s="14" t="n">
        <x:f>SUMIFS('统计计数'!$S$5:$S$76,'统计计数'!$B$5:$B$76,"NCG_H0",'统计计数'!$A$5:$A$76,"e")/$D75</x:f>
        <x:v>0.12074360824933868</x:v>
      </x:c>
      <x:c r="J75" s="14" t="n">
        <x:f>SUMIFS('统计计数'!$T$5:$T$76,'统计计数'!$B$5:$B$76,"NCG_H0",'统计计数'!$A$5:$A$76,"e")/$D75</x:f>
        <x:v>0.41963203422975814</x:v>
      </x:c>
      <x:c r="K75" s="14" t="n">
        <x:f>SUMIFS('统计计数'!$U$5:$U$76,'统计计数'!$B$5:$B$76,"NCG_H0",'统计计数'!$A$5:$A$76,"e")/$D75</x:f>
        <x:v>0.30670374924884924</x:v>
      </x:c>
      <x:c r="L75" s="14" t="n">
        <x:f>SUMIFS('统计计数'!$V$5:$V$76,'统计计数'!$B$5:$B$76,"NCG_H0",'统计计数'!$A$5:$A$76,"e")/$D75</x:f>
        <x:v>0.059283603541094916</x:v>
      </x:c>
      <x:c r="M75" s="14" t="n">
        <x:f>SUMIFS('统计计数'!$W$5:$W$76,'统计计数'!$B$5:$B$76,"NCG_H0",'统计计数'!$A$5:$A$76,"e")/$D75</x:f>
        <x:v>0.06313886531325309</x:v>
      </x:c>
      <x:c r="N75" s="14" t="n">
        <x:f>SUMIFS('统计计数'!$X$5:$X$76,'统计计数'!$B$5:$B$76,"NCG_H0",'统计计数'!$A$5:$A$76,"e")/$D75</x:f>
        <x:v>0</x:v>
      </x:c>
    </x:row>
    <x:row r="76" ht="23" customHeight="1">
      <x:c r="A76" s="12" t="str">
        <x:v>e</x:v>
      </x:c>
      <x:c r="B76" s="12" t="str">
        <x:v>NCG</x:v>
      </x:c>
      <x:c r="C76" s="12" t="str">
        <x:v>H1</x:v>
      </x:c>
      <x:c r="D76" s="11" t="n">
        <x:f>SUMIFS('统计计数'!$D$5:$D$76,'统计计数'!$B$5:$B$76,"NCG_H1",'统计计数'!$A$5:$A$76,"e")</x:f>
        <x:v>15496224</x:v>
      </x:c>
      <x:c r="E76" s="14" t="n">
        <x:f>SUMIFS('统计计数'!$O$5:$O$76,'统计计数'!$B$5:$B$76,"NCG_H1",'统计计数'!$A$5:$A$76,"e")/$D76</x:f>
        <x:v>0</x:v>
      </x:c>
      <x:c r="F76" s="14" t="n">
        <x:f>SUMIFS('统计计数'!$P$5:$P$76,'统计计数'!$B$5:$B$76,"NCG_H1",'统计计数'!$A$5:$A$76,"e")/$D76</x:f>
        <x:v>0.023029094055429244</x:v>
      </x:c>
      <x:c r="G76" s="14" t="n">
        <x:f>SUMIFS('统计计数'!$Q$5:$Q$76,'统计计数'!$B$5:$B$76,"NCG_H1",'统计计数'!$A$5:$A$76,"e")/$D76</x:f>
        <x:v>0</x:v>
      </x:c>
      <x:c r="H76" s="14" t="n">
        <x:f>SUMIFS('统计计数'!$R$5:$R$76,'统计计数'!$B$5:$B$76,"NCG_H1",'统计计数'!$A$5:$A$76,"e")/$D76</x:f>
        <x:v>0</x:v>
      </x:c>
      <x:c r="I76" s="14" t="n">
        <x:f>SUMIFS('统计计数'!$S$5:$S$76,'统计计数'!$B$5:$B$76,"NCG_H1",'统计计数'!$A$5:$A$76,"e")/$D76</x:f>
        <x:v>0.12814915427138895</x:v>
      </x:c>
      <x:c r="J76" s="14" t="n">
        <x:f>SUMIFS('统计计数'!$T$5:$T$76,'统计计数'!$B$5:$B$76,"NCG_H1",'统计计数'!$A$5:$A$76,"e")/$D76</x:f>
        <x:v>0.4196955335699845</x:v>
      </x:c>
      <x:c r="K76" s="14" t="n">
        <x:f>SUMIFS('统计计数'!$U$5:$U$76,'统计计数'!$B$5:$B$76,"NCG_H1",'统计计数'!$A$5:$A$76,"e")/$D76</x:f>
        <x:v>0.30670374924884924</x:v>
      </x:c>
      <x:c r="L76" s="14" t="n">
        <x:f>SUMIFS('统计计数'!$V$5:$V$76,'统计计数'!$B$5:$B$76,"NCG_H1",'统计计数'!$A$5:$A$76,"e")/$D76</x:f>
        <x:v>0.059283603541094916</x:v>
      </x:c>
      <x:c r="M76" s="14" t="n">
        <x:f>SUMIFS('统计计数'!$W$5:$W$76,'统计计数'!$B$5:$B$76,"NCG_H1",'统计计数'!$A$5:$A$76,"e")/$D76</x:f>
        <x:v>0.06313886531325309</x:v>
      </x:c>
      <x:c r="N76" s="14" t="n">
        <x:f>SUMIFS('统计计数'!$X$5:$X$76,'统计计数'!$B$5:$B$76,"NCG_H1",'统计计数'!$A$5:$A$76,"e")/$D76</x:f>
        <x:v>0</x:v>
      </x:c>
    </x:row>
    <x:row r="77" ht="23" customHeight="1">
      <x:c r="A77" s="12" t="str">
        <x:v>f</x:v>
      </x:c>
      <x:c r="B77" s="12" t="str">
        <x:v>N</x:v>
      </x:c>
      <x:c r="C77" s="12" t="str">
        <x:v>H0</x:v>
      </x:c>
      <x:c r="D77" s="11" t="n">
        <x:f>SUMIFS('统计计数'!$D$5:$D$76,'统计计数'!$B$5:$B$76,"N_H0",'统计计数'!$A$5:$A$76,"f")</x:f>
        <x:v>2911273</x:v>
      </x:c>
      <x:c r="E77" s="14" t="n">
        <x:f>SUMIFS('统计计数'!$O$5:$O$76,'统计计数'!$B$5:$B$76,"N_H0",'统计计数'!$A$5:$A$76,"f")/$D77</x:f>
        <x:v>0</x:v>
      </x:c>
      <x:c r="F77" s="14" t="n">
        <x:f>SUMIFS('统计计数'!$P$5:$P$76,'统计计数'!$B$5:$B$76,"N_H0",'统计计数'!$A$5:$A$76,"f")/$D77</x:f>
        <x:v>0.026362350765455525</x:v>
      </x:c>
      <x:c r="G77" s="14" t="n">
        <x:f>SUMIFS('统计计数'!$Q$5:$Q$76,'统计计数'!$B$5:$B$76,"N_H0",'统计计数'!$A$5:$A$76,"f")/$D77</x:f>
        <x:v>0</x:v>
      </x:c>
      <x:c r="H77" s="14" t="n">
        <x:f>SUMIFS('统计计数'!$R$5:$R$76,'统计计数'!$B$5:$B$76,"N_H0",'统计计数'!$A$5:$A$76,"f")/$D77</x:f>
        <x:v>0</x:v>
      </x:c>
      <x:c r="I77" s="14" t="n">
        <x:f>SUMIFS('统计计数'!$S$5:$S$76,'统计计数'!$B$5:$B$76,"N_H0",'统计计数'!$A$5:$A$76,"f")/$D77</x:f>
        <x:v>0.17245067707494283</x:v>
      </x:c>
      <x:c r="J77" s="14" t="n">
        <x:f>SUMIFS('统计计数'!$T$5:$T$76,'统计计数'!$B$5:$B$76,"N_H0",'统计计数'!$A$5:$A$76,"f")/$D77</x:f>
        <x:v>0</x:v>
      </x:c>
      <x:c r="K77" s="14" t="n">
        <x:f>SUMIFS('统计计数'!$U$5:$U$76,'统计计数'!$B$5:$B$76,"N_H0",'统计计数'!$A$5:$A$76,"f")/$D77</x:f>
        <x:v>0.06897875946364357</x:v>
      </x:c>
      <x:c r="L77" s="14" t="n">
        <x:f>SUMIFS('统计计数'!$V$5:$V$76,'统计计数'!$B$5:$B$76,"N_H0",'统计计数'!$A$5:$A$76,"f")/$D77</x:f>
        <x:v>0.0025871843691745843</x:v>
      </x:c>
      <x:c r="M77" s="14" t="n">
        <x:f>SUMIFS('统计计数'!$W$5:$W$76,'统计计数'!$B$5:$B$76,"N_H0",'统计计数'!$A$5:$A$76,"f")/$D77</x:f>
        <x:v>0.7296210283267835</x:v>
      </x:c>
      <x:c r="N77" s="14" t="n">
        <x:f>SUMIFS('统计计数'!$X$5:$X$76,'统计计数'!$B$5:$B$76,"N_H0",'统计计数'!$A$5:$A$76,"f")/$D77</x:f>
        <x:v>0</x:v>
      </x:c>
    </x:row>
    <x:row r="78" ht="23" customHeight="1">
      <x:c r="A78" s="12" t="str">
        <x:v>f</x:v>
      </x:c>
      <x:c r="B78" s="12" t="str">
        <x:v>N</x:v>
      </x:c>
      <x:c r="C78" s="12" t="str">
        <x:v>H1</x:v>
      </x:c>
      <x:c r="D78" s="11" t="n">
        <x:f>SUMIFS('统计计数'!$D$5:$D$76,'统计计数'!$B$5:$B$76,"N_H1",'统计计数'!$A$5:$A$76,"f")</x:f>
        <x:v>2911273</x:v>
      </x:c>
      <x:c r="E78" s="14" t="n">
        <x:f>SUMIFS('统计计数'!$O$5:$O$76,'统计计数'!$B$5:$B$76,"N_H1",'统计计数'!$A$5:$A$76,"f")/$D78</x:f>
        <x:v>0</x:v>
      </x:c>
      <x:c r="F78" s="14" t="n">
        <x:f>SUMIFS('统计计数'!$P$5:$P$76,'统计计数'!$B$5:$B$76,"N_H1",'统计计数'!$A$5:$A$76,"f")/$D78</x:f>
        <x:v>0.0223833354000123</x:v>
      </x:c>
      <x:c r="G78" s="14" t="n">
        <x:f>SUMIFS('统计计数'!$Q$5:$Q$76,'统计计数'!$B$5:$B$76,"N_H1",'统计计数'!$A$5:$A$76,"f")/$D78</x:f>
        <x:v>0</x:v>
      </x:c>
      <x:c r="H78" s="14" t="n">
        <x:f>SUMIFS('统计计数'!$R$5:$R$76,'统计计数'!$B$5:$B$76,"N_H1",'统计计数'!$A$5:$A$76,"f")/$D78</x:f>
        <x:v>0</x:v>
      </x:c>
      <x:c r="I78" s="14" t="n">
        <x:f>SUMIFS('统计计数'!$S$5:$S$76,'统计计数'!$B$5:$B$76,"N_H1",'统计计数'!$A$5:$A$76,"f")/$D78</x:f>
        <x:v>0.15977718338335153</x:v>
      </x:c>
      <x:c r="J78" s="14" t="n">
        <x:f>SUMIFS('统计计数'!$T$5:$T$76,'统计计数'!$B$5:$B$76,"N_H1",'统计计数'!$A$5:$A$76,"f")/$D78</x:f>
        <x:v>0.015719583838410208</x:v>
      </x:c>
      <x:c r="K78" s="14" t="n">
        <x:f>SUMIFS('统计计数'!$U$5:$U$76,'统计计数'!$B$5:$B$76,"N_H1",'统计计数'!$A$5:$A$76,"f")/$D78</x:f>
        <x:v>0.06991168468226786</x:v>
      </x:c>
      <x:c r="L78" s="14" t="n">
        <x:f>SUMIFS('统计计数'!$V$5:$V$76,'统计计数'!$B$5:$B$76,"N_H1",'统计计数'!$A$5:$A$76,"f")/$D78</x:f>
        <x:v>0.0025871843691745843</x:v>
      </x:c>
      <x:c r="M78" s="14" t="n">
        <x:f>SUMIFS('统计计数'!$W$5:$W$76,'统计计数'!$B$5:$B$76,"N_H1",'统计计数'!$A$5:$A$76,"f")/$D78</x:f>
        <x:v>0.7296210283267835</x:v>
      </x:c>
      <x:c r="N78" s="14" t="n">
        <x:f>SUMIFS('统计计数'!$X$5:$X$76,'统计计数'!$B$5:$B$76,"N_H1",'统计计数'!$A$5:$A$76,"f")/$D78</x:f>
        <x:v>0</x:v>
      </x:c>
    </x:row>
    <x:row r="79" ht="23" customHeight="1">
      <x:c r="A79" s="12" t="str">
        <x:v>f</x:v>
      </x:c>
      <x:c r="B79" s="12" t="str">
        <x:v>C</x:v>
      </x:c>
      <x:c r="C79" s="12" t="str">
        <x:v>H0</x:v>
      </x:c>
      <x:c r="D79" s="11" t="n">
        <x:f>SUMIFS('统计计数'!$D$5:$D$76,'统计计数'!$B$5:$B$76,"C_H0",'统计计数'!$A$5:$A$76,"f")</x:f>
        <x:v>2911273</x:v>
      </x:c>
      <x:c r="E79" s="14" t="n">
        <x:f>SUMIFS('统计计数'!$O$5:$O$76,'统计计数'!$B$5:$B$76,"C_H0",'统计计数'!$A$5:$A$76,"f")/$D79</x:f>
        <x:v>0</x:v>
      </x:c>
      <x:c r="F79" s="14" t="n">
        <x:f>SUMIFS('统计计数'!$P$5:$P$76,'统计计数'!$B$5:$B$76,"C_H0",'统计计数'!$A$5:$A$76,"f")/$D79</x:f>
        <x:v>0.772944344278259</x:v>
      </x:c>
      <x:c r="G79" s="14" t="n">
        <x:f>SUMIFS('统计计数'!$Q$5:$Q$76,'统计计数'!$B$5:$B$76,"C_H0",'统计计数'!$A$5:$A$76,"f")/$D79</x:f>
        <x:v>0</x:v>
      </x:c>
      <x:c r="H79" s="14" t="n">
        <x:f>SUMIFS('统计计数'!$R$5:$R$76,'统计计数'!$B$5:$B$76,"C_H0",'统计计数'!$A$5:$A$76,"f")/$D79</x:f>
        <x:v>0</x:v>
      </x:c>
      <x:c r="I79" s="14" t="n">
        <x:f>SUMIFS('统计计数'!$S$5:$S$76,'统计计数'!$B$5:$B$76,"C_H0",'统计计数'!$A$5:$A$76,"f")/$D79</x:f>
        <x:v>0.22676987008775887</x:v>
      </x:c>
      <x:c r="J79" s="14" t="n">
        <x:f>SUMIFS('统计计数'!$T$5:$T$76,'统计计数'!$B$5:$B$76,"C_H0",'统计计数'!$A$5:$A$76,"f")/$D79</x:f>
        <x:v>0</x:v>
      </x:c>
      <x:c r="K79" s="14" t="n">
        <x:f>SUMIFS('统计计数'!$U$5:$U$76,'统计计数'!$B$5:$B$76,"C_H0",'统计计数'!$A$5:$A$76,"f")/$D79</x:f>
        <x:v>0</x:v>
      </x:c>
      <x:c r="L79" s="14" t="n">
        <x:f>SUMIFS('统计计数'!$V$5:$V$76,'统计计数'!$B$5:$B$76,"C_H0",'统计计数'!$A$5:$A$76,"f")/$D79</x:f>
        <x:v>0</x:v>
      </x:c>
      <x:c r="M79" s="14" t="n">
        <x:f>SUMIFS('统计计数'!$W$5:$W$76,'统计计数'!$B$5:$B$76,"C_H0",'统计计数'!$A$5:$A$76,"f")/$D79</x:f>
        <x:v>0.00028578563398211023</x:v>
      </x:c>
      <x:c r="N79" s="14" t="n">
        <x:f>SUMIFS('统计计数'!$X$5:$X$76,'统计计数'!$B$5:$B$76,"C_H0",'统计计数'!$A$5:$A$76,"f")/$D79</x:f>
        <x:v>0</x:v>
      </x:c>
    </x:row>
    <x:row r="80" ht="23" customHeight="1">
      <x:c r="A80" s="12" t="str">
        <x:v>f</x:v>
      </x:c>
      <x:c r="B80" s="12" t="str">
        <x:v>C</x:v>
      </x:c>
      <x:c r="C80" s="12" t="str">
        <x:v>H1</x:v>
      </x:c>
      <x:c r="D80" s="11" t="n">
        <x:f>SUMIFS('统计计数'!$D$5:$D$76,'统计计数'!$B$5:$B$76,"C_H1",'统计计数'!$A$5:$A$76,"f")</x:f>
        <x:v>2911273</x:v>
      </x:c>
      <x:c r="E80" s="14" t="n">
        <x:f>SUMIFS('统计计数'!$O$5:$O$76,'统计计数'!$B$5:$B$76,"C_H1",'统计计数'!$A$5:$A$76,"f")/$D80</x:f>
        <x:v>0</x:v>
      </x:c>
      <x:c r="F80" s="14" t="n">
        <x:f>SUMIFS('统计计数'!$P$5:$P$76,'统计计数'!$B$5:$B$76,"C_H1",'统计计数'!$A$5:$A$76,"f")/$D80</x:f>
        <x:v>0.7636721118218731</x:v>
      </x:c>
      <x:c r="G80" s="14" t="n">
        <x:f>SUMIFS('统计计数'!$Q$5:$Q$76,'统计计数'!$B$5:$B$76,"C_H1",'统计计数'!$A$5:$A$76,"f")/$D80</x:f>
        <x:v>0</x:v>
      </x:c>
      <x:c r="H80" s="14" t="n">
        <x:f>SUMIFS('统计计数'!$R$5:$R$76,'统计计数'!$B$5:$B$76,"C_H1",'统计计数'!$A$5:$A$76,"f")/$D80</x:f>
        <x:v>0</x:v>
      </x:c>
      <x:c r="I80" s="14" t="n">
        <x:f>SUMIFS('统计计数'!$S$5:$S$76,'统计计数'!$B$5:$B$76,"C_H1",'统计计数'!$A$5:$A$76,"f")/$D80</x:f>
        <x:v>0.22676987008775887</x:v>
      </x:c>
      <x:c r="J80" s="14" t="n">
        <x:f>SUMIFS('统计计数'!$T$5:$T$76,'统计计数'!$B$5:$B$76,"C_H1",'统计计数'!$A$5:$A$76,"f")/$D80</x:f>
        <x:v>0.009272232456385917</x:v>
      </x:c>
      <x:c r="K80" s="14" t="n">
        <x:f>SUMIFS('统计计数'!$U$5:$U$76,'统计计数'!$B$5:$B$76,"C_H1",'统计计数'!$A$5:$A$76,"f")/$D80</x:f>
        <x:v>0</x:v>
      </x:c>
      <x:c r="L80" s="14" t="n">
        <x:f>SUMIFS('统计计数'!$V$5:$V$76,'统计计数'!$B$5:$B$76,"C_H1",'统计计数'!$A$5:$A$76,"f")/$D80</x:f>
        <x:v>0</x:v>
      </x:c>
      <x:c r="M80" s="14" t="n">
        <x:f>SUMIFS('统计计数'!$W$5:$W$76,'统计计数'!$B$5:$B$76,"C_H1",'统计计数'!$A$5:$A$76,"f")/$D80</x:f>
        <x:v>0.00028578563398211023</x:v>
      </x:c>
      <x:c r="N80" s="14" t="n">
        <x:f>SUMIFS('统计计数'!$X$5:$X$76,'统计计数'!$B$5:$B$76,"C_H1",'统计计数'!$A$5:$A$76,"f")/$D80</x:f>
        <x:v>0</x:v>
      </x:c>
    </x:row>
    <x:row r="81" ht="23" customHeight="1">
      <x:c r="A81" s="12" t="str">
        <x:v>f</x:v>
      </x:c>
      <x:c r="B81" s="12" t="str">
        <x:v>NG</x:v>
      </x:c>
      <x:c r="C81" s="12" t="str">
        <x:v>H0</x:v>
      </x:c>
      <x:c r="D81" s="11" t="n">
        <x:f>SUMIFS('统计计数'!$D$5:$D$76,'统计计数'!$B$5:$B$76,"NG_H0",'统计计数'!$A$5:$A$76,"f")</x:f>
        <x:v>2911273</x:v>
      </x:c>
      <x:c r="E81" s="14" t="n">
        <x:f>SUMIFS('统计计数'!$O$5:$O$76,'统计计数'!$B$5:$B$76,"NG_H0",'统计计数'!$A$5:$A$76,"f")/$D81</x:f>
        <x:v>0</x:v>
      </x:c>
      <x:c r="F81" s="14" t="n">
        <x:f>SUMIFS('统计计数'!$P$5:$P$76,'统计计数'!$B$5:$B$76,"NG_H0",'统计计数'!$A$5:$A$76,"f")/$D81</x:f>
        <x:v>0.021820007948412944</x:v>
      </x:c>
      <x:c r="G81" s="14" t="n">
        <x:f>SUMIFS('统计计数'!$Q$5:$Q$76,'统计计数'!$B$5:$B$76,"NG_H0",'统计计数'!$A$5:$A$76,"f")/$D81</x:f>
        <x:v>0</x:v>
      </x:c>
      <x:c r="H81" s="14" t="n">
        <x:f>SUMIFS('统计计数'!$R$5:$R$76,'统计计数'!$B$5:$B$76,"NG_H0",'统计计数'!$A$5:$A$76,"f")/$D81</x:f>
        <x:v>0</x:v>
      </x:c>
      <x:c r="I81" s="14" t="n">
        <x:f>SUMIFS('统计计数'!$S$5:$S$76,'统计计数'!$B$5:$B$76,"NG_H0",'统计计数'!$A$5:$A$76,"f")/$D81</x:f>
        <x:v>0.07762583584569362</x:v>
      </x:c>
      <x:c r="J81" s="14" t="n">
        <x:f>SUMIFS('统计计数'!$T$5:$T$76,'统计计数'!$B$5:$B$76,"NG_H0",'统计计数'!$A$5:$A$76,"f")/$D81</x:f>
        <x:v>0.09936718404629177</x:v>
      </x:c>
      <x:c r="K81" s="14" t="n">
        <x:f>SUMIFS('统计计数'!$U$5:$U$76,'统计计数'!$B$5:$B$76,"NG_H0",'统计计数'!$A$5:$A$76,"f")/$D81</x:f>
        <x:v>0.06897875946364357</x:v>
      </x:c>
      <x:c r="L81" s="14" t="n">
        <x:f>SUMIFS('统计计数'!$V$5:$V$76,'统计计数'!$B$5:$B$76,"NG_H0",'统计计数'!$A$5:$A$76,"f")/$D81</x:f>
        <x:v>0.0025871843691745843</x:v>
      </x:c>
      <x:c r="M81" s="14" t="n">
        <x:f>SUMIFS('统计计数'!$W$5:$W$76,'统计计数'!$B$5:$B$76,"NG_H0",'统计计数'!$A$5:$A$76,"f")/$D81</x:f>
        <x:v>0.7296210283267835</x:v>
      </x:c>
      <x:c r="N81" s="14" t="n">
        <x:f>SUMIFS('统计计数'!$X$5:$X$76,'统计计数'!$B$5:$B$76,"NG_H0",'统计计数'!$A$5:$A$76,"f")/$D81</x:f>
        <x:v>0</x:v>
      </x:c>
    </x:row>
    <x:row r="82" ht="23" customHeight="1">
      <x:c r="A82" s="12" t="str">
        <x:v>f</x:v>
      </x:c>
      <x:c r="B82" s="12" t="str">
        <x:v>NG</x:v>
      </x:c>
      <x:c r="C82" s="12" t="str">
        <x:v>H1</x:v>
      </x:c>
      <x:c r="D82" s="11" t="n">
        <x:f>SUMIFS('统计计数'!$D$5:$D$76,'统计计数'!$B$5:$B$76,"NG_H1",'统计计数'!$A$5:$A$76,"f")</x:f>
        <x:v>2911273</x:v>
      </x:c>
      <x:c r="E82" s="14" t="n">
        <x:f>SUMIFS('统计计数'!$O$5:$O$76,'统计计数'!$B$5:$B$76,"NG_H1",'统计计数'!$A$5:$A$76,"f")/$D82</x:f>
        <x:v>0</x:v>
      </x:c>
      <x:c r="F82" s="14" t="n">
        <x:f>SUMIFS('统计计数'!$P$5:$P$76,'统计计数'!$B$5:$B$76,"NG_H1",'统计计数'!$A$5:$A$76,"f")/$D82</x:f>
        <x:v>0.015457155684128558</x:v>
      </x:c>
      <x:c r="G82" s="14" t="n">
        <x:f>SUMIFS('统计计数'!$Q$5:$Q$76,'统计计数'!$B$5:$B$76,"NG_H1",'统计计数'!$A$5:$A$76,"f")/$D82</x:f>
        <x:v>0</x:v>
      </x:c>
      <x:c r="H82" s="14" t="n">
        <x:f>SUMIFS('统计计数'!$R$5:$R$76,'统计计数'!$B$5:$B$76,"NG_H1",'统计计数'!$A$5:$A$76,"f")/$D82</x:f>
        <x:v>0</x:v>
      </x:c>
      <x:c r="I82" s="14" t="n">
        <x:f>SUMIFS('统计计数'!$S$5:$S$76,'统计计数'!$B$5:$B$76,"NG_H1",'统计计数'!$A$5:$A$76,"f")/$D82</x:f>
        <x:v>0.0799918111424109</x:v>
      </x:c>
      <x:c r="J82" s="14" t="n">
        <x:f>SUMIFS('统计计数'!$T$5:$T$76,'统计计数'!$B$5:$B$76,"NG_H1",'统计计数'!$A$5:$A$76,"f")/$D82</x:f>
        <x:v>0.10243113579523459</x:v>
      </x:c>
      <x:c r="K82" s="14" t="n">
        <x:f>SUMIFS('统计计数'!$U$5:$U$76,'统计计数'!$B$5:$B$76,"NG_H1",'统计计数'!$A$5:$A$76,"f")/$D82</x:f>
        <x:v>0.06991168468226786</x:v>
      </x:c>
      <x:c r="L82" s="14" t="n">
        <x:f>SUMIFS('统计计数'!$V$5:$V$76,'统计计数'!$B$5:$B$76,"NG_H1",'统计计数'!$A$5:$A$76,"f")/$D82</x:f>
        <x:v>0.0025871843691745843</x:v>
      </x:c>
      <x:c r="M82" s="14" t="n">
        <x:f>SUMIFS('统计计数'!$W$5:$W$76,'统计计数'!$B$5:$B$76,"NG_H1",'统计计数'!$A$5:$A$76,"f")/$D82</x:f>
        <x:v>0.7296210283267835</x:v>
      </x:c>
      <x:c r="N82" s="14" t="n">
        <x:f>SUMIFS('统计计数'!$X$5:$X$76,'统计计数'!$B$5:$B$76,"NG_H1",'统计计数'!$A$5:$A$76,"f")/$D82</x:f>
        <x:v>0</x:v>
      </x:c>
    </x:row>
    <x:row r="83" ht="23" customHeight="1">
      <x:c r="A83" s="12" t="str">
        <x:v>f</x:v>
      </x:c>
      <x:c r="B83" s="12" t="str">
        <x:v>CG</x:v>
      </x:c>
      <x:c r="C83" s="12" t="str">
        <x:v>H0</x:v>
      </x:c>
      <x:c r="D83" s="11" t="n">
        <x:f>SUMIFS('统计计数'!$D$5:$D$76,'统计计数'!$B$5:$B$76,"CG_H0",'统计计数'!$A$5:$A$76,"f")</x:f>
        <x:v>2911273</x:v>
      </x:c>
      <x:c r="E83" s="14" t="n">
        <x:f>SUMIFS('统计计数'!$O$5:$O$76,'统计计数'!$B$5:$B$76,"CG_H0",'统计计数'!$A$5:$A$76,"f")/$D83</x:f>
        <x:v>0</x:v>
      </x:c>
      <x:c r="F83" s="14" t="n">
        <x:f>SUMIFS('统计计数'!$P$5:$P$76,'统计计数'!$B$5:$B$76,"CG_H0",'统计计数'!$A$5:$A$76,"f")/$D83</x:f>
        <x:v>0.043821379856853</x:v>
      </x:c>
      <x:c r="G83" s="14" t="n">
        <x:f>SUMIFS('统计计数'!$Q$5:$Q$76,'统计计数'!$B$5:$B$76,"CG_H0",'统计计数'!$A$5:$A$76,"f")/$D83</x:f>
        <x:v>0</x:v>
      </x:c>
      <x:c r="H83" s="14" t="n">
        <x:f>SUMIFS('统计计数'!$R$5:$R$76,'统计计数'!$B$5:$B$76,"CG_H0",'统计计数'!$A$5:$A$76,"f")/$D83</x:f>
        <x:v>0</x:v>
      </x:c>
      <x:c r="I83" s="14" t="n">
        <x:f>SUMIFS('统计计数'!$S$5:$S$76,'统计计数'!$B$5:$B$76,"CG_H0",'统计计数'!$A$5:$A$76,"f")/$D83</x:f>
        <x:v>0.09832193682969614</x:v>
      </x:c>
      <x:c r="J83" s="14" t="n">
        <x:f>SUMIFS('统计计数'!$T$5:$T$76,'统计计数'!$B$5:$B$76,"CG_H0",'统计计数'!$A$5:$A$76,"f")/$D83</x:f>
        <x:v>0.8575708976794687</x:v>
      </x:c>
      <x:c r="K83" s="14" t="n">
        <x:f>SUMIFS('统计计数'!$U$5:$U$76,'统计计数'!$B$5:$B$76,"CG_H0",'统计计数'!$A$5:$A$76,"f")/$D83</x:f>
        <x:v>0</x:v>
      </x:c>
      <x:c r="L83" s="14" t="n">
        <x:f>SUMIFS('统计计数'!$V$5:$V$76,'统计计数'!$B$5:$B$76,"CG_H0",'统计计数'!$A$5:$A$76,"f")/$D83</x:f>
        <x:v>0</x:v>
      </x:c>
      <x:c r="M83" s="14" t="n">
        <x:f>SUMIFS('统计计数'!$W$5:$W$76,'统计计数'!$B$5:$B$76,"CG_H0",'统计计数'!$A$5:$A$76,"f")/$D83</x:f>
        <x:v>0.00028578563398211023</x:v>
      </x:c>
      <x:c r="N83" s="14" t="n">
        <x:f>SUMIFS('统计计数'!$X$5:$X$76,'统计计数'!$B$5:$B$76,"CG_H0",'统计计数'!$A$5:$A$76,"f")/$D83</x:f>
        <x:v>0</x:v>
      </x:c>
    </x:row>
    <x:row r="84" ht="23" customHeight="1">
      <x:c r="A84" s="12" t="str">
        <x:v>f</x:v>
      </x:c>
      <x:c r="B84" s="12" t="str">
        <x:v>CG</x:v>
      </x:c>
      <x:c r="C84" s="12" t="str">
        <x:v>H1</x:v>
      </x:c>
      <x:c r="D84" s="11" t="n">
        <x:f>SUMIFS('统计计数'!$D$5:$D$76,'统计计数'!$B$5:$B$76,"CG_H1",'统计计数'!$A$5:$A$76,"f")</x:f>
        <x:v>2911273</x:v>
      </x:c>
      <x:c r="E84" s="14" t="n">
        <x:f>SUMIFS('统计计数'!$O$5:$O$76,'统计计数'!$B$5:$B$76,"CG_H1",'统计计数'!$A$5:$A$76,"f")/$D84</x:f>
        <x:v>0</x:v>
      </x:c>
      <x:c r="F84" s="14" t="n">
        <x:f>SUMIFS('统计计数'!$P$5:$P$76,'统计计数'!$B$5:$B$76,"CG_H1",'统计计数'!$A$5:$A$76,"f")/$D84</x:f>
        <x:v>0.021854357183266563</x:v>
      </x:c>
      <x:c r="G84" s="14" t="n">
        <x:f>SUMIFS('统计计数'!$Q$5:$Q$76,'统计计数'!$B$5:$B$76,"CG_H1",'统计计数'!$A$5:$A$76,"f")/$D84</x:f>
        <x:v>0</x:v>
      </x:c>
      <x:c r="H84" s="14" t="n">
        <x:f>SUMIFS('统计计数'!$R$5:$R$76,'统计计数'!$B$5:$B$76,"CG_H1",'统计计数'!$A$5:$A$76,"f")/$D84</x:f>
        <x:v>0</x:v>
      </x:c>
      <x:c r="I84" s="14" t="n">
        <x:f>SUMIFS('统计计数'!$S$5:$S$76,'统计计数'!$B$5:$B$76,"CG_H1",'统计计数'!$A$5:$A$76,"f")/$D84</x:f>
        <x:v>0.11333323944542473</x:v>
      </x:c>
      <x:c r="J84" s="14" t="n">
        <x:f>SUMIFS('统计计数'!$T$5:$T$76,'统计计数'!$B$5:$B$76,"CG_H1",'统计计数'!$A$5:$A$76,"f")/$D84</x:f>
        <x:v>0.8645266177373266</x:v>
      </x:c>
      <x:c r="K84" s="14" t="n">
        <x:f>SUMIFS('统计计数'!$U$5:$U$76,'统计计数'!$B$5:$B$76,"CG_H1",'统计计数'!$A$5:$A$76,"f")/$D84</x:f>
        <x:v>0</x:v>
      </x:c>
      <x:c r="L84" s="14" t="n">
        <x:f>SUMIFS('统计计数'!$V$5:$V$76,'统计计数'!$B$5:$B$76,"CG_H1",'统计计数'!$A$5:$A$76,"f")/$D84</x:f>
        <x:v>0</x:v>
      </x:c>
      <x:c r="M84" s="14" t="n">
        <x:f>SUMIFS('统计计数'!$W$5:$W$76,'统计计数'!$B$5:$B$76,"CG_H1",'统计计数'!$A$5:$A$76,"f")/$D84</x:f>
        <x:v>0.00028578563398211023</x:v>
      </x:c>
      <x:c r="N84" s="14" t="n">
        <x:f>SUMIFS('统计计数'!$X$5:$X$76,'统计计数'!$B$5:$B$76,"CG_H1",'统计计数'!$A$5:$A$76,"f")/$D84</x:f>
        <x:v>0</x:v>
      </x:c>
    </x:row>
    <x:row r="85" ht="23" customHeight="1">
      <x:c r="A85" s="12" t="str">
        <x:v>f</x:v>
      </x:c>
      <x:c r="B85" s="12" t="str">
        <x:v>NC</x:v>
      </x:c>
      <x:c r="C85" s="12" t="str">
        <x:v>H0</x:v>
      </x:c>
      <x:c r="D85" s="11" t="n">
        <x:f>SUMIFS('统计计数'!$D$5:$D$76,'统计计数'!$B$5:$B$76,"NC_H0",'统计计数'!$A$5:$A$76,"f")</x:f>
        <x:v>2911273</x:v>
      </x:c>
      <x:c r="E85" s="14" t="n">
        <x:f>SUMIFS('统计计数'!$O$5:$O$76,'统计计数'!$B$5:$B$76,"NC_H0",'统计计数'!$A$5:$A$76,"f")/$D85</x:f>
        <x:v>0</x:v>
      </x:c>
      <x:c r="F85" s="14" t="n">
        <x:f>SUMIFS('统计计数'!$P$5:$P$76,'统计计数'!$B$5:$B$76,"NC_H0",'统计计数'!$A$5:$A$76,"f")/$D85</x:f>
        <x:v>0.07436265853459981</x:v>
      </x:c>
      <x:c r="G85" s="14" t="n">
        <x:f>SUMIFS('统计计数'!$Q$5:$Q$76,'统计计数'!$B$5:$B$76,"NC_H0",'统计计数'!$A$5:$A$76,"f")/$D85</x:f>
        <x:v>0</x:v>
      </x:c>
      <x:c r="H85" s="14" t="n">
        <x:f>SUMIFS('统计计数'!$R$5:$R$76,'统计计数'!$B$5:$B$76,"NC_H0",'统计计数'!$A$5:$A$76,"f")/$D85</x:f>
        <x:v>0</x:v>
      </x:c>
      <x:c r="I85" s="14" t="n">
        <x:f>SUMIFS('统计计数'!$S$5:$S$76,'统计计数'!$B$5:$B$76,"NC_H0",'统计计数'!$A$5:$A$76,"f")/$D85</x:f>
        <x:v>0.14797478628764804</x:v>
      </x:c>
      <x:c r="J85" s="14" t="n">
        <x:f>SUMIFS('统计计数'!$T$5:$T$76,'统计计数'!$B$5:$B$76,"NC_H0",'统计计数'!$A$5:$A$76,"f")/$D85</x:f>
        <x:v>0</x:v>
      </x:c>
      <x:c r="K85" s="14" t="n">
        <x:f>SUMIFS('统计计数'!$U$5:$U$76,'统计计数'!$B$5:$B$76,"NC_H0",'统计计数'!$A$5:$A$76,"f")/$D85</x:f>
        <x:v>0.7420719389765233</x:v>
      </x:c>
      <x:c r="L85" s="14" t="n">
        <x:f>SUMIFS('统计计数'!$V$5:$V$76,'统计计数'!$B$5:$B$76,"NC_H0",'统计计数'!$A$5:$A$76,"f")/$D85</x:f>
        <x:v>0.0023673492661114228</x:v>
      </x:c>
      <x:c r="M85" s="14" t="n">
        <x:f>SUMIFS('统计计数'!$W$5:$W$76,'统计计数'!$B$5:$B$76,"NC_H0",'统计计数'!$A$5:$A$76,"f")/$D85</x:f>
        <x:v>0.03322326693511739</x:v>
      </x:c>
      <x:c r="N85" s="14" t="n">
        <x:f>SUMIFS('统计计数'!$X$5:$X$76,'统计计数'!$B$5:$B$76,"NC_H0",'统计计数'!$A$5:$A$76,"f")/$D85</x:f>
        <x:v>0</x:v>
      </x:c>
    </x:row>
    <x:row r="86" ht="23" customHeight="1">
      <x:c r="A86" s="12" t="str">
        <x:v>f</x:v>
      </x:c>
      <x:c r="B86" s="12" t="str">
        <x:v>NC</x:v>
      </x:c>
      <x:c r="C86" s="12" t="str">
        <x:v>H1</x:v>
      </x:c>
      <x:c r="D86" s="11" t="n">
        <x:f>SUMIFS('统计计数'!$D$5:$D$76,'统计计数'!$B$5:$B$76,"NC_H1",'统计计数'!$A$5:$A$76,"f")</x:f>
        <x:v>2911273</x:v>
      </x:c>
      <x:c r="E86" s="14" t="n">
        <x:f>SUMIFS('统计计数'!$O$5:$O$76,'统计计数'!$B$5:$B$76,"NC_H1",'统计计数'!$A$5:$A$76,"f")/$D86</x:f>
        <x:v>0</x:v>
      </x:c>
      <x:c r="F86" s="14" t="n">
        <x:f>SUMIFS('统计计数'!$P$5:$P$76,'统计计数'!$B$5:$B$76,"NC_H1",'统计计数'!$A$5:$A$76,"f")/$D86</x:f>
        <x:v>0.06646164753357037</x:v>
      </x:c>
      <x:c r="G86" s="14" t="n">
        <x:f>SUMIFS('统计计数'!$Q$5:$Q$76,'统计计数'!$B$5:$B$76,"NC_H1",'统计计数'!$A$5:$A$76,"f")/$D86</x:f>
        <x:v>0</x:v>
      </x:c>
      <x:c r="H86" s="14" t="n">
        <x:f>SUMIFS('统计计数'!$R$5:$R$76,'统计计数'!$B$5:$B$76,"NC_H1",'统计计数'!$A$5:$A$76,"f")/$D86</x:f>
        <x:v>0</x:v>
      </x:c>
      <x:c r="I86" s="14" t="n">
        <x:f>SUMIFS('统计计数'!$S$5:$S$76,'统计计数'!$B$5:$B$76,"NC_H1",'统计计数'!$A$5:$A$76,"f")/$D86</x:f>
        <x:v>0.13591820485402778</x:v>
      </x:c>
      <x:c r="J86" s="14" t="n">
        <x:f>SUMIFS('统计计数'!$T$5:$T$76,'统计计数'!$B$5:$B$76,"NC_H1",'统计计数'!$A$5:$A$76,"f")/$D86</x:f>
        <x:v>0.019641579473996428</x:v>
      </x:c>
      <x:c r="K86" s="14" t="n">
        <x:f>SUMIFS('统计计数'!$U$5:$U$76,'统计计数'!$B$5:$B$76,"NC_H1",'统计计数'!$A$5:$A$76,"f")/$D86</x:f>
        <x:v>0.7423879519371767</x:v>
      </x:c>
      <x:c r="L86" s="14" t="n">
        <x:f>SUMIFS('统计计数'!$V$5:$V$76,'统计计数'!$B$5:$B$76,"NC_H1",'统计计数'!$A$5:$A$76,"f")/$D86</x:f>
        <x:v>0.0023673492661114228</x:v>
      </x:c>
      <x:c r="M86" s="14" t="n">
        <x:f>SUMIFS('统计计数'!$W$5:$W$76,'统计计数'!$B$5:$B$76,"NC_H1",'统计计数'!$A$5:$A$76,"f")/$D86</x:f>
        <x:v>0.03322326693511739</x:v>
      </x:c>
      <x:c r="N86" s="14" t="n">
        <x:f>SUMIFS('统计计数'!$X$5:$X$76,'统计计数'!$B$5:$B$76,"NC_H1",'统计计数'!$A$5:$A$76,"f")/$D86</x:f>
        <x:v>0</x:v>
      </x:c>
    </x:row>
    <x:row r="87" ht="23" customHeight="1">
      <x:c r="A87" s="12" t="str">
        <x:v>f</x:v>
      </x:c>
      <x:c r="B87" s="12" t="str">
        <x:v>NCG</x:v>
      </x:c>
      <x:c r="C87" s="12" t="str">
        <x:v>H0</x:v>
      </x:c>
      <x:c r="D87" s="11" t="n">
        <x:f>SUMIFS('统计计数'!$D$5:$D$76,'统计计数'!$B$5:$B$76,"NCG_H0",'统计计数'!$A$5:$A$76,"f")</x:f>
        <x:v>2911273</x:v>
      </x:c>
      <x:c r="E87" s="14" t="n">
        <x:f>SUMIFS('统计计数'!$O$5:$O$76,'统计计数'!$B$5:$B$76,"NCG_H0",'统计计数'!$A$5:$A$76,"f")/$D87</x:f>
        <x:v>0</x:v>
      </x:c>
      <x:c r="F87" s="14" t="n">
        <x:f>SUMIFS('统计计数'!$P$5:$P$76,'统计计数'!$B$5:$B$76,"NCG_H0",'统计计数'!$A$5:$A$76,"f")/$D87</x:f>
        <x:v>0.03787209238020618</x:v>
      </x:c>
      <x:c r="G87" s="14" t="n">
        <x:f>SUMIFS('统计计数'!$Q$5:$Q$76,'统计计数'!$B$5:$B$76,"NCG_H0",'统计计数'!$A$5:$A$76,"f")/$D87</x:f>
        <x:v>0</x:v>
      </x:c>
      <x:c r="H87" s="14" t="n">
        <x:f>SUMIFS('统计计数'!$R$5:$R$76,'统计计数'!$B$5:$B$76,"NCG_H0",'统计计数'!$A$5:$A$76,"f")/$D87</x:f>
        <x:v>0</x:v>
      </x:c>
      <x:c r="I87" s="14" t="n">
        <x:f>SUMIFS('统计计数'!$S$5:$S$76,'统计计数'!$B$5:$B$76,"NCG_H0",'统计计数'!$A$5:$A$76,"f")/$D87</x:f>
        <x:v>0.07714563354244003</x:v>
      </x:c>
      <x:c r="J87" s="14" t="n">
        <x:f>SUMIFS('统计计数'!$T$5:$T$76,'统计计数'!$B$5:$B$76,"NCG_H0",'统计计数'!$A$5:$A$76,"f")/$D87</x:f>
        <x:v>0.10731971889960165</x:v>
      </x:c>
      <x:c r="K87" s="14" t="n">
        <x:f>SUMIFS('统计计数'!$U$5:$U$76,'统计计数'!$B$5:$B$76,"NCG_H0",'统计计数'!$A$5:$A$76,"f")/$D87</x:f>
        <x:v>0.7420719389765233</x:v>
      </x:c>
      <x:c r="L87" s="14" t="n">
        <x:f>SUMIFS('统计计数'!$V$5:$V$76,'统计计数'!$B$5:$B$76,"NCG_H0",'统计计数'!$A$5:$A$76,"f")/$D87</x:f>
        <x:v>0.0023673492661114228</x:v>
      </x:c>
      <x:c r="M87" s="14" t="n">
        <x:f>SUMIFS('统计计数'!$W$5:$W$76,'统计计数'!$B$5:$B$76,"NCG_H0",'统计计数'!$A$5:$A$76,"f")/$D87</x:f>
        <x:v>0.03322326693511739</x:v>
      </x:c>
      <x:c r="N87" s="14" t="n">
        <x:f>SUMIFS('统计计数'!$X$5:$X$76,'统计计数'!$B$5:$B$76,"NCG_H0",'统计计数'!$A$5:$A$76,"f")/$D87</x:f>
        <x:v>0</x:v>
      </x:c>
    </x:row>
    <x:row r="88" ht="23" customHeight="1">
      <x:c r="A88" s="12" t="str">
        <x:v>f</x:v>
      </x:c>
      <x:c r="B88" s="12" t="str">
        <x:v>NCG</x:v>
      </x:c>
      <x:c r="C88" s="12" t="str">
        <x:v>H1</x:v>
      </x:c>
      <x:c r="D88" s="11" t="n">
        <x:f>SUMIFS('统计计数'!$D$5:$D$76,'统计计数'!$B$5:$B$76,"NCG_H1",'统计计数'!$A$5:$A$76,"f")</x:f>
        <x:v>2911273</x:v>
      </x:c>
      <x:c r="E88" s="14" t="n">
        <x:f>SUMIFS('统计计数'!$O$5:$O$76,'统计计数'!$B$5:$B$76,"NCG_H1",'统计计数'!$A$5:$A$76,"f")/$D88</x:f>
        <x:v>0</x:v>
      </x:c>
      <x:c r="F88" s="14" t="n">
        <x:f>SUMIFS('统计计数'!$P$5:$P$76,'统计计数'!$B$5:$B$76,"NCG_H1",'统计计数'!$A$5:$A$76,"f")/$D88</x:f>
        <x:v>0.019691729356882712</x:v>
      </x:c>
      <x:c r="G88" s="14" t="n">
        <x:f>SUMIFS('统计计数'!$Q$5:$Q$76,'统计计数'!$B$5:$B$76,"NCG_H1",'统计计数'!$A$5:$A$76,"f")/$D88</x:f>
        <x:v>0</x:v>
      </x:c>
      <x:c r="H88" s="14" t="n">
        <x:f>SUMIFS('统计计数'!$R$5:$R$76,'统计计数'!$B$5:$B$76,"NCG_H1",'统计计数'!$A$5:$A$76,"f")/$D88</x:f>
        <x:v>0</x:v>
      </x:c>
      <x:c r="I88" s="14" t="n">
        <x:f>SUMIFS('统计计数'!$S$5:$S$76,'统计计数'!$B$5:$B$76,"NCG_H1",'统计计数'!$A$5:$A$76,"f")/$D88</x:f>
        <x:v>0.08932930714501869</x:v>
      </x:c>
      <x:c r="J88" s="14" t="n">
        <x:f>SUMIFS('统计计数'!$T$5:$T$76,'统计计数'!$B$5:$B$76,"NCG_H1",'统计计数'!$A$5:$A$76,"f")/$D88</x:f>
        <x:v>0.11300039535969317</x:v>
      </x:c>
      <x:c r="K88" s="14" t="n">
        <x:f>SUMIFS('统计计数'!$U$5:$U$76,'统计计数'!$B$5:$B$76,"NCG_H1",'统计计数'!$A$5:$A$76,"f")/$D88</x:f>
        <x:v>0.7423879519371767</x:v>
      </x:c>
      <x:c r="L88" s="14" t="n">
        <x:f>SUMIFS('统计计数'!$V$5:$V$76,'统计计数'!$B$5:$B$76,"NCG_H1",'统计计数'!$A$5:$A$76,"f")/$D88</x:f>
        <x:v>0.0023673492661114228</x:v>
      </x:c>
      <x:c r="M88" s="14" t="n">
        <x:f>SUMIFS('统计计数'!$W$5:$W$76,'统计计数'!$B$5:$B$76,"NCG_H1",'统计计数'!$A$5:$A$76,"f")/$D88</x:f>
        <x:v>0.03322326693511739</x:v>
      </x:c>
      <x:c r="N88" s="14" t="n">
        <x:f>SUMIFS('统计计数'!$X$5:$X$76,'统计计数'!$B$5:$B$76,"NCG_H1",'统计计数'!$A$5:$A$76,"f")/$D88</x:f>
        <x:v>0</x:v>
      </x:c>
    </x:row>
  </x:sheetData>
  <x:conditionalFormatting sqref="E5:N88">
    <x:cfRule type="colorScale" priority="1">
      <x:colorScale>
        <x:cfvo type="min"/>
        <x:cfvo type="percentile" val="50"/>
        <x:cfvo type="max"/>
        <x:color rgb="FFFFFFFF"/>
        <x:color rgb="FFDCE7F5"/>
        <x:color rgb="FF4676B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e4b88a785a54da8"/>
  </x:tableParts>
</x:worksheet>
</file>

<file path=xl/worksheets/sheet4.xml><?xml version="1.0" encoding="utf-8"?>
<x:worksheet xmlns:x="http://schemas.openxmlformats.org/spreadsheetml/2006/main">
  <x:sheetPr>
    <x:tabColor rgb="FF23395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2" customHeight="1">
      <x:c r="A2" s="3" t="str">
        <x:v>结构树成对变化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3" customHeight="1">
      <x:c r="A3" s="4" t="str">
        <x:v>H1减H0；P级变化与功能候选变化分开统计，包含全部升级、降级和不变。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34" customHeight="1">
      <x:c r="A4" s="8" t="str">
        <x:v>模型</x:v>
      </x:c>
      <x:c r="B4" s="8" t="str">
        <x:v>组合</x:v>
      </x:c>
      <x:c r="C4" s="8" t="str">
        <x:v>节点数</x:v>
      </x:c>
      <x:c r="D4" s="8" t="str">
        <x:v>P级改变</x:v>
      </x:c>
      <x:c r="E4" s="8" t="str">
        <x:v>改变占比</x:v>
      </x:c>
      <x:c r="F4" s="8" t="str">
        <x:v>升级</x:v>
      </x:c>
      <x:c r="G4" s="8" t="str">
        <x:v>降级</x:v>
      </x:c>
      <x:c r="H4" s="8" t="str">
        <x:v>功能改变</x:v>
      </x:c>
      <x:c r="I4" s="8" t="str">
        <x:v>身份改变</x:v>
      </x:c>
      <x:c r="J4" s="8" t="str">
        <x:v>动作改变</x:v>
      </x:c>
      <x:c r="K4" s="8" t="str">
        <x:v>平均P变化</x:v>
      </x:c>
      <x:c r="L4" s="8" t="str">
        <x:v>P1变化(pp)</x:v>
      </x:c>
      <x:c r="M4" s="8" t="str">
        <x:v>P2变化(pp)</x:v>
      </x:c>
      <x:c r="N4" s="8" t="str">
        <x:v>P3变化(pp)</x:v>
      </x:c>
      <x:c r="O4" s="8" t="str">
        <x:v>P4变化(pp)</x:v>
      </x:c>
      <x:c r="P4" s="8" t="str">
        <x:v>P5变化(pp)</x:v>
      </x:c>
      <x:c r="Q4" s="8" t="str">
        <x:v>P6变化(pp)</x:v>
      </x:c>
      <x:c r="R4" s="8" t="str">
        <x:v>P7变化(pp)</x:v>
      </x:c>
      <x:c r="S4" s="8" t="str">
        <x:v>P8变化(pp)</x:v>
      </x:c>
      <x:c r="T4" s="8" t="str">
        <x:v>P9变化(pp)</x:v>
      </x:c>
      <x:c r="U4" s="8" t="str">
        <x:v>P10变化(pp)</x:v>
      </x:c>
    </x:row>
    <x:row r="5" ht="23" customHeight="1">
      <x:c r="A5" s="17" t="str">
        <x:v>ALL</x:v>
      </x:c>
      <x:c r="B5" s="17" t="str">
        <x:v>N</x:v>
      </x:c>
      <x:c r="C5" s="13" t="n">
        <x:v>11000</x:v>
      </x:c>
      <x:c r="D5" s="11" t="n">
        <x:v>200</x:v>
      </x:c>
      <x:c r="E5" s="14" t="n">
        <x:f>D5/C5</x:f>
        <x:v>0.01818181818181818</x:v>
      </x:c>
      <x:c r="F5" s="11" t="n">
        <x:v>200</x:v>
      </x:c>
      <x:c r="G5" s="11" t="n">
        <x:v>0</x:v>
      </x:c>
      <x:c r="H5" s="11" t="n">
        <x:v>200</x:v>
      </x:c>
      <x:c r="I5" s="11" t="n">
        <x:v>0</x:v>
      </x:c>
      <x:c r="J5" s="11" t="n">
        <x:v>200</x:v>
      </x:c>
      <x:c r="K5" s="15" t="n">
        <x:v>0.03954545454545454</x:v>
      </x:c>
      <x:c r="L5" s="16" t="n">
        <x:v>0</x:v>
      </x:c>
      <x:c r="M5" s="16" t="n">
        <x:v>-0.7</x:v>
      </x:c>
      <x:c r="N5" s="16" t="n">
        <x:v>0</x:v>
      </x:c>
      <x:c r="O5" s="16" t="n">
        <x:v>0</x:v>
      </x:c>
      <x:c r="P5" s="16" t="n">
        <x:v>-1.1181818181818182</x:v>
      </x:c>
      <x:c r="Q5" s="16" t="n">
        <x:v>1.7818181818181817</x:v>
      </x:c>
      <x:c r="R5" s="16" t="n">
        <x:v>0.03636363636363636</x:v>
      </x:c>
      <x:c r="S5" s="16" t="n">
        <x:v>0</x:v>
      </x:c>
      <x:c r="T5" s="16" t="n">
        <x:v>0</x:v>
      </x:c>
      <x:c r="U5" s="16" t="n">
        <x:v>0</x:v>
      </x:c>
    </x:row>
    <x:row r="6" ht="23" customHeight="1">
      <x:c r="A6" s="17" t="str">
        <x:v>ALL</x:v>
      </x:c>
      <x:c r="B6" s="17" t="str">
        <x:v>C</x:v>
      </x:c>
      <x:c r="C6" s="13" t="n">
        <x:v>11000</x:v>
      </x:c>
      <x:c r="D6" s="11" t="n">
        <x:v>139</x:v>
      </x:c>
      <x:c r="E6" s="14" t="n">
        <x:f>D6/C6</x:f>
        <x:v>0.012636363636363637</x:v>
      </x:c>
      <x:c r="F6" s="11" t="n">
        <x:v>139</x:v>
      </x:c>
      <x:c r="G6" s="11" t="n">
        <x:v>0</x:v>
      </x:c>
      <x:c r="H6" s="11" t="n">
        <x:v>139</x:v>
      </x:c>
      <x:c r="I6" s="11" t="n">
        <x:v>0</x:v>
      </x:c>
      <x:c r="J6" s="11" t="n">
        <x:v>139</x:v>
      </x:c>
      <x:c r="K6" s="15" t="n">
        <x:v>0.050545454545454546</x:v>
      </x:c>
      <x:c r="L6" s="16" t="n">
        <x:v>0</x:v>
      </x:c>
      <x:c r="M6" s="16" t="n">
        <x:v>-1.2636363636363637</x:v>
      </x:c>
      <x:c r="N6" s="16" t="n">
        <x:v>0</x:v>
      </x:c>
      <x:c r="O6" s="16" t="n">
        <x:v>0</x:v>
      </x:c>
      <x:c r="P6" s="16" t="n">
        <x:v>0</x:v>
      </x:c>
      <x:c r="Q6" s="16" t="n">
        <x:v>1.2636363636363637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</x:row>
    <x:row r="7" ht="23" customHeight="1">
      <x:c r="A7" s="17" t="str">
        <x:v>ALL</x:v>
      </x:c>
      <x:c r="B7" s="17" t="str">
        <x:v>NG</x:v>
      </x:c>
      <x:c r="C7" s="13" t="n">
        <x:v>11000</x:v>
      </x:c>
      <x:c r="D7" s="11" t="n">
        <x:v>243</x:v>
      </x:c>
      <x:c r="E7" s="14" t="n">
        <x:f>D7/C7</x:f>
        <x:v>0.02209090909090909</x:v>
      </x:c>
      <x:c r="F7" s="11" t="n">
        <x:v>243</x:v>
      </x:c>
      <x:c r="G7" s="11" t="n">
        <x:v>0</x:v>
      </x:c>
      <x:c r="H7" s="11" t="n">
        <x:v>200</x:v>
      </x:c>
      <x:c r="I7" s="11" t="n">
        <x:v>0</x:v>
      </x:c>
      <x:c r="J7" s="11" t="n">
        <x:v>776</x:v>
      </x:c>
      <x:c r="K7" s="15" t="n">
        <x:v>0.06527272727272727</x:v>
      </x:c>
      <x:c r="L7" s="16" t="n">
        <x:v>0</x:v>
      </x:c>
      <x:c r="M7" s="16" t="n">
        <x:v>-1.8181818181818181</x:v>
      </x:c>
      <x:c r="N7" s="16" t="n">
        <x:v>0</x:v>
      </x:c>
      <x:c r="O7" s="16" t="n">
        <x:v>0</x:v>
      </x:c>
      <x:c r="P7" s="16" t="n">
        <x:v>0.7818181818181819</x:v>
      </x:c>
      <x:c r="Q7" s="16" t="n">
        <x:v>1</x:v>
      </x:c>
      <x:c r="R7" s="16" t="n">
        <x:v>0.03636363636363636</x:v>
      </x:c>
      <x:c r="S7" s="16" t="n">
        <x:v>0</x:v>
      </x:c>
      <x:c r="T7" s="16" t="n">
        <x:v>0</x:v>
      </x:c>
      <x:c r="U7" s="16" t="n">
        <x:v>0</x:v>
      </x:c>
    </x:row>
    <x:row r="8" ht="23" customHeight="1">
      <x:c r="A8" s="17" t="str">
        <x:v>ALL</x:v>
      </x:c>
      <x:c r="B8" s="17" t="str">
        <x:v>CG</x:v>
      </x:c>
      <x:c r="C8" s="13" t="n">
        <x:v>11000</x:v>
      </x:c>
      <x:c r="D8" s="11" t="n">
        <x:v>334</x:v>
      </x:c>
      <x:c r="E8" s="14" t="n">
        <x:f>D8/C8</x:f>
        <x:v>0.030363636363636363</x:v>
      </x:c>
      <x:c r="F8" s="11" t="n">
        <x:v>334</x:v>
      </x:c>
      <x:c r="G8" s="11" t="n">
        <x:v>0</x:v>
      </x:c>
      <x:c r="H8" s="11" t="n">
        <x:v>182</x:v>
      </x:c>
      <x:c r="I8" s="11" t="n">
        <x:v>43</x:v>
      </x:c>
      <x:c r="J8" s="11" t="n">
        <x:v>759</x:v>
      </x:c>
      <x:c r="K8" s="15" t="n">
        <x:v>0.10027272727272728</x:v>
      </x:c>
      <x:c r="L8" s="16" t="n">
        <x:v>0</x:v>
      </x:c>
      <x:c r="M8" s="16" t="n">
        <x:v>-3.036363636363636</x:v>
      </x:c>
      <x:c r="N8" s="16" t="n">
        <x:v>0</x:v>
      </x:c>
      <x:c r="O8" s="16" t="n">
        <x:v>0</x:v>
      </x:c>
      <x:c r="P8" s="16" t="n">
        <x:v>2.118181818181818</x:v>
      </x:c>
      <x:c r="Q8" s="16" t="n">
        <x:v>0.9181818181818182</x:v>
      </x:c>
      <x:c r="R8" s="16" t="n">
        <x:v>0</x:v>
      </x:c>
      <x:c r="S8" s="16" t="n">
        <x:v>0</x:v>
      </x:c>
      <x:c r="T8" s="16" t="n">
        <x:v>0</x:v>
      </x:c>
      <x:c r="U8" s="16" t="n">
        <x:v>0</x:v>
      </x:c>
    </x:row>
    <x:row r="9" ht="23" customHeight="1">
      <x:c r="A9" s="17" t="str">
        <x:v>ALL</x:v>
      </x:c>
      <x:c r="B9" s="17" t="str">
        <x:v>NC</x:v>
      </x:c>
      <x:c r="C9" s="13" t="n">
        <x:v>11000</x:v>
      </x:c>
      <x:c r="D9" s="11" t="n">
        <x:v>211</x:v>
      </x:c>
      <x:c r="E9" s="14" t="n">
        <x:f>D9/C9</x:f>
        <x:v>0.019181818181818182</x:v>
      </x:c>
      <x:c r="F9" s="11" t="n">
        <x:v>211</x:v>
      </x:c>
      <x:c r="G9" s="11" t="n">
        <x:v>0</x:v>
      </x:c>
      <x:c r="H9" s="11" t="n">
        <x:v>211</x:v>
      </x:c>
      <x:c r="I9" s="11" t="n">
        <x:v>0</x:v>
      </x:c>
      <x:c r="J9" s="11" t="n">
        <x:v>211</x:v>
      </x:c>
      <x:c r="K9" s="15" t="n">
        <x:v>0.048</x:v>
      </x:c>
      <x:c r="L9" s="16" t="n">
        <x:v>0</x:v>
      </x:c>
      <x:c r="M9" s="16" t="n">
        <x:v>-0.9454545454545454</x:v>
      </x:c>
      <x:c r="N9" s="16" t="n">
        <x:v>0</x:v>
      </x:c>
      <x:c r="O9" s="16" t="n">
        <x:v>0</x:v>
      </x:c>
      <x:c r="P9" s="16" t="n">
        <x:v>-0.9727272727272728</x:v>
      </x:c>
      <x:c r="Q9" s="16" t="n">
        <x:v>1.8727272727272728</x:v>
      </x:c>
      <x:c r="R9" s="16" t="n">
        <x:v>0.045454545454545456</x:v>
      </x:c>
      <x:c r="S9" s="16" t="n">
        <x:v>0</x:v>
      </x:c>
      <x:c r="T9" s="16" t="n">
        <x:v>0</x:v>
      </x:c>
      <x:c r="U9" s="16" t="n">
        <x:v>0</x:v>
      </x:c>
    </x:row>
    <x:row r="10" ht="23" customHeight="1">
      <x:c r="A10" s="17" t="str">
        <x:v>ALL</x:v>
      </x:c>
      <x:c r="B10" s="17" t="str">
        <x:v>NCG</x:v>
      </x:c>
      <x:c r="C10" s="13" t="n">
        <x:v>11000</x:v>
      </x:c>
      <x:c r="D10" s="11" t="n">
        <x:v>285</x:v>
      </x:c>
      <x:c r="E10" s="14" t="n">
        <x:f>D10/C10</x:f>
        <x:v>0.02590909090909091</x:v>
      </x:c>
      <x:c r="F10" s="11" t="n">
        <x:v>285</x:v>
      </x:c>
      <x:c r="G10" s="11" t="n">
        <x:v>0</x:v>
      </x:c>
      <x:c r="H10" s="11" t="n">
        <x:v>250</x:v>
      </x:c>
      <x:c r="I10" s="11" t="n">
        <x:v>39</x:v>
      </x:c>
      <x:c r="J10" s="11" t="n">
        <x:v>826</x:v>
      </x:c>
      <x:c r="K10" s="15" t="n">
        <x:v>0.07945454545454546</x:v>
      </x:c>
      <x:c r="L10" s="16" t="n">
        <x:v>0</x:v>
      </x:c>
      <x:c r="M10" s="16" t="n">
        <x:v>-2.3363636363636364</x:v>
      </x:c>
      <x:c r="N10" s="16" t="n">
        <x:v>0</x:v>
      </x:c>
      <x:c r="O10" s="16" t="n">
        <x:v>0</x:v>
      </x:c>
      <x:c r="P10" s="16" t="n">
        <x:v>1.4454545454545455</x:v>
      </x:c>
      <x:c r="Q10" s="16" t="n">
        <x:v>0.8454545454545455</x:v>
      </x:c>
      <x:c r="R10" s="16" t="n">
        <x:v>0.045454545454545456</x:v>
      </x:c>
      <x:c r="S10" s="16" t="n">
        <x:v>0</x:v>
      </x:c>
      <x:c r="T10" s="16" t="n">
        <x:v>0</x:v>
      </x:c>
      <x:c r="U10" s="16" t="n">
        <x:v>0</x:v>
      </x:c>
    </x:row>
    <x:row r="11" ht="23" customHeight="1">
      <x:c r="A11" s="17" t="str">
        <x:v>a</x:v>
      </x:c>
      <x:c r="B11" s="17" t="str">
        <x:v>N</x:v>
      </x:c>
      <x:c r="C11" s="13" t="n">
        <x:v>1778</x:v>
      </x:c>
      <x:c r="D11" s="11" t="n">
        <x:v>0</x:v>
      </x:c>
      <x:c r="E11" s="14" t="n">
        <x:f>D11/C11</x:f>
        <x:v>0</x:v>
      </x:c>
      <x:c r="F11" s="11" t="n">
        <x:v>0</x:v>
      </x:c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5" t="n">
        <x:v>0</x:v>
      </x:c>
      <x:c r="L11" s="16" t="n">
        <x:v>0</x:v>
      </x:c>
      <x:c r="M11" s="16" t="n">
        <x:v>0</x:v>
      </x:c>
      <x:c r="N11" s="16" t="n">
        <x:v>0</x:v>
      </x:c>
      <x:c r="O11" s="16" t="n">
        <x:v>0</x:v>
      </x:c>
      <x:c r="P11" s="16" t="n">
        <x:v>0</x:v>
      </x:c>
      <x:c r="Q11" s="16" t="n">
        <x:v>0</x:v>
      </x:c>
      <x:c r="R11" s="16" t="n">
        <x:v>0</x:v>
      </x:c>
      <x:c r="S11" s="16" t="n">
        <x:v>0</x:v>
      </x:c>
      <x:c r="T11" s="16" t="n">
        <x:v>0</x:v>
      </x:c>
      <x:c r="U11" s="16" t="n">
        <x:v>0</x:v>
      </x:c>
    </x:row>
    <x:row r="12" ht="23" customHeight="1">
      <x:c r="A12" s="17" t="str">
        <x:v>a</x:v>
      </x:c>
      <x:c r="B12" s="17" t="str">
        <x:v>C</x:v>
      </x:c>
      <x:c r="C12" s="13" t="n">
        <x:v>1778</x:v>
      </x:c>
      <x:c r="D12" s="11" t="n">
        <x:v>0</x:v>
      </x:c>
      <x:c r="E12" s="14" t="n">
        <x:f>D12/C12</x:f>
        <x:v>0</x:v>
      </x:c>
      <x:c r="F12" s="11" t="n">
        <x:v>0</x:v>
      </x:c>
      <x:c r="G12" s="11" t="n">
        <x:v>0</x:v>
      </x:c>
      <x:c r="H12" s="11" t="n">
        <x:v>0</x:v>
      </x:c>
      <x:c r="I12" s="11" t="n">
        <x:v>0</x:v>
      </x:c>
      <x:c r="J12" s="11" t="n">
        <x:v>0</x:v>
      </x:c>
      <x:c r="K12" s="15" t="n">
        <x:v>0</x:v>
      </x:c>
      <x:c r="L12" s="16" t="n">
        <x:v>0</x:v>
      </x:c>
      <x:c r="M12" s="16" t="n">
        <x:v>0</x:v>
      </x:c>
      <x:c r="N12" s="16" t="n">
        <x:v>0</x:v>
      </x:c>
      <x:c r="O12" s="16" t="n">
        <x:v>0</x:v>
      </x:c>
      <x:c r="P12" s="16" t="n">
        <x:v>0</x:v>
      </x:c>
      <x:c r="Q12" s="16" t="n">
        <x:v>0</x:v>
      </x:c>
      <x:c r="R12" s="16" t="n">
        <x:v>0</x:v>
      </x:c>
      <x:c r="S12" s="16" t="n">
        <x:v>0</x:v>
      </x:c>
      <x:c r="T12" s="16" t="n">
        <x:v>0</x:v>
      </x:c>
      <x:c r="U12" s="16" t="n">
        <x:v>0</x:v>
      </x:c>
    </x:row>
    <x:row r="13" ht="23" customHeight="1">
      <x:c r="A13" s="17" t="str">
        <x:v>a</x:v>
      </x:c>
      <x:c r="B13" s="17" t="str">
        <x:v>NG</x:v>
      </x:c>
      <x:c r="C13" s="13" t="n">
        <x:v>1778</x:v>
      </x:c>
      <x:c r="D13" s="11" t="n">
        <x:v>0</x:v>
      </x:c>
      <x:c r="E13" s="14" t="n">
        <x:f>D13/C13</x:f>
        <x:v>0</x:v>
      </x:c>
      <x:c r="F13" s="11" t="n">
        <x:v>0</x:v>
      </x:c>
      <x:c r="G13" s="11" t="n">
        <x:v>0</x:v>
      </x:c>
      <x:c r="H13" s="11" t="n">
        <x:v>0</x:v>
      </x:c>
      <x:c r="I13" s="11" t="n">
        <x:v>0</x:v>
      </x:c>
      <x:c r="J13" s="11" t="n">
        <x:v>0</x:v>
      </x:c>
      <x:c r="K13" s="15" t="n">
        <x:v>0</x:v>
      </x:c>
      <x:c r="L13" s="16" t="n">
        <x:v>0</x:v>
      </x:c>
      <x:c r="M13" s="16" t="n">
        <x:v>0</x:v>
      </x:c>
      <x:c r="N13" s="16" t="n">
        <x:v>0</x:v>
      </x:c>
      <x:c r="O13" s="16" t="n">
        <x:v>0</x:v>
      </x:c>
      <x:c r="P13" s="16" t="n">
        <x:v>0</x:v>
      </x:c>
      <x:c r="Q13" s="16" t="n">
        <x:v>0</x:v>
      </x:c>
      <x:c r="R13" s="16" t="n">
        <x:v>0</x:v>
      </x:c>
      <x:c r="S13" s="16" t="n">
        <x:v>0</x:v>
      </x:c>
      <x:c r="T13" s="16" t="n">
        <x:v>0</x:v>
      </x:c>
      <x:c r="U13" s="16" t="n">
        <x:v>0</x:v>
      </x:c>
    </x:row>
    <x:row r="14" ht="23" customHeight="1">
      <x:c r="A14" s="17" t="str">
        <x:v>a</x:v>
      </x:c>
      <x:c r="B14" s="17" t="str">
        <x:v>CG</x:v>
      </x:c>
      <x:c r="C14" s="13" t="n">
        <x:v>1778</x:v>
      </x:c>
      <x:c r="D14" s="11" t="n">
        <x:v>0</x:v>
      </x:c>
      <x:c r="E14" s="14" t="n">
        <x:f>D14/C14</x:f>
        <x:v>0</x:v>
      </x:c>
      <x:c r="F14" s="11" t="n">
        <x:v>0</x:v>
      </x:c>
      <x:c r="G14" s="11" t="n">
        <x:v>0</x:v>
      </x:c>
      <x:c r="H14" s="11" t="n">
        <x:v>0</x:v>
      </x:c>
      <x:c r="I14" s="11" t="n">
        <x:v>0</x:v>
      </x:c>
      <x:c r="J14" s="11" t="n">
        <x:v>0</x:v>
      </x:c>
      <x:c r="K14" s="15" t="n">
        <x:v>0</x:v>
      </x:c>
      <x:c r="L14" s="16" t="n">
        <x:v>0</x:v>
      </x:c>
      <x:c r="M14" s="16" t="n">
        <x:v>0</x:v>
      </x:c>
      <x:c r="N14" s="16" t="n">
        <x:v>0</x:v>
      </x:c>
      <x:c r="O14" s="16" t="n">
        <x:v>0</x:v>
      </x:c>
      <x:c r="P14" s="16" t="n">
        <x:v>0</x:v>
      </x:c>
      <x:c r="Q14" s="16" t="n">
        <x:v>0</x:v>
      </x:c>
      <x:c r="R14" s="16" t="n">
        <x:v>0</x:v>
      </x:c>
      <x:c r="S14" s="16" t="n">
        <x:v>0</x:v>
      </x:c>
      <x:c r="T14" s="16" t="n">
        <x:v>0</x:v>
      </x:c>
      <x:c r="U14" s="16" t="n">
        <x:v>0</x:v>
      </x:c>
    </x:row>
    <x:row r="15" ht="23" customHeight="1">
      <x:c r="A15" s="17" t="str">
        <x:v>a</x:v>
      </x:c>
      <x:c r="B15" s="17" t="str">
        <x:v>NC</x:v>
      </x:c>
      <x:c r="C15" s="13" t="n">
        <x:v>1778</x:v>
      </x:c>
      <x:c r="D15" s="11" t="n">
        <x:v>0</x:v>
      </x:c>
      <x:c r="E15" s="14" t="n">
        <x:f>D15/C15</x:f>
        <x:v>0</x:v>
      </x:c>
      <x:c r="F15" s="11" t="n">
        <x:v>0</x:v>
      </x:c>
      <x:c r="G15" s="11" t="n">
        <x:v>0</x:v>
      </x:c>
      <x:c r="H15" s="11" t="n">
        <x:v>0</x:v>
      </x:c>
      <x:c r="I15" s="11" t="n">
        <x:v>0</x:v>
      </x:c>
      <x:c r="J15" s="11" t="n">
        <x:v>0</x:v>
      </x:c>
      <x:c r="K15" s="15" t="n">
        <x:v>0</x:v>
      </x:c>
      <x:c r="L15" s="16" t="n">
        <x:v>0</x:v>
      </x:c>
      <x:c r="M15" s="16" t="n">
        <x:v>0</x:v>
      </x:c>
      <x:c r="N15" s="16" t="n">
        <x:v>0</x:v>
      </x:c>
      <x:c r="O15" s="16" t="n">
        <x:v>0</x:v>
      </x:c>
      <x:c r="P15" s="16" t="n">
        <x:v>0</x:v>
      </x:c>
      <x:c r="Q15" s="16" t="n">
        <x:v>0</x:v>
      </x:c>
      <x:c r="R15" s="16" t="n">
        <x:v>0</x:v>
      </x:c>
      <x:c r="S15" s="16" t="n">
        <x:v>0</x:v>
      </x:c>
      <x:c r="T15" s="16" t="n">
        <x:v>0</x:v>
      </x:c>
      <x:c r="U15" s="16" t="n">
        <x:v>0</x:v>
      </x:c>
    </x:row>
    <x:row r="16" ht="23" customHeight="1">
      <x:c r="A16" s="17" t="str">
        <x:v>a</x:v>
      </x:c>
      <x:c r="B16" s="17" t="str">
        <x:v>NCG</x:v>
      </x:c>
      <x:c r="C16" s="13" t="n">
        <x:v>1778</x:v>
      </x:c>
      <x:c r="D16" s="11" t="n">
        <x:v>0</x:v>
      </x:c>
      <x:c r="E16" s="14" t="n">
        <x:f>D16/C16</x:f>
        <x:v>0</x:v>
      </x:c>
      <x:c r="F16" s="11" t="n">
        <x:v>0</x:v>
      </x:c>
      <x:c r="G16" s="11" t="n">
        <x:v>0</x:v>
      </x:c>
      <x:c r="H16" s="11" t="n">
        <x:v>0</x:v>
      </x:c>
      <x:c r="I16" s="11" t="n">
        <x:v>0</x:v>
      </x:c>
      <x:c r="J16" s="11" t="n">
        <x:v>0</x:v>
      </x:c>
      <x:c r="K16" s="15" t="n">
        <x:v>0</x:v>
      </x:c>
      <x:c r="L16" s="16" t="n">
        <x:v>0</x:v>
      </x:c>
      <x:c r="M16" s="16" t="n">
        <x:v>0</x:v>
      </x:c>
      <x:c r="N16" s="16" t="n">
        <x:v>0</x:v>
      </x:c>
      <x:c r="O16" s="16" t="n">
        <x:v>0</x:v>
      </x:c>
      <x:c r="P16" s="16" t="n">
        <x:v>0</x:v>
      </x:c>
      <x:c r="Q16" s="16" t="n">
        <x:v>0</x:v>
      </x:c>
      <x:c r="R16" s="16" t="n">
        <x:v>0</x:v>
      </x:c>
      <x:c r="S16" s="16" t="n">
        <x:v>0</x:v>
      </x:c>
      <x:c r="T16" s="16" t="n">
        <x:v>0</x:v>
      </x:c>
      <x:c r="U16" s="16" t="n">
        <x:v>0</x:v>
      </x:c>
    </x:row>
    <x:row r="17" ht="23" customHeight="1">
      <x:c r="A17" s="17" t="str">
        <x:v>b</x:v>
      </x:c>
      <x:c r="B17" s="17" t="str">
        <x:v>N</x:v>
      </x:c>
      <x:c r="C17" s="13" t="n">
        <x:v>1481</x:v>
      </x:c>
      <x:c r="D17" s="11" t="n">
        <x:v>24</x:v>
      </x:c>
      <x:c r="E17" s="14" t="n">
        <x:f>D17/C17</x:f>
        <x:v>0.016205266711681297</x:v>
      </x:c>
      <x:c r="F17" s="11" t="n">
        <x:v>24</x:v>
      </x:c>
      <x:c r="G17" s="11" t="n">
        <x:v>0</x:v>
      </x:c>
      <x:c r="H17" s="11" t="n">
        <x:v>24</x:v>
      </x:c>
      <x:c r="I17" s="11" t="n">
        <x:v>0</x:v>
      </x:c>
      <x:c r="J17" s="11" t="n">
        <x:v>24</x:v>
      </x:c>
      <x:c r="K17" s="15" t="n">
        <x:v>0.03646185010128292</x:v>
      </x:c>
      <x:c r="L17" s="16" t="n">
        <x:v>0</x:v>
      </x:c>
      <x:c r="M17" s="16" t="n">
        <x:v>-0.675219446320054</x:v>
      </x:c>
      <x:c r="N17" s="16" t="n">
        <x:v>0</x:v>
      </x:c>
      <x:c r="O17" s="16" t="n">
        <x:v>0</x:v>
      </x:c>
      <x:c r="P17" s="16" t="n">
        <x:v>-0.9453072248480756</x:v>
      </x:c>
      <x:c r="Q17" s="16" t="n">
        <x:v>1.6205266711681297</x:v>
      </x:c>
      <x:c r="R17" s="16" t="n">
        <x:v>0</x:v>
      </x:c>
      <x:c r="S17" s="16" t="n">
        <x:v>0</x:v>
      </x:c>
      <x:c r="T17" s="16" t="n">
        <x:v>0</x:v>
      </x:c>
      <x:c r="U17" s="16" t="n">
        <x:v>0</x:v>
      </x:c>
    </x:row>
    <x:row r="18" ht="23" customHeight="1">
      <x:c r="A18" s="17" t="str">
        <x:v>b</x:v>
      </x:c>
      <x:c r="B18" s="17" t="str">
        <x:v>C</x:v>
      </x:c>
      <x:c r="C18" s="13" t="n">
        <x:v>1481</x:v>
      </x:c>
      <x:c r="D18" s="11" t="n">
        <x:v>30</x:v>
      </x:c>
      <x:c r="E18" s="14" t="n">
        <x:f>D18/C18</x:f>
        <x:v>0.02025658338960162</x:v>
      </x:c>
      <x:c r="F18" s="11" t="n">
        <x:v>30</x:v>
      </x:c>
      <x:c r="G18" s="11" t="n">
        <x:v>0</x:v>
      </x:c>
      <x:c r="H18" s="11" t="n">
        <x:v>30</x:v>
      </x:c>
      <x:c r="I18" s="11" t="n">
        <x:v>0</x:v>
      </x:c>
      <x:c r="J18" s="11" t="n">
        <x:v>30</x:v>
      </x:c>
      <x:c r="K18" s="15" t="n">
        <x:v>0.08102633355840648</x:v>
      </x:c>
      <x:c r="L18" s="16" t="n">
        <x:v>0</x:v>
      </x:c>
      <x:c r="M18" s="16" t="n">
        <x:v>-2.025658338960162</x:v>
      </x:c>
      <x:c r="N18" s="16" t="n">
        <x:v>0</x:v>
      </x:c>
      <x:c r="O18" s="16" t="n">
        <x:v>0</x:v>
      </x:c>
      <x:c r="P18" s="16" t="n">
        <x:v>0</x:v>
      </x:c>
      <x:c r="Q18" s="16" t="n">
        <x:v>2.025658338960162</x:v>
      </x:c>
      <x:c r="R18" s="16" t="n">
        <x:v>0</x:v>
      </x:c>
      <x:c r="S18" s="16" t="n">
        <x:v>0</x:v>
      </x:c>
      <x:c r="T18" s="16" t="n">
        <x:v>0</x:v>
      </x:c>
      <x:c r="U18" s="16" t="n">
        <x:v>0</x:v>
      </x:c>
    </x:row>
    <x:row r="19" ht="23" customHeight="1">
      <x:c r="A19" s="17" t="str">
        <x:v>b</x:v>
      </x:c>
      <x:c r="B19" s="17" t="str">
        <x:v>NG</x:v>
      </x:c>
      <x:c r="C19" s="13" t="n">
        <x:v>1481</x:v>
      </x:c>
      <x:c r="D19" s="11" t="n">
        <x:v>15</x:v>
      </x:c>
      <x:c r="E19" s="14" t="n">
        <x:f>D19/C19</x:f>
        <x:v>0.01012829169480081</x:v>
      </x:c>
      <x:c r="F19" s="11" t="n">
        <x:v>15</x:v>
      </x:c>
      <x:c r="G19" s="11" t="n">
        <x:v>0</x:v>
      </x:c>
      <x:c r="H19" s="11" t="n">
        <x:v>24</x:v>
      </x:c>
      <x:c r="I19" s="11" t="n">
        <x:v>0</x:v>
      </x:c>
      <x:c r="J19" s="11" t="n">
        <x:v>48</x:v>
      </x:c>
      <x:c r="K19" s="15" t="n">
        <x:v>0.024307900067521943</x:v>
      </x:c>
      <x:c r="L19" s="16" t="n">
        <x:v>0</x:v>
      </x:c>
      <x:c r="M19" s="16" t="n">
        <x:v>-0.4726536124240378</x:v>
      </x:c>
      <x:c r="N19" s="16" t="n">
        <x:v>0</x:v>
      </x:c>
      <x:c r="O19" s="16" t="n">
        <x:v>0</x:v>
      </x:c>
      <x:c r="P19" s="16" t="n">
        <x:v>-0.5401755570560433</x:v>
      </x:c>
      <x:c r="Q19" s="16" t="n">
        <x:v>1.012829169480081</x:v>
      </x:c>
      <x:c r="R19" s="16" t="n">
        <x:v>0</x:v>
      </x:c>
      <x:c r="S19" s="16" t="n">
        <x:v>0</x:v>
      </x:c>
      <x:c r="T19" s="16" t="n">
        <x:v>0</x:v>
      </x:c>
      <x:c r="U19" s="16" t="n">
        <x:v>0</x:v>
      </x:c>
    </x:row>
    <x:row r="20" ht="23" customHeight="1">
      <x:c r="A20" s="17" t="str">
        <x:v>b</x:v>
      </x:c>
      <x:c r="B20" s="17" t="str">
        <x:v>CG</x:v>
      </x:c>
      <x:c r="C20" s="13" t="n">
        <x:v>1481</x:v>
      </x:c>
      <x:c r="D20" s="11" t="n">
        <x:v>17</x:v>
      </x:c>
      <x:c r="E20" s="14" t="n">
        <x:f>D20/C20</x:f>
        <x:v>0.011478730587440918</x:v>
      </x:c>
      <x:c r="F20" s="11" t="n">
        <x:v>17</x:v>
      </x:c>
      <x:c r="G20" s="11" t="n">
        <x:v>0</x:v>
      </x:c>
      <x:c r="H20" s="11" t="n">
        <x:v>32</x:v>
      </x:c>
      <x:c r="I20" s="11" t="n">
        <x:v>2</x:v>
      </x:c>
      <x:c r="J20" s="11" t="n">
        <x:v>56</x:v>
      </x:c>
      <x:c r="K20" s="15" t="n">
        <x:v>0.042538825118163405</x:v>
      </x:c>
      <x:c r="L20" s="16" t="n">
        <x:v>0</x:v>
      </x:c>
      <x:c r="M20" s="16" t="n">
        <x:v>-1.1478730587440917</x:v>
      </x:c>
      <x:c r="N20" s="16" t="n">
        <x:v>0</x:v>
      </x:c>
      <x:c r="O20" s="16" t="n">
        <x:v>0</x:v>
      </x:c>
      <x:c r="P20" s="16" t="n">
        <x:v>0.337609723160027</x:v>
      </x:c>
      <x:c r="Q20" s="16" t="n">
        <x:v>0.8102633355840648</x:v>
      </x:c>
      <x:c r="R20" s="16" t="n">
        <x:v>0</x:v>
      </x:c>
      <x:c r="S20" s="16" t="n">
        <x:v>0</x:v>
      </x:c>
      <x:c r="T20" s="16" t="n">
        <x:v>0</x:v>
      </x:c>
      <x:c r="U20" s="16" t="n">
        <x:v>0</x:v>
      </x:c>
    </x:row>
    <x:row r="21" ht="23" customHeight="1">
      <x:c r="A21" s="17" t="str">
        <x:v>b</x:v>
      </x:c>
      <x:c r="B21" s="17" t="str">
        <x:v>NC</x:v>
      </x:c>
      <x:c r="C21" s="13" t="n">
        <x:v>1481</x:v>
      </x:c>
      <x:c r="D21" s="11" t="n">
        <x:v>35</x:v>
      </x:c>
      <x:c r="E21" s="14" t="n">
        <x:f>D21/C21</x:f>
        <x:v>0.02363268062120189</x:v>
      </x:c>
      <x:c r="F21" s="11" t="n">
        <x:v>35</x:v>
      </x:c>
      <x:c r="G21" s="11" t="n">
        <x:v>0</x:v>
      </x:c>
      <x:c r="H21" s="11" t="n">
        <x:v>35</x:v>
      </x:c>
      <x:c r="I21" s="11" t="n">
        <x:v>0</x:v>
      </x:c>
      <x:c r="J21" s="11" t="n">
        <x:v>35</x:v>
      </x:c>
      <x:c r="K21" s="15" t="n">
        <x:v>0.07629979743416611</x:v>
      </x:c>
      <x:c r="L21" s="16" t="n">
        <x:v>0</x:v>
      </x:c>
      <x:c r="M21" s="16" t="n">
        <x:v>-1.7555705604321405</x:v>
      </x:c>
      <x:c r="N21" s="16" t="n">
        <x:v>0</x:v>
      </x:c>
      <x:c r="O21" s="16" t="n">
        <x:v>0</x:v>
      </x:c>
      <x:c r="P21" s="16" t="n">
        <x:v>-0.6076975016880486</x:v>
      </x:c>
      <x:c r="Q21" s="16" t="n">
        <x:v>2.363268062120189</x:v>
      </x:c>
      <x:c r="R21" s="16" t="n">
        <x:v>0</x:v>
      </x:c>
      <x:c r="S21" s="16" t="n">
        <x:v>0</x:v>
      </x:c>
      <x:c r="T21" s="16" t="n">
        <x:v>0</x:v>
      </x:c>
      <x:c r="U21" s="16" t="n">
        <x:v>0</x:v>
      </x:c>
    </x:row>
    <x:row r="22" ht="23" customHeight="1">
      <x:c r="A22" s="17" t="str">
        <x:v>b</x:v>
      </x:c>
      <x:c r="B22" s="17" t="str">
        <x:v>NCG</x:v>
      </x:c>
      <x:c r="C22" s="13" t="n">
        <x:v>1481</x:v>
      </x:c>
      <x:c r="D22" s="11" t="n">
        <x:v>17</x:v>
      </x:c>
      <x:c r="E22" s="14" t="n">
        <x:f>D22/C22</x:f>
        <x:v>0.011478730587440918</x:v>
      </x:c>
      <x:c r="F22" s="11" t="n">
        <x:v>17</x:v>
      </x:c>
      <x:c r="G22" s="11" t="n">
        <x:v>0</x:v>
      </x:c>
      <x:c r="H22" s="11" t="n">
        <x:v>36</x:v>
      </x:c>
      <x:c r="I22" s="11" t="n">
        <x:v>1</x:v>
      </x:c>
      <x:c r="J22" s="11" t="n">
        <x:v>60</x:v>
      </x:c>
      <x:c r="K22" s="15" t="n">
        <x:v>0.03781228899392303</x:v>
      </x:c>
      <x:c r="L22" s="16" t="n">
        <x:v>0</x:v>
      </x:c>
      <x:c r="M22" s="16" t="n">
        <x:v>-0.9453072248480756</x:v>
      </x:c>
      <x:c r="N22" s="16" t="n">
        <x:v>0</x:v>
      </x:c>
      <x:c r="O22" s="16" t="n">
        <x:v>0</x:v>
      </x:c>
      <x:c r="P22" s="16" t="n">
        <x:v>0</x:v>
      </x:c>
      <x:c r="Q22" s="16" t="n">
        <x:v>0.9453072248480756</x:v>
      </x:c>
      <x:c r="R22" s="16" t="n">
        <x:v>0</x:v>
      </x:c>
      <x:c r="S22" s="16" t="n">
        <x:v>0</x:v>
      </x:c>
      <x:c r="T22" s="16" t="n">
        <x:v>0</x:v>
      </x:c>
      <x:c r="U22" s="16" t="n">
        <x:v>0</x:v>
      </x:c>
    </x:row>
    <x:row r="23" ht="23" customHeight="1">
      <x:c r="A23" s="17" t="str">
        <x:v>c</x:v>
      </x:c>
      <x:c r="B23" s="17" t="str">
        <x:v>N</x:v>
      </x:c>
      <x:c r="C23" s="13" t="n">
        <x:v>1747</x:v>
      </x:c>
      <x:c r="D23" s="11" t="n">
        <x:v>34</x:v>
      </x:c>
      <x:c r="E23" s="14" t="n">
        <x:f>D23/C23</x:f>
        <x:v>0.019461934745277618</x:v>
      </x:c>
      <x:c r="F23" s="11" t="n">
        <x:v>34</x:v>
      </x:c>
      <x:c r="G23" s="11" t="n">
        <x:v>0</x:v>
      </x:c>
      <x:c r="H23" s="11" t="n">
        <x:v>34</x:v>
      </x:c>
      <x:c r="I23" s="11" t="n">
        <x:v>0</x:v>
      </x:c>
      <x:c r="J23" s="11" t="n">
        <x:v>34</x:v>
      </x:c>
      <x:c r="K23" s="15" t="n">
        <x:v>0.019461934745277618</x:v>
      </x:c>
      <x:c r="L23" s="16" t="n">
        <x:v>0</x:v>
      </x:c>
      <x:c r="M23" s="16" t="n">
        <x:v>0</x:v>
      </x:c>
      <x:c r="N23" s="16" t="n">
        <x:v>0</x:v>
      </x:c>
      <x:c r="O23" s="16" t="n">
        <x:v>0</x:v>
      </x:c>
      <x:c r="P23" s="16" t="n">
        <x:v>-1.9461934745277618</x:v>
      </x:c>
      <x:c r="Q23" s="16" t="n">
        <x:v>1.9461934745277618</x:v>
      </x:c>
      <x:c r="R23" s="16" t="n">
        <x:v>0</x:v>
      </x:c>
      <x:c r="S23" s="16" t="n">
        <x:v>0</x:v>
      </x:c>
      <x:c r="T23" s="16" t="n">
        <x:v>0</x:v>
      </x:c>
      <x:c r="U23" s="16" t="n">
        <x:v>0</x:v>
      </x:c>
    </x:row>
    <x:row r="24" ht="23" customHeight="1">
      <x:c r="A24" s="17" t="str">
        <x:v>c</x:v>
      </x:c>
      <x:c r="B24" s="17" t="str">
        <x:v>C</x:v>
      </x:c>
      <x:c r="C24" s="13" t="n">
        <x:v>1747</x:v>
      </x:c>
      <x:c r="D24" s="11" t="n">
        <x:v>4</x:v>
      </x:c>
      <x:c r="E24" s="14" t="n">
        <x:f>D24/C24</x:f>
        <x:v>0.0022896393817973667</x:v>
      </x:c>
      <x:c r="F24" s="11" t="n">
        <x:v>4</x:v>
      </x:c>
      <x:c r="G24" s="11" t="n">
        <x:v>0</x:v>
      </x:c>
      <x:c r="H24" s="11" t="n">
        <x:v>4</x:v>
      </x:c>
      <x:c r="I24" s="11" t="n">
        <x:v>0</x:v>
      </x:c>
      <x:c r="J24" s="11" t="n">
        <x:v>4</x:v>
      </x:c>
      <x:c r="K24" s="15" t="n">
        <x:v>0.009158557527189467</x:v>
      </x:c>
      <x:c r="L24" s="16" t="n">
        <x:v>0</x:v>
      </x:c>
      <x:c r="M24" s="16" t="n">
        <x:v>-0.2289639381797367</x:v>
      </x:c>
      <x:c r="N24" s="16" t="n">
        <x:v>0</x:v>
      </x:c>
      <x:c r="O24" s="16" t="n">
        <x:v>0</x:v>
      </x:c>
      <x:c r="P24" s="16" t="n">
        <x:v>0</x:v>
      </x:c>
      <x:c r="Q24" s="16" t="n">
        <x:v>0.2289639381797367</x:v>
      </x:c>
      <x:c r="R24" s="16" t="n">
        <x:v>0</x:v>
      </x:c>
      <x:c r="S24" s="16" t="n">
        <x:v>0</x:v>
      </x:c>
      <x:c r="T24" s="16" t="n">
        <x:v>0</x:v>
      </x:c>
      <x:c r="U24" s="16" t="n">
        <x:v>0</x:v>
      </x:c>
    </x:row>
    <x:row r="25" ht="23" customHeight="1">
      <x:c r="A25" s="17" t="str">
        <x:v>c</x:v>
      </x:c>
      <x:c r="B25" s="17" t="str">
        <x:v>NG</x:v>
      </x:c>
      <x:c r="C25" s="13" t="n">
        <x:v>1747</x:v>
      </x:c>
      <x:c r="D25" s="11" t="n">
        <x:v>36</x:v>
      </x:c>
      <x:c r="E25" s="14" t="n">
        <x:f>D25/C25</x:f>
        <x:v>0.0206067544361763</x:v>
      </x:c>
      <x:c r="F25" s="11" t="n">
        <x:v>36</x:v>
      </x:c>
      <x:c r="G25" s="11" t="n">
        <x:v>0</x:v>
      </x:c>
      <x:c r="H25" s="11" t="n">
        <x:v>34</x:v>
      </x:c>
      <x:c r="I25" s="11" t="n">
        <x:v>0</x:v>
      </x:c>
      <x:c r="J25" s="11" t="n">
        <x:v>133</x:v>
      </x:c>
      <x:c r="K25" s="15" t="n">
        <x:v>0.04235832856325129</x:v>
      </x:c>
      <x:c r="L25" s="16" t="n">
        <x:v>0</x:v>
      </x:c>
      <x:c r="M25" s="16" t="n">
        <x:v>-1.0875787063537492</x:v>
      </x:c>
      <x:c r="N25" s="16" t="n">
        <x:v>0</x:v>
      </x:c>
      <x:c r="O25" s="16" t="n">
        <x:v>0</x:v>
      </x:c>
      <x:c r="P25" s="16" t="n">
        <x:v>0.11448196908986835</x:v>
      </x:c>
      <x:c r="Q25" s="16" t="n">
        <x:v>0.9730967372638809</x:v>
      </x:c>
      <x:c r="R25" s="16" t="n">
        <x:v>0</x:v>
      </x:c>
      <x:c r="S25" s="16" t="n">
        <x:v>0</x:v>
      </x:c>
      <x:c r="T25" s="16" t="n">
        <x:v>0</x:v>
      </x:c>
      <x:c r="U25" s="16" t="n">
        <x:v>0</x:v>
      </x:c>
    </x:row>
    <x:row r="26" ht="23" customHeight="1">
      <x:c r="A26" s="17" t="str">
        <x:v>c</x:v>
      </x:c>
      <x:c r="B26" s="17" t="str">
        <x:v>CG</x:v>
      </x:c>
      <x:c r="C26" s="13" t="n">
        <x:v>1747</x:v>
      </x:c>
      <x:c r="D26" s="11" t="n">
        <x:v>46</x:v>
      </x:c>
      <x:c r="E26" s="14" t="n">
        <x:f>D26/C26</x:f>
        <x:v>0.02633085289066972</x:v>
      </x:c>
      <x:c r="F26" s="11" t="n">
        <x:v>46</x:v>
      </x:c>
      <x:c r="G26" s="11" t="n">
        <x:v>0</x:v>
      </x:c>
      <x:c r="H26" s="11" t="n">
        <x:v>4</x:v>
      </x:c>
      <x:c r="I26" s="11" t="n">
        <x:v>0</x:v>
      </x:c>
      <x:c r="J26" s="11" t="n">
        <x:v>103</x:v>
      </x:c>
      <x:c r="K26" s="15" t="n">
        <x:v>0.0795649685174585</x:v>
      </x:c>
      <x:c r="L26" s="16" t="n">
        <x:v>0</x:v>
      </x:c>
      <x:c r="M26" s="16" t="n">
        <x:v>-2.633085289066972</x:v>
      </x:c>
      <x:c r="N26" s="16" t="n">
        <x:v>0</x:v>
      </x:c>
      <x:c r="O26" s="16" t="n">
        <x:v>0</x:v>
      </x:c>
      <x:c r="P26" s="16" t="n">
        <x:v>2.575844304522038</x:v>
      </x:c>
      <x:c r="Q26" s="16" t="n">
        <x:v>0.057240984544934176</x:v>
      </x:c>
      <x:c r="R26" s="16" t="n">
        <x:v>0</x:v>
      </x:c>
      <x:c r="S26" s="16" t="n">
        <x:v>0</x:v>
      </x:c>
      <x:c r="T26" s="16" t="n">
        <x:v>0</x:v>
      </x:c>
      <x:c r="U26" s="16" t="n">
        <x:v>0</x:v>
      </x:c>
    </x:row>
    <x:row r="27" ht="23" customHeight="1">
      <x:c r="A27" s="17" t="str">
        <x:v>c</x:v>
      </x:c>
      <x:c r="B27" s="17" t="str">
        <x:v>NC</x:v>
      </x:c>
      <x:c r="C27" s="13" t="n">
        <x:v>1747</x:v>
      </x:c>
      <x:c r="D27" s="11" t="n">
        <x:v>39</x:v>
      </x:c>
      <x:c r="E27" s="14" t="n">
        <x:f>D27/C27</x:f>
        <x:v>0.022323983972524327</x:v>
      </x:c>
      <x:c r="F27" s="11" t="n">
        <x:v>39</x:v>
      </x:c>
      <x:c r="G27" s="11" t="n">
        <x:v>0</x:v>
      </x:c>
      <x:c r="H27" s="11" t="n">
        <x:v>39</x:v>
      </x:c>
      <x:c r="I27" s="11" t="n">
        <x:v>0</x:v>
      </x:c>
      <x:c r="J27" s="11" t="n">
        <x:v>39</x:v>
      </x:c>
      <x:c r="K27" s="15" t="n">
        <x:v>0.03377218088151116</x:v>
      </x:c>
      <x:c r="L27" s="16" t="n">
        <x:v>0</x:v>
      </x:c>
      <x:c r="M27" s="16" t="n">
        <x:v>-0.34344590726960506</x:v>
      </x:c>
      <x:c r="N27" s="16" t="n">
        <x:v>0</x:v>
      </x:c>
      <x:c r="O27" s="16" t="n">
        <x:v>0</x:v>
      </x:c>
      <x:c r="P27" s="16" t="n">
        <x:v>-1.8889524899828276</x:v>
      </x:c>
      <x:c r="Q27" s="16" t="n">
        <x:v>2.117916428162564</x:v>
      </x:c>
      <x:c r="R27" s="16" t="n">
        <x:v>0.11448196908986835</x:v>
      </x:c>
      <x:c r="S27" s="16" t="n">
        <x:v>0</x:v>
      </x:c>
      <x:c r="T27" s="16" t="n">
        <x:v>0</x:v>
      </x:c>
      <x:c r="U27" s="16" t="n">
        <x:v>0</x:v>
      </x:c>
    </x:row>
    <x:row r="28" ht="23" customHeight="1">
      <x:c r="A28" s="17" t="str">
        <x:v>c</x:v>
      </x:c>
      <x:c r="B28" s="17" t="str">
        <x:v>NCG</x:v>
      </x:c>
      <x:c r="C28" s="13" t="n">
        <x:v>1747</x:v>
      </x:c>
      <x:c r="D28" s="11" t="n">
        <x:v>57</x:v>
      </x:c>
      <x:c r="E28" s="14" t="n">
        <x:f>D28/C28</x:f>
        <x:v>0.03262736119061248</x:v>
      </x:c>
      <x:c r="F28" s="11" t="n">
        <x:v>57</x:v>
      </x:c>
      <x:c r="G28" s="11" t="n">
        <x:v>0</x:v>
      </x:c>
      <x:c r="H28" s="11" t="n">
        <x:v>39</x:v>
      </x:c>
      <x:c r="I28" s="11" t="n">
        <x:v>0</x:v>
      </x:c>
      <x:c r="J28" s="11" t="n">
        <x:v>138</x:v>
      </x:c>
      <x:c r="K28" s="15" t="n">
        <x:v>0.08128219805380653</x:v>
      </x:c>
      <x:c r="L28" s="16" t="n">
        <x:v>0</x:v>
      </x:c>
      <x:c r="M28" s="16" t="n">
        <x:v>-2.289639381797367</x:v>
      </x:c>
      <x:c r="N28" s="16" t="n">
        <x:v>0</x:v>
      </x:c>
      <x:c r="O28" s="16" t="n">
        <x:v>0</x:v>
      </x:c>
      <x:c r="P28" s="16" t="n">
        <x:v>1.1448196908986834</x:v>
      </x:c>
      <x:c r="Q28" s="16" t="n">
        <x:v>1.0303377218088152</x:v>
      </x:c>
      <x:c r="R28" s="16" t="n">
        <x:v>0.11448196908986835</x:v>
      </x:c>
      <x:c r="S28" s="16" t="n">
        <x:v>0</x:v>
      </x:c>
      <x:c r="T28" s="16" t="n">
        <x:v>0</x:v>
      </x:c>
      <x:c r="U28" s="16" t="n">
        <x:v>0</x:v>
      </x:c>
    </x:row>
    <x:row r="29" ht="23" customHeight="1">
      <x:c r="A29" s="17" t="str">
        <x:v>d</x:v>
      </x:c>
      <x:c r="B29" s="17" t="str">
        <x:v>N</x:v>
      </x:c>
      <x:c r="C29" s="13" t="n">
        <x:v>1167</x:v>
      </x:c>
      <x:c r="D29" s="11" t="n">
        <x:v>12</x:v>
      </x:c>
      <x:c r="E29" s="14" t="n">
        <x:f>D29/C29</x:f>
        <x:v>0.010282776349614395</x:v>
      </x:c>
      <x:c r="F29" s="11" t="n">
        <x:v>12</x:v>
      </x:c>
      <x:c r="G29" s="11" t="n">
        <x:v>0</x:v>
      </x:c>
      <x:c r="H29" s="11" t="n">
        <x:v>12</x:v>
      </x:c>
      <x:c r="I29" s="11" t="n">
        <x:v>0</x:v>
      </x:c>
      <x:c r="J29" s="11" t="n">
        <x:v>12</x:v>
      </x:c>
      <x:c r="K29" s="15" t="n">
        <x:v>0.011139674378748929</x:v>
      </x:c>
      <x:c r="L29" s="16" t="n">
        <x:v>0</x:v>
      </x:c>
      <x:c r="M29" s="16" t="n">
        <x:v>0</x:v>
      </x:c>
      <x:c r="N29" s="16" t="n">
        <x:v>0</x:v>
      </x:c>
      <x:c r="O29" s="16" t="n">
        <x:v>0</x:v>
      </x:c>
      <x:c r="P29" s="16" t="n">
        <x:v>-1.0282776349614395</x:v>
      </x:c>
      <x:c r="Q29" s="16" t="n">
        <x:v>0.9425878320479862</x:v>
      </x:c>
      <x:c r="R29" s="16" t="n">
        <x:v>0.0856898029134533</x:v>
      </x:c>
      <x:c r="S29" s="16" t="n">
        <x:v>0</x:v>
      </x:c>
      <x:c r="T29" s="16" t="n">
        <x:v>0</x:v>
      </x:c>
      <x:c r="U29" s="16" t="n">
        <x:v>0</x:v>
      </x:c>
    </x:row>
    <x:row r="30" ht="23" customHeight="1">
      <x:c r="A30" s="17" t="str">
        <x:v>d</x:v>
      </x:c>
      <x:c r="B30" s="17" t="str">
        <x:v>C</x:v>
      </x:c>
      <x:c r="C30" s="13" t="n">
        <x:v>1167</x:v>
      </x:c>
      <x:c r="D30" s="11" t="n">
        <x:v>0</x:v>
      </x:c>
      <x:c r="E30" s="14" t="n">
        <x:f>D30/C30</x:f>
        <x:v>0</x:v>
      </x:c>
      <x:c r="F30" s="11" t="n">
        <x:v>0</x:v>
      </x:c>
      <x:c r="G30" s="11" t="n">
        <x:v>0</x:v>
      </x:c>
      <x:c r="H30" s="11" t="n">
        <x:v>0</x:v>
      </x:c>
      <x:c r="I30" s="11" t="n">
        <x:v>0</x:v>
      </x:c>
      <x:c r="J30" s="11" t="n">
        <x:v>0</x:v>
      </x:c>
      <x:c r="K30" s="15" t="n">
        <x:v>0</x:v>
      </x:c>
      <x:c r="L30" s="16" t="n">
        <x:v>0</x:v>
      </x:c>
      <x:c r="M30" s="16" t="n">
        <x:v>0</x:v>
      </x:c>
      <x:c r="N30" s="16" t="n">
        <x:v>0</x:v>
      </x:c>
      <x:c r="O30" s="16" t="n">
        <x:v>0</x:v>
      </x:c>
      <x:c r="P30" s="16" t="n">
        <x:v>0</x:v>
      </x:c>
      <x:c r="Q30" s="16" t="n">
        <x:v>0</x:v>
      </x:c>
      <x:c r="R30" s="16" t="n">
        <x:v>0</x:v>
      </x:c>
      <x:c r="S30" s="16" t="n">
        <x:v>0</x:v>
      </x:c>
      <x:c r="T30" s="16" t="n">
        <x:v>0</x:v>
      </x:c>
      <x:c r="U30" s="16" t="n">
        <x:v>0</x:v>
      </x:c>
    </x:row>
    <x:row r="31" ht="23" customHeight="1">
      <x:c r="A31" s="17" t="str">
        <x:v>d</x:v>
      </x:c>
      <x:c r="B31" s="17" t="str">
        <x:v>NG</x:v>
      </x:c>
      <x:c r="C31" s="13" t="n">
        <x:v>1167</x:v>
      </x:c>
      <x:c r="D31" s="11" t="n">
        <x:v>12</x:v>
      </x:c>
      <x:c r="E31" s="14" t="n">
        <x:f>D31/C31</x:f>
        <x:v>0.010282776349614395</x:v>
      </x:c>
      <x:c r="F31" s="11" t="n">
        <x:v>12</x:v>
      </x:c>
      <x:c r="G31" s="11" t="n">
        <x:v>0</x:v>
      </x:c>
      <x:c r="H31" s="11" t="n">
        <x:v>12</x:v>
      </x:c>
      <x:c r="I31" s="11" t="n">
        <x:v>0</x:v>
      </x:c>
      <x:c r="J31" s="11" t="n">
        <x:v>69</x:v>
      </x:c>
      <x:c r="K31" s="15" t="n">
        <x:v>0.011139674378748929</x:v>
      </x:c>
      <x:c r="L31" s="16" t="n">
        <x:v>0</x:v>
      </x:c>
      <x:c r="M31" s="16" t="n">
        <x:v>0</x:v>
      </x:c>
      <x:c r="N31" s="16" t="n">
        <x:v>0</x:v>
      </x:c>
      <x:c r="O31" s="16" t="n">
        <x:v>0</x:v>
      </x:c>
      <x:c r="P31" s="16" t="n">
        <x:v>-1.0282776349614395</x:v>
      </x:c>
      <x:c r="Q31" s="16" t="n">
        <x:v>0.9425878320479862</x:v>
      </x:c>
      <x:c r="R31" s="16" t="n">
        <x:v>0.0856898029134533</x:v>
      </x:c>
      <x:c r="S31" s="16" t="n">
        <x:v>0</x:v>
      </x:c>
      <x:c r="T31" s="16" t="n">
        <x:v>0</x:v>
      </x:c>
      <x:c r="U31" s="16" t="n">
        <x:v>0</x:v>
      </x:c>
    </x:row>
    <x:row r="32" ht="23" customHeight="1">
      <x:c r="A32" s="17" t="str">
        <x:v>d</x:v>
      </x:c>
      <x:c r="B32" s="17" t="str">
        <x:v>CG</x:v>
      </x:c>
      <x:c r="C32" s="13" t="n">
        <x:v>1167</x:v>
      </x:c>
      <x:c r="D32" s="11" t="n">
        <x:v>8</x:v>
      </x:c>
      <x:c r="E32" s="14" t="n">
        <x:f>D32/C32</x:f>
        <x:v>0.006855184233076264</x:v>
      </x:c>
      <x:c r="F32" s="11" t="n">
        <x:v>8</x:v>
      </x:c>
      <x:c r="G32" s="11" t="n">
        <x:v>0</x:v>
      </x:c>
      <x:c r="H32" s="11" t="n">
        <x:v>29</x:v>
      </x:c>
      <x:c r="I32" s="11" t="n">
        <x:v>29</x:v>
      </x:c>
      <x:c r="J32" s="11" t="n">
        <x:v>86</x:v>
      </x:c>
      <x:c r="K32" s="15" t="n">
        <x:v>0.02056555269922879</x:v>
      </x:c>
      <x:c r="L32" s="16" t="n">
        <x:v>0</x:v>
      </x:c>
      <x:c r="M32" s="16" t="n">
        <x:v>-0.6855184233076264</x:v>
      </x:c>
      <x:c r="N32" s="16" t="n">
        <x:v>0</x:v>
      </x:c>
      <x:c r="O32" s="16" t="n">
        <x:v>0</x:v>
      </x:c>
      <x:c r="P32" s="16" t="n">
        <x:v>0.6855184233076264</x:v>
      </x:c>
      <x:c r="Q32" s="16" t="n">
        <x:v>0</x:v>
      </x:c>
      <x:c r="R32" s="16" t="n">
        <x:v>0</x:v>
      </x:c>
      <x:c r="S32" s="16" t="n">
        <x:v>0</x:v>
      </x:c>
      <x:c r="T32" s="16" t="n">
        <x:v>0</x:v>
      </x:c>
      <x:c r="U32" s="16" t="n">
        <x:v>0</x:v>
      </x:c>
    </x:row>
    <x:row r="33" ht="23" customHeight="1">
      <x:c r="A33" s="17" t="str">
        <x:v>d</x:v>
      </x:c>
      <x:c r="B33" s="17" t="str">
        <x:v>NC</x:v>
      </x:c>
      <x:c r="C33" s="13" t="n">
        <x:v>1167</x:v>
      </x:c>
      <x:c r="D33" s="11" t="n">
        <x:v>6</x:v>
      </x:c>
      <x:c r="E33" s="14" t="n">
        <x:f>D33/C33</x:f>
        <x:v>0.005141388174807198</x:v>
      </x:c>
      <x:c r="F33" s="11" t="n">
        <x:v>6</x:v>
      </x:c>
      <x:c r="G33" s="11" t="n">
        <x:v>0</x:v>
      </x:c>
      <x:c r="H33" s="11" t="n">
        <x:v>6</x:v>
      </x:c>
      <x:c r="I33" s="11" t="n">
        <x:v>0</x:v>
      </x:c>
      <x:c r="J33" s="11" t="n">
        <x:v>6</x:v>
      </x:c>
      <x:c r="K33" s="15" t="n">
        <x:v>0.005998286203941731</x:v>
      </x:c>
      <x:c r="L33" s="16" t="n">
        <x:v>0</x:v>
      </x:c>
      <x:c r="M33" s="16" t="n">
        <x:v>0</x:v>
      </x:c>
      <x:c r="N33" s="16" t="n">
        <x:v>0</x:v>
      </x:c>
      <x:c r="O33" s="16" t="n">
        <x:v>0</x:v>
      </x:c>
      <x:c r="P33" s="16" t="n">
        <x:v>-0.5141388174807198</x:v>
      </x:c>
      <x:c r="Q33" s="16" t="n">
        <x:v>0.4284490145672665</x:v>
      </x:c>
      <x:c r="R33" s="16" t="n">
        <x:v>0.0856898029134533</x:v>
      </x:c>
      <x:c r="S33" s="16" t="n">
        <x:v>0</x:v>
      </x:c>
      <x:c r="T33" s="16" t="n">
        <x:v>0</x:v>
      </x:c>
      <x:c r="U33" s="16" t="n">
        <x:v>0</x:v>
      </x:c>
    </x:row>
    <x:row r="34" ht="23" customHeight="1">
      <x:c r="A34" s="17" t="str">
        <x:v>d</x:v>
      </x:c>
      <x:c r="B34" s="17" t="str">
        <x:v>NCG</x:v>
      </x:c>
      <x:c r="C34" s="13" t="n">
        <x:v>1167</x:v>
      </x:c>
      <x:c r="D34" s="11" t="n">
        <x:v>14</x:v>
      </x:c>
      <x:c r="E34" s="14" t="n">
        <x:f>D34/C34</x:f>
        <x:v>0.011996572407883462</x:v>
      </x:c>
      <x:c r="F34" s="11" t="n">
        <x:v>14</x:v>
      </x:c>
      <x:c r="G34" s="11" t="n">
        <x:v>0</x:v>
      </x:c>
      <x:c r="H34" s="11" t="n">
        <x:v>32</x:v>
      </x:c>
      <x:c r="I34" s="11" t="n">
        <x:v>26</x:v>
      </x:c>
      <x:c r="J34" s="11" t="n">
        <x:v>89</x:v>
      </x:c>
      <x:c r="K34" s="15" t="n">
        <x:v>0.026563838903170524</x:v>
      </x:c>
      <x:c r="L34" s="16" t="n">
        <x:v>0</x:v>
      </x:c>
      <x:c r="M34" s="16" t="n">
        <x:v>-0.6855184233076264</x:v>
      </x:c>
      <x:c r="N34" s="16" t="n">
        <x:v>0</x:v>
      </x:c>
      <x:c r="O34" s="16" t="n">
        <x:v>0</x:v>
      </x:c>
      <x:c r="P34" s="16" t="n">
        <x:v>0.1713796058269066</x:v>
      </x:c>
      <x:c r="Q34" s="16" t="n">
        <x:v>0.4284490145672665</x:v>
      </x:c>
      <x:c r="R34" s="16" t="n">
        <x:v>0.0856898029134533</x:v>
      </x:c>
      <x:c r="S34" s="16" t="n">
        <x:v>0</x:v>
      </x:c>
      <x:c r="T34" s="16" t="n">
        <x:v>0</x:v>
      </x:c>
      <x:c r="U34" s="16" t="n">
        <x:v>0</x:v>
      </x:c>
    </x:row>
    <x:row r="35" ht="23" customHeight="1">
      <x:c r="A35" s="17" t="str">
        <x:v>e</x:v>
      </x:c>
      <x:c r="B35" s="17" t="str">
        <x:v>N</x:v>
      </x:c>
      <x:c r="C35" s="13" t="n">
        <x:v>3347</x:v>
      </x:c>
      <x:c r="D35" s="11" t="n">
        <x:v>13</x:v>
      </x:c>
      <x:c r="E35" s="14" t="n">
        <x:f>D35/C35</x:f>
        <x:v>0.003884075291305647</x:v>
      </x:c>
      <x:c r="F35" s="11" t="n">
        <x:v>13</x:v>
      </x:c>
      <x:c r="G35" s="11" t="n">
        <x:v>0</x:v>
      </x:c>
      <x:c r="H35" s="11" t="n">
        <x:v>13</x:v>
      </x:c>
      <x:c r="I35" s="11" t="n">
        <x:v>0</x:v>
      </x:c>
      <x:c r="J35" s="11" t="n">
        <x:v>13</x:v>
      </x:c>
      <x:c r="K35" s="15" t="n">
        <x:v>0.003884075291305647</x:v>
      </x:c>
      <x:c r="L35" s="16" t="n">
        <x:v>0</x:v>
      </x:c>
      <x:c r="M35" s="16" t="n">
        <x:v>0</x:v>
      </x:c>
      <x:c r="N35" s="16" t="n">
        <x:v>0</x:v>
      </x:c>
      <x:c r="O35" s="16" t="n">
        <x:v>0</x:v>
      </x:c>
      <x:c r="P35" s="16" t="n">
        <x:v>-0.3884075291305647</x:v>
      </x:c>
      <x:c r="Q35" s="16" t="n">
        <x:v>0.3884075291305647</x:v>
      </x:c>
      <x:c r="R35" s="16" t="n">
        <x:v>0</x:v>
      </x:c>
      <x:c r="S35" s="16" t="n">
        <x:v>0</x:v>
      </x:c>
      <x:c r="T35" s="16" t="n">
        <x:v>0</x:v>
      </x:c>
      <x:c r="U35" s="16" t="n">
        <x:v>0</x:v>
      </x:c>
    </x:row>
    <x:row r="36" ht="23" customHeight="1">
      <x:c r="A36" s="17" t="str">
        <x:v>e</x:v>
      </x:c>
      <x:c r="B36" s="17" t="str">
        <x:v>C</x:v>
      </x:c>
      <x:c r="C36" s="13" t="n">
        <x:v>3347</x:v>
      </x:c>
      <x:c r="D36" s="11" t="n">
        <x:v>1</x:v>
      </x:c>
      <x:c r="E36" s="14" t="n">
        <x:f>D36/C36</x:f>
        <x:v>0.00029877502240812666</x:v>
      </x:c>
      <x:c r="F36" s="11" t="n">
        <x:v>1</x:v>
      </x:c>
      <x:c r="G36" s="11" t="n">
        <x:v>0</x:v>
      </x:c>
      <x:c r="H36" s="11" t="n">
        <x:v>1</x:v>
      </x:c>
      <x:c r="I36" s="11" t="n">
        <x:v>0</x:v>
      </x:c>
      <x:c r="J36" s="11" t="n">
        <x:v>1</x:v>
      </x:c>
      <x:c r="K36" s="15" t="n">
        <x:v>0.0011951000896325067</x:v>
      </x:c>
      <x:c r="L36" s="16" t="n">
        <x:v>0</x:v>
      </x:c>
      <x:c r="M36" s="16" t="n">
        <x:v>-0.02987750224081267</x:v>
      </x:c>
      <x:c r="N36" s="16" t="n">
        <x:v>0</x:v>
      </x:c>
      <x:c r="O36" s="16" t="n">
        <x:v>0</x:v>
      </x:c>
      <x:c r="P36" s="16" t="n">
        <x:v>0</x:v>
      </x:c>
      <x:c r="Q36" s="16" t="n">
        <x:v>0.02987750224081267</x:v>
      </x:c>
      <x:c r="R36" s="16" t="n">
        <x:v>0</x:v>
      </x:c>
      <x:c r="S36" s="16" t="n">
        <x:v>0</x:v>
      </x:c>
      <x:c r="T36" s="16" t="n">
        <x:v>0</x:v>
      </x:c>
      <x:c r="U36" s="16" t="n">
        <x:v>0</x:v>
      </x:c>
    </x:row>
    <x:row r="37" ht="23" customHeight="1">
      <x:c r="A37" s="17" t="str">
        <x:v>e</x:v>
      </x:c>
      <x:c r="B37" s="17" t="str">
        <x:v>NG</x:v>
      </x:c>
      <x:c r="C37" s="13" t="n">
        <x:v>3347</x:v>
      </x:c>
      <x:c r="D37" s="11" t="n">
        <x:v>77</x:v>
      </x:c>
      <x:c r="E37" s="14" t="n">
        <x:f>D37/C37</x:f>
        <x:v>0.023005676725425753</x:v>
      </x:c>
      <x:c r="F37" s="11" t="n">
        <x:v>77</x:v>
      </x:c>
      <x:c r="G37" s="11" t="n">
        <x:v>0</x:v>
      </x:c>
      <x:c r="H37" s="11" t="n">
        <x:v>13</x:v>
      </x:c>
      <x:c r="I37" s="11" t="n">
        <x:v>0</x:v>
      </x:c>
      <x:c r="J37" s="11" t="n">
        <x:v>259</x:v>
      </x:c>
      <x:c r="K37" s="15" t="n">
        <x:v>0.0672243800418285</x:v>
      </x:c>
      <x:c r="L37" s="16" t="n">
        <x:v>0</x:v>
      </x:c>
      <x:c r="M37" s="16" t="n">
        <x:v>-2.2109351658201373</x:v>
      </x:c>
      <x:c r="N37" s="16" t="n">
        <x:v>0</x:v>
      </x:c>
      <x:c r="O37" s="16" t="n">
        <x:v>0</x:v>
      </x:c>
      <x:c r="P37" s="16" t="n">
        <x:v>2.1213026590976996</x:v>
      </x:c>
      <x:c r="Q37" s="16" t="n">
        <x:v>0.089632506722438</x:v>
      </x:c>
      <x:c r="R37" s="16" t="n">
        <x:v>0</x:v>
      </x:c>
      <x:c r="S37" s="16" t="n">
        <x:v>0</x:v>
      </x:c>
      <x:c r="T37" s="16" t="n">
        <x:v>0</x:v>
      </x:c>
      <x:c r="U37" s="16" t="n">
        <x:v>0</x:v>
      </x:c>
    </x:row>
    <x:row r="38" ht="23" customHeight="1">
      <x:c r="A38" s="17" t="str">
        <x:v>e</x:v>
      </x:c>
      <x:c r="B38" s="17" t="str">
        <x:v>CG</x:v>
      </x:c>
      <x:c r="C38" s="13" t="n">
        <x:v>3347</x:v>
      </x:c>
      <x:c r="D38" s="11" t="n">
        <x:v>103</x:v>
      </x:c>
      <x:c r="E38" s="14" t="n">
        <x:f>D38/C38</x:f>
        <x:v>0.030773827308037047</x:v>
      </x:c>
      <x:c r="F38" s="11" t="n">
        <x:v>103</x:v>
      </x:c>
      <x:c r="G38" s="11" t="n">
        <x:v>0</x:v>
      </x:c>
      <x:c r="H38" s="11" t="n">
        <x:v>1</x:v>
      </x:c>
      <x:c r="I38" s="11" t="n">
        <x:v>0</x:v>
      </x:c>
      <x:c r="J38" s="11" t="n">
        <x:v>247</x:v>
      </x:c>
      <x:c r="K38" s="15" t="n">
        <x:v>0.09262025694651928</x:v>
      </x:c>
      <x:c r="L38" s="16" t="n">
        <x:v>0</x:v>
      </x:c>
      <x:c r="M38" s="16" t="n">
        <x:v>-3.0773827308037047</x:v>
      </x:c>
      <x:c r="N38" s="16" t="n">
        <x:v>0</x:v>
      </x:c>
      <x:c r="O38" s="16" t="n">
        <x:v>0</x:v>
      </x:c>
      <x:c r="P38" s="16" t="n">
        <x:v>3.0475052285628923</x:v>
      </x:c>
      <x:c r="Q38" s="16" t="n">
        <x:v>0.02987750224081267</x:v>
      </x:c>
      <x:c r="R38" s="16" t="n">
        <x:v>0</x:v>
      </x:c>
      <x:c r="S38" s="16" t="n">
        <x:v>0</x:v>
      </x:c>
      <x:c r="T38" s="16" t="n">
        <x:v>0</x:v>
      </x:c>
      <x:c r="U38" s="16" t="n">
        <x:v>0</x:v>
      </x:c>
    </x:row>
    <x:row r="39" ht="23" customHeight="1">
      <x:c r="A39" s="17" t="str">
        <x:v>e</x:v>
      </x:c>
      <x:c r="B39" s="17" t="str">
        <x:v>NC</x:v>
      </x:c>
      <x:c r="C39" s="13" t="n">
        <x:v>3347</x:v>
      </x:c>
      <x:c r="D39" s="11" t="n">
        <x:v>11</x:v>
      </x:c>
      <x:c r="E39" s="14" t="n">
        <x:f>D39/C39</x:f>
        <x:v>0.0032865252464893933</x:v>
      </x:c>
      <x:c r="F39" s="11" t="n">
        <x:v>11</x:v>
      </x:c>
      <x:c r="G39" s="11" t="n">
        <x:v>0</x:v>
      </x:c>
      <x:c r="H39" s="11" t="n">
        <x:v>11</x:v>
      </x:c>
      <x:c r="I39" s="11" t="n">
        <x:v>0</x:v>
      </x:c>
      <x:c r="J39" s="11" t="n">
        <x:v>11</x:v>
      </x:c>
      <x:c r="K39" s="15" t="n">
        <x:v>0.004182850313713774</x:v>
      </x:c>
      <x:c r="L39" s="16" t="n">
        <x:v>0</x:v>
      </x:c>
      <x:c r="M39" s="16" t="n">
        <x:v>-0.02987750224081267</x:v>
      </x:c>
      <x:c r="N39" s="16" t="n">
        <x:v>0</x:v>
      </x:c>
      <x:c r="O39" s="16" t="n">
        <x:v>0</x:v>
      </x:c>
      <x:c r="P39" s="16" t="n">
        <x:v>-0.2987750224081267</x:v>
      </x:c>
      <x:c r="Q39" s="16" t="n">
        <x:v>0.32865252464893935</x:v>
      </x:c>
      <x:c r="R39" s="16" t="n">
        <x:v>0</x:v>
      </x:c>
      <x:c r="S39" s="16" t="n">
        <x:v>0</x:v>
      </x:c>
      <x:c r="T39" s="16" t="n">
        <x:v>0</x:v>
      </x:c>
      <x:c r="U39" s="16" t="n">
        <x:v>0</x:v>
      </x:c>
    </x:row>
    <x:row r="40" ht="23" customHeight="1">
      <x:c r="A40" s="17" t="str">
        <x:v>e</x:v>
      </x:c>
      <x:c r="B40" s="17" t="str">
        <x:v>NCG</x:v>
      </x:c>
      <x:c r="C40" s="13" t="n">
        <x:v>3347</x:v>
      </x:c>
      <x:c r="D40" s="11" t="n">
        <x:v>79</x:v>
      </x:c>
      <x:c r="E40" s="14" t="n">
        <x:f>D40/C40</x:f>
        <x:v>0.023603226770242007</x:v>
      </x:c>
      <x:c r="F40" s="11" t="n">
        <x:v>79</x:v>
      </x:c>
      <x:c r="G40" s="11" t="n">
        <x:v>0</x:v>
      </x:c>
      <x:c r="H40" s="11" t="n">
        <x:v>11</x:v>
      </x:c>
      <x:c r="I40" s="11" t="n">
        <x:v>0</x:v>
      </x:c>
      <x:c r="J40" s="11" t="n">
        <x:v>257</x:v>
      </x:c>
      <x:c r="K40" s="15" t="n">
        <x:v>0.07110845533313415</x:v>
      </x:c>
      <x:c r="L40" s="16" t="n">
        <x:v>0</x:v>
      </x:c>
      <x:c r="M40" s="16" t="n">
        <x:v>-2.3603226770242007</x:v>
      </x:c>
      <x:c r="N40" s="16" t="n">
        <x:v>0</x:v>
      </x:c>
      <x:c r="O40" s="16" t="n">
        <x:v>0</x:v>
      </x:c>
      <x:c r="P40" s="16" t="n">
        <x:v>2.3304451747833883</x:v>
      </x:c>
      <x:c r="Q40" s="16" t="n">
        <x:v>0.02987750224081267</x:v>
      </x:c>
      <x:c r="R40" s="16" t="n">
        <x:v>0</x:v>
      </x:c>
      <x:c r="S40" s="16" t="n">
        <x:v>0</x:v>
      </x:c>
      <x:c r="T40" s="16" t="n">
        <x:v>0</x:v>
      </x:c>
      <x:c r="U40" s="16" t="n">
        <x:v>0</x:v>
      </x:c>
    </x:row>
    <x:row r="41" ht="23" customHeight="1">
      <x:c r="A41" s="17" t="str">
        <x:v>f</x:v>
      </x:c>
      <x:c r="B41" s="17" t="str">
        <x:v>N</x:v>
      </x:c>
      <x:c r="C41" s="13" t="n">
        <x:v>1480</x:v>
      </x:c>
      <x:c r="D41" s="11" t="n">
        <x:v>117</x:v>
      </x:c>
      <x:c r="E41" s="14" t="n">
        <x:f>D41/C41</x:f>
        <x:v>0.07905405405405405</x:v>
      </x:c>
      <x:c r="F41" s="11" t="n">
        <x:v>117</x:v>
      </x:c>
      <x:c r="G41" s="11" t="n">
        <x:v>0</x:v>
      </x:c>
      <x:c r="H41" s="11" t="n">
        <x:v>117</x:v>
      </x:c>
      <x:c r="I41" s="11" t="n">
        <x:v>0</x:v>
      </x:c>
      <x:c r="J41" s="11" t="n">
        <x:v>117</x:v>
      </x:c>
      <x:c r="K41" s="15" t="n">
        <x:v>0.2168918918918919</x:v>
      </x:c>
      <x:c r="L41" s="16" t="n">
        <x:v>0</x:v>
      </x:c>
      <x:c r="M41" s="16" t="n">
        <x:v>-4.527027027027027</x:v>
      </x:c>
      <x:c r="N41" s="16" t="n">
        <x:v>0</x:v>
      </x:c>
      <x:c r="O41" s="16" t="n">
        <x:v>0</x:v>
      </x:c>
      <x:c r="P41" s="16" t="n">
        <x:v>-3.3783783783783785</x:v>
      </x:c>
      <x:c r="Q41" s="16" t="n">
        <x:v>7.702702702702703</x:v>
      </x:c>
      <x:c r="R41" s="16" t="n">
        <x:v>0.20270270270270271</x:v>
      </x:c>
      <x:c r="S41" s="16" t="n">
        <x:v>0</x:v>
      </x:c>
      <x:c r="T41" s="16" t="n">
        <x:v>0</x:v>
      </x:c>
      <x:c r="U41" s="16" t="n">
        <x:v>0</x:v>
      </x:c>
    </x:row>
    <x:row r="42" ht="23" customHeight="1">
      <x:c r="A42" s="17" t="str">
        <x:v>f</x:v>
      </x:c>
      <x:c r="B42" s="17" t="str">
        <x:v>C</x:v>
      </x:c>
      <x:c r="C42" s="13" t="n">
        <x:v>1480</x:v>
      </x:c>
      <x:c r="D42" s="11" t="n">
        <x:v>104</x:v>
      </x:c>
      <x:c r="E42" s="14" t="n">
        <x:f>D42/C42</x:f>
        <x:v>0.07027027027027027</x:v>
      </x:c>
      <x:c r="F42" s="11" t="n">
        <x:v>104</x:v>
      </x:c>
      <x:c r="G42" s="11" t="n">
        <x:v>0</x:v>
      </x:c>
      <x:c r="H42" s="11" t="n">
        <x:v>104</x:v>
      </x:c>
      <x:c r="I42" s="11" t="n">
        <x:v>0</x:v>
      </x:c>
      <x:c r="J42" s="11" t="n">
        <x:v>104</x:v>
      </x:c>
      <x:c r="K42" s="15" t="n">
        <x:v>0.2810810810810811</x:v>
      </x:c>
      <x:c r="L42" s="16" t="n">
        <x:v>0</x:v>
      </x:c>
      <x:c r="M42" s="16" t="n">
        <x:v>-7.027027027027027</x:v>
      </x:c>
      <x:c r="N42" s="16" t="n">
        <x:v>0</x:v>
      </x:c>
      <x:c r="O42" s="16" t="n">
        <x:v>0</x:v>
      </x:c>
      <x:c r="P42" s="16" t="n">
        <x:v>0</x:v>
      </x:c>
      <x:c r="Q42" s="16" t="n">
        <x:v>7.027027027027027</x:v>
      </x:c>
      <x:c r="R42" s="16" t="n">
        <x:v>0</x:v>
      </x:c>
      <x:c r="S42" s="16" t="n">
        <x:v>0</x:v>
      </x:c>
      <x:c r="T42" s="16" t="n">
        <x:v>0</x:v>
      </x:c>
      <x:c r="U42" s="16" t="n">
        <x:v>0</x:v>
      </x:c>
    </x:row>
    <x:row r="43" ht="23" customHeight="1">
      <x:c r="A43" s="17" t="str">
        <x:v>f</x:v>
      </x:c>
      <x:c r="B43" s="17" t="str">
        <x:v>NG</x:v>
      </x:c>
      <x:c r="C43" s="13" t="n">
        <x:v>1480</x:v>
      </x:c>
      <x:c r="D43" s="11" t="n">
        <x:v>103</x:v>
      </x:c>
      <x:c r="E43" s="14" t="n">
        <x:f>D43/C43</x:f>
        <x:v>0.06959459459459459</x:v>
      </x:c>
      <x:c r="F43" s="11" t="n">
        <x:v>103</x:v>
      </x:c>
      <x:c r="G43" s="11" t="n">
        <x:v>0</x:v>
      </x:c>
      <x:c r="H43" s="11" t="n">
        <x:v>117</x:v>
      </x:c>
      <x:c r="I43" s="11" t="n">
        <x:v>0</x:v>
      </x:c>
      <x:c r="J43" s="11" t="n">
        <x:v>267</x:v>
      </x:c>
      <x:c r="K43" s="15" t="n">
        <x:v>0.25</x:v>
      </x:c>
      <x:c r="L43" s="16" t="n">
        <x:v>0</x:v>
      </x:c>
      <x:c r="M43" s="16" t="n">
        <x:v>-6.756756756756757</x:v>
      </x:c>
      <x:c r="N43" s="16" t="n">
        <x:v>0</x:v>
      </x:c>
      <x:c r="O43" s="16" t="n">
        <x:v>0</x:v>
      </x:c>
      <x:c r="P43" s="16" t="n">
        <x:v>2.22972972972973</x:v>
      </x:c>
      <x:c r="Q43" s="16" t="n">
        <x:v>4.324324324324325</x:v>
      </x:c>
      <x:c r="R43" s="16" t="n">
        <x:v>0.20270270270270271</x:v>
      </x:c>
      <x:c r="S43" s="16" t="n">
        <x:v>0</x:v>
      </x:c>
      <x:c r="T43" s="16" t="n">
        <x:v>0</x:v>
      </x:c>
      <x:c r="U43" s="16" t="n">
        <x:v>0</x:v>
      </x:c>
    </x:row>
    <x:row r="44" ht="23" customHeight="1">
      <x:c r="A44" s="17" t="str">
        <x:v>f</x:v>
      </x:c>
      <x:c r="B44" s="17" t="str">
        <x:v>CG</x:v>
      </x:c>
      <x:c r="C44" s="13" t="n">
        <x:v>1480</x:v>
      </x:c>
      <x:c r="D44" s="11" t="n">
        <x:v>160</x:v>
      </x:c>
      <x:c r="E44" s="14" t="n">
        <x:f>D44/C44</x:f>
        <x:v>0.10810810810810811</x:v>
      </x:c>
      <x:c r="F44" s="11" t="n">
        <x:v>160</x:v>
      </x:c>
      <x:c r="G44" s="11" t="n">
        <x:v>0</x:v>
      </x:c>
      <x:c r="H44" s="11" t="n">
        <x:v>116</x:v>
      </x:c>
      <x:c r="I44" s="11" t="n">
        <x:v>12</x:v>
      </x:c>
      <x:c r="J44" s="11" t="n">
        <x:v>267</x:v>
      </x:c>
      <x:c r="K44" s="15" t="n">
        <x:v>0.3831081081081081</x:v>
      </x:c>
      <x:c r="L44" s="16" t="n">
        <x:v>0</x:v>
      </x:c>
      <x:c r="M44" s="16" t="n">
        <x:v>-10.81081081081081</x:v>
      </x:c>
      <x:c r="N44" s="16" t="n">
        <x:v>0</x:v>
      </x:c>
      <x:c r="O44" s="16" t="n">
        <x:v>0</x:v>
      </x:c>
      <x:c r="P44" s="16" t="n">
        <x:v>4.9324324324324325</x:v>
      </x:c>
      <x:c r="Q44" s="16" t="n">
        <x:v>5.878378378378378</x:v>
      </x:c>
      <x:c r="R44" s="16" t="n">
        <x:v>0</x:v>
      </x:c>
      <x:c r="S44" s="16" t="n">
        <x:v>0</x:v>
      </x:c>
      <x:c r="T44" s="16" t="n">
        <x:v>0</x:v>
      </x:c>
      <x:c r="U44" s="16" t="n">
        <x:v>0</x:v>
      </x:c>
    </x:row>
    <x:row r="45" ht="23" customHeight="1">
      <x:c r="A45" s="17" t="str">
        <x:v>f</x:v>
      </x:c>
      <x:c r="B45" s="17" t="str">
        <x:v>NC</x:v>
      </x:c>
      <x:c r="C45" s="13" t="n">
        <x:v>1480</x:v>
      </x:c>
      <x:c r="D45" s="11" t="n">
        <x:v>120</x:v>
      </x:c>
      <x:c r="E45" s="14" t="n">
        <x:f>D45/C45</x:f>
        <x:v>0.08108108108108109</x:v>
      </x:c>
      <x:c r="F45" s="11" t="n">
        <x:v>120</x:v>
      </x:c>
      <x:c r="G45" s="11" t="n">
        <x:v>0</x:v>
      </x:c>
      <x:c r="H45" s="11" t="n">
        <x:v>120</x:v>
      </x:c>
      <x:c r="I45" s="11" t="n">
        <x:v>0</x:v>
      </x:c>
      <x:c r="J45" s="11" t="n">
        <x:v>120</x:v>
      </x:c>
      <x:c r="K45" s="15" t="n">
        <x:v>0.22635135135135134</x:v>
      </x:c>
      <x:c r="L45" s="16" t="n">
        <x:v>0</x:v>
      </x:c>
      <x:c r="M45" s="16" t="n">
        <x:v>-4.797297297297297</x:v>
      </x:c>
      <x:c r="N45" s="16" t="n">
        <x:v>0</x:v>
      </x:c>
      <x:c r="O45" s="16" t="n">
        <x:v>0</x:v>
      </x:c>
      <x:c r="P45" s="16" t="n">
        <x:v>-3.310810810810811</x:v>
      </x:c>
      <x:c r="Q45" s="16" t="n">
        <x:v>7.972972972972973</x:v>
      </x:c>
      <x:c r="R45" s="16" t="n">
        <x:v>0.13513513513513514</x:v>
      </x:c>
      <x:c r="S45" s="16" t="n">
        <x:v>0</x:v>
      </x:c>
      <x:c r="T45" s="16" t="n">
        <x:v>0</x:v>
      </x:c>
      <x:c r="U45" s="16" t="n">
        <x:v>0</x:v>
      </x:c>
    </x:row>
    <x:row r="46" ht="23" customHeight="1">
      <x:c r="A46" s="17" t="str">
        <x:v>f</x:v>
      </x:c>
      <x:c r="B46" s="17" t="str">
        <x:v>NCG</x:v>
      </x:c>
      <x:c r="C46" s="13" t="n">
        <x:v>1480</x:v>
      </x:c>
      <x:c r="D46" s="11" t="n">
        <x:v>118</x:v>
      </x:c>
      <x:c r="E46" s="14" t="n">
        <x:f>D46/C46</x:f>
        <x:v>0.07972972972972973</x:v>
      </x:c>
      <x:c r="F46" s="11" t="n">
        <x:v>118</x:v>
      </x:c>
      <x:c r="G46" s="11" t="n">
        <x:v>0</x:v>
      </x:c>
      <x:c r="H46" s="11" t="n">
        <x:v>132</x:v>
      </x:c>
      <x:c r="I46" s="11" t="n">
        <x:v>12</x:v>
      </x:c>
      <x:c r="J46" s="11" t="n">
        <x:v>282</x:v>
      </x:c>
      <x:c r="K46" s="15" t="n">
        <x:v>0.275</x:v>
      </x:c>
      <x:c r="L46" s="16" t="n">
        <x:v>0</x:v>
      </x:c>
      <x:c r="M46" s="16" t="n">
        <x:v>-7.837837837837838</x:v>
      </x:c>
      <x:c r="N46" s="16" t="n">
        <x:v>0</x:v>
      </x:c>
      <x:c r="O46" s="16" t="n">
        <x:v>0</x:v>
      </x:c>
      <x:c r="P46" s="16" t="n">
        <x:v>3.9864864864864864</x:v>
      </x:c>
      <x:c r="Q46" s="16" t="n">
        <x:v>3.7162162162162162</x:v>
      </x:c>
      <x:c r="R46" s="16" t="n">
        <x:v>0.13513513513513514</x:v>
      </x:c>
      <x:c r="S46" s="16" t="n">
        <x:v>0</x:v>
      </x:c>
      <x:c r="T46" s="16" t="n">
        <x:v>0</x:v>
      </x:c>
      <x:c r="U46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499e76ee7e4c7e"/>
  </x:tableParts>
</x:worksheet>
</file>

<file path=xl/worksheets/sheet5.xml><?xml version="1.0" encoding="utf-8"?>
<x:worksheet xmlns:x="http://schemas.openxmlformats.org/spreadsheetml/2006/main">
  <x:sheetPr>
    <x:tabColor rgb="FF23395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6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8" hidden="0" customWidth="1"/>
    <x:col min="16" max="16" width="18" hidden="0" customWidth="1"/>
    <x:col min="17" max="17" width="2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2" customHeight="1">
      <x:c r="A2" s="3" t="str">
        <x:v>置信度、冲突和名称弱参考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4" t="str">
        <x:v>N未可靠：p&lt;0.70或间隔&lt;0.08。C无对象输出：粗类别或拒识。名称一致不是准确率。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4" customHeight="1">
      <x:c r="A4" s="8" t="str">
        <x:v>模型</x:v>
      </x:c>
      <x:c r="B4" s="8" t="str">
        <x:v>组合</x:v>
      </x:c>
      <x:c r="C4" s="8" t="str">
        <x:v>树辅助</x:v>
      </x:c>
      <x:c r="D4" s="8" t="str">
        <x:v>节点数</x:v>
      </x:c>
      <x:c r="E4" s="8" t="str">
        <x:v>N未可靠数</x:v>
      </x:c>
      <x:c r="F4" s="8" t="str">
        <x:v>C无对象数</x:v>
      </x:c>
      <x:c r="G4" s="8" t="str">
        <x:v>无对象级输出</x:v>
      </x:c>
      <x:c r="H4" s="8" t="str">
        <x:v>无对象比例</x:v>
      </x:c>
      <x:c r="I4" s="8" t="str">
        <x:v>功能未知数</x:v>
      </x:c>
      <x:c r="J4" s="8" t="str">
        <x:v>未知功能比例</x:v>
      </x:c>
      <x:c r="K4" s="8" t="str">
        <x:v>N/C冲突数</x:v>
      </x:c>
      <x:c r="L4" s="8" t="str">
        <x:v>形状冲突数</x:v>
      </x:c>
      <x:c r="M4" s="8" t="str">
        <x:v>需复核数</x:v>
      </x:c>
      <x:c r="N4" s="8" t="str">
        <x:v>名称参考数</x:v>
      </x:c>
      <x:c r="O4" s="8" t="str">
        <x:v>参考中覆盖数</x:v>
      </x:c>
      <x:c r="P4" s="8" t="str">
        <x:v>参考中一致数</x:v>
      </x:c>
      <x:c r="Q4" s="8" t="str">
        <x:v>全部参考中一致</x:v>
      </x:c>
    </x:row>
    <x:row r="5" ht="23" customHeight="1">
      <x:c r="A5" s="17" t="str">
        <x:v>ALL</x:v>
      </x:c>
      <x:c r="B5" s="17" t="str">
        <x:v>N</x:v>
      </x:c>
      <x:c r="C5" s="17" t="str">
        <x:v>H0</x:v>
      </x:c>
      <x:c r="D5" s="11" t="n">
        <x:v>11000</x:v>
      </x:c>
      <x:c r="E5" s="11" t="n">
        <x:v>6624</x:v>
      </x:c>
      <x:c r="F5" s="11" t="str">
        <x:v>n.a.</x:v>
      </x:c>
      <x:c r="G5" s="11" t="n">
        <x:v>6624</x:v>
      </x:c>
      <x:c r="H5" s="14" t="n">
        <x:f>G5/D5</x:f>
        <x:v>0.6021818181818182</x:v>
      </x:c>
      <x:c r="I5" s="11" t="n">
        <x:v>8022</x:v>
      </x:c>
      <x:c r="J5" s="14" t="n">
        <x:f>I5/D5</x:f>
        <x:v>0.7292727272727273</x:v>
      </x:c>
      <x:c r="K5" s="11" t="n">
        <x:v>0</x:v>
      </x:c>
      <x:c r="L5" s="11" t="n">
        <x:v>0</x:v>
      </x:c>
      <x:c r="M5" s="11" t="n">
        <x:v>6624</x:v>
      </x:c>
      <x:c r="N5" s="11" t="n">
        <x:v>655</x:v>
      </x:c>
      <x:c r="O5" s="11" t="n">
        <x:v>349</x:v>
      </x:c>
      <x:c r="P5" s="11" t="n">
        <x:v>232</x:v>
      </x:c>
      <x:c r="Q5" s="14" t="n">
        <x:f>IF(N5=0,"n.a.",P5/N5)</x:f>
        <x:v>0.35419847328244275</x:v>
      </x:c>
    </x:row>
    <x:row r="6" ht="23" customHeight="1">
      <x:c r="A6" s="17" t="str">
        <x:v>ALL</x:v>
      </x:c>
      <x:c r="B6" s="17" t="str">
        <x:v>N</x:v>
      </x:c>
      <x:c r="C6" s="17" t="str">
        <x:v>H1</x:v>
      </x:c>
      <x:c r="D6" s="11" t="n">
        <x:v>11000</x:v>
      </x:c>
      <x:c r="E6" s="11" t="n">
        <x:v>6624</x:v>
      </x:c>
      <x:c r="F6" s="11" t="str">
        <x:v>n.a.</x:v>
      </x:c>
      <x:c r="G6" s="11" t="n">
        <x:v>6624</x:v>
      </x:c>
      <x:c r="H6" s="14" t="n">
        <x:f>G6/D6</x:f>
        <x:v>0.6021818181818182</x:v>
      </x:c>
      <x:c r="I6" s="11" t="n">
        <x:v>8022</x:v>
      </x:c>
      <x:c r="J6" s="14" t="n">
        <x:f>I6/D6</x:f>
        <x:v>0.7292727272727273</x:v>
      </x:c>
      <x:c r="K6" s="11" t="n">
        <x:v>0</x:v>
      </x:c>
      <x:c r="L6" s="11" t="n">
        <x:v>0</x:v>
      </x:c>
      <x:c r="M6" s="11" t="n">
        <x:v>7259</x:v>
      </x:c>
      <x:c r="N6" s="11" t="n">
        <x:v>655</x:v>
      </x:c>
      <x:c r="O6" s="11" t="n">
        <x:v>349</x:v>
      </x:c>
      <x:c r="P6" s="11" t="n">
        <x:v>232</x:v>
      </x:c>
      <x:c r="Q6" s="14" t="n">
        <x:f>IF(N6=0,"n.a.",P6/N6)</x:f>
        <x:v>0.35419847328244275</x:v>
      </x:c>
    </x:row>
    <x:row r="7" ht="23" customHeight="1">
      <x:c r="A7" s="17" t="str">
        <x:v>ALL</x:v>
      </x:c>
      <x:c r="B7" s="17" t="str">
        <x:v>C</x:v>
      </x:c>
      <x:c r="C7" s="17" t="str">
        <x:v>H0</x:v>
      </x:c>
      <x:c r="D7" s="11" t="n">
        <x:v>11000</x:v>
      </x:c>
      <x:c r="E7" s="11" t="str">
        <x:v>n.a.</x:v>
      </x:c>
      <x:c r="F7" s="11" t="n">
        <x:v>7442</x:v>
      </x:c>
      <x:c r="G7" s="11" t="n">
        <x:v>7442</x:v>
      </x:c>
      <x:c r="H7" s="14" t="n">
        <x:f>G7/D7</x:f>
        <x:v>0.6765454545454546</x:v>
      </x:c>
      <x:c r="I7" s="11" t="n">
        <x:v>7466</x:v>
      </x:c>
      <x:c r="J7" s="14" t="n">
        <x:f>I7/D7</x:f>
        <x:v>0.6787272727272727</x:v>
      </x:c>
      <x:c r="K7" s="11" t="n">
        <x:v>0</x:v>
      </x:c>
      <x:c r="L7" s="11" t="n">
        <x:v>0</x:v>
      </x:c>
      <x:c r="M7" s="11" t="n">
        <x:v>6256</x:v>
      </x:c>
      <x:c r="N7" s="11" t="n">
        <x:v>655</x:v>
      </x:c>
      <x:c r="O7" s="11" t="n">
        <x:v>178</x:v>
      </x:c>
      <x:c r="P7" s="11" t="n">
        <x:v>98</x:v>
      </x:c>
      <x:c r="Q7" s="14" t="n">
        <x:f>IF(N7=0,"n.a.",P7/N7)</x:f>
        <x:v>0.14961832061068703</x:v>
      </x:c>
    </x:row>
    <x:row r="8" ht="23" customHeight="1">
      <x:c r="A8" s="17" t="str">
        <x:v>ALL</x:v>
      </x:c>
      <x:c r="B8" s="17" t="str">
        <x:v>C</x:v>
      </x:c>
      <x:c r="C8" s="17" t="str">
        <x:v>H1</x:v>
      </x:c>
      <x:c r="D8" s="11" t="n">
        <x:v>11000</x:v>
      </x:c>
      <x:c r="E8" s="11" t="str">
        <x:v>n.a.</x:v>
      </x:c>
      <x:c r="F8" s="11" t="n">
        <x:v>7442</x:v>
      </x:c>
      <x:c r="G8" s="11" t="n">
        <x:v>7442</x:v>
      </x:c>
      <x:c r="H8" s="14" t="n">
        <x:f>G8/D8</x:f>
        <x:v>0.6765454545454546</x:v>
      </x:c>
      <x:c r="I8" s="11" t="n">
        <x:v>7466</x:v>
      </x:c>
      <x:c r="J8" s="14" t="n">
        <x:f>I8/D8</x:f>
        <x:v>0.6787272727272727</x:v>
      </x:c>
      <x:c r="K8" s="11" t="n">
        <x:v>0</x:v>
      </x:c>
      <x:c r="L8" s="11" t="n">
        <x:v>0</x:v>
      </x:c>
      <x:c r="M8" s="11" t="n">
        <x:v>6396</x:v>
      </x:c>
      <x:c r="N8" s="11" t="n">
        <x:v>655</x:v>
      </x:c>
      <x:c r="O8" s="11" t="n">
        <x:v>178</x:v>
      </x:c>
      <x:c r="P8" s="11" t="n">
        <x:v>98</x:v>
      </x:c>
      <x:c r="Q8" s="14" t="n">
        <x:f>IF(N8=0,"n.a.",P8/N8)</x:f>
        <x:v>0.14961832061068703</x:v>
      </x:c>
    </x:row>
    <x:row r="9" ht="23" customHeight="1">
      <x:c r="A9" s="17" t="str">
        <x:v>ALL</x:v>
      </x:c>
      <x:c r="B9" s="17" t="str">
        <x:v>NG</x:v>
      </x:c>
      <x:c r="C9" s="17" t="str">
        <x:v>H0</x:v>
      </x:c>
      <x:c r="D9" s="11" t="n">
        <x:v>11000</x:v>
      </x:c>
      <x:c r="E9" s="11" t="n">
        <x:v>6624</x:v>
      </x:c>
      <x:c r="F9" s="11" t="str">
        <x:v>n.a.</x:v>
      </x:c>
      <x:c r="G9" s="11" t="n">
        <x:v>6624</x:v>
      </x:c>
      <x:c r="H9" s="14" t="n">
        <x:f>G9/D9</x:f>
        <x:v>0.6021818181818182</x:v>
      </x:c>
      <x:c r="I9" s="11" t="n">
        <x:v>8022</x:v>
      </x:c>
      <x:c r="J9" s="14" t="n">
        <x:f>I9/D9</x:f>
        <x:v>0.7292727272727273</x:v>
      </x:c>
      <x:c r="K9" s="11" t="n">
        <x:v>0</x:v>
      </x:c>
      <x:c r="L9" s="11" t="n">
        <x:v>0</x:v>
      </x:c>
      <x:c r="M9" s="11" t="n">
        <x:v>6624</x:v>
      </x:c>
      <x:c r="N9" s="11" t="n">
        <x:v>655</x:v>
      </x:c>
      <x:c r="O9" s="11" t="n">
        <x:v>349</x:v>
      </x:c>
      <x:c r="P9" s="11" t="n">
        <x:v>232</x:v>
      </x:c>
      <x:c r="Q9" s="14" t="n">
        <x:f>IF(N9=0,"n.a.",P9/N9)</x:f>
        <x:v>0.35419847328244275</x:v>
      </x:c>
    </x:row>
    <x:row r="10" ht="23" customHeight="1">
      <x:c r="A10" s="17" t="str">
        <x:v>ALL</x:v>
      </x:c>
      <x:c r="B10" s="17" t="str">
        <x:v>NG</x:v>
      </x:c>
      <x:c r="C10" s="17" t="str">
        <x:v>H1</x:v>
      </x:c>
      <x:c r="D10" s="11" t="n">
        <x:v>11000</x:v>
      </x:c>
      <x:c r="E10" s="11" t="n">
        <x:v>6624</x:v>
      </x:c>
      <x:c r="F10" s="11" t="str">
        <x:v>n.a.</x:v>
      </x:c>
      <x:c r="G10" s="11" t="n">
        <x:v>6624</x:v>
      </x:c>
      <x:c r="H10" s="14" t="n">
        <x:f>G10/D10</x:f>
        <x:v>0.6021818181818182</x:v>
      </x:c>
      <x:c r="I10" s="11" t="n">
        <x:v>8022</x:v>
      </x:c>
      <x:c r="J10" s="14" t="n">
        <x:f>I10/D10</x:f>
        <x:v>0.7292727272727273</x:v>
      </x:c>
      <x:c r="K10" s="11" t="n">
        <x:v>0</x:v>
      </x:c>
      <x:c r="L10" s="11" t="n">
        <x:v>0</x:v>
      </x:c>
      <x:c r="M10" s="11" t="n">
        <x:v>7259</x:v>
      </x:c>
      <x:c r="N10" s="11" t="n">
        <x:v>655</x:v>
      </x:c>
      <x:c r="O10" s="11" t="n">
        <x:v>349</x:v>
      </x:c>
      <x:c r="P10" s="11" t="n">
        <x:v>232</x:v>
      </x:c>
      <x:c r="Q10" s="14" t="n">
        <x:f>IF(N10=0,"n.a.",P10/N10)</x:f>
        <x:v>0.35419847328244275</x:v>
      </x:c>
    </x:row>
    <x:row r="11" ht="23" customHeight="1">
      <x:c r="A11" s="17" t="str">
        <x:v>ALL</x:v>
      </x:c>
      <x:c r="B11" s="17" t="str">
        <x:v>CG</x:v>
      </x:c>
      <x:c r="C11" s="17" t="str">
        <x:v>H0</x:v>
      </x:c>
      <x:c r="D11" s="11" t="n">
        <x:v>11000</x:v>
      </x:c>
      <x:c r="E11" s="11" t="str">
        <x:v>n.a.</x:v>
      </x:c>
      <x:c r="F11" s="11" t="n">
        <x:v>7442</x:v>
      </x:c>
      <x:c r="G11" s="11" t="n">
        <x:v>7445</x:v>
      </x:c>
      <x:c r="H11" s="14" t="n">
        <x:f>G11/D11</x:f>
        <x:v>0.6768181818181818</x:v>
      </x:c>
      <x:c r="I11" s="11" t="n">
        <x:v>7469</x:v>
      </x:c>
      <x:c r="J11" s="14" t="n">
        <x:f>I11/D11</x:f>
        <x:v>0.679</x:v>
      </x:c>
      <x:c r="K11" s="11" t="n">
        <x:v>0</x:v>
      </x:c>
      <x:c r="L11" s="11" t="n">
        <x:v>3</x:v>
      </x:c>
      <x:c r="M11" s="11" t="n">
        <x:v>6259</x:v>
      </x:c>
      <x:c r="N11" s="11" t="n">
        <x:v>655</x:v>
      </x:c>
      <x:c r="O11" s="11" t="n">
        <x:v>178</x:v>
      </x:c>
      <x:c r="P11" s="11" t="n">
        <x:v>98</x:v>
      </x:c>
      <x:c r="Q11" s="14" t="n">
        <x:f>IF(N11=0,"n.a.",P11/N11)</x:f>
        <x:v>0.14961832061068703</x:v>
      </x:c>
    </x:row>
    <x:row r="12" ht="23" customHeight="1">
      <x:c r="A12" s="17" t="str">
        <x:v>ALL</x:v>
      </x:c>
      <x:c r="B12" s="17" t="str">
        <x:v>CG</x:v>
      </x:c>
      <x:c r="C12" s="17" t="str">
        <x:v>H1</x:v>
      </x:c>
      <x:c r="D12" s="11" t="n">
        <x:v>11000</x:v>
      </x:c>
      <x:c r="E12" s="11" t="str">
        <x:v>n.a.</x:v>
      </x:c>
      <x:c r="F12" s="11" t="n">
        <x:v>7442</x:v>
      </x:c>
      <x:c r="G12" s="11" t="n">
        <x:v>7488</x:v>
      </x:c>
      <x:c r="H12" s="14" t="n">
        <x:f>G12/D12</x:f>
        <x:v>0.6807272727272727</x:v>
      </x:c>
      <x:c r="I12" s="11" t="n">
        <x:v>7512</x:v>
      </x:c>
      <x:c r="J12" s="14" t="n">
        <x:f>I12/D12</x:f>
        <x:v>0.6829090909090909</x:v>
      </x:c>
      <x:c r="K12" s="11" t="n">
        <x:v>0</x:v>
      </x:c>
      <x:c r="L12" s="11" t="n">
        <x:v>46</x:v>
      </x:c>
      <x:c r="M12" s="11" t="n">
        <x:v>6442</x:v>
      </x:c>
      <x:c r="N12" s="11" t="n">
        <x:v>655</x:v>
      </x:c>
      <x:c r="O12" s="11" t="n">
        <x:v>174</x:v>
      </x:c>
      <x:c r="P12" s="11" t="n">
        <x:v>98</x:v>
      </x:c>
      <x:c r="Q12" s="14" t="n">
        <x:f>IF(N12=0,"n.a.",P12/N12)</x:f>
        <x:v>0.14961832061068703</x:v>
      </x:c>
    </x:row>
    <x:row r="13" ht="23" customHeight="1">
      <x:c r="A13" s="17" t="str">
        <x:v>ALL</x:v>
      </x:c>
      <x:c r="B13" s="17" t="str">
        <x:v>NC</x:v>
      </x:c>
      <x:c r="C13" s="17" t="str">
        <x:v>H0</x:v>
      </x:c>
      <x:c r="D13" s="11" t="n">
        <x:v>11000</x:v>
      </x:c>
      <x:c r="E13" s="11" t="n">
        <x:v>6624</x:v>
      </x:c>
      <x:c r="F13" s="11" t="n">
        <x:v>7442</x:v>
      </x:c>
      <x:c r="G13" s="11" t="n">
        <x:v>5389</x:v>
      </x:c>
      <x:c r="H13" s="14" t="n">
        <x:f>G13/D13</x:f>
        <x:v>0.4899090909090909</x:v>
      </x:c>
      <x:c r="I13" s="11" t="n">
        <x:v>6699</x:v>
      </x:c>
      <x:c r="J13" s="14" t="n">
        <x:f>I13/D13</x:f>
        <x:v>0.609</x:v>
      </x:c>
      <x:c r="K13" s="11" t="n">
        <x:v>1529</x:v>
      </x:c>
      <x:c r="L13" s="11" t="n">
        <x:v>0</x:v>
      </x:c>
      <x:c r="M13" s="11" t="n">
        <x:v>5156</x:v>
      </x:c>
      <x:c r="N13" s="11" t="n">
        <x:v>655</x:v>
      </x:c>
      <x:c r="O13" s="11" t="n">
        <x:v>238</x:v>
      </x:c>
      <x:c r="P13" s="11" t="n">
        <x:v>171</x:v>
      </x:c>
      <x:c r="Q13" s="14" t="n">
        <x:f>IF(N13=0,"n.a.",P13/N13)</x:f>
        <x:v>0.26106870229007634</x:v>
      </x:c>
    </x:row>
    <x:row r="14" ht="23" customHeight="1">
      <x:c r="A14" s="17" t="str">
        <x:v>ALL</x:v>
      </x:c>
      <x:c r="B14" s="17" t="str">
        <x:v>NC</x:v>
      </x:c>
      <x:c r="C14" s="17" t="str">
        <x:v>H1</x:v>
      </x:c>
      <x:c r="D14" s="11" t="n">
        <x:v>11000</x:v>
      </x:c>
      <x:c r="E14" s="11" t="n">
        <x:v>6624</x:v>
      </x:c>
      <x:c r="F14" s="11" t="n">
        <x:v>7442</x:v>
      </x:c>
      <x:c r="G14" s="11" t="n">
        <x:v>5389</x:v>
      </x:c>
      <x:c r="H14" s="14" t="n">
        <x:f>G14/D14</x:f>
        <x:v>0.4899090909090909</x:v>
      </x:c>
      <x:c r="I14" s="11" t="n">
        <x:v>6699</x:v>
      </x:c>
      <x:c r="J14" s="14" t="n">
        <x:f>I14/D14</x:f>
        <x:v>0.609</x:v>
      </x:c>
      <x:c r="K14" s="11" t="n">
        <x:v>1529</x:v>
      </x:c>
      <x:c r="L14" s="11" t="n">
        <x:v>0</x:v>
      </x:c>
      <x:c r="M14" s="11" t="n">
        <x:v>5591</x:v>
      </x:c>
      <x:c r="N14" s="11" t="n">
        <x:v>655</x:v>
      </x:c>
      <x:c r="O14" s="11" t="n">
        <x:v>238</x:v>
      </x:c>
      <x:c r="P14" s="11" t="n">
        <x:v>171</x:v>
      </x:c>
      <x:c r="Q14" s="14" t="n">
        <x:f>IF(N14=0,"n.a.",P14/N14)</x:f>
        <x:v>0.26106870229007634</x:v>
      </x:c>
    </x:row>
    <x:row r="15" ht="23" customHeight="1">
      <x:c r="A15" s="17" t="str">
        <x:v>ALL</x:v>
      </x:c>
      <x:c r="B15" s="17" t="str">
        <x:v>NCG</x:v>
      </x:c>
      <x:c r="C15" s="17" t="str">
        <x:v>H0</x:v>
      </x:c>
      <x:c r="D15" s="11" t="n">
        <x:v>11000</x:v>
      </x:c>
      <x:c r="E15" s="11" t="n">
        <x:v>6624</x:v>
      </x:c>
      <x:c r="F15" s="11" t="n">
        <x:v>7442</x:v>
      </x:c>
      <x:c r="G15" s="11" t="n">
        <x:v>5392</x:v>
      </x:c>
      <x:c r="H15" s="14" t="n">
        <x:f>G15/D15</x:f>
        <x:v>0.49018181818181816</x:v>
      </x:c>
      <x:c r="I15" s="11" t="n">
        <x:v>6702</x:v>
      </x:c>
      <x:c r="J15" s="14" t="n">
        <x:f>I15/D15</x:f>
        <x:v>0.6092727272727273</x:v>
      </x:c>
      <x:c r="K15" s="11" t="n">
        <x:v>1529</x:v>
      </x:c>
      <x:c r="L15" s="11" t="n">
        <x:v>3</x:v>
      </x:c>
      <x:c r="M15" s="11" t="n">
        <x:v>5158</x:v>
      </x:c>
      <x:c r="N15" s="11" t="n">
        <x:v>655</x:v>
      </x:c>
      <x:c r="O15" s="11" t="n">
        <x:v>238</x:v>
      </x:c>
      <x:c r="P15" s="11" t="n">
        <x:v>171</x:v>
      </x:c>
      <x:c r="Q15" s="14" t="n">
        <x:f>IF(N15=0,"n.a.",P15/N15)</x:f>
        <x:v>0.26106870229007634</x:v>
      </x:c>
    </x:row>
    <x:row r="16" ht="23" customHeight="1">
      <x:c r="A16" s="17" t="str">
        <x:v>ALL</x:v>
      </x:c>
      <x:c r="B16" s="17" t="str">
        <x:v>NCG</x:v>
      </x:c>
      <x:c r="C16" s="17" t="str">
        <x:v>H1</x:v>
      </x:c>
      <x:c r="D16" s="11" t="n">
        <x:v>11000</x:v>
      </x:c>
      <x:c r="E16" s="11" t="n">
        <x:v>6624</x:v>
      </x:c>
      <x:c r="F16" s="11" t="n">
        <x:v>7442</x:v>
      </x:c>
      <x:c r="G16" s="11" t="n">
        <x:v>5431</x:v>
      </x:c>
      <x:c r="H16" s="14" t="n">
        <x:f>G16/D16</x:f>
        <x:v>0.49372727272727274</x:v>
      </x:c>
      <x:c r="I16" s="11" t="n">
        <x:v>6741</x:v>
      </x:c>
      <x:c r="J16" s="14" t="n">
        <x:f>I16/D16</x:f>
        <x:v>0.6128181818181818</x:v>
      </x:c>
      <x:c r="K16" s="11" t="n">
        <x:v>1529</x:v>
      </x:c>
      <x:c r="L16" s="11" t="n">
        <x:v>42</x:v>
      </x:c>
      <x:c r="M16" s="11" t="n">
        <x:v>5628</x:v>
      </x:c>
      <x:c r="N16" s="11" t="n">
        <x:v>655</x:v>
      </x:c>
      <x:c r="O16" s="11" t="n">
        <x:v>234</x:v>
      </x:c>
      <x:c r="P16" s="11" t="n">
        <x:v>171</x:v>
      </x:c>
      <x:c r="Q16" s="14" t="n">
        <x:f>IF(N16=0,"n.a.",P16/N16)</x:f>
        <x:v>0.26106870229007634</x:v>
      </x:c>
    </x:row>
    <x:row r="17" ht="23" customHeight="1">
      <x:c r="A17" s="17" t="str">
        <x:v>a</x:v>
      </x:c>
      <x:c r="B17" s="17" t="str">
        <x:v>N</x:v>
      </x:c>
      <x:c r="C17" s="17" t="str">
        <x:v>H0</x:v>
      </x:c>
      <x:c r="D17" s="11" t="n">
        <x:v>1778</x:v>
      </x:c>
      <x:c r="E17" s="11" t="n">
        <x:v>1136</x:v>
      </x:c>
      <x:c r="F17" s="11" t="str">
        <x:v>n.a.</x:v>
      </x:c>
      <x:c r="G17" s="11" t="n">
        <x:v>1136</x:v>
      </x:c>
      <x:c r="H17" s="14" t="n">
        <x:f>G17/D17</x:f>
        <x:v>0.6389201349831272</x:v>
      </x:c>
      <x:c r="I17" s="11" t="n">
        <x:v>1345</x:v>
      </x:c>
      <x:c r="J17" s="14" t="n">
        <x:f>I17/D17</x:f>
        <x:v>0.7564679415073116</x:v>
      </x:c>
      <x:c r="K17" s="11" t="n">
        <x:v>0</x:v>
      </x:c>
      <x:c r="L17" s="11" t="n">
        <x:v>0</x:v>
      </x:c>
      <x:c r="M17" s="11" t="n">
        <x:v>1136</x:v>
      </x:c>
      <x:c r="N17" s="11" t="n">
        <x:v>0</x:v>
      </x:c>
      <x:c r="O17" s="11" t="n">
        <x:v>0</x:v>
      </x:c>
      <x:c r="P17" s="11" t="n">
        <x:v>0</x:v>
      </x:c>
      <x:c r="Q17" s="14" t="str">
        <x:f>IF(N17=0,"n.a.",P17/N17)</x:f>
        <x:v>n.a.</x:v>
      </x:c>
    </x:row>
    <x:row r="18" ht="23" customHeight="1">
      <x:c r="A18" s="17" t="str">
        <x:v>a</x:v>
      </x:c>
      <x:c r="B18" s="17" t="str">
        <x:v>N</x:v>
      </x:c>
      <x:c r="C18" s="17" t="str">
        <x:v>H1</x:v>
      </x:c>
      <x:c r="D18" s="11" t="n">
        <x:v>1778</x:v>
      </x:c>
      <x:c r="E18" s="11" t="n">
        <x:v>1136</x:v>
      </x:c>
      <x:c r="F18" s="11" t="str">
        <x:v>n.a.</x:v>
      </x:c>
      <x:c r="G18" s="11" t="n">
        <x:v>1136</x:v>
      </x:c>
      <x:c r="H18" s="14" t="n">
        <x:f>G18/D18</x:f>
        <x:v>0.6389201349831272</x:v>
      </x:c>
      <x:c r="I18" s="11" t="n">
        <x:v>1345</x:v>
      </x:c>
      <x:c r="J18" s="14" t="n">
        <x:f>I18/D18</x:f>
        <x:v>0.7564679415073116</x:v>
      </x:c>
      <x:c r="K18" s="11" t="n">
        <x:v>0</x:v>
      </x:c>
      <x:c r="L18" s="11" t="n">
        <x:v>0</x:v>
      </x:c>
      <x:c r="M18" s="11" t="n">
        <x:v>1136</x:v>
      </x:c>
      <x:c r="N18" s="11" t="n">
        <x:v>0</x:v>
      </x:c>
      <x:c r="O18" s="11" t="n">
        <x:v>0</x:v>
      </x:c>
      <x:c r="P18" s="11" t="n">
        <x:v>0</x:v>
      </x:c>
      <x:c r="Q18" s="14" t="str">
        <x:f>IF(N18=0,"n.a.",P18/N18)</x:f>
        <x:v>n.a.</x:v>
      </x:c>
    </x:row>
    <x:row r="19" ht="23" customHeight="1">
      <x:c r="A19" s="17" t="str">
        <x:v>a</x:v>
      </x:c>
      <x:c r="B19" s="17" t="str">
        <x:v>C</x:v>
      </x:c>
      <x:c r="C19" s="17" t="str">
        <x:v>H0</x:v>
      </x:c>
      <x:c r="D19" s="11" t="n">
        <x:v>1778</x:v>
      </x:c>
      <x:c r="E19" s="11" t="str">
        <x:v>n.a.</x:v>
      </x:c>
      <x:c r="F19" s="11" t="n">
        <x:v>1074</x:v>
      </x:c>
      <x:c r="G19" s="11" t="n">
        <x:v>1074</x:v>
      </x:c>
      <x:c r="H19" s="14" t="n">
        <x:f>G19/D19</x:f>
        <x:v>0.6040494938132733</x:v>
      </x:c>
      <x:c r="I19" s="11" t="n">
        <x:v>1074</x:v>
      </x:c>
      <x:c r="J19" s="14" t="n">
        <x:f>I19/D19</x:f>
        <x:v>0.6040494938132733</x:v>
      </x:c>
      <x:c r="K19" s="11" t="n">
        <x:v>0</x:v>
      </x:c>
      <x:c r="L19" s="11" t="n">
        <x:v>0</x:v>
      </x:c>
      <x:c r="M19" s="11" t="n">
        <x:v>869</x:v>
      </x:c>
      <x:c r="N19" s="11" t="n">
        <x:v>0</x:v>
      </x:c>
      <x:c r="O19" s="11" t="n">
        <x:v>0</x:v>
      </x:c>
      <x:c r="P19" s="11" t="n">
        <x:v>0</x:v>
      </x:c>
      <x:c r="Q19" s="14" t="str">
        <x:f>IF(N19=0,"n.a.",P19/N19)</x:f>
        <x:v>n.a.</x:v>
      </x:c>
    </x:row>
    <x:row r="20" ht="23" customHeight="1">
      <x:c r="A20" s="17" t="str">
        <x:v>a</x:v>
      </x:c>
      <x:c r="B20" s="17" t="str">
        <x:v>C</x:v>
      </x:c>
      <x:c r="C20" s="17" t="str">
        <x:v>H1</x:v>
      </x:c>
      <x:c r="D20" s="11" t="n">
        <x:v>1778</x:v>
      </x:c>
      <x:c r="E20" s="11" t="str">
        <x:v>n.a.</x:v>
      </x:c>
      <x:c r="F20" s="11" t="n">
        <x:v>1074</x:v>
      </x:c>
      <x:c r="G20" s="11" t="n">
        <x:v>1074</x:v>
      </x:c>
      <x:c r="H20" s="14" t="n">
        <x:f>G20/D20</x:f>
        <x:v>0.6040494938132733</x:v>
      </x:c>
      <x:c r="I20" s="11" t="n">
        <x:v>1074</x:v>
      </x:c>
      <x:c r="J20" s="14" t="n">
        <x:f>I20/D20</x:f>
        <x:v>0.6040494938132733</x:v>
      </x:c>
      <x:c r="K20" s="11" t="n">
        <x:v>0</x:v>
      </x:c>
      <x:c r="L20" s="11" t="n">
        <x:v>0</x:v>
      </x:c>
      <x:c r="M20" s="11" t="n">
        <x:v>869</x:v>
      </x:c>
      <x:c r="N20" s="11" t="n">
        <x:v>0</x:v>
      </x:c>
      <x:c r="O20" s="11" t="n">
        <x:v>0</x:v>
      </x:c>
      <x:c r="P20" s="11" t="n">
        <x:v>0</x:v>
      </x:c>
      <x:c r="Q20" s="14" t="str">
        <x:f>IF(N20=0,"n.a.",P20/N20)</x:f>
        <x:v>n.a.</x:v>
      </x:c>
    </x:row>
    <x:row r="21" ht="23" customHeight="1">
      <x:c r="A21" s="17" t="str">
        <x:v>a</x:v>
      </x:c>
      <x:c r="B21" s="17" t="str">
        <x:v>NG</x:v>
      </x:c>
      <x:c r="C21" s="17" t="str">
        <x:v>H0</x:v>
      </x:c>
      <x:c r="D21" s="11" t="n">
        <x:v>1778</x:v>
      </x:c>
      <x:c r="E21" s="11" t="n">
        <x:v>1136</x:v>
      </x:c>
      <x:c r="F21" s="11" t="str">
        <x:v>n.a.</x:v>
      </x:c>
      <x:c r="G21" s="11" t="n">
        <x:v>1136</x:v>
      </x:c>
      <x:c r="H21" s="14" t="n">
        <x:f>G21/D21</x:f>
        <x:v>0.6389201349831272</x:v>
      </x:c>
      <x:c r="I21" s="11" t="n">
        <x:v>1345</x:v>
      </x:c>
      <x:c r="J21" s="14" t="n">
        <x:f>I21/D21</x:f>
        <x:v>0.7564679415073116</x:v>
      </x:c>
      <x:c r="K21" s="11" t="n">
        <x:v>0</x:v>
      </x:c>
      <x:c r="L21" s="11" t="n">
        <x:v>0</x:v>
      </x:c>
      <x:c r="M21" s="11" t="n">
        <x:v>1136</x:v>
      </x:c>
      <x:c r="N21" s="11" t="n">
        <x:v>0</x:v>
      </x:c>
      <x:c r="O21" s="11" t="n">
        <x:v>0</x:v>
      </x:c>
      <x:c r="P21" s="11" t="n">
        <x:v>0</x:v>
      </x:c>
      <x:c r="Q21" s="14" t="str">
        <x:f>IF(N21=0,"n.a.",P21/N21)</x:f>
        <x:v>n.a.</x:v>
      </x:c>
    </x:row>
    <x:row r="22" ht="23" customHeight="1">
      <x:c r="A22" s="17" t="str">
        <x:v>a</x:v>
      </x:c>
      <x:c r="B22" s="17" t="str">
        <x:v>NG</x:v>
      </x:c>
      <x:c r="C22" s="17" t="str">
        <x:v>H1</x:v>
      </x:c>
      <x:c r="D22" s="11" t="n">
        <x:v>1778</x:v>
      </x:c>
      <x:c r="E22" s="11" t="n">
        <x:v>1136</x:v>
      </x:c>
      <x:c r="F22" s="11" t="str">
        <x:v>n.a.</x:v>
      </x:c>
      <x:c r="G22" s="11" t="n">
        <x:v>1136</x:v>
      </x:c>
      <x:c r="H22" s="14" t="n">
        <x:f>G22/D22</x:f>
        <x:v>0.6389201349831272</x:v>
      </x:c>
      <x:c r="I22" s="11" t="n">
        <x:v>1345</x:v>
      </x:c>
      <x:c r="J22" s="14" t="n">
        <x:f>I22/D22</x:f>
        <x:v>0.7564679415073116</x:v>
      </x:c>
      <x:c r="K22" s="11" t="n">
        <x:v>0</x:v>
      </x:c>
      <x:c r="L22" s="11" t="n">
        <x:v>0</x:v>
      </x:c>
      <x:c r="M22" s="11" t="n">
        <x:v>1136</x:v>
      </x:c>
      <x:c r="N22" s="11" t="n">
        <x:v>0</x:v>
      </x:c>
      <x:c r="O22" s="11" t="n">
        <x:v>0</x:v>
      </x:c>
      <x:c r="P22" s="11" t="n">
        <x:v>0</x:v>
      </x:c>
      <x:c r="Q22" s="14" t="str">
        <x:f>IF(N22=0,"n.a.",P22/N22)</x:f>
        <x:v>n.a.</x:v>
      </x:c>
    </x:row>
    <x:row r="23" ht="23" customHeight="1">
      <x:c r="A23" s="17" t="str">
        <x:v>a</x:v>
      </x:c>
      <x:c r="B23" s="17" t="str">
        <x:v>CG</x:v>
      </x:c>
      <x:c r="C23" s="17" t="str">
        <x:v>H0</x:v>
      </x:c>
      <x:c r="D23" s="11" t="n">
        <x:v>1778</x:v>
      </x:c>
      <x:c r="E23" s="11" t="str">
        <x:v>n.a.</x:v>
      </x:c>
      <x:c r="F23" s="11" t="n">
        <x:v>1074</x:v>
      </x:c>
      <x:c r="G23" s="11" t="n">
        <x:v>1076</x:v>
      </x:c>
      <x:c r="H23" s="14" t="n">
        <x:f>G23/D23</x:f>
        <x:v>0.6051743532058492</x:v>
      </x:c>
      <x:c r="I23" s="11" t="n">
        <x:v>1076</x:v>
      </x:c>
      <x:c r="J23" s="14" t="n">
        <x:f>I23/D23</x:f>
        <x:v>0.6051743532058492</x:v>
      </x:c>
      <x:c r="K23" s="11" t="n">
        <x:v>0</x:v>
      </x:c>
      <x:c r="L23" s="11" t="n">
        <x:v>2</x:v>
      </x:c>
      <x:c r="M23" s="11" t="n">
        <x:v>871</x:v>
      </x:c>
      <x:c r="N23" s="11" t="n">
        <x:v>0</x:v>
      </x:c>
      <x:c r="O23" s="11" t="n">
        <x:v>0</x:v>
      </x:c>
      <x:c r="P23" s="11" t="n">
        <x:v>0</x:v>
      </x:c>
      <x:c r="Q23" s="14" t="str">
        <x:f>IF(N23=0,"n.a.",P23/N23)</x:f>
        <x:v>n.a.</x:v>
      </x:c>
    </x:row>
    <x:row r="24" ht="23" customHeight="1">
      <x:c r="A24" s="17" t="str">
        <x:v>a</x:v>
      </x:c>
      <x:c r="B24" s="17" t="str">
        <x:v>CG</x:v>
      </x:c>
      <x:c r="C24" s="17" t="str">
        <x:v>H1</x:v>
      </x:c>
      <x:c r="D24" s="11" t="n">
        <x:v>1778</x:v>
      </x:c>
      <x:c r="E24" s="11" t="str">
        <x:v>n.a.</x:v>
      </x:c>
      <x:c r="F24" s="11" t="n">
        <x:v>1074</x:v>
      </x:c>
      <x:c r="G24" s="11" t="n">
        <x:v>1076</x:v>
      </x:c>
      <x:c r="H24" s="14" t="n">
        <x:f>G24/D24</x:f>
        <x:v>0.6051743532058492</x:v>
      </x:c>
      <x:c r="I24" s="11" t="n">
        <x:v>1076</x:v>
      </x:c>
      <x:c r="J24" s="14" t="n">
        <x:f>I24/D24</x:f>
        <x:v>0.6051743532058492</x:v>
      </x:c>
      <x:c r="K24" s="11" t="n">
        <x:v>0</x:v>
      </x:c>
      <x:c r="L24" s="11" t="n">
        <x:v>2</x:v>
      </x:c>
      <x:c r="M24" s="11" t="n">
        <x:v>871</x:v>
      </x:c>
      <x:c r="N24" s="11" t="n">
        <x:v>0</x:v>
      </x:c>
      <x:c r="O24" s="11" t="n">
        <x:v>0</x:v>
      </x:c>
      <x:c r="P24" s="11" t="n">
        <x:v>0</x:v>
      </x:c>
      <x:c r="Q24" s="14" t="str">
        <x:f>IF(N24=0,"n.a.",P24/N24)</x:f>
        <x:v>n.a.</x:v>
      </x:c>
    </x:row>
    <x:row r="25" ht="23" customHeight="1">
      <x:c r="A25" s="17" t="str">
        <x:v>a</x:v>
      </x:c>
      <x:c r="B25" s="17" t="str">
        <x:v>NC</x:v>
      </x:c>
      <x:c r="C25" s="17" t="str">
        <x:v>H0</x:v>
      </x:c>
      <x:c r="D25" s="11" t="n">
        <x:v>1778</x:v>
      </x:c>
      <x:c r="E25" s="11" t="n">
        <x:v>1136</x:v>
      </x:c>
      <x:c r="F25" s="11" t="n">
        <x:v>1074</x:v>
      </x:c>
      <x:c r="G25" s="11" t="n">
        <x:v>864</x:v>
      </x:c>
      <x:c r="H25" s="14" t="n">
        <x:f>G25/D25</x:f>
        <x:v>0.4859392575928009</x:v>
      </x:c>
      <x:c r="I25" s="11" t="n">
        <x:v>1052</x:v>
      </x:c>
      <x:c r="J25" s="14" t="n">
        <x:f>I25/D25</x:f>
        <x:v>0.5916760404949382</x:v>
      </x:c>
      <x:c r="K25" s="11" t="n">
        <x:v>343</x:v>
      </x:c>
      <x:c r="L25" s="11" t="n">
        <x:v>0</x:v>
      </x:c>
      <x:c r="M25" s="11" t="n">
        <x:v>875</x:v>
      </x:c>
      <x:c r="N25" s="11" t="n">
        <x:v>0</x:v>
      </x:c>
      <x:c r="O25" s="11" t="n">
        <x:v>0</x:v>
      </x:c>
      <x:c r="P25" s="11" t="n">
        <x:v>0</x:v>
      </x:c>
      <x:c r="Q25" s="14" t="str">
        <x:f>IF(N25=0,"n.a.",P25/N25)</x:f>
        <x:v>n.a.</x:v>
      </x:c>
    </x:row>
    <x:row r="26" ht="23" customHeight="1">
      <x:c r="A26" s="17" t="str">
        <x:v>a</x:v>
      </x:c>
      <x:c r="B26" s="17" t="str">
        <x:v>NC</x:v>
      </x:c>
      <x:c r="C26" s="17" t="str">
        <x:v>H1</x:v>
      </x:c>
      <x:c r="D26" s="11" t="n">
        <x:v>1778</x:v>
      </x:c>
      <x:c r="E26" s="11" t="n">
        <x:v>1136</x:v>
      </x:c>
      <x:c r="F26" s="11" t="n">
        <x:v>1074</x:v>
      </x:c>
      <x:c r="G26" s="11" t="n">
        <x:v>864</x:v>
      </x:c>
      <x:c r="H26" s="14" t="n">
        <x:f>G26/D26</x:f>
        <x:v>0.4859392575928009</x:v>
      </x:c>
      <x:c r="I26" s="11" t="n">
        <x:v>1052</x:v>
      </x:c>
      <x:c r="J26" s="14" t="n">
        <x:f>I26/D26</x:f>
        <x:v>0.5916760404949382</x:v>
      </x:c>
      <x:c r="K26" s="11" t="n">
        <x:v>343</x:v>
      </x:c>
      <x:c r="L26" s="11" t="n">
        <x:v>0</x:v>
      </x:c>
      <x:c r="M26" s="11" t="n">
        <x:v>875</x:v>
      </x:c>
      <x:c r="N26" s="11" t="n">
        <x:v>0</x:v>
      </x:c>
      <x:c r="O26" s="11" t="n">
        <x:v>0</x:v>
      </x:c>
      <x:c r="P26" s="11" t="n">
        <x:v>0</x:v>
      </x:c>
      <x:c r="Q26" s="14" t="str">
        <x:f>IF(N26=0,"n.a.",P26/N26)</x:f>
        <x:v>n.a.</x:v>
      </x:c>
    </x:row>
    <x:row r="27" ht="23" customHeight="1">
      <x:c r="A27" s="17" t="str">
        <x:v>a</x:v>
      </x:c>
      <x:c r="B27" s="17" t="str">
        <x:v>NCG</x:v>
      </x:c>
      <x:c r="C27" s="17" t="str">
        <x:v>H0</x:v>
      </x:c>
      <x:c r="D27" s="11" t="n">
        <x:v>1778</x:v>
      </x:c>
      <x:c r="E27" s="11" t="n">
        <x:v>1136</x:v>
      </x:c>
      <x:c r="F27" s="11" t="n">
        <x:v>1074</x:v>
      </x:c>
      <x:c r="G27" s="11" t="n">
        <x:v>866</x:v>
      </x:c>
      <x:c r="H27" s="14" t="n">
        <x:f>G27/D27</x:f>
        <x:v>0.4870641169853768</x:v>
      </x:c>
      <x:c r="I27" s="11" t="n">
        <x:v>1054</x:v>
      </x:c>
      <x:c r="J27" s="14" t="n">
        <x:f>I27/D27</x:f>
        <x:v>0.592800899887514</x:v>
      </x:c>
      <x:c r="K27" s="11" t="n">
        <x:v>343</x:v>
      </x:c>
      <x:c r="L27" s="11" t="n">
        <x:v>2</x:v>
      </x:c>
      <x:c r="M27" s="11" t="n">
        <x:v>876</x:v>
      </x:c>
      <x:c r="N27" s="11" t="n">
        <x:v>0</x:v>
      </x:c>
      <x:c r="O27" s="11" t="n">
        <x:v>0</x:v>
      </x:c>
      <x:c r="P27" s="11" t="n">
        <x:v>0</x:v>
      </x:c>
      <x:c r="Q27" s="14" t="str">
        <x:f>IF(N27=0,"n.a.",P27/N27)</x:f>
        <x:v>n.a.</x:v>
      </x:c>
    </x:row>
    <x:row r="28" ht="23" customHeight="1">
      <x:c r="A28" s="17" t="str">
        <x:v>a</x:v>
      </x:c>
      <x:c r="B28" s="17" t="str">
        <x:v>NCG</x:v>
      </x:c>
      <x:c r="C28" s="17" t="str">
        <x:v>H1</x:v>
      </x:c>
      <x:c r="D28" s="11" t="n">
        <x:v>1778</x:v>
      </x:c>
      <x:c r="E28" s="11" t="n">
        <x:v>1136</x:v>
      </x:c>
      <x:c r="F28" s="11" t="n">
        <x:v>1074</x:v>
      </x:c>
      <x:c r="G28" s="11" t="n">
        <x:v>866</x:v>
      </x:c>
      <x:c r="H28" s="14" t="n">
        <x:f>G28/D28</x:f>
        <x:v>0.4870641169853768</x:v>
      </x:c>
      <x:c r="I28" s="11" t="n">
        <x:v>1054</x:v>
      </x:c>
      <x:c r="J28" s="14" t="n">
        <x:f>I28/D28</x:f>
        <x:v>0.592800899887514</x:v>
      </x:c>
      <x:c r="K28" s="11" t="n">
        <x:v>343</x:v>
      </x:c>
      <x:c r="L28" s="11" t="n">
        <x:v>2</x:v>
      </x:c>
      <x:c r="M28" s="11" t="n">
        <x:v>876</x:v>
      </x:c>
      <x:c r="N28" s="11" t="n">
        <x:v>0</x:v>
      </x:c>
      <x:c r="O28" s="11" t="n">
        <x:v>0</x:v>
      </x:c>
      <x:c r="P28" s="11" t="n">
        <x:v>0</x:v>
      </x:c>
      <x:c r="Q28" s="14" t="str">
        <x:f>IF(N28=0,"n.a.",P28/N28)</x:f>
        <x:v>n.a.</x:v>
      </x:c>
    </x:row>
    <x:row r="29" ht="23" customHeight="1">
      <x:c r="A29" s="17" t="str">
        <x:v>b</x:v>
      </x:c>
      <x:c r="B29" s="17" t="str">
        <x:v>N</x:v>
      </x:c>
      <x:c r="C29" s="17" t="str">
        <x:v>H0</x:v>
      </x:c>
      <x:c r="D29" s="11" t="n">
        <x:v>1481</x:v>
      </x:c>
      <x:c r="E29" s="11" t="n">
        <x:v>1006</x:v>
      </x:c>
      <x:c r="F29" s="11" t="str">
        <x:v>n.a.</x:v>
      </x:c>
      <x:c r="G29" s="11" t="n">
        <x:v>1006</x:v>
      </x:c>
      <x:c r="H29" s="14" t="n">
        <x:f>G29/D29</x:f>
        <x:v>0.6792707629979743</x:v>
      </x:c>
      <x:c r="I29" s="11" t="n">
        <x:v>1174</x:v>
      </x:c>
      <x:c r="J29" s="14" t="n">
        <x:f>I29/D29</x:f>
        <x:v>0.7927076299797434</x:v>
      </x:c>
      <x:c r="K29" s="11" t="n">
        <x:v>0</x:v>
      </x:c>
      <x:c r="L29" s="11" t="n">
        <x:v>0</x:v>
      </x:c>
      <x:c r="M29" s="11" t="n">
        <x:v>1006</x:v>
      </x:c>
      <x:c r="N29" s="11" t="n">
        <x:v>167</x:v>
      </x:c>
      <x:c r="O29" s="11" t="n">
        <x:v>107</x:v>
      </x:c>
      <x:c r="P29" s="11" t="n">
        <x:v>38</x:v>
      </x:c>
      <x:c r="Q29" s="14" t="n">
        <x:f>IF(N29=0,"n.a.",P29/N29)</x:f>
        <x:v>0.2275449101796407</x:v>
      </x:c>
    </x:row>
    <x:row r="30" ht="23" customHeight="1">
      <x:c r="A30" s="17" t="str">
        <x:v>b</x:v>
      </x:c>
      <x:c r="B30" s="17" t="str">
        <x:v>N</x:v>
      </x:c>
      <x:c r="C30" s="17" t="str">
        <x:v>H1</x:v>
      </x:c>
      <x:c r="D30" s="11" t="n">
        <x:v>1481</x:v>
      </x:c>
      <x:c r="E30" s="11" t="n">
        <x:v>1006</x:v>
      </x:c>
      <x:c r="F30" s="11" t="str">
        <x:v>n.a.</x:v>
      </x:c>
      <x:c r="G30" s="11" t="n">
        <x:v>1006</x:v>
      </x:c>
      <x:c r="H30" s="14" t="n">
        <x:f>G30/D30</x:f>
        <x:v>0.6792707629979743</x:v>
      </x:c>
      <x:c r="I30" s="11" t="n">
        <x:v>1174</x:v>
      </x:c>
      <x:c r="J30" s="14" t="n">
        <x:f>I30/D30</x:f>
        <x:v>0.7927076299797434</x:v>
      </x:c>
      <x:c r="K30" s="11" t="n">
        <x:v>0</x:v>
      </x:c>
      <x:c r="L30" s="11" t="n">
        <x:v>0</x:v>
      </x:c>
      <x:c r="M30" s="11" t="n">
        <x:v>1129</x:v>
      </x:c>
      <x:c r="N30" s="11" t="n">
        <x:v>167</x:v>
      </x:c>
      <x:c r="O30" s="11" t="n">
        <x:v>107</x:v>
      </x:c>
      <x:c r="P30" s="11" t="n">
        <x:v>38</x:v>
      </x:c>
      <x:c r="Q30" s="14" t="n">
        <x:f>IF(N30=0,"n.a.",P30/N30)</x:f>
        <x:v>0.2275449101796407</x:v>
      </x:c>
    </x:row>
    <x:row r="31" ht="23" customHeight="1">
      <x:c r="A31" s="17" t="str">
        <x:v>b</x:v>
      </x:c>
      <x:c r="B31" s="17" t="str">
        <x:v>C</x:v>
      </x:c>
      <x:c r="C31" s="17" t="str">
        <x:v>H0</x:v>
      </x:c>
      <x:c r="D31" s="11" t="n">
        <x:v>1481</x:v>
      </x:c>
      <x:c r="E31" s="11" t="str">
        <x:v>n.a.</x:v>
      </x:c>
      <x:c r="F31" s="11" t="n">
        <x:v>1128</x:v>
      </x:c>
      <x:c r="G31" s="11" t="n">
        <x:v>1128</x:v>
      </x:c>
      <x:c r="H31" s="14" t="n">
        <x:f>G31/D31</x:f>
        <x:v>0.761647535449021</x:v>
      </x:c>
      <x:c r="I31" s="11" t="n">
        <x:v>1128</x:v>
      </x:c>
      <x:c r="J31" s="14" t="n">
        <x:f>I31/D31</x:f>
        <x:v>0.761647535449021</x:v>
      </x:c>
      <x:c r="K31" s="11" t="n">
        <x:v>0</x:v>
      </x:c>
      <x:c r="L31" s="11" t="n">
        <x:v>0</x:v>
      </x:c>
      <x:c r="M31" s="11" t="n">
        <x:v>976</x:v>
      </x:c>
      <x:c r="N31" s="11" t="n">
        <x:v>167</x:v>
      </x:c>
      <x:c r="O31" s="11" t="n">
        <x:v>56</x:v>
      </x:c>
      <x:c r="P31" s="11" t="n">
        <x:v>52</x:v>
      </x:c>
      <x:c r="Q31" s="14" t="n">
        <x:f>IF(N31=0,"n.a.",P31/N31)</x:f>
        <x:v>0.31137724550898205</x:v>
      </x:c>
    </x:row>
    <x:row r="32" ht="23" customHeight="1">
      <x:c r="A32" s="17" t="str">
        <x:v>b</x:v>
      </x:c>
      <x:c r="B32" s="17" t="str">
        <x:v>C</x:v>
      </x:c>
      <x:c r="C32" s="17" t="str">
        <x:v>H1</x:v>
      </x:c>
      <x:c r="D32" s="11" t="n">
        <x:v>1481</x:v>
      </x:c>
      <x:c r="E32" s="11" t="str">
        <x:v>n.a.</x:v>
      </x:c>
      <x:c r="F32" s="11" t="n">
        <x:v>1128</x:v>
      </x:c>
      <x:c r="G32" s="11" t="n">
        <x:v>1128</x:v>
      </x:c>
      <x:c r="H32" s="14" t="n">
        <x:f>G32/D32</x:f>
        <x:v>0.761647535449021</x:v>
      </x:c>
      <x:c r="I32" s="11" t="n">
        <x:v>1128</x:v>
      </x:c>
      <x:c r="J32" s="14" t="n">
        <x:f>I32/D32</x:f>
        <x:v>0.761647535449021</x:v>
      </x:c>
      <x:c r="K32" s="11" t="n">
        <x:v>0</x:v>
      </x:c>
      <x:c r="L32" s="11" t="n">
        <x:v>0</x:v>
      </x:c>
      <x:c r="M32" s="11" t="n">
        <x:v>1006</x:v>
      </x:c>
      <x:c r="N32" s="11" t="n">
        <x:v>167</x:v>
      </x:c>
      <x:c r="O32" s="11" t="n">
        <x:v>56</x:v>
      </x:c>
      <x:c r="P32" s="11" t="n">
        <x:v>52</x:v>
      </x:c>
      <x:c r="Q32" s="14" t="n">
        <x:f>IF(N32=0,"n.a.",P32/N32)</x:f>
        <x:v>0.31137724550898205</x:v>
      </x:c>
    </x:row>
    <x:row r="33" ht="23" customHeight="1">
      <x:c r="A33" s="17" t="str">
        <x:v>b</x:v>
      </x:c>
      <x:c r="B33" s="17" t="str">
        <x:v>NG</x:v>
      </x:c>
      <x:c r="C33" s="17" t="str">
        <x:v>H0</x:v>
      </x:c>
      <x:c r="D33" s="11" t="n">
        <x:v>1481</x:v>
      </x:c>
      <x:c r="E33" s="11" t="n">
        <x:v>1006</x:v>
      </x:c>
      <x:c r="F33" s="11" t="str">
        <x:v>n.a.</x:v>
      </x:c>
      <x:c r="G33" s="11" t="n">
        <x:v>1006</x:v>
      </x:c>
      <x:c r="H33" s="14" t="n">
        <x:f>G33/D33</x:f>
        <x:v>0.6792707629979743</x:v>
      </x:c>
      <x:c r="I33" s="11" t="n">
        <x:v>1174</x:v>
      </x:c>
      <x:c r="J33" s="14" t="n">
        <x:f>I33/D33</x:f>
        <x:v>0.7927076299797434</x:v>
      </x:c>
      <x:c r="K33" s="11" t="n">
        <x:v>0</x:v>
      </x:c>
      <x:c r="L33" s="11" t="n">
        <x:v>0</x:v>
      </x:c>
      <x:c r="M33" s="11" t="n">
        <x:v>1006</x:v>
      </x:c>
      <x:c r="N33" s="11" t="n">
        <x:v>167</x:v>
      </x:c>
      <x:c r="O33" s="11" t="n">
        <x:v>107</x:v>
      </x:c>
      <x:c r="P33" s="11" t="n">
        <x:v>38</x:v>
      </x:c>
      <x:c r="Q33" s="14" t="n">
        <x:f>IF(N33=0,"n.a.",P33/N33)</x:f>
        <x:v>0.2275449101796407</x:v>
      </x:c>
    </x:row>
    <x:row r="34" ht="23" customHeight="1">
      <x:c r="A34" s="17" t="str">
        <x:v>b</x:v>
      </x:c>
      <x:c r="B34" s="17" t="str">
        <x:v>NG</x:v>
      </x:c>
      <x:c r="C34" s="17" t="str">
        <x:v>H1</x:v>
      </x:c>
      <x:c r="D34" s="11" t="n">
        <x:v>1481</x:v>
      </x:c>
      <x:c r="E34" s="11" t="n">
        <x:v>1006</x:v>
      </x:c>
      <x:c r="F34" s="11" t="str">
        <x:v>n.a.</x:v>
      </x:c>
      <x:c r="G34" s="11" t="n">
        <x:v>1006</x:v>
      </x:c>
      <x:c r="H34" s="14" t="n">
        <x:f>G34/D34</x:f>
        <x:v>0.6792707629979743</x:v>
      </x:c>
      <x:c r="I34" s="11" t="n">
        <x:v>1174</x:v>
      </x:c>
      <x:c r="J34" s="14" t="n">
        <x:f>I34/D34</x:f>
        <x:v>0.7927076299797434</x:v>
      </x:c>
      <x:c r="K34" s="11" t="n">
        <x:v>0</x:v>
      </x:c>
      <x:c r="L34" s="11" t="n">
        <x:v>0</x:v>
      </x:c>
      <x:c r="M34" s="11" t="n">
        <x:v>1129</x:v>
      </x:c>
      <x:c r="N34" s="11" t="n">
        <x:v>167</x:v>
      </x:c>
      <x:c r="O34" s="11" t="n">
        <x:v>107</x:v>
      </x:c>
      <x:c r="P34" s="11" t="n">
        <x:v>38</x:v>
      </x:c>
      <x:c r="Q34" s="14" t="n">
        <x:f>IF(N34=0,"n.a.",P34/N34)</x:f>
        <x:v>0.2275449101796407</x:v>
      </x:c>
    </x:row>
    <x:row r="35" ht="23" customHeight="1">
      <x:c r="A35" s="17" t="str">
        <x:v>b</x:v>
      </x:c>
      <x:c r="B35" s="17" t="str">
        <x:v>CG</x:v>
      </x:c>
      <x:c r="C35" s="17" t="str">
        <x:v>H0</x:v>
      </x:c>
      <x:c r="D35" s="11" t="n">
        <x:v>1481</x:v>
      </x:c>
      <x:c r="E35" s="11" t="str">
        <x:v>n.a.</x:v>
      </x:c>
      <x:c r="F35" s="11" t="n">
        <x:v>1128</x:v>
      </x:c>
      <x:c r="G35" s="11" t="n">
        <x:v>1128</x:v>
      </x:c>
      <x:c r="H35" s="14" t="n">
        <x:f>G35/D35</x:f>
        <x:v>0.761647535449021</x:v>
      </x:c>
      <x:c r="I35" s="11" t="n">
        <x:v>1128</x:v>
      </x:c>
      <x:c r="J35" s="14" t="n">
        <x:f>I35/D35</x:f>
        <x:v>0.761647535449021</x:v>
      </x:c>
      <x:c r="K35" s="11" t="n">
        <x:v>0</x:v>
      </x:c>
      <x:c r="L35" s="11" t="n">
        <x:v>0</x:v>
      </x:c>
      <x:c r="M35" s="11" t="n">
        <x:v>976</x:v>
      </x:c>
      <x:c r="N35" s="11" t="n">
        <x:v>167</x:v>
      </x:c>
      <x:c r="O35" s="11" t="n">
        <x:v>56</x:v>
      </x:c>
      <x:c r="P35" s="11" t="n">
        <x:v>52</x:v>
      </x:c>
      <x:c r="Q35" s="14" t="n">
        <x:f>IF(N35=0,"n.a.",P35/N35)</x:f>
        <x:v>0.31137724550898205</x:v>
      </x:c>
    </x:row>
    <x:row r="36" ht="23" customHeight="1">
      <x:c r="A36" s="17" t="str">
        <x:v>b</x:v>
      </x:c>
      <x:c r="B36" s="17" t="str">
        <x:v>CG</x:v>
      </x:c>
      <x:c r="C36" s="17" t="str">
        <x:v>H1</x:v>
      </x:c>
      <x:c r="D36" s="11" t="n">
        <x:v>1481</x:v>
      </x:c>
      <x:c r="E36" s="11" t="str">
        <x:v>n.a.</x:v>
      </x:c>
      <x:c r="F36" s="11" t="n">
        <x:v>1128</x:v>
      </x:c>
      <x:c r="G36" s="11" t="n">
        <x:v>1130</x:v>
      </x:c>
      <x:c r="H36" s="14" t="n">
        <x:f>G36/D36</x:f>
        <x:v>0.7629979743416611</x:v>
      </x:c>
      <x:c r="I36" s="11" t="n">
        <x:v>1130</x:v>
      </x:c>
      <x:c r="J36" s="14" t="n">
        <x:f>I36/D36</x:f>
        <x:v>0.7629979743416611</x:v>
      </x:c>
      <x:c r="K36" s="11" t="n">
        <x:v>0</x:v>
      </x:c>
      <x:c r="L36" s="11" t="n">
        <x:v>2</x:v>
      </x:c>
      <x:c r="M36" s="11" t="n">
        <x:v>1008</x:v>
      </x:c>
      <x:c r="N36" s="11" t="n">
        <x:v>167</x:v>
      </x:c>
      <x:c r="O36" s="11" t="n">
        <x:v>56</x:v>
      </x:c>
      <x:c r="P36" s="11" t="n">
        <x:v>52</x:v>
      </x:c>
      <x:c r="Q36" s="14" t="n">
        <x:f>IF(N36=0,"n.a.",P36/N36)</x:f>
        <x:v>0.31137724550898205</x:v>
      </x:c>
    </x:row>
    <x:row r="37" ht="23" customHeight="1">
      <x:c r="A37" s="17" t="str">
        <x:v>b</x:v>
      </x:c>
      <x:c r="B37" s="17" t="str">
        <x:v>NC</x:v>
      </x:c>
      <x:c r="C37" s="17" t="str">
        <x:v>H0</x:v>
      </x:c>
      <x:c r="D37" s="11" t="n">
        <x:v>1481</x:v>
      </x:c>
      <x:c r="E37" s="11" t="n">
        <x:v>1006</x:v>
      </x:c>
      <x:c r="F37" s="11" t="n">
        <x:v>1128</x:v>
      </x:c>
      <x:c r="G37" s="11" t="n">
        <x:v>899</x:v>
      </x:c>
      <x:c r="H37" s="14" t="n">
        <x:f>G37/D37</x:f>
        <x:v>0.6070222822417286</x:v>
      </x:c>
      <x:c r="I37" s="11" t="n">
        <x:v>1060</x:v>
      </x:c>
      <x:c r="J37" s="14" t="n">
        <x:f>I37/D37</x:f>
        <x:v>0.7157326130992573</x:v>
      </x:c>
      <x:c r="K37" s="11" t="n">
        <x:v>135</x:v>
      </x:c>
      <x:c r="L37" s="11" t="n">
        <x:v>0</x:v>
      </x:c>
      <x:c r="M37" s="11" t="n">
        <x:v>804</x:v>
      </x:c>
      <x:c r="N37" s="11" t="n">
        <x:v>167</x:v>
      </x:c>
      <x:c r="O37" s="11" t="n">
        <x:v>67</x:v>
      </x:c>
      <x:c r="P37" s="11" t="n">
        <x:v>40</x:v>
      </x:c>
      <x:c r="Q37" s="14" t="n">
        <x:f>IF(N37=0,"n.a.",P37/N37)</x:f>
        <x:v>0.23952095808383234</x:v>
      </x:c>
    </x:row>
    <x:row r="38" ht="23" customHeight="1">
      <x:c r="A38" s="17" t="str">
        <x:v>b</x:v>
      </x:c>
      <x:c r="B38" s="17" t="str">
        <x:v>NC</x:v>
      </x:c>
      <x:c r="C38" s="17" t="str">
        <x:v>H1</x:v>
      </x:c>
      <x:c r="D38" s="11" t="n">
        <x:v>1481</x:v>
      </x:c>
      <x:c r="E38" s="11" t="n">
        <x:v>1006</x:v>
      </x:c>
      <x:c r="F38" s="11" t="n">
        <x:v>1128</x:v>
      </x:c>
      <x:c r="G38" s="11" t="n">
        <x:v>899</x:v>
      </x:c>
      <x:c r="H38" s="14" t="n">
        <x:f>G38/D38</x:f>
        <x:v>0.6070222822417286</x:v>
      </x:c>
      <x:c r="I38" s="11" t="n">
        <x:v>1060</x:v>
      </x:c>
      <x:c r="J38" s="14" t="n">
        <x:f>I38/D38</x:f>
        <x:v>0.7157326130992573</x:v>
      </x:c>
      <x:c r="K38" s="11" t="n">
        <x:v>135</x:v>
      </x:c>
      <x:c r="L38" s="11" t="n">
        <x:v>0</x:v>
      </x:c>
      <x:c r="M38" s="11" t="n">
        <x:v>879</x:v>
      </x:c>
      <x:c r="N38" s="11" t="n">
        <x:v>167</x:v>
      </x:c>
      <x:c r="O38" s="11" t="n">
        <x:v>67</x:v>
      </x:c>
      <x:c r="P38" s="11" t="n">
        <x:v>40</x:v>
      </x:c>
      <x:c r="Q38" s="14" t="n">
        <x:f>IF(N38=0,"n.a.",P38/N38)</x:f>
        <x:v>0.23952095808383234</x:v>
      </x:c>
    </x:row>
    <x:row r="39" ht="23" customHeight="1">
      <x:c r="A39" s="17" t="str">
        <x:v>b</x:v>
      </x:c>
      <x:c r="B39" s="17" t="str">
        <x:v>NCG</x:v>
      </x:c>
      <x:c r="C39" s="17" t="str">
        <x:v>H0</x:v>
      </x:c>
      <x:c r="D39" s="11" t="n">
        <x:v>1481</x:v>
      </x:c>
      <x:c r="E39" s="11" t="n">
        <x:v>1006</x:v>
      </x:c>
      <x:c r="F39" s="11" t="n">
        <x:v>1128</x:v>
      </x:c>
      <x:c r="G39" s="11" t="n">
        <x:v>899</x:v>
      </x:c>
      <x:c r="H39" s="14" t="n">
        <x:f>G39/D39</x:f>
        <x:v>0.6070222822417286</x:v>
      </x:c>
      <x:c r="I39" s="11" t="n">
        <x:v>1060</x:v>
      </x:c>
      <x:c r="J39" s="14" t="n">
        <x:f>I39/D39</x:f>
        <x:v>0.7157326130992573</x:v>
      </x:c>
      <x:c r="K39" s="11" t="n">
        <x:v>135</x:v>
      </x:c>
      <x:c r="L39" s="11" t="n">
        <x:v>0</x:v>
      </x:c>
      <x:c r="M39" s="11" t="n">
        <x:v>804</x:v>
      </x:c>
      <x:c r="N39" s="11" t="n">
        <x:v>167</x:v>
      </x:c>
      <x:c r="O39" s="11" t="n">
        <x:v>67</x:v>
      </x:c>
      <x:c r="P39" s="11" t="n">
        <x:v>40</x:v>
      </x:c>
      <x:c r="Q39" s="14" t="n">
        <x:f>IF(N39=0,"n.a.",P39/N39)</x:f>
        <x:v>0.23952095808383234</x:v>
      </x:c>
    </x:row>
    <x:row r="40" ht="23" customHeight="1">
      <x:c r="A40" s="17" t="str">
        <x:v>b</x:v>
      </x:c>
      <x:c r="B40" s="17" t="str">
        <x:v>NCG</x:v>
      </x:c>
      <x:c r="C40" s="17" t="str">
        <x:v>H1</x:v>
      </x:c>
      <x:c r="D40" s="11" t="n">
        <x:v>1481</x:v>
      </x:c>
      <x:c r="E40" s="11" t="n">
        <x:v>1006</x:v>
      </x:c>
      <x:c r="F40" s="11" t="n">
        <x:v>1128</x:v>
      </x:c>
      <x:c r="G40" s="11" t="n">
        <x:v>900</x:v>
      </x:c>
      <x:c r="H40" s="14" t="n">
        <x:f>G40/D40</x:f>
        <x:v>0.6076975016880486</x:v>
      </x:c>
      <x:c r="I40" s="11" t="n">
        <x:v>1061</x:v>
      </x:c>
      <x:c r="J40" s="14" t="n">
        <x:f>I40/D40</x:f>
        <x:v>0.7164078325455773</x:v>
      </x:c>
      <x:c r="K40" s="11" t="n">
        <x:v>135</x:v>
      </x:c>
      <x:c r="L40" s="11" t="n">
        <x:v>1</x:v>
      </x:c>
      <x:c r="M40" s="11" t="n">
        <x:v>880</x:v>
      </x:c>
      <x:c r="N40" s="11" t="n">
        <x:v>167</x:v>
      </x:c>
      <x:c r="O40" s="11" t="n">
        <x:v>67</x:v>
      </x:c>
      <x:c r="P40" s="11" t="n">
        <x:v>40</x:v>
      </x:c>
      <x:c r="Q40" s="14" t="n">
        <x:f>IF(N40=0,"n.a.",P40/N40)</x:f>
        <x:v>0.23952095808383234</x:v>
      </x:c>
    </x:row>
    <x:row r="41" ht="23" customHeight="1">
      <x:c r="A41" s="17" t="str">
        <x:v>c</x:v>
      </x:c>
      <x:c r="B41" s="17" t="str">
        <x:v>N</x:v>
      </x:c>
      <x:c r="C41" s="17" t="str">
        <x:v>H0</x:v>
      </x:c>
      <x:c r="D41" s="11" t="n">
        <x:v>1747</x:v>
      </x:c>
      <x:c r="E41" s="11" t="n">
        <x:v>1133</x:v>
      </x:c>
      <x:c r="F41" s="11" t="str">
        <x:v>n.a.</x:v>
      </x:c>
      <x:c r="G41" s="11" t="n">
        <x:v>1133</x:v>
      </x:c>
      <x:c r="H41" s="14" t="n">
        <x:f>G41/D41</x:f>
        <x:v>0.6485403548941042</x:v>
      </x:c>
      <x:c r="I41" s="11" t="n">
        <x:v>1343</x:v>
      </x:c>
      <x:c r="J41" s="14" t="n">
        <x:f>I41/D41</x:f>
        <x:v>0.7687464224384659</x:v>
      </x:c>
      <x:c r="K41" s="11" t="n">
        <x:v>0</x:v>
      </x:c>
      <x:c r="L41" s="11" t="n">
        <x:v>0</x:v>
      </x:c>
      <x:c r="M41" s="11" t="n">
        <x:v>1133</x:v>
      </x:c>
      <x:c r="N41" s="11" t="n">
        <x:v>125</x:v>
      </x:c>
      <x:c r="O41" s="11" t="n">
        <x:v>23</x:v>
      </x:c>
      <x:c r="P41" s="11" t="n">
        <x:v>21</x:v>
      </x:c>
      <x:c r="Q41" s="14" t="n">
        <x:f>IF(N41=0,"n.a.",P41/N41)</x:f>
        <x:v>0.168</x:v>
      </x:c>
    </x:row>
    <x:row r="42" ht="23" customHeight="1">
      <x:c r="A42" s="17" t="str">
        <x:v>c</x:v>
      </x:c>
      <x:c r="B42" s="17" t="str">
        <x:v>N</x:v>
      </x:c>
      <x:c r="C42" s="17" t="str">
        <x:v>H1</x:v>
      </x:c>
      <x:c r="D42" s="11" t="n">
        <x:v>1747</x:v>
      </x:c>
      <x:c r="E42" s="11" t="n">
        <x:v>1133</x:v>
      </x:c>
      <x:c r="F42" s="11" t="str">
        <x:v>n.a.</x:v>
      </x:c>
      <x:c r="G42" s="11" t="n">
        <x:v>1133</x:v>
      </x:c>
      <x:c r="H42" s="14" t="n">
        <x:f>G42/D42</x:f>
        <x:v>0.6485403548941042</x:v>
      </x:c>
      <x:c r="I42" s="11" t="n">
        <x:v>1343</x:v>
      </x:c>
      <x:c r="J42" s="14" t="n">
        <x:f>I42/D42</x:f>
        <x:v>0.7687464224384659</x:v>
      </x:c>
      <x:c r="K42" s="11" t="n">
        <x:v>0</x:v>
      </x:c>
      <x:c r="L42" s="11" t="n">
        <x:v>0</x:v>
      </x:c>
      <x:c r="M42" s="11" t="n">
        <x:v>1248</x:v>
      </x:c>
      <x:c r="N42" s="11" t="n">
        <x:v>125</x:v>
      </x:c>
      <x:c r="O42" s="11" t="n">
        <x:v>23</x:v>
      </x:c>
      <x:c r="P42" s="11" t="n">
        <x:v>21</x:v>
      </x:c>
      <x:c r="Q42" s="14" t="n">
        <x:f>IF(N42=0,"n.a.",P42/N42)</x:f>
        <x:v>0.168</x:v>
      </x:c>
    </x:row>
    <x:row r="43" ht="23" customHeight="1">
      <x:c r="A43" s="17" t="str">
        <x:v>c</x:v>
      </x:c>
      <x:c r="B43" s="17" t="str">
        <x:v>C</x:v>
      </x:c>
      <x:c r="C43" s="17" t="str">
        <x:v>H0</x:v>
      </x:c>
      <x:c r="D43" s="11" t="n">
        <x:v>1747</x:v>
      </x:c>
      <x:c r="E43" s="11" t="str">
        <x:v>n.a.</x:v>
      </x:c>
      <x:c r="F43" s="11" t="n">
        <x:v>1252</x:v>
      </x:c>
      <x:c r="G43" s="11" t="n">
        <x:v>1252</x:v>
      </x:c>
      <x:c r="H43" s="14" t="n">
        <x:f>G43/D43</x:f>
        <x:v>0.7166571265025758</x:v>
      </x:c>
      <x:c r="I43" s="11" t="n">
        <x:v>1252</x:v>
      </x:c>
      <x:c r="J43" s="14" t="n">
        <x:f>I43/D43</x:f>
        <x:v>0.7166571265025758</x:v>
      </x:c>
      <x:c r="K43" s="11" t="n">
        <x:v>0</x:v>
      </x:c>
      <x:c r="L43" s="11" t="n">
        <x:v>0</x:v>
      </x:c>
      <x:c r="M43" s="11" t="n">
        <x:v>1135</x:v>
      </x:c>
      <x:c r="N43" s="11" t="n">
        <x:v>125</x:v>
      </x:c>
      <x:c r="O43" s="11" t="n">
        <x:v>4</x:v>
      </x:c>
      <x:c r="P43" s="11" t="n">
        <x:v>0</x:v>
      </x:c>
      <x:c r="Q43" s="14" t="n">
        <x:f>IF(N43=0,"n.a.",P43/N43)</x:f>
        <x:v>0</x:v>
      </x:c>
    </x:row>
    <x:row r="44" ht="23" customHeight="1">
      <x:c r="A44" s="17" t="str">
        <x:v>c</x:v>
      </x:c>
      <x:c r="B44" s="17" t="str">
        <x:v>C</x:v>
      </x:c>
      <x:c r="C44" s="17" t="str">
        <x:v>H1</x:v>
      </x:c>
      <x:c r="D44" s="11" t="n">
        <x:v>1747</x:v>
      </x:c>
      <x:c r="E44" s="11" t="str">
        <x:v>n.a.</x:v>
      </x:c>
      <x:c r="F44" s="11" t="n">
        <x:v>1252</x:v>
      </x:c>
      <x:c r="G44" s="11" t="n">
        <x:v>1252</x:v>
      </x:c>
      <x:c r="H44" s="14" t="n">
        <x:f>G44/D44</x:f>
        <x:v>0.7166571265025758</x:v>
      </x:c>
      <x:c r="I44" s="11" t="n">
        <x:v>1252</x:v>
      </x:c>
      <x:c r="J44" s="14" t="n">
        <x:f>I44/D44</x:f>
        <x:v>0.7166571265025758</x:v>
      </x:c>
      <x:c r="K44" s="11" t="n">
        <x:v>0</x:v>
      </x:c>
      <x:c r="L44" s="11" t="n">
        <x:v>0</x:v>
      </x:c>
      <x:c r="M44" s="11" t="n">
        <x:v>1139</x:v>
      </x:c>
      <x:c r="N44" s="11" t="n">
        <x:v>125</x:v>
      </x:c>
      <x:c r="O44" s="11" t="n">
        <x:v>4</x:v>
      </x:c>
      <x:c r="P44" s="11" t="n">
        <x:v>0</x:v>
      </x:c>
      <x:c r="Q44" s="14" t="n">
        <x:f>IF(N44=0,"n.a.",P44/N44)</x:f>
        <x:v>0</x:v>
      </x:c>
    </x:row>
    <x:row r="45" ht="23" customHeight="1">
      <x:c r="A45" s="17" t="str">
        <x:v>c</x:v>
      </x:c>
      <x:c r="B45" s="17" t="str">
        <x:v>NG</x:v>
      </x:c>
      <x:c r="C45" s="17" t="str">
        <x:v>H0</x:v>
      </x:c>
      <x:c r="D45" s="11" t="n">
        <x:v>1747</x:v>
      </x:c>
      <x:c r="E45" s="11" t="n">
        <x:v>1133</x:v>
      </x:c>
      <x:c r="F45" s="11" t="str">
        <x:v>n.a.</x:v>
      </x:c>
      <x:c r="G45" s="11" t="n">
        <x:v>1133</x:v>
      </x:c>
      <x:c r="H45" s="14" t="n">
        <x:f>G45/D45</x:f>
        <x:v>0.6485403548941042</x:v>
      </x:c>
      <x:c r="I45" s="11" t="n">
        <x:v>1343</x:v>
      </x:c>
      <x:c r="J45" s="14" t="n">
        <x:f>I45/D45</x:f>
        <x:v>0.7687464224384659</x:v>
      </x:c>
      <x:c r="K45" s="11" t="n">
        <x:v>0</x:v>
      </x:c>
      <x:c r="L45" s="11" t="n">
        <x:v>0</x:v>
      </x:c>
      <x:c r="M45" s="11" t="n">
        <x:v>1133</x:v>
      </x:c>
      <x:c r="N45" s="11" t="n">
        <x:v>125</x:v>
      </x:c>
      <x:c r="O45" s="11" t="n">
        <x:v>23</x:v>
      </x:c>
      <x:c r="P45" s="11" t="n">
        <x:v>21</x:v>
      </x:c>
      <x:c r="Q45" s="14" t="n">
        <x:f>IF(N45=0,"n.a.",P45/N45)</x:f>
        <x:v>0.168</x:v>
      </x:c>
    </x:row>
    <x:row r="46" ht="23" customHeight="1">
      <x:c r="A46" s="17" t="str">
        <x:v>c</x:v>
      </x:c>
      <x:c r="B46" s="17" t="str">
        <x:v>NG</x:v>
      </x:c>
      <x:c r="C46" s="17" t="str">
        <x:v>H1</x:v>
      </x:c>
      <x:c r="D46" s="11" t="n">
        <x:v>1747</x:v>
      </x:c>
      <x:c r="E46" s="11" t="n">
        <x:v>1133</x:v>
      </x:c>
      <x:c r="F46" s="11" t="str">
        <x:v>n.a.</x:v>
      </x:c>
      <x:c r="G46" s="11" t="n">
        <x:v>1133</x:v>
      </x:c>
      <x:c r="H46" s="14" t="n">
        <x:f>G46/D46</x:f>
        <x:v>0.6485403548941042</x:v>
      </x:c>
      <x:c r="I46" s="11" t="n">
        <x:v>1343</x:v>
      </x:c>
      <x:c r="J46" s="14" t="n">
        <x:f>I46/D46</x:f>
        <x:v>0.7687464224384659</x:v>
      </x:c>
      <x:c r="K46" s="11" t="n">
        <x:v>0</x:v>
      </x:c>
      <x:c r="L46" s="11" t="n">
        <x:v>0</x:v>
      </x:c>
      <x:c r="M46" s="11" t="n">
        <x:v>1248</x:v>
      </x:c>
      <x:c r="N46" s="11" t="n">
        <x:v>125</x:v>
      </x:c>
      <x:c r="O46" s="11" t="n">
        <x:v>23</x:v>
      </x:c>
      <x:c r="P46" s="11" t="n">
        <x:v>21</x:v>
      </x:c>
      <x:c r="Q46" s="14" t="n">
        <x:f>IF(N46=0,"n.a.",P46/N46)</x:f>
        <x:v>0.168</x:v>
      </x:c>
    </x:row>
    <x:row r="47" ht="23" customHeight="1">
      <x:c r="A47" s="17" t="str">
        <x:v>c</x:v>
      </x:c>
      <x:c r="B47" s="17" t="str">
        <x:v>CG</x:v>
      </x:c>
      <x:c r="C47" s="17" t="str">
        <x:v>H0</x:v>
      </x:c>
      <x:c r="D47" s="11" t="n">
        <x:v>1747</x:v>
      </x:c>
      <x:c r="E47" s="11" t="str">
        <x:v>n.a.</x:v>
      </x:c>
      <x:c r="F47" s="11" t="n">
        <x:v>1252</x:v>
      </x:c>
      <x:c r="G47" s="11" t="n">
        <x:v>1252</x:v>
      </x:c>
      <x:c r="H47" s="14" t="n">
        <x:f>G47/D47</x:f>
        <x:v>0.7166571265025758</x:v>
      </x:c>
      <x:c r="I47" s="11" t="n">
        <x:v>1252</x:v>
      </x:c>
      <x:c r="J47" s="14" t="n">
        <x:f>I47/D47</x:f>
        <x:v>0.7166571265025758</x:v>
      </x:c>
      <x:c r="K47" s="11" t="n">
        <x:v>0</x:v>
      </x:c>
      <x:c r="L47" s="11" t="n">
        <x:v>0</x:v>
      </x:c>
      <x:c r="M47" s="11" t="n">
        <x:v>1135</x:v>
      </x:c>
      <x:c r="N47" s="11" t="n">
        <x:v>125</x:v>
      </x:c>
      <x:c r="O47" s="11" t="n">
        <x:v>4</x:v>
      </x:c>
      <x:c r="P47" s="11" t="n">
        <x:v>0</x:v>
      </x:c>
      <x:c r="Q47" s="14" t="n">
        <x:f>IF(N47=0,"n.a.",P47/N47)</x:f>
        <x:v>0</x:v>
      </x:c>
    </x:row>
    <x:row r="48" ht="23" customHeight="1">
      <x:c r="A48" s="17" t="str">
        <x:v>c</x:v>
      </x:c>
      <x:c r="B48" s="17" t="str">
        <x:v>CG</x:v>
      </x:c>
      <x:c r="C48" s="17" t="str">
        <x:v>H1</x:v>
      </x:c>
      <x:c r="D48" s="11" t="n">
        <x:v>1747</x:v>
      </x:c>
      <x:c r="E48" s="11" t="str">
        <x:v>n.a.</x:v>
      </x:c>
      <x:c r="F48" s="11" t="n">
        <x:v>1252</x:v>
      </x:c>
      <x:c r="G48" s="11" t="n">
        <x:v>1252</x:v>
      </x:c>
      <x:c r="H48" s="14" t="n">
        <x:f>G48/D48</x:f>
        <x:v>0.7166571265025758</x:v>
      </x:c>
      <x:c r="I48" s="11" t="n">
        <x:v>1252</x:v>
      </x:c>
      <x:c r="J48" s="14" t="n">
        <x:f>I48/D48</x:f>
        <x:v>0.7166571265025758</x:v>
      </x:c>
      <x:c r="K48" s="11" t="n">
        <x:v>0</x:v>
      </x:c>
      <x:c r="L48" s="11" t="n">
        <x:v>0</x:v>
      </x:c>
      <x:c r="M48" s="11" t="n">
        <x:v>1139</x:v>
      </x:c>
      <x:c r="N48" s="11" t="n">
        <x:v>125</x:v>
      </x:c>
      <x:c r="O48" s="11" t="n">
        <x:v>4</x:v>
      </x:c>
      <x:c r="P48" s="11" t="n">
        <x:v>0</x:v>
      </x:c>
      <x:c r="Q48" s="14" t="n">
        <x:f>IF(N48=0,"n.a.",P48/N48)</x:f>
        <x:v>0</x:v>
      </x:c>
    </x:row>
    <x:row r="49" ht="23" customHeight="1">
      <x:c r="A49" s="17" t="str">
        <x:v>c</x:v>
      </x:c>
      <x:c r="B49" s="17" t="str">
        <x:v>NC</x:v>
      </x:c>
      <x:c r="C49" s="17" t="str">
        <x:v>H0</x:v>
      </x:c>
      <x:c r="D49" s="11" t="n">
        <x:v>1747</x:v>
      </x:c>
      <x:c r="E49" s="11" t="n">
        <x:v>1133</x:v>
      </x:c>
      <x:c r="F49" s="11" t="n">
        <x:v>1252</x:v>
      </x:c>
      <x:c r="G49" s="11" t="n">
        <x:v>937</x:v>
      </x:c>
      <x:c r="H49" s="14" t="n">
        <x:f>G49/D49</x:f>
        <x:v>0.5363480251860332</x:v>
      </x:c>
      <x:c r="I49" s="11" t="n">
        <x:v>1131</x:v>
      </x:c>
      <x:c r="J49" s="14" t="n">
        <x:f>I49/D49</x:f>
        <x:v>0.6473955352032055</x:v>
      </x:c>
      <x:c r="K49" s="11" t="n">
        <x:v>265</x:v>
      </x:c>
      <x:c r="L49" s="11" t="n">
        <x:v>0</x:v>
      </x:c>
      <x:c r="M49" s="11" t="n">
        <x:v>1001</x:v>
      </x:c>
      <x:c r="N49" s="11" t="n">
        <x:v>125</x:v>
      </x:c>
      <x:c r="O49" s="11" t="n">
        <x:v>6</x:v>
      </x:c>
      <x:c r="P49" s="11" t="n">
        <x:v>4</x:v>
      </x:c>
      <x:c r="Q49" s="14" t="n">
        <x:f>IF(N49=0,"n.a.",P49/N49)</x:f>
        <x:v>0.032</x:v>
      </x:c>
    </x:row>
    <x:row r="50" ht="23" customHeight="1">
      <x:c r="A50" s="17" t="str">
        <x:v>c</x:v>
      </x:c>
      <x:c r="B50" s="17" t="str">
        <x:v>NC</x:v>
      </x:c>
      <x:c r="C50" s="17" t="str">
        <x:v>H1</x:v>
      </x:c>
      <x:c r="D50" s="11" t="n">
        <x:v>1747</x:v>
      </x:c>
      <x:c r="E50" s="11" t="n">
        <x:v>1133</x:v>
      </x:c>
      <x:c r="F50" s="11" t="n">
        <x:v>1252</x:v>
      </x:c>
      <x:c r="G50" s="11" t="n">
        <x:v>937</x:v>
      </x:c>
      <x:c r="H50" s="14" t="n">
        <x:f>G50/D50</x:f>
        <x:v>0.5363480251860332</x:v>
      </x:c>
      <x:c r="I50" s="11" t="n">
        <x:v>1131</x:v>
      </x:c>
      <x:c r="J50" s="14" t="n">
        <x:f>I50/D50</x:f>
        <x:v>0.6473955352032055</x:v>
      </x:c>
      <x:c r="K50" s="11" t="n">
        <x:v>265</x:v>
      </x:c>
      <x:c r="L50" s="11" t="n">
        <x:v>0</x:v>
      </x:c>
      <x:c r="M50" s="11" t="n">
        <x:v>1088</x:v>
      </x:c>
      <x:c r="N50" s="11" t="n">
        <x:v>125</x:v>
      </x:c>
      <x:c r="O50" s="11" t="n">
        <x:v>6</x:v>
      </x:c>
      <x:c r="P50" s="11" t="n">
        <x:v>4</x:v>
      </x:c>
      <x:c r="Q50" s="14" t="n">
        <x:f>IF(N50=0,"n.a.",P50/N50)</x:f>
        <x:v>0.032</x:v>
      </x:c>
    </x:row>
    <x:row r="51" ht="23" customHeight="1">
      <x:c r="A51" s="17" t="str">
        <x:v>c</x:v>
      </x:c>
      <x:c r="B51" s="17" t="str">
        <x:v>NCG</x:v>
      </x:c>
      <x:c r="C51" s="17" t="str">
        <x:v>H0</x:v>
      </x:c>
      <x:c r="D51" s="11" t="n">
        <x:v>1747</x:v>
      </x:c>
      <x:c r="E51" s="11" t="n">
        <x:v>1133</x:v>
      </x:c>
      <x:c r="F51" s="11" t="n">
        <x:v>1252</x:v>
      </x:c>
      <x:c r="G51" s="11" t="n">
        <x:v>937</x:v>
      </x:c>
      <x:c r="H51" s="14" t="n">
        <x:f>G51/D51</x:f>
        <x:v>0.5363480251860332</x:v>
      </x:c>
      <x:c r="I51" s="11" t="n">
        <x:v>1131</x:v>
      </x:c>
      <x:c r="J51" s="14" t="n">
        <x:f>I51/D51</x:f>
        <x:v>0.6473955352032055</x:v>
      </x:c>
      <x:c r="K51" s="11" t="n">
        <x:v>265</x:v>
      </x:c>
      <x:c r="L51" s="11" t="n">
        <x:v>0</x:v>
      </x:c>
      <x:c r="M51" s="11" t="n">
        <x:v>1001</x:v>
      </x:c>
      <x:c r="N51" s="11" t="n">
        <x:v>125</x:v>
      </x:c>
      <x:c r="O51" s="11" t="n">
        <x:v>6</x:v>
      </x:c>
      <x:c r="P51" s="11" t="n">
        <x:v>4</x:v>
      </x:c>
      <x:c r="Q51" s="14" t="n">
        <x:f>IF(N51=0,"n.a.",P51/N51)</x:f>
        <x:v>0.032</x:v>
      </x:c>
    </x:row>
    <x:row r="52" ht="23" customHeight="1">
      <x:c r="A52" s="17" t="str">
        <x:v>c</x:v>
      </x:c>
      <x:c r="B52" s="17" t="str">
        <x:v>NCG</x:v>
      </x:c>
      <x:c r="C52" s="17" t="str">
        <x:v>H1</x:v>
      </x:c>
      <x:c r="D52" s="11" t="n">
        <x:v>1747</x:v>
      </x:c>
      <x:c r="E52" s="11" t="n">
        <x:v>1133</x:v>
      </x:c>
      <x:c r="F52" s="11" t="n">
        <x:v>1252</x:v>
      </x:c>
      <x:c r="G52" s="11" t="n">
        <x:v>937</x:v>
      </x:c>
      <x:c r="H52" s="14" t="n">
        <x:f>G52/D52</x:f>
        <x:v>0.5363480251860332</x:v>
      </x:c>
      <x:c r="I52" s="11" t="n">
        <x:v>1131</x:v>
      </x:c>
      <x:c r="J52" s="14" t="n">
        <x:f>I52/D52</x:f>
        <x:v>0.6473955352032055</x:v>
      </x:c>
      <x:c r="K52" s="11" t="n">
        <x:v>265</x:v>
      </x:c>
      <x:c r="L52" s="11" t="n">
        <x:v>0</x:v>
      </x:c>
      <x:c r="M52" s="11" t="n">
        <x:v>1088</x:v>
      </x:c>
      <x:c r="N52" s="11" t="n">
        <x:v>125</x:v>
      </x:c>
      <x:c r="O52" s="11" t="n">
        <x:v>6</x:v>
      </x:c>
      <x:c r="P52" s="11" t="n">
        <x:v>4</x:v>
      </x:c>
      <x:c r="Q52" s="14" t="n">
        <x:f>IF(N52=0,"n.a.",P52/N52)</x:f>
        <x:v>0.032</x:v>
      </x:c>
    </x:row>
    <x:row r="53" ht="23" customHeight="1">
      <x:c r="A53" s="17" t="str">
        <x:v>d</x:v>
      </x:c>
      <x:c r="B53" s="17" t="str">
        <x:v>N</x:v>
      </x:c>
      <x:c r="C53" s="17" t="str">
        <x:v>H0</x:v>
      </x:c>
      <x:c r="D53" s="11" t="n">
        <x:v>1167</x:v>
      </x:c>
      <x:c r="E53" s="11" t="n">
        <x:v>725</x:v>
      </x:c>
      <x:c r="F53" s="11" t="str">
        <x:v>n.a.</x:v>
      </x:c>
      <x:c r="G53" s="11" t="n">
        <x:v>725</x:v>
      </x:c>
      <x:c r="H53" s="14" t="n">
        <x:f>G53/D53</x:f>
        <x:v>0.6212510711225364</x:v>
      </x:c>
      <x:c r="I53" s="11" t="n">
        <x:v>925</x:v>
      </x:c>
      <x:c r="J53" s="14" t="n">
        <x:f>I53/D53</x:f>
        <x:v>0.792630676949443</x:v>
      </x:c>
      <x:c r="K53" s="11" t="n">
        <x:v>0</x:v>
      </x:c>
      <x:c r="L53" s="11" t="n">
        <x:v>0</x:v>
      </x:c>
      <x:c r="M53" s="11" t="n">
        <x:v>725</x:v>
      </x:c>
      <x:c r="N53" s="11" t="n">
        <x:v>60</x:v>
      </x:c>
      <x:c r="O53" s="11" t="n">
        <x:v>22</x:v>
      </x:c>
      <x:c r="P53" s="11" t="n">
        <x:v>11</x:v>
      </x:c>
      <x:c r="Q53" s="14" t="n">
        <x:f>IF(N53=0,"n.a.",P53/N53)</x:f>
        <x:v>0.18333333333333332</x:v>
      </x:c>
    </x:row>
    <x:row r="54" ht="23" customHeight="1">
      <x:c r="A54" s="17" t="str">
        <x:v>d</x:v>
      </x:c>
      <x:c r="B54" s="17" t="str">
        <x:v>N</x:v>
      </x:c>
      <x:c r="C54" s="17" t="str">
        <x:v>H1</x:v>
      </x:c>
      <x:c r="D54" s="11" t="n">
        <x:v>1167</x:v>
      </x:c>
      <x:c r="E54" s="11" t="n">
        <x:v>725</x:v>
      </x:c>
      <x:c r="F54" s="11" t="str">
        <x:v>n.a.</x:v>
      </x:c>
      <x:c r="G54" s="11" t="n">
        <x:v>725</x:v>
      </x:c>
      <x:c r="H54" s="14" t="n">
        <x:f>G54/D54</x:f>
        <x:v>0.6212510711225364</x:v>
      </x:c>
      <x:c r="I54" s="11" t="n">
        <x:v>925</x:v>
      </x:c>
      <x:c r="J54" s="14" t="n">
        <x:f>I54/D54</x:f>
        <x:v>0.792630676949443</x:v>
      </x:c>
      <x:c r="K54" s="11" t="n">
        <x:v>0</x:v>
      </x:c>
      <x:c r="L54" s="11" t="n">
        <x:v>0</x:v>
      </x:c>
      <x:c r="M54" s="11" t="n">
        <x:v>740</x:v>
      </x:c>
      <x:c r="N54" s="11" t="n">
        <x:v>60</x:v>
      </x:c>
      <x:c r="O54" s="11" t="n">
        <x:v>22</x:v>
      </x:c>
      <x:c r="P54" s="11" t="n">
        <x:v>11</x:v>
      </x:c>
      <x:c r="Q54" s="14" t="n">
        <x:f>IF(N54=0,"n.a.",P54/N54)</x:f>
        <x:v>0.18333333333333332</x:v>
      </x:c>
    </x:row>
    <x:row r="55" ht="23" customHeight="1">
      <x:c r="A55" s="17" t="str">
        <x:v>d</x:v>
      </x:c>
      <x:c r="B55" s="17" t="str">
        <x:v>C</x:v>
      </x:c>
      <x:c r="C55" s="17" t="str">
        <x:v>H0</x:v>
      </x:c>
      <x:c r="D55" s="11" t="n">
        <x:v>1167</x:v>
      </x:c>
      <x:c r="E55" s="11" t="str">
        <x:v>n.a.</x:v>
      </x:c>
      <x:c r="F55" s="11" t="n">
        <x:v>861</x:v>
      </x:c>
      <x:c r="G55" s="11" t="n">
        <x:v>861</x:v>
      </x:c>
      <x:c r="H55" s="14" t="n">
        <x:f>G55/D55</x:f>
        <x:v>0.7377892030848329</x:v>
      </x:c>
      <x:c r="I55" s="11" t="n">
        <x:v>866</x:v>
      </x:c>
      <x:c r="J55" s="14" t="n">
        <x:f>I55/D55</x:f>
        <x:v>0.7420736932305055</x:v>
      </x:c>
      <x:c r="K55" s="11" t="n">
        <x:v>0</x:v>
      </x:c>
      <x:c r="L55" s="11" t="n">
        <x:v>0</x:v>
      </x:c>
      <x:c r="M55" s="11" t="n">
        <x:v>720</x:v>
      </x:c>
      <x:c r="N55" s="11" t="n">
        <x:v>60</x:v>
      </x:c>
      <x:c r="O55" s="11" t="n">
        <x:v>32</x:v>
      </x:c>
      <x:c r="P55" s="11" t="n">
        <x:v>20</x:v>
      </x:c>
      <x:c r="Q55" s="14" t="n">
        <x:f>IF(N55=0,"n.a.",P55/N55)</x:f>
        <x:v>0.3333333333333333</x:v>
      </x:c>
    </x:row>
    <x:row r="56" ht="23" customHeight="1">
      <x:c r="A56" s="17" t="str">
        <x:v>d</x:v>
      </x:c>
      <x:c r="B56" s="17" t="str">
        <x:v>C</x:v>
      </x:c>
      <x:c r="C56" s="17" t="str">
        <x:v>H1</x:v>
      </x:c>
      <x:c r="D56" s="11" t="n">
        <x:v>1167</x:v>
      </x:c>
      <x:c r="E56" s="11" t="str">
        <x:v>n.a.</x:v>
      </x:c>
      <x:c r="F56" s="11" t="n">
        <x:v>861</x:v>
      </x:c>
      <x:c r="G56" s="11" t="n">
        <x:v>861</x:v>
      </x:c>
      <x:c r="H56" s="14" t="n">
        <x:f>G56/D56</x:f>
        <x:v>0.7377892030848329</x:v>
      </x:c>
      <x:c r="I56" s="11" t="n">
        <x:v>866</x:v>
      </x:c>
      <x:c r="J56" s="14" t="n">
        <x:f>I56/D56</x:f>
        <x:v>0.7420736932305055</x:v>
      </x:c>
      <x:c r="K56" s="11" t="n">
        <x:v>0</x:v>
      </x:c>
      <x:c r="L56" s="11" t="n">
        <x:v>0</x:v>
      </x:c>
      <x:c r="M56" s="11" t="n">
        <x:v>720</x:v>
      </x:c>
      <x:c r="N56" s="11" t="n">
        <x:v>60</x:v>
      </x:c>
      <x:c r="O56" s="11" t="n">
        <x:v>32</x:v>
      </x:c>
      <x:c r="P56" s="11" t="n">
        <x:v>20</x:v>
      </x:c>
      <x:c r="Q56" s="14" t="n">
        <x:f>IF(N56=0,"n.a.",P56/N56)</x:f>
        <x:v>0.3333333333333333</x:v>
      </x:c>
    </x:row>
    <x:row r="57" ht="23" customHeight="1">
      <x:c r="A57" s="17" t="str">
        <x:v>d</x:v>
      </x:c>
      <x:c r="B57" s="17" t="str">
        <x:v>NG</x:v>
      </x:c>
      <x:c r="C57" s="17" t="str">
        <x:v>H0</x:v>
      </x:c>
      <x:c r="D57" s="11" t="n">
        <x:v>1167</x:v>
      </x:c>
      <x:c r="E57" s="11" t="n">
        <x:v>725</x:v>
      </x:c>
      <x:c r="F57" s="11" t="str">
        <x:v>n.a.</x:v>
      </x:c>
      <x:c r="G57" s="11" t="n">
        <x:v>725</x:v>
      </x:c>
      <x:c r="H57" s="14" t="n">
        <x:f>G57/D57</x:f>
        <x:v>0.6212510711225364</x:v>
      </x:c>
      <x:c r="I57" s="11" t="n">
        <x:v>925</x:v>
      </x:c>
      <x:c r="J57" s="14" t="n">
        <x:f>I57/D57</x:f>
        <x:v>0.792630676949443</x:v>
      </x:c>
      <x:c r="K57" s="11" t="n">
        <x:v>0</x:v>
      </x:c>
      <x:c r="L57" s="11" t="n">
        <x:v>0</x:v>
      </x:c>
      <x:c r="M57" s="11" t="n">
        <x:v>725</x:v>
      </x:c>
      <x:c r="N57" s="11" t="n">
        <x:v>60</x:v>
      </x:c>
      <x:c r="O57" s="11" t="n">
        <x:v>22</x:v>
      </x:c>
      <x:c r="P57" s="11" t="n">
        <x:v>11</x:v>
      </x:c>
      <x:c r="Q57" s="14" t="n">
        <x:f>IF(N57=0,"n.a.",P57/N57)</x:f>
        <x:v>0.18333333333333332</x:v>
      </x:c>
    </x:row>
    <x:row r="58" ht="23" customHeight="1">
      <x:c r="A58" s="17" t="str">
        <x:v>d</x:v>
      </x:c>
      <x:c r="B58" s="17" t="str">
        <x:v>NG</x:v>
      </x:c>
      <x:c r="C58" s="17" t="str">
        <x:v>H1</x:v>
      </x:c>
      <x:c r="D58" s="11" t="n">
        <x:v>1167</x:v>
      </x:c>
      <x:c r="E58" s="11" t="n">
        <x:v>725</x:v>
      </x:c>
      <x:c r="F58" s="11" t="str">
        <x:v>n.a.</x:v>
      </x:c>
      <x:c r="G58" s="11" t="n">
        <x:v>725</x:v>
      </x:c>
      <x:c r="H58" s="14" t="n">
        <x:f>G58/D58</x:f>
        <x:v>0.6212510711225364</x:v>
      </x:c>
      <x:c r="I58" s="11" t="n">
        <x:v>925</x:v>
      </x:c>
      <x:c r="J58" s="14" t="n">
        <x:f>I58/D58</x:f>
        <x:v>0.792630676949443</x:v>
      </x:c>
      <x:c r="K58" s="11" t="n">
        <x:v>0</x:v>
      </x:c>
      <x:c r="L58" s="11" t="n">
        <x:v>0</x:v>
      </x:c>
      <x:c r="M58" s="11" t="n">
        <x:v>740</x:v>
      </x:c>
      <x:c r="N58" s="11" t="n">
        <x:v>60</x:v>
      </x:c>
      <x:c r="O58" s="11" t="n">
        <x:v>22</x:v>
      </x:c>
      <x:c r="P58" s="11" t="n">
        <x:v>11</x:v>
      </x:c>
      <x:c r="Q58" s="14" t="n">
        <x:f>IF(N58=0,"n.a.",P58/N58)</x:f>
        <x:v>0.18333333333333332</x:v>
      </x:c>
    </x:row>
    <x:row r="59" ht="23" customHeight="1">
      <x:c r="A59" s="17" t="str">
        <x:v>d</x:v>
      </x:c>
      <x:c r="B59" s="17" t="str">
        <x:v>CG</x:v>
      </x:c>
      <x:c r="C59" s="17" t="str">
        <x:v>H0</x:v>
      </x:c>
      <x:c r="D59" s="11" t="n">
        <x:v>1167</x:v>
      </x:c>
      <x:c r="E59" s="11" t="str">
        <x:v>n.a.</x:v>
      </x:c>
      <x:c r="F59" s="11" t="n">
        <x:v>861</x:v>
      </x:c>
      <x:c r="G59" s="11" t="n">
        <x:v>861</x:v>
      </x:c>
      <x:c r="H59" s="14" t="n">
        <x:f>G59/D59</x:f>
        <x:v>0.7377892030848329</x:v>
      </x:c>
      <x:c r="I59" s="11" t="n">
        <x:v>866</x:v>
      </x:c>
      <x:c r="J59" s="14" t="n">
        <x:f>I59/D59</x:f>
        <x:v>0.7420736932305055</x:v>
      </x:c>
      <x:c r="K59" s="11" t="n">
        <x:v>0</x:v>
      </x:c>
      <x:c r="L59" s="11" t="n">
        <x:v>0</x:v>
      </x:c>
      <x:c r="M59" s="11" t="n">
        <x:v>720</x:v>
      </x:c>
      <x:c r="N59" s="11" t="n">
        <x:v>60</x:v>
      </x:c>
      <x:c r="O59" s="11" t="n">
        <x:v>32</x:v>
      </x:c>
      <x:c r="P59" s="11" t="n">
        <x:v>20</x:v>
      </x:c>
      <x:c r="Q59" s="14" t="n">
        <x:f>IF(N59=0,"n.a.",P59/N59)</x:f>
        <x:v>0.3333333333333333</x:v>
      </x:c>
    </x:row>
    <x:row r="60" ht="23" customHeight="1">
      <x:c r="A60" s="17" t="str">
        <x:v>d</x:v>
      </x:c>
      <x:c r="B60" s="17" t="str">
        <x:v>CG</x:v>
      </x:c>
      <x:c r="C60" s="17" t="str">
        <x:v>H1</x:v>
      </x:c>
      <x:c r="D60" s="11" t="n">
        <x:v>1167</x:v>
      </x:c>
      <x:c r="E60" s="11" t="str">
        <x:v>n.a.</x:v>
      </x:c>
      <x:c r="F60" s="11" t="n">
        <x:v>861</x:v>
      </x:c>
      <x:c r="G60" s="11" t="n">
        <x:v>890</x:v>
      </x:c>
      <x:c r="H60" s="14" t="n">
        <x:f>G60/D60</x:f>
        <x:v>0.7626392459297343</x:v>
      </x:c>
      <x:c r="I60" s="11" t="n">
        <x:v>895</x:v>
      </x:c>
      <x:c r="J60" s="14" t="n">
        <x:f>I60/D60</x:f>
        <x:v>0.766923736075407</x:v>
      </x:c>
      <x:c r="K60" s="11" t="n">
        <x:v>0</x:v>
      </x:c>
      <x:c r="L60" s="11" t="n">
        <x:v>29</x:v>
      </x:c>
      <x:c r="M60" s="11" t="n">
        <x:v>749</x:v>
      </x:c>
      <x:c r="N60" s="11" t="n">
        <x:v>60</x:v>
      </x:c>
      <x:c r="O60" s="11" t="n">
        <x:v>28</x:v>
      </x:c>
      <x:c r="P60" s="11" t="n">
        <x:v>20</x:v>
      </x:c>
      <x:c r="Q60" s="14" t="n">
        <x:f>IF(N60=0,"n.a.",P60/N60)</x:f>
        <x:v>0.3333333333333333</x:v>
      </x:c>
    </x:row>
    <x:row r="61" ht="23" customHeight="1">
      <x:c r="A61" s="17" t="str">
        <x:v>d</x:v>
      </x:c>
      <x:c r="B61" s="17" t="str">
        <x:v>NC</x:v>
      </x:c>
      <x:c r="C61" s="17" t="str">
        <x:v>H0</x:v>
      </x:c>
      <x:c r="D61" s="11" t="n">
        <x:v>1167</x:v>
      </x:c>
      <x:c r="E61" s="11" t="n">
        <x:v>725</x:v>
      </x:c>
      <x:c r="F61" s="11" t="n">
        <x:v>861</x:v>
      </x:c>
      <x:c r="G61" s="11" t="n">
        <x:v>576</x:v>
      </x:c>
      <x:c r="H61" s="14" t="n">
        <x:f>G61/D61</x:f>
        <x:v>0.493573264781491</x:v>
      </x:c>
      <x:c r="I61" s="11" t="n">
        <x:v>757</x:v>
      </x:c>
      <x:c r="J61" s="14" t="n">
        <x:f>I61/D61</x:f>
        <x:v>0.6486718080548415</x:v>
      </x:c>
      <x:c r="K61" s="11" t="n">
        <x:v>94</x:v>
      </x:c>
      <x:c r="L61" s="11" t="n">
        <x:v>0</x:v>
      </x:c>
      <x:c r="M61" s="11" t="n">
        <x:v>489</x:v>
      </x:c>
      <x:c r="N61" s="11" t="n">
        <x:v>60</x:v>
      </x:c>
      <x:c r="O61" s="11" t="n">
        <x:v>34</x:v>
      </x:c>
      <x:c r="P61" s="11" t="n">
        <x:v>26</x:v>
      </x:c>
      <x:c r="Q61" s="14" t="n">
        <x:f>IF(N61=0,"n.a.",P61/N61)</x:f>
        <x:v>0.43333333333333335</x:v>
      </x:c>
    </x:row>
    <x:row r="62" ht="23" customHeight="1">
      <x:c r="A62" s="17" t="str">
        <x:v>d</x:v>
      </x:c>
      <x:c r="B62" s="17" t="str">
        <x:v>NC</x:v>
      </x:c>
      <x:c r="C62" s="17" t="str">
        <x:v>H1</x:v>
      </x:c>
      <x:c r="D62" s="11" t="n">
        <x:v>1167</x:v>
      </x:c>
      <x:c r="E62" s="11" t="n">
        <x:v>725</x:v>
      </x:c>
      <x:c r="F62" s="11" t="n">
        <x:v>861</x:v>
      </x:c>
      <x:c r="G62" s="11" t="n">
        <x:v>576</x:v>
      </x:c>
      <x:c r="H62" s="14" t="n">
        <x:f>G62/D62</x:f>
        <x:v>0.493573264781491</x:v>
      </x:c>
      <x:c r="I62" s="11" t="n">
        <x:v>757</x:v>
      </x:c>
      <x:c r="J62" s="14" t="n">
        <x:f>I62/D62</x:f>
        <x:v>0.6486718080548415</x:v>
      </x:c>
      <x:c r="K62" s="11" t="n">
        <x:v>94</x:v>
      </x:c>
      <x:c r="L62" s="11" t="n">
        <x:v>0</x:v>
      </x:c>
      <x:c r="M62" s="11" t="n">
        <x:v>498</x:v>
      </x:c>
      <x:c r="N62" s="11" t="n">
        <x:v>60</x:v>
      </x:c>
      <x:c r="O62" s="11" t="n">
        <x:v>34</x:v>
      </x:c>
      <x:c r="P62" s="11" t="n">
        <x:v>26</x:v>
      </x:c>
      <x:c r="Q62" s="14" t="n">
        <x:f>IF(N62=0,"n.a.",P62/N62)</x:f>
        <x:v>0.43333333333333335</x:v>
      </x:c>
    </x:row>
    <x:row r="63" ht="23" customHeight="1">
      <x:c r="A63" s="17" t="str">
        <x:v>d</x:v>
      </x:c>
      <x:c r="B63" s="17" t="str">
        <x:v>NCG</x:v>
      </x:c>
      <x:c r="C63" s="17" t="str">
        <x:v>H0</x:v>
      </x:c>
      <x:c r="D63" s="11" t="n">
        <x:v>1167</x:v>
      </x:c>
      <x:c r="E63" s="11" t="n">
        <x:v>725</x:v>
      </x:c>
      <x:c r="F63" s="11" t="n">
        <x:v>861</x:v>
      </x:c>
      <x:c r="G63" s="11" t="n">
        <x:v>576</x:v>
      </x:c>
      <x:c r="H63" s="14" t="n">
        <x:f>G63/D63</x:f>
        <x:v>0.493573264781491</x:v>
      </x:c>
      <x:c r="I63" s="11" t="n">
        <x:v>757</x:v>
      </x:c>
      <x:c r="J63" s="14" t="n">
        <x:f>I63/D63</x:f>
        <x:v>0.6486718080548415</x:v>
      </x:c>
      <x:c r="K63" s="11" t="n">
        <x:v>94</x:v>
      </x:c>
      <x:c r="L63" s="11" t="n">
        <x:v>0</x:v>
      </x:c>
      <x:c r="M63" s="11" t="n">
        <x:v>489</x:v>
      </x:c>
      <x:c r="N63" s="11" t="n">
        <x:v>60</x:v>
      </x:c>
      <x:c r="O63" s="11" t="n">
        <x:v>34</x:v>
      </x:c>
      <x:c r="P63" s="11" t="n">
        <x:v>26</x:v>
      </x:c>
      <x:c r="Q63" s="14" t="n">
        <x:f>IF(N63=0,"n.a.",P63/N63)</x:f>
        <x:v>0.43333333333333335</x:v>
      </x:c>
    </x:row>
    <x:row r="64" ht="23" customHeight="1">
      <x:c r="A64" s="17" t="str">
        <x:v>d</x:v>
      </x:c>
      <x:c r="B64" s="17" t="str">
        <x:v>NCG</x:v>
      </x:c>
      <x:c r="C64" s="17" t="str">
        <x:v>H1</x:v>
      </x:c>
      <x:c r="D64" s="11" t="n">
        <x:v>1167</x:v>
      </x:c>
      <x:c r="E64" s="11" t="n">
        <x:v>725</x:v>
      </x:c>
      <x:c r="F64" s="11" t="n">
        <x:v>861</x:v>
      </x:c>
      <x:c r="G64" s="11" t="n">
        <x:v>602</x:v>
      </x:c>
      <x:c r="H64" s="14" t="n">
        <x:f>G64/D64</x:f>
        <x:v>0.5158526135389888</x:v>
      </x:c>
      <x:c r="I64" s="11" t="n">
        <x:v>783</x:v>
      </x:c>
      <x:c r="J64" s="14" t="n">
        <x:f>I64/D64</x:f>
        <x:v>0.6709511568123393</x:v>
      </x:c>
      <x:c r="K64" s="11" t="n">
        <x:v>94</x:v>
      </x:c>
      <x:c r="L64" s="11" t="n">
        <x:v>26</x:v>
      </x:c>
      <x:c r="M64" s="11" t="n">
        <x:v>522</x:v>
      </x:c>
      <x:c r="N64" s="11" t="n">
        <x:v>60</x:v>
      </x:c>
      <x:c r="O64" s="11" t="n">
        <x:v>30</x:v>
      </x:c>
      <x:c r="P64" s="11" t="n">
        <x:v>26</x:v>
      </x:c>
      <x:c r="Q64" s="14" t="n">
        <x:f>IF(N64=0,"n.a.",P64/N64)</x:f>
        <x:v>0.43333333333333335</x:v>
      </x:c>
    </x:row>
    <x:row r="65" ht="23" customHeight="1">
      <x:c r="A65" s="17" t="str">
        <x:v>e</x:v>
      </x:c>
      <x:c r="B65" s="17" t="str">
        <x:v>N</x:v>
      </x:c>
      <x:c r="C65" s="17" t="str">
        <x:v>H0</x:v>
      </x:c>
      <x:c r="D65" s="11" t="n">
        <x:v>3347</x:v>
      </x:c>
      <x:c r="E65" s="11" t="n">
        <x:v>1696</x:v>
      </x:c>
      <x:c r="F65" s="11" t="str">
        <x:v>n.a.</x:v>
      </x:c>
      <x:c r="G65" s="11" t="n">
        <x:v>1696</x:v>
      </x:c>
      <x:c r="H65" s="14" t="n">
        <x:f>G65/D65</x:f>
        <x:v>0.5067224380041828</x:v>
      </x:c>
      <x:c r="I65" s="11" t="n">
        <x:v>2198</x:v>
      </x:c>
      <x:c r="J65" s="14" t="n">
        <x:f>I65/D65</x:f>
        <x:v>0.6567074992530625</x:v>
      </x:c>
      <x:c r="K65" s="11" t="n">
        <x:v>0</x:v>
      </x:c>
      <x:c r="L65" s="11" t="n">
        <x:v>0</x:v>
      </x:c>
      <x:c r="M65" s="11" t="n">
        <x:v>1696</x:v>
      </x:c>
      <x:c r="N65" s="11" t="n">
        <x:v>107</x:v>
      </x:c>
      <x:c r="O65" s="11" t="n">
        <x:v>87</x:v>
      </x:c>
      <x:c r="P65" s="11" t="n">
        <x:v>87</x:v>
      </x:c>
      <x:c r="Q65" s="14" t="n">
        <x:f>IF(N65=0,"n.a.",P65/N65)</x:f>
        <x:v>0.8130841121495327</x:v>
      </x:c>
    </x:row>
    <x:row r="66" ht="23" customHeight="1">
      <x:c r="A66" s="17" t="str">
        <x:v>e</x:v>
      </x:c>
      <x:c r="B66" s="17" t="str">
        <x:v>N</x:v>
      </x:c>
      <x:c r="C66" s="17" t="str">
        <x:v>H1</x:v>
      </x:c>
      <x:c r="D66" s="11" t="n">
        <x:v>3347</x:v>
      </x:c>
      <x:c r="E66" s="11" t="n">
        <x:v>1696</x:v>
      </x:c>
      <x:c r="F66" s="11" t="str">
        <x:v>n.a.</x:v>
      </x:c>
      <x:c r="G66" s="11" t="n">
        <x:v>1696</x:v>
      </x:c>
      <x:c r="H66" s="14" t="n">
        <x:f>G66/D66</x:f>
        <x:v>0.5067224380041828</x:v>
      </x:c>
      <x:c r="I66" s="11" t="n">
        <x:v>2198</x:v>
      </x:c>
      <x:c r="J66" s="14" t="n">
        <x:f>I66/D66</x:f>
        <x:v>0.6567074992530625</x:v>
      </x:c>
      <x:c r="K66" s="11" t="n">
        <x:v>0</x:v>
      </x:c>
      <x:c r="L66" s="11" t="n">
        <x:v>0</x:v>
      </x:c>
      <x:c r="M66" s="11" t="n">
        <x:v>1891</x:v>
      </x:c>
      <x:c r="N66" s="11" t="n">
        <x:v>107</x:v>
      </x:c>
      <x:c r="O66" s="11" t="n">
        <x:v>87</x:v>
      </x:c>
      <x:c r="P66" s="11" t="n">
        <x:v>87</x:v>
      </x:c>
      <x:c r="Q66" s="14" t="n">
        <x:f>IF(N66=0,"n.a.",P66/N66)</x:f>
        <x:v>0.8130841121495327</x:v>
      </x:c>
    </x:row>
    <x:row r="67" ht="23" customHeight="1">
      <x:c r="A67" s="17" t="str">
        <x:v>e</x:v>
      </x:c>
      <x:c r="B67" s="17" t="str">
        <x:v>C</x:v>
      </x:c>
      <x:c r="C67" s="17" t="str">
        <x:v>H0</x:v>
      </x:c>
      <x:c r="D67" s="11" t="n">
        <x:v>3347</x:v>
      </x:c>
      <x:c r="E67" s="11" t="str">
        <x:v>n.a.</x:v>
      </x:c>
      <x:c r="F67" s="11" t="n">
        <x:v>2204</x:v>
      </x:c>
      <x:c r="G67" s="11" t="n">
        <x:v>2204</x:v>
      </x:c>
      <x:c r="H67" s="14" t="n">
        <x:f>G67/D67</x:f>
        <x:v>0.6585001493875112</x:v>
      </x:c>
      <x:c r="I67" s="11" t="n">
        <x:v>2223</x:v>
      </x:c>
      <x:c r="J67" s="14" t="n">
        <x:f>I67/D67</x:f>
        <x:v>0.6641768748132656</x:v>
      </x:c>
      <x:c r="K67" s="11" t="n">
        <x:v>0</x:v>
      </x:c>
      <x:c r="L67" s="11" t="n">
        <x:v>0</x:v>
      </x:c>
      <x:c r="M67" s="11" t="n">
        <x:v>1858</x:v>
      </x:c>
      <x:c r="N67" s="11" t="n">
        <x:v>107</x:v>
      </x:c>
      <x:c r="O67" s="11" t="n">
        <x:v>4</x:v>
      </x:c>
      <x:c r="P67" s="11" t="n">
        <x:v>1</x:v>
      </x:c>
      <x:c r="Q67" s="14" t="n">
        <x:f>IF(N67=0,"n.a.",P67/N67)</x:f>
        <x:v>0.009345794392523364</x:v>
      </x:c>
    </x:row>
    <x:row r="68" ht="23" customHeight="1">
      <x:c r="A68" s="17" t="str">
        <x:v>e</x:v>
      </x:c>
      <x:c r="B68" s="17" t="str">
        <x:v>C</x:v>
      </x:c>
      <x:c r="C68" s="17" t="str">
        <x:v>H1</x:v>
      </x:c>
      <x:c r="D68" s="11" t="n">
        <x:v>3347</x:v>
      </x:c>
      <x:c r="E68" s="11" t="str">
        <x:v>n.a.</x:v>
      </x:c>
      <x:c r="F68" s="11" t="n">
        <x:v>2204</x:v>
      </x:c>
      <x:c r="G68" s="11" t="n">
        <x:v>2204</x:v>
      </x:c>
      <x:c r="H68" s="14" t="n">
        <x:f>G68/D68</x:f>
        <x:v>0.6585001493875112</x:v>
      </x:c>
      <x:c r="I68" s="11" t="n">
        <x:v>2223</x:v>
      </x:c>
      <x:c r="J68" s="14" t="n">
        <x:f>I68/D68</x:f>
        <x:v>0.6641768748132656</x:v>
      </x:c>
      <x:c r="K68" s="11" t="n">
        <x:v>0</x:v>
      </x:c>
      <x:c r="L68" s="11" t="n">
        <x:v>0</x:v>
      </x:c>
      <x:c r="M68" s="11" t="n">
        <x:v>1859</x:v>
      </x:c>
      <x:c r="N68" s="11" t="n">
        <x:v>107</x:v>
      </x:c>
      <x:c r="O68" s="11" t="n">
        <x:v>4</x:v>
      </x:c>
      <x:c r="P68" s="11" t="n">
        <x:v>1</x:v>
      </x:c>
      <x:c r="Q68" s="14" t="n">
        <x:f>IF(N68=0,"n.a.",P68/N68)</x:f>
        <x:v>0.009345794392523364</x:v>
      </x:c>
    </x:row>
    <x:row r="69" ht="23" customHeight="1">
      <x:c r="A69" s="17" t="str">
        <x:v>e</x:v>
      </x:c>
      <x:c r="B69" s="17" t="str">
        <x:v>NG</x:v>
      </x:c>
      <x:c r="C69" s="17" t="str">
        <x:v>H0</x:v>
      </x:c>
      <x:c r="D69" s="11" t="n">
        <x:v>3347</x:v>
      </x:c>
      <x:c r="E69" s="11" t="n">
        <x:v>1696</x:v>
      </x:c>
      <x:c r="F69" s="11" t="str">
        <x:v>n.a.</x:v>
      </x:c>
      <x:c r="G69" s="11" t="n">
        <x:v>1696</x:v>
      </x:c>
      <x:c r="H69" s="14" t="n">
        <x:f>G69/D69</x:f>
        <x:v>0.5067224380041828</x:v>
      </x:c>
      <x:c r="I69" s="11" t="n">
        <x:v>2198</x:v>
      </x:c>
      <x:c r="J69" s="14" t="n">
        <x:f>I69/D69</x:f>
        <x:v>0.6567074992530625</x:v>
      </x:c>
      <x:c r="K69" s="11" t="n">
        <x:v>0</x:v>
      </x:c>
      <x:c r="L69" s="11" t="n">
        <x:v>0</x:v>
      </x:c>
      <x:c r="M69" s="11" t="n">
        <x:v>1696</x:v>
      </x:c>
      <x:c r="N69" s="11" t="n">
        <x:v>107</x:v>
      </x:c>
      <x:c r="O69" s="11" t="n">
        <x:v>87</x:v>
      </x:c>
      <x:c r="P69" s="11" t="n">
        <x:v>87</x:v>
      </x:c>
      <x:c r="Q69" s="14" t="n">
        <x:f>IF(N69=0,"n.a.",P69/N69)</x:f>
        <x:v>0.8130841121495327</x:v>
      </x:c>
    </x:row>
    <x:row r="70" ht="23" customHeight="1">
      <x:c r="A70" s="17" t="str">
        <x:v>e</x:v>
      </x:c>
      <x:c r="B70" s="17" t="str">
        <x:v>NG</x:v>
      </x:c>
      <x:c r="C70" s="17" t="str">
        <x:v>H1</x:v>
      </x:c>
      <x:c r="D70" s="11" t="n">
        <x:v>3347</x:v>
      </x:c>
      <x:c r="E70" s="11" t="n">
        <x:v>1696</x:v>
      </x:c>
      <x:c r="F70" s="11" t="str">
        <x:v>n.a.</x:v>
      </x:c>
      <x:c r="G70" s="11" t="n">
        <x:v>1696</x:v>
      </x:c>
      <x:c r="H70" s="14" t="n">
        <x:f>G70/D70</x:f>
        <x:v>0.5067224380041828</x:v>
      </x:c>
      <x:c r="I70" s="11" t="n">
        <x:v>2198</x:v>
      </x:c>
      <x:c r="J70" s="14" t="n">
        <x:f>I70/D70</x:f>
        <x:v>0.6567074992530625</x:v>
      </x:c>
      <x:c r="K70" s="11" t="n">
        <x:v>0</x:v>
      </x:c>
      <x:c r="L70" s="11" t="n">
        <x:v>0</x:v>
      </x:c>
      <x:c r="M70" s="11" t="n">
        <x:v>1891</x:v>
      </x:c>
      <x:c r="N70" s="11" t="n">
        <x:v>107</x:v>
      </x:c>
      <x:c r="O70" s="11" t="n">
        <x:v>87</x:v>
      </x:c>
      <x:c r="P70" s="11" t="n">
        <x:v>87</x:v>
      </x:c>
      <x:c r="Q70" s="14" t="n">
        <x:f>IF(N70=0,"n.a.",P70/N70)</x:f>
        <x:v>0.8130841121495327</x:v>
      </x:c>
    </x:row>
    <x:row r="71" ht="23" customHeight="1">
      <x:c r="A71" s="17" t="str">
        <x:v>e</x:v>
      </x:c>
      <x:c r="B71" s="17" t="str">
        <x:v>CG</x:v>
      </x:c>
      <x:c r="C71" s="17" t="str">
        <x:v>H0</x:v>
      </x:c>
      <x:c r="D71" s="11" t="n">
        <x:v>3347</x:v>
      </x:c>
      <x:c r="E71" s="11" t="str">
        <x:v>n.a.</x:v>
      </x:c>
      <x:c r="F71" s="11" t="n">
        <x:v>2204</x:v>
      </x:c>
      <x:c r="G71" s="11" t="n">
        <x:v>2205</x:v>
      </x:c>
      <x:c r="H71" s="14" t="n">
        <x:f>G71/D71</x:f>
        <x:v>0.6587989244099194</x:v>
      </x:c>
      <x:c r="I71" s="11" t="n">
        <x:v>2224</x:v>
      </x:c>
      <x:c r="J71" s="14" t="n">
        <x:f>I71/D71</x:f>
        <x:v>0.6644756498356738</x:v>
      </x:c>
      <x:c r="K71" s="11" t="n">
        <x:v>0</x:v>
      </x:c>
      <x:c r="L71" s="11" t="n">
        <x:v>1</x:v>
      </x:c>
      <x:c r="M71" s="11" t="n">
        <x:v>1859</x:v>
      </x:c>
      <x:c r="N71" s="11" t="n">
        <x:v>107</x:v>
      </x:c>
      <x:c r="O71" s="11" t="n">
        <x:v>4</x:v>
      </x:c>
      <x:c r="P71" s="11" t="n">
        <x:v>1</x:v>
      </x:c>
      <x:c r="Q71" s="14" t="n">
        <x:f>IF(N71=0,"n.a.",P71/N71)</x:f>
        <x:v>0.009345794392523364</x:v>
      </x:c>
    </x:row>
    <x:row r="72" ht="23" customHeight="1">
      <x:c r="A72" s="17" t="str">
        <x:v>e</x:v>
      </x:c>
      <x:c r="B72" s="17" t="str">
        <x:v>CG</x:v>
      </x:c>
      <x:c r="C72" s="17" t="str">
        <x:v>H1</x:v>
      </x:c>
      <x:c r="D72" s="11" t="n">
        <x:v>3347</x:v>
      </x:c>
      <x:c r="E72" s="11" t="str">
        <x:v>n.a.</x:v>
      </x:c>
      <x:c r="F72" s="11" t="n">
        <x:v>2204</x:v>
      </x:c>
      <x:c r="G72" s="11" t="n">
        <x:v>2205</x:v>
      </x:c>
      <x:c r="H72" s="14" t="n">
        <x:f>G72/D72</x:f>
        <x:v>0.6587989244099194</x:v>
      </x:c>
      <x:c r="I72" s="11" t="n">
        <x:v>2224</x:v>
      </x:c>
      <x:c r="J72" s="14" t="n">
        <x:f>I72/D72</x:f>
        <x:v>0.6644756498356738</x:v>
      </x:c>
      <x:c r="K72" s="11" t="n">
        <x:v>0</x:v>
      </x:c>
      <x:c r="L72" s="11" t="n">
        <x:v>1</x:v>
      </x:c>
      <x:c r="M72" s="11" t="n">
        <x:v>1860</x:v>
      </x:c>
      <x:c r="N72" s="11" t="n">
        <x:v>107</x:v>
      </x:c>
      <x:c r="O72" s="11" t="n">
        <x:v>4</x:v>
      </x:c>
      <x:c r="P72" s="11" t="n">
        <x:v>1</x:v>
      </x:c>
      <x:c r="Q72" s="14" t="n">
        <x:f>IF(N72=0,"n.a.",P72/N72)</x:f>
        <x:v>0.009345794392523364</x:v>
      </x:c>
    </x:row>
    <x:row r="73" ht="23" customHeight="1">
      <x:c r="A73" s="17" t="str">
        <x:v>e</x:v>
      </x:c>
      <x:c r="B73" s="17" t="str">
        <x:v>NC</x:v>
      </x:c>
      <x:c r="C73" s="17" t="str">
        <x:v>H0</x:v>
      </x:c>
      <x:c r="D73" s="11" t="n">
        <x:v>3347</x:v>
      </x:c>
      <x:c r="E73" s="11" t="n">
        <x:v>1696</x:v>
      </x:c>
      <x:c r="F73" s="11" t="n">
        <x:v>2204</x:v>
      </x:c>
      <x:c r="G73" s="11" t="n">
        <x:v>1305</x:v>
      </x:c>
      <x:c r="H73" s="14" t="n">
        <x:f>G73/D73</x:f>
        <x:v>0.38990140424260533</x:v>
      </x:c>
      <x:c r="I73" s="11" t="n">
        <x:v>1798</x:v>
      </x:c>
      <x:c r="J73" s="14" t="n">
        <x:f>I73/D73</x:f>
        <x:v>0.5371974902898118</x:v>
      </x:c>
      <x:c r="K73" s="11" t="n">
        <x:v>396</x:v>
      </x:c>
      <x:c r="L73" s="11" t="n">
        <x:v>0</x:v>
      </x:c>
      <x:c r="M73" s="11" t="n">
        <x:v>1221</x:v>
      </x:c>
      <x:c r="N73" s="11" t="n">
        <x:v>107</x:v>
      </x:c>
      <x:c r="O73" s="11" t="n">
        <x:v>65</x:v>
      </x:c>
      <x:c r="P73" s="11" t="n">
        <x:v>65</x:v>
      </x:c>
      <x:c r="Q73" s="14" t="n">
        <x:f>IF(N73=0,"n.a.",P73/N73)</x:f>
        <x:v>0.6074766355140186</x:v>
      </x:c>
    </x:row>
    <x:row r="74" ht="23" customHeight="1">
      <x:c r="A74" s="17" t="str">
        <x:v>e</x:v>
      </x:c>
      <x:c r="B74" s="17" t="str">
        <x:v>NC</x:v>
      </x:c>
      <x:c r="C74" s="17" t="str">
        <x:v>H1</x:v>
      </x:c>
      <x:c r="D74" s="11" t="n">
        <x:v>3347</x:v>
      </x:c>
      <x:c r="E74" s="11" t="n">
        <x:v>1696</x:v>
      </x:c>
      <x:c r="F74" s="11" t="n">
        <x:v>2204</x:v>
      </x:c>
      <x:c r="G74" s="11" t="n">
        <x:v>1305</x:v>
      </x:c>
      <x:c r="H74" s="14" t="n">
        <x:f>G74/D74</x:f>
        <x:v>0.38990140424260533</x:v>
      </x:c>
      <x:c r="I74" s="11" t="n">
        <x:v>1798</x:v>
      </x:c>
      <x:c r="J74" s="14" t="n">
        <x:f>I74/D74</x:f>
        <x:v>0.5371974902898118</x:v>
      </x:c>
      <x:c r="K74" s="11" t="n">
        <x:v>396</x:v>
      </x:c>
      <x:c r="L74" s="11" t="n">
        <x:v>0</x:v>
      </x:c>
      <x:c r="M74" s="11" t="n">
        <x:v>1352</x:v>
      </x:c>
      <x:c r="N74" s="11" t="n">
        <x:v>107</x:v>
      </x:c>
      <x:c r="O74" s="11" t="n">
        <x:v>65</x:v>
      </x:c>
      <x:c r="P74" s="11" t="n">
        <x:v>65</x:v>
      </x:c>
      <x:c r="Q74" s="14" t="n">
        <x:f>IF(N74=0,"n.a.",P74/N74)</x:f>
        <x:v>0.6074766355140186</x:v>
      </x:c>
    </x:row>
    <x:row r="75" ht="23" customHeight="1">
      <x:c r="A75" s="17" t="str">
        <x:v>e</x:v>
      </x:c>
      <x:c r="B75" s="17" t="str">
        <x:v>NCG</x:v>
      </x:c>
      <x:c r="C75" s="17" t="str">
        <x:v>H0</x:v>
      </x:c>
      <x:c r="D75" s="11" t="n">
        <x:v>3347</x:v>
      </x:c>
      <x:c r="E75" s="11" t="n">
        <x:v>1696</x:v>
      </x:c>
      <x:c r="F75" s="11" t="n">
        <x:v>2204</x:v>
      </x:c>
      <x:c r="G75" s="11" t="n">
        <x:v>1306</x:v>
      </x:c>
      <x:c r="H75" s="14" t="n">
        <x:f>G75/D75</x:f>
        <x:v>0.39020017926501344</x:v>
      </x:c>
      <x:c r="I75" s="11" t="n">
        <x:v>1799</x:v>
      </x:c>
      <x:c r="J75" s="14" t="n">
        <x:f>I75/D75</x:f>
        <x:v>0.53749626531222</x:v>
      </x:c>
      <x:c r="K75" s="11" t="n">
        <x:v>396</x:v>
      </x:c>
      <x:c r="L75" s="11" t="n">
        <x:v>1</x:v>
      </x:c>
      <x:c r="M75" s="11" t="n">
        <x:v>1222</x:v>
      </x:c>
      <x:c r="N75" s="11" t="n">
        <x:v>107</x:v>
      </x:c>
      <x:c r="O75" s="11" t="n">
        <x:v>65</x:v>
      </x:c>
      <x:c r="P75" s="11" t="n">
        <x:v>65</x:v>
      </x:c>
      <x:c r="Q75" s="14" t="n">
        <x:f>IF(N75=0,"n.a.",P75/N75)</x:f>
        <x:v>0.6074766355140186</x:v>
      </x:c>
    </x:row>
    <x:row r="76" ht="23" customHeight="1">
      <x:c r="A76" s="17" t="str">
        <x:v>e</x:v>
      </x:c>
      <x:c r="B76" s="17" t="str">
        <x:v>NCG</x:v>
      </x:c>
      <x:c r="C76" s="17" t="str">
        <x:v>H1</x:v>
      </x:c>
      <x:c r="D76" s="11" t="n">
        <x:v>3347</x:v>
      </x:c>
      <x:c r="E76" s="11" t="n">
        <x:v>1696</x:v>
      </x:c>
      <x:c r="F76" s="11" t="n">
        <x:v>2204</x:v>
      </x:c>
      <x:c r="G76" s="11" t="n">
        <x:v>1306</x:v>
      </x:c>
      <x:c r="H76" s="14" t="n">
        <x:f>G76/D76</x:f>
        <x:v>0.39020017926501344</x:v>
      </x:c>
      <x:c r="I76" s="11" t="n">
        <x:v>1799</x:v>
      </x:c>
      <x:c r="J76" s="14" t="n">
        <x:f>I76/D76</x:f>
        <x:v>0.53749626531222</x:v>
      </x:c>
      <x:c r="K76" s="11" t="n">
        <x:v>396</x:v>
      </x:c>
      <x:c r="L76" s="11" t="n">
        <x:v>1</x:v>
      </x:c>
      <x:c r="M76" s="11" t="n">
        <x:v>1353</x:v>
      </x:c>
      <x:c r="N76" s="11" t="n">
        <x:v>107</x:v>
      </x:c>
      <x:c r="O76" s="11" t="n">
        <x:v>65</x:v>
      </x:c>
      <x:c r="P76" s="11" t="n">
        <x:v>65</x:v>
      </x:c>
      <x:c r="Q76" s="14" t="n">
        <x:f>IF(N76=0,"n.a.",P76/N76)</x:f>
        <x:v>0.6074766355140186</x:v>
      </x:c>
    </x:row>
    <x:row r="77" ht="23" customHeight="1">
      <x:c r="A77" s="17" t="str">
        <x:v>f</x:v>
      </x:c>
      <x:c r="B77" s="17" t="str">
        <x:v>N</x:v>
      </x:c>
      <x:c r="C77" s="17" t="str">
        <x:v>H0</x:v>
      </x:c>
      <x:c r="D77" s="11" t="n">
        <x:v>1480</x:v>
      </x:c>
      <x:c r="E77" s="11" t="n">
        <x:v>928</x:v>
      </x:c>
      <x:c r="F77" s="11" t="str">
        <x:v>n.a.</x:v>
      </x:c>
      <x:c r="G77" s="11" t="n">
        <x:v>928</x:v>
      </x:c>
      <x:c r="H77" s="14" t="n">
        <x:f>G77/D77</x:f>
        <x:v>0.6270270270270271</x:v>
      </x:c>
      <x:c r="I77" s="11" t="n">
        <x:v>1037</x:v>
      </x:c>
      <x:c r="J77" s="14" t="n">
        <x:f>I77/D77</x:f>
        <x:v>0.7006756756756757</x:v>
      </x:c>
      <x:c r="K77" s="11" t="n">
        <x:v>0</x:v>
      </x:c>
      <x:c r="L77" s="11" t="n">
        <x:v>0</x:v>
      </x:c>
      <x:c r="M77" s="11" t="n">
        <x:v>928</x:v>
      </x:c>
      <x:c r="N77" s="11" t="n">
        <x:v>196</x:v>
      </x:c>
      <x:c r="O77" s="11" t="n">
        <x:v>110</x:v>
      </x:c>
      <x:c r="P77" s="11" t="n">
        <x:v>75</x:v>
      </x:c>
      <x:c r="Q77" s="14" t="n">
        <x:f>IF(N77=0,"n.a.",P77/N77)</x:f>
        <x:v>0.3826530612244898</x:v>
      </x:c>
    </x:row>
    <x:row r="78" ht="23" customHeight="1">
      <x:c r="A78" s="17" t="str">
        <x:v>f</x:v>
      </x:c>
      <x:c r="B78" s="17" t="str">
        <x:v>N</x:v>
      </x:c>
      <x:c r="C78" s="17" t="str">
        <x:v>H1</x:v>
      </x:c>
      <x:c r="D78" s="11" t="n">
        <x:v>1480</x:v>
      </x:c>
      <x:c r="E78" s="11" t="n">
        <x:v>928</x:v>
      </x:c>
      <x:c r="F78" s="11" t="str">
        <x:v>n.a.</x:v>
      </x:c>
      <x:c r="G78" s="11" t="n">
        <x:v>928</x:v>
      </x:c>
      <x:c r="H78" s="14" t="n">
        <x:f>G78/D78</x:f>
        <x:v>0.6270270270270271</x:v>
      </x:c>
      <x:c r="I78" s="11" t="n">
        <x:v>1037</x:v>
      </x:c>
      <x:c r="J78" s="14" t="n">
        <x:f>I78/D78</x:f>
        <x:v>0.7006756756756757</x:v>
      </x:c>
      <x:c r="K78" s="11" t="n">
        <x:v>0</x:v>
      </x:c>
      <x:c r="L78" s="11" t="n">
        <x:v>0</x:v>
      </x:c>
      <x:c r="M78" s="11" t="n">
        <x:v>1115</x:v>
      </x:c>
      <x:c r="N78" s="11" t="n">
        <x:v>196</x:v>
      </x:c>
      <x:c r="O78" s="11" t="n">
        <x:v>110</x:v>
      </x:c>
      <x:c r="P78" s="11" t="n">
        <x:v>75</x:v>
      </x:c>
      <x:c r="Q78" s="14" t="n">
        <x:f>IF(N78=0,"n.a.",P78/N78)</x:f>
        <x:v>0.3826530612244898</x:v>
      </x:c>
    </x:row>
    <x:row r="79" ht="23" customHeight="1">
      <x:c r="A79" s="17" t="str">
        <x:v>f</x:v>
      </x:c>
      <x:c r="B79" s="17" t="str">
        <x:v>C</x:v>
      </x:c>
      <x:c r="C79" s="17" t="str">
        <x:v>H0</x:v>
      </x:c>
      <x:c r="D79" s="11" t="n">
        <x:v>1480</x:v>
      </x:c>
      <x:c r="E79" s="11" t="str">
        <x:v>n.a.</x:v>
      </x:c>
      <x:c r="F79" s="11" t="n">
        <x:v>923</x:v>
      </x:c>
      <x:c r="G79" s="11" t="n">
        <x:v>923</x:v>
      </x:c>
      <x:c r="H79" s="14" t="n">
        <x:f>G79/D79</x:f>
        <x:v>0.6236486486486487</x:v>
      </x:c>
      <x:c r="I79" s="11" t="n">
        <x:v>923</x:v>
      </x:c>
      <x:c r="J79" s="14" t="n">
        <x:f>I79/D79</x:f>
        <x:v>0.6236486486486487</x:v>
      </x:c>
      <x:c r="K79" s="11" t="n">
        <x:v>0</x:v>
      </x:c>
      <x:c r="L79" s="11" t="n">
        <x:v>0</x:v>
      </x:c>
      <x:c r="M79" s="11" t="n">
        <x:v>698</x:v>
      </x:c>
      <x:c r="N79" s="11" t="n">
        <x:v>196</x:v>
      </x:c>
      <x:c r="O79" s="11" t="n">
        <x:v>82</x:v>
      </x:c>
      <x:c r="P79" s="11" t="n">
        <x:v>25</x:v>
      </x:c>
      <x:c r="Q79" s="14" t="n">
        <x:f>IF(N79=0,"n.a.",P79/N79)</x:f>
        <x:v>0.12755102040816327</x:v>
      </x:c>
    </x:row>
    <x:row r="80" ht="23" customHeight="1">
      <x:c r="A80" s="17" t="str">
        <x:v>f</x:v>
      </x:c>
      <x:c r="B80" s="17" t="str">
        <x:v>C</x:v>
      </x:c>
      <x:c r="C80" s="17" t="str">
        <x:v>H1</x:v>
      </x:c>
      <x:c r="D80" s="11" t="n">
        <x:v>1480</x:v>
      </x:c>
      <x:c r="E80" s="11" t="str">
        <x:v>n.a.</x:v>
      </x:c>
      <x:c r="F80" s="11" t="n">
        <x:v>923</x:v>
      </x:c>
      <x:c r="G80" s="11" t="n">
        <x:v>923</x:v>
      </x:c>
      <x:c r="H80" s="14" t="n">
        <x:f>G80/D80</x:f>
        <x:v>0.6236486486486487</x:v>
      </x:c>
      <x:c r="I80" s="11" t="n">
        <x:v>923</x:v>
      </x:c>
      <x:c r="J80" s="14" t="n">
        <x:f>I80/D80</x:f>
        <x:v>0.6236486486486487</x:v>
      </x:c>
      <x:c r="K80" s="11" t="n">
        <x:v>0</x:v>
      </x:c>
      <x:c r="L80" s="11" t="n">
        <x:v>0</x:v>
      </x:c>
      <x:c r="M80" s="11" t="n">
        <x:v>803</x:v>
      </x:c>
      <x:c r="N80" s="11" t="n">
        <x:v>196</x:v>
      </x:c>
      <x:c r="O80" s="11" t="n">
        <x:v>82</x:v>
      </x:c>
      <x:c r="P80" s="11" t="n">
        <x:v>25</x:v>
      </x:c>
      <x:c r="Q80" s="14" t="n">
        <x:f>IF(N80=0,"n.a.",P80/N80)</x:f>
        <x:v>0.12755102040816327</x:v>
      </x:c>
    </x:row>
    <x:row r="81" ht="23" customHeight="1">
      <x:c r="A81" s="17" t="str">
        <x:v>f</x:v>
      </x:c>
      <x:c r="B81" s="17" t="str">
        <x:v>NG</x:v>
      </x:c>
      <x:c r="C81" s="17" t="str">
        <x:v>H0</x:v>
      </x:c>
      <x:c r="D81" s="11" t="n">
        <x:v>1480</x:v>
      </x:c>
      <x:c r="E81" s="11" t="n">
        <x:v>928</x:v>
      </x:c>
      <x:c r="F81" s="11" t="str">
        <x:v>n.a.</x:v>
      </x:c>
      <x:c r="G81" s="11" t="n">
        <x:v>928</x:v>
      </x:c>
      <x:c r="H81" s="14" t="n">
        <x:f>G81/D81</x:f>
        <x:v>0.6270270270270271</x:v>
      </x:c>
      <x:c r="I81" s="11" t="n">
        <x:v>1037</x:v>
      </x:c>
      <x:c r="J81" s="14" t="n">
        <x:f>I81/D81</x:f>
        <x:v>0.7006756756756757</x:v>
      </x:c>
      <x:c r="K81" s="11" t="n">
        <x:v>0</x:v>
      </x:c>
      <x:c r="L81" s="11" t="n">
        <x:v>0</x:v>
      </x:c>
      <x:c r="M81" s="11" t="n">
        <x:v>928</x:v>
      </x:c>
      <x:c r="N81" s="11" t="n">
        <x:v>196</x:v>
      </x:c>
      <x:c r="O81" s="11" t="n">
        <x:v>110</x:v>
      </x:c>
      <x:c r="P81" s="11" t="n">
        <x:v>75</x:v>
      </x:c>
      <x:c r="Q81" s="14" t="n">
        <x:f>IF(N81=0,"n.a.",P81/N81)</x:f>
        <x:v>0.3826530612244898</x:v>
      </x:c>
    </x:row>
    <x:row r="82" ht="23" customHeight="1">
      <x:c r="A82" s="17" t="str">
        <x:v>f</x:v>
      </x:c>
      <x:c r="B82" s="17" t="str">
        <x:v>NG</x:v>
      </x:c>
      <x:c r="C82" s="17" t="str">
        <x:v>H1</x:v>
      </x:c>
      <x:c r="D82" s="11" t="n">
        <x:v>1480</x:v>
      </x:c>
      <x:c r="E82" s="11" t="n">
        <x:v>928</x:v>
      </x:c>
      <x:c r="F82" s="11" t="str">
        <x:v>n.a.</x:v>
      </x:c>
      <x:c r="G82" s="11" t="n">
        <x:v>928</x:v>
      </x:c>
      <x:c r="H82" s="14" t="n">
        <x:f>G82/D82</x:f>
        <x:v>0.6270270270270271</x:v>
      </x:c>
      <x:c r="I82" s="11" t="n">
        <x:v>1037</x:v>
      </x:c>
      <x:c r="J82" s="14" t="n">
        <x:f>I82/D82</x:f>
        <x:v>0.7006756756756757</x:v>
      </x:c>
      <x:c r="K82" s="11" t="n">
        <x:v>0</x:v>
      </x:c>
      <x:c r="L82" s="11" t="n">
        <x:v>0</x:v>
      </x:c>
      <x:c r="M82" s="11" t="n">
        <x:v>1115</x:v>
      </x:c>
      <x:c r="N82" s="11" t="n">
        <x:v>196</x:v>
      </x:c>
      <x:c r="O82" s="11" t="n">
        <x:v>110</x:v>
      </x:c>
      <x:c r="P82" s="11" t="n">
        <x:v>75</x:v>
      </x:c>
      <x:c r="Q82" s="14" t="n">
        <x:f>IF(N82=0,"n.a.",P82/N82)</x:f>
        <x:v>0.3826530612244898</x:v>
      </x:c>
    </x:row>
    <x:row r="83" ht="23" customHeight="1">
      <x:c r="A83" s="17" t="str">
        <x:v>f</x:v>
      </x:c>
      <x:c r="B83" s="17" t="str">
        <x:v>CG</x:v>
      </x:c>
      <x:c r="C83" s="17" t="str">
        <x:v>H0</x:v>
      </x:c>
      <x:c r="D83" s="11" t="n">
        <x:v>1480</x:v>
      </x:c>
      <x:c r="E83" s="11" t="str">
        <x:v>n.a.</x:v>
      </x:c>
      <x:c r="F83" s="11" t="n">
        <x:v>923</x:v>
      </x:c>
      <x:c r="G83" s="11" t="n">
        <x:v>923</x:v>
      </x:c>
      <x:c r="H83" s="14" t="n">
        <x:f>G83/D83</x:f>
        <x:v>0.6236486486486487</x:v>
      </x:c>
      <x:c r="I83" s="11" t="n">
        <x:v>923</x:v>
      </x:c>
      <x:c r="J83" s="14" t="n">
        <x:f>I83/D83</x:f>
        <x:v>0.6236486486486487</x:v>
      </x:c>
      <x:c r="K83" s="11" t="n">
        <x:v>0</x:v>
      </x:c>
      <x:c r="L83" s="11" t="n">
        <x:v>0</x:v>
      </x:c>
      <x:c r="M83" s="11" t="n">
        <x:v>698</x:v>
      </x:c>
      <x:c r="N83" s="11" t="n">
        <x:v>196</x:v>
      </x:c>
      <x:c r="O83" s="11" t="n">
        <x:v>82</x:v>
      </x:c>
      <x:c r="P83" s="11" t="n">
        <x:v>25</x:v>
      </x:c>
      <x:c r="Q83" s="14" t="n">
        <x:f>IF(N83=0,"n.a.",P83/N83)</x:f>
        <x:v>0.12755102040816327</x:v>
      </x:c>
    </x:row>
    <x:row r="84" ht="23" customHeight="1">
      <x:c r="A84" s="17" t="str">
        <x:v>f</x:v>
      </x:c>
      <x:c r="B84" s="17" t="str">
        <x:v>CG</x:v>
      </x:c>
      <x:c r="C84" s="17" t="str">
        <x:v>H1</x:v>
      </x:c>
      <x:c r="D84" s="11" t="n">
        <x:v>1480</x:v>
      </x:c>
      <x:c r="E84" s="11" t="str">
        <x:v>n.a.</x:v>
      </x:c>
      <x:c r="F84" s="11" t="n">
        <x:v>923</x:v>
      </x:c>
      <x:c r="G84" s="11" t="n">
        <x:v>935</x:v>
      </x:c>
      <x:c r="H84" s="14" t="n">
        <x:f>G84/D84</x:f>
        <x:v>0.6317567567567568</x:v>
      </x:c>
      <x:c r="I84" s="11" t="n">
        <x:v>935</x:v>
      </x:c>
      <x:c r="J84" s="14" t="n">
        <x:f>I84/D84</x:f>
        <x:v>0.6317567567567568</x:v>
      </x:c>
      <x:c r="K84" s="11" t="n">
        <x:v>0</x:v>
      </x:c>
      <x:c r="L84" s="11" t="n">
        <x:v>12</x:v>
      </x:c>
      <x:c r="M84" s="11" t="n">
        <x:v>815</x:v>
      </x:c>
      <x:c r="N84" s="11" t="n">
        <x:v>196</x:v>
      </x:c>
      <x:c r="O84" s="11" t="n">
        <x:v>82</x:v>
      </x:c>
      <x:c r="P84" s="11" t="n">
        <x:v>25</x:v>
      </x:c>
      <x:c r="Q84" s="14" t="n">
        <x:f>IF(N84=0,"n.a.",P84/N84)</x:f>
        <x:v>0.12755102040816327</x:v>
      </x:c>
    </x:row>
    <x:row r="85" ht="23" customHeight="1">
      <x:c r="A85" s="17" t="str">
        <x:v>f</x:v>
      </x:c>
      <x:c r="B85" s="17" t="str">
        <x:v>NC</x:v>
      </x:c>
      <x:c r="C85" s="17" t="str">
        <x:v>H0</x:v>
      </x:c>
      <x:c r="D85" s="11" t="n">
        <x:v>1480</x:v>
      </x:c>
      <x:c r="E85" s="11" t="n">
        <x:v>928</x:v>
      </x:c>
      <x:c r="F85" s="11" t="n">
        <x:v>923</x:v>
      </x:c>
      <x:c r="G85" s="11" t="n">
        <x:v>808</x:v>
      </x:c>
      <x:c r="H85" s="14" t="n">
        <x:f>G85/D85</x:f>
        <x:v>0.5459459459459459</x:v>
      </x:c>
      <x:c r="I85" s="11" t="n">
        <x:v>901</x:v>
      </x:c>
      <x:c r="J85" s="14" t="n">
        <x:f>I85/D85</x:f>
        <x:v>0.6087837837837838</x:v>
      </x:c>
      <x:c r="K85" s="11" t="n">
        <x:v>296</x:v>
      </x:c>
      <x:c r="L85" s="11" t="n">
        <x:v>0</x:v>
      </x:c>
      <x:c r="M85" s="11" t="n">
        <x:v>766</x:v>
      </x:c>
      <x:c r="N85" s="11" t="n">
        <x:v>196</x:v>
      </x:c>
      <x:c r="O85" s="11" t="n">
        <x:v>66</x:v>
      </x:c>
      <x:c r="P85" s="11" t="n">
        <x:v>36</x:v>
      </x:c>
      <x:c r="Q85" s="14" t="n">
        <x:f>IF(N85=0,"n.a.",P85/N85)</x:f>
        <x:v>0.1836734693877551</x:v>
      </x:c>
    </x:row>
    <x:row r="86" ht="23" customHeight="1">
      <x:c r="A86" s="17" t="str">
        <x:v>f</x:v>
      </x:c>
      <x:c r="B86" s="17" t="str">
        <x:v>NC</x:v>
      </x:c>
      <x:c r="C86" s="17" t="str">
        <x:v>H1</x:v>
      </x:c>
      <x:c r="D86" s="11" t="n">
        <x:v>1480</x:v>
      </x:c>
      <x:c r="E86" s="11" t="n">
        <x:v>928</x:v>
      </x:c>
      <x:c r="F86" s="11" t="n">
        <x:v>923</x:v>
      </x:c>
      <x:c r="G86" s="11" t="n">
        <x:v>808</x:v>
      </x:c>
      <x:c r="H86" s="14" t="n">
        <x:f>G86/D86</x:f>
        <x:v>0.5459459459459459</x:v>
      </x:c>
      <x:c r="I86" s="11" t="n">
        <x:v>901</x:v>
      </x:c>
      <x:c r="J86" s="14" t="n">
        <x:f>I86/D86</x:f>
        <x:v>0.6087837837837838</x:v>
      </x:c>
      <x:c r="K86" s="11" t="n">
        <x:v>296</x:v>
      </x:c>
      <x:c r="L86" s="11" t="n">
        <x:v>0</x:v>
      </x:c>
      <x:c r="M86" s="11" t="n">
        <x:v>899</x:v>
      </x:c>
      <x:c r="N86" s="11" t="n">
        <x:v>196</x:v>
      </x:c>
      <x:c r="O86" s="11" t="n">
        <x:v>66</x:v>
      </x:c>
      <x:c r="P86" s="11" t="n">
        <x:v>36</x:v>
      </x:c>
      <x:c r="Q86" s="14" t="n">
        <x:f>IF(N86=0,"n.a.",P86/N86)</x:f>
        <x:v>0.1836734693877551</x:v>
      </x:c>
    </x:row>
    <x:row r="87" ht="23" customHeight="1">
      <x:c r="A87" s="17" t="str">
        <x:v>f</x:v>
      </x:c>
      <x:c r="B87" s="17" t="str">
        <x:v>NCG</x:v>
      </x:c>
      <x:c r="C87" s="17" t="str">
        <x:v>H0</x:v>
      </x:c>
      <x:c r="D87" s="11" t="n">
        <x:v>1480</x:v>
      </x:c>
      <x:c r="E87" s="11" t="n">
        <x:v>928</x:v>
      </x:c>
      <x:c r="F87" s="11" t="n">
        <x:v>923</x:v>
      </x:c>
      <x:c r="G87" s="11" t="n">
        <x:v>808</x:v>
      </x:c>
      <x:c r="H87" s="14" t="n">
        <x:f>G87/D87</x:f>
        <x:v>0.5459459459459459</x:v>
      </x:c>
      <x:c r="I87" s="11" t="n">
        <x:v>901</x:v>
      </x:c>
      <x:c r="J87" s="14" t="n">
        <x:f>I87/D87</x:f>
        <x:v>0.6087837837837838</x:v>
      </x:c>
      <x:c r="K87" s="11" t="n">
        <x:v>296</x:v>
      </x:c>
      <x:c r="L87" s="11" t="n">
        <x:v>0</x:v>
      </x:c>
      <x:c r="M87" s="11" t="n">
        <x:v>766</x:v>
      </x:c>
      <x:c r="N87" s="11" t="n">
        <x:v>196</x:v>
      </x:c>
      <x:c r="O87" s="11" t="n">
        <x:v>66</x:v>
      </x:c>
      <x:c r="P87" s="11" t="n">
        <x:v>36</x:v>
      </x:c>
      <x:c r="Q87" s="14" t="n">
        <x:f>IF(N87=0,"n.a.",P87/N87)</x:f>
        <x:v>0.1836734693877551</x:v>
      </x:c>
    </x:row>
    <x:row r="88" ht="23" customHeight="1">
      <x:c r="A88" s="17" t="str">
        <x:v>f</x:v>
      </x:c>
      <x:c r="B88" s="17" t="str">
        <x:v>NCG</x:v>
      </x:c>
      <x:c r="C88" s="17" t="str">
        <x:v>H1</x:v>
      </x:c>
      <x:c r="D88" s="11" t="n">
        <x:v>1480</x:v>
      </x:c>
      <x:c r="E88" s="11" t="n">
        <x:v>928</x:v>
      </x:c>
      <x:c r="F88" s="11" t="n">
        <x:v>923</x:v>
      </x:c>
      <x:c r="G88" s="11" t="n">
        <x:v>820</x:v>
      </x:c>
      <x:c r="H88" s="14" t="n">
        <x:f>G88/D88</x:f>
        <x:v>0.5540540540540541</x:v>
      </x:c>
      <x:c r="I88" s="11" t="n">
        <x:v>913</x:v>
      </x:c>
      <x:c r="J88" s="14" t="n">
        <x:f>I88/D88</x:f>
        <x:v>0.6168918918918919</x:v>
      </x:c>
      <x:c r="K88" s="11" t="n">
        <x:v>296</x:v>
      </x:c>
      <x:c r="L88" s="11" t="n">
        <x:v>12</x:v>
      </x:c>
      <x:c r="M88" s="11" t="n">
        <x:v>909</x:v>
      </x:c>
      <x:c r="N88" s="11" t="n">
        <x:v>196</x:v>
      </x:c>
      <x:c r="O88" s="11" t="n">
        <x:v>66</x:v>
      </x:c>
      <x:c r="P88" s="11" t="n">
        <x:v>36</x:v>
      </x:c>
      <x:c r="Q88" s="14" t="n">
        <x:f>IF(N88=0,"n.a.",P88/N88)</x:f>
        <x:v>0.1836734693877551</x:v>
      </x:c>
    </x:row>
  </x:sheetData>
  <x:pageMargins left="0.7" right="0.7" top="0.75" bottom="0.75" header="0.3" footer="0.3"/>
  <x:tableParts count="1">
    <x:tablePart xmlns:r="http://schemas.openxmlformats.org/officeDocument/2006/relationships" r:id="R8f631b1f2d874dd5"/>
  </x:tableParts>
</x:worksheet>
</file>

<file path=xl/worksheets/sheet6.xml><?xml version="1.0" encoding="utf-8"?>
<x:worksheet xmlns:x="http://schemas.openxmlformats.org/spreadsheetml/2006/main">
  <x:sheetPr>
    <x:tabColor rgb="FF23395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46" hidden="0" customWidth="1"/>
    <x:col min="4" max="4" width="27" hidden="0" customWidth="1"/>
    <x:col min="5" max="5" width="14" hidden="0" customWidth="1"/>
    <x:col min="6" max="6" width="14" hidden="0" customWidth="1"/>
    <x:col min="7" max="7" width="22" hidden="0" customWidth="1"/>
    <x:col min="8" max="8" width="19" hidden="0" customWidth="1"/>
    <x:col min="9" max="9" width="2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低置信候选类型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类别来自候选预测，不是真实标签。N与C采用不同判定；类内比例和低置信池占比均列出。</x:v>
      </x:c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8" t="str">
        <x:v>模型</x:v>
      </x:c>
      <x:c r="B4" s="8" t="str">
        <x:v>分支</x:v>
      </x:c>
      <x:c r="C4" s="8" t="str">
        <x:v>候选类型ID</x:v>
      </x:c>
      <x:c r="D4" s="8" t="str">
        <x:v>中文提示</x:v>
      </x:c>
      <x:c r="E4" s="8" t="str">
        <x:v>候选总数</x:v>
      </x:c>
      <x:c r="F4" s="8" t="str">
        <x:v>低置信数</x:v>
      </x:c>
      <x:c r="G4" s="8" t="str">
        <x:v>类内低置信比例</x:v>
      </x:c>
      <x:c r="H4" s="8" t="str">
        <x:v>占低置信池</x:v>
      </x:c>
      <x:c r="I4" s="8" t="str">
        <x:v>低置信源三角形</x:v>
      </x:c>
    </x:row>
    <x:row r="5" ht="23" customHeight="1">
      <x:c r="A5" s="17" t="str">
        <x:v>ALL</x:v>
      </x:c>
      <x:c r="B5" s="17" t="str">
        <x:v>C</x:v>
      </x:c>
      <x:c r="C5" s="17" t="str">
        <x:v>plain_block</x:v>
      </x:c>
      <x:c r="D5" s="9" t="str">
        <x:v>方块</x:v>
      </x:c>
      <x:c r="E5" s="11" t="n">
        <x:v>2542</x:v>
      </x:c>
      <x:c r="F5" s="11" t="n">
        <x:v>2542</x:v>
      </x:c>
      <x:c r="G5" s="14" t="n">
        <x:f>F5/E5</x:f>
        <x:v>1</x:v>
      </x:c>
      <x:c r="H5" s="14" t="n">
        <x:v>0.3415748454716474</x:v>
      </x:c>
      <x:c r="I5" s="11" t="n">
        <x:v>11583887</x:v>
      </x:c>
    </x:row>
    <x:row r="6" ht="23" customHeight="1">
      <x:c r="A6" s="17" t="str">
        <x:v>ALL</x:v>
      </x:c>
      <x:c r="B6" s="17" t="str">
        <x:v>C</x:v>
      </x:c>
      <x:c r="C6" s="17" t="str">
        <x:v>shaft_key</x:v>
      </x:c>
      <x:c r="D6" s="9" t="str">
        <x:v>平键</x:v>
      </x:c>
      <x:c r="E6" s="11" t="n">
        <x:v>1906</x:v>
      </x:c>
      <x:c r="F6" s="11" t="n">
        <x:v>1131</x:v>
      </x:c>
      <x:c r="G6" s="14" t="n">
        <x:f>F6/E6</x:f>
        <x:v>0.593389296956978</x:v>
      </x:c>
      <x:c r="H6" s="14" t="n">
        <x:v>0.15197527546358505</x:v>
      </x:c>
      <x:c r="I6" s="11" t="n">
        <x:v>5079969</x:v>
      </x:c>
    </x:row>
    <x:row r="7" ht="23" customHeight="1">
      <x:c r="A7" s="17" t="str">
        <x:v>ALL</x:v>
      </x:c>
      <x:c r="B7" s="17" t="str">
        <x:v>C</x:v>
      </x:c>
      <x:c r="C7" s="17" t="str">
        <x:v>flat_washer</x:v>
      </x:c>
      <x:c r="D7" s="9" t="str">
        <x:v>平垫圈</x:v>
      </x:c>
      <x:c r="E7" s="11" t="n">
        <x:v>819</x:v>
      </x:c>
      <x:c r="F7" s="11" t="n">
        <x:v>738</x:v>
      </x:c>
      <x:c r="G7" s="14" t="n">
        <x:f>F7/E7</x:f>
        <x:v>0.9010989010989011</x:v>
      </x:c>
      <x:c r="H7" s="14" t="n">
        <x:v>0.09916689062080086</x:v>
      </x:c>
      <x:c r="I7" s="11" t="n">
        <x:v>2796920</x:v>
      </x:c>
    </x:row>
    <x:row r="8" ht="23" customHeight="1">
      <x:c r="A8" s="17" t="str">
        <x:v>ALL</x:v>
      </x:c>
      <x:c r="B8" s="17" t="str">
        <x:v>C</x:v>
      </x:c>
      <x:c r="C8" s="17" t="str">
        <x:v>dowel_pin</x:v>
      </x:c>
      <x:c r="D8" s="9" t="str">
        <x:v>定位销</x:v>
      </x:c>
      <x:c r="E8" s="11" t="n">
        <x:v>2410</x:v>
      </x:c>
      <x:c r="F8" s="11" t="n">
        <x:v>364</x:v>
      </x:c>
      <x:c r="G8" s="14" t="n">
        <x:f>F8/E8</x:f>
        <x:v>0.15103734439834024</x:v>
      </x:c>
      <x:c r="H8" s="14" t="n">
        <x:v>0.04891158290782048</x:v>
      </x:c>
      <x:c r="I8" s="11" t="n">
        <x:v>720992</x:v>
      </x:c>
    </x:row>
    <x:row r="9" ht="23" customHeight="1">
      <x:c r="A9" s="17" t="str">
        <x:v>ALL</x:v>
      </x:c>
      <x:c r="B9" s="17" t="str">
        <x:v>C</x:v>
      </x:c>
      <x:c r="C9" s="17" t="str">
        <x:v>cap_nut</x:v>
      </x:c>
      <x:c r="D9" s="9" t="str">
        <x:v>盖形螺母</x:v>
      </x:c>
      <x:c r="E9" s="11" t="n">
        <x:v>474</x:v>
      </x:c>
      <x:c r="F9" s="11" t="n">
        <x:v>321</x:v>
      </x:c>
      <x:c r="G9" s="14" t="n">
        <x:f>F9/E9</x:f>
        <x:v>0.6772151898734177</x:v>
      </x:c>
      <x:c r="H9" s="14" t="n">
        <x:v>0.043133566245632894</x:v>
      </x:c>
      <x:c r="I9" s="11" t="n">
        <x:v>1621338</x:v>
      </x:c>
    </x:row>
    <x:row r="10" ht="23" customHeight="1">
      <x:c r="A10" s="17" t="str">
        <x:v>ALL</x:v>
      </x:c>
      <x:c r="B10" s="17" t="str">
        <x:v>C</x:v>
      </x:c>
      <x:c r="C10" s="17" t="str">
        <x:v>threaded_stud</x:v>
      </x:c>
      <x:c r="D10" s="9" t="str">
        <x:v>螺柱</x:v>
      </x:c>
      <x:c r="E10" s="11" t="n">
        <x:v>361</x:v>
      </x:c>
      <x:c r="F10" s="11" t="n">
        <x:v>307</x:v>
      </x:c>
      <x:c r="G10" s="14" t="n">
        <x:f>F10/E10</x:f>
        <x:v>0.850415512465374</x:v>
      </x:c>
      <x:c r="H10" s="14" t="n">
        <x:v>0.04125235151840903</x:v>
      </x:c>
      <x:c r="I10" s="11" t="n">
        <x:v>837726</x:v>
      </x:c>
    </x:row>
    <x:row r="11" ht="23" customHeight="1">
      <x:c r="A11" s="17" t="str">
        <x:v>ALL</x:v>
      </x:c>
      <x:c r="B11" s="17" t="str">
        <x:v>C</x:v>
      </x:c>
      <x:c r="C11" s="17" t="str">
        <x:v>die_block</x:v>
      </x:c>
      <x:c r="D11" s="9" t="str">
        <x:v>模具</x:v>
      </x:c>
      <x:c r="E11" s="11" t="n">
        <x:v>294</x:v>
      </x:c>
      <x:c r="F11" s="11" t="n">
        <x:v>294</x:v>
      </x:c>
      <x:c r="G11" s="14" t="n">
        <x:f>F11/E11</x:f>
        <x:v>1</x:v>
      </x:c>
      <x:c r="H11" s="14" t="n">
        <x:v>0.039505509271701156</x:v>
      </x:c>
      <x:c r="I11" s="11" t="n">
        <x:v>397982</x:v>
      </x:c>
    </x:row>
    <x:row r="12" ht="23" customHeight="1">
      <x:c r="A12" s="17" t="str">
        <x:v>ALL</x:v>
      </x:c>
      <x:c r="B12" s="17" t="str">
        <x:v>C</x:v>
      </x:c>
      <x:c r="C12" s="17" t="str">
        <x:v>mounting_plate</x:v>
      </x:c>
      <x:c r="D12" s="9" t="str">
        <x:v>安装板</x:v>
      </x:c>
      <x:c r="E12" s="11" t="n">
        <x:v>256</x:v>
      </x:c>
      <x:c r="F12" s="11" t="n">
        <x:v>232</x:v>
      </x:c>
      <x:c r="G12" s="14" t="n">
        <x:f>F12/E12</x:f>
        <x:v>0.90625</x:v>
      </x:c>
      <x:c r="H12" s="14" t="n">
        <x:v>0.031174415479709755</x:v>
      </x:c>
      <x:c r="I12" s="11" t="n">
        <x:v>328632</x:v>
      </x:c>
    </x:row>
    <x:row r="13" ht="23" customHeight="1">
      <x:c r="A13" s="17" t="str">
        <x:v>ALL</x:v>
      </x:c>
      <x:c r="B13" s="17" t="str">
        <x:v>C</x:v>
      </x:c>
      <x:c r="C13" s="17" t="str">
        <x:v>nozzle</x:v>
      </x:c>
      <x:c r="D13" s="9" t="str">
        <x:v>气嘴</x:v>
      </x:c>
      <x:c r="E13" s="11" t="n">
        <x:v>228</x:v>
      </x:c>
      <x:c r="F13" s="11" t="n">
        <x:v>226</x:v>
      </x:c>
      <x:c r="G13" s="14" t="n">
        <x:f>F13/E13</x:f>
        <x:v>0.9912280701754386</x:v>
      </x:c>
      <x:c r="H13" s="14" t="n">
        <x:v>0.030368180596613812</x:v>
      </x:c>
      <x:c r="I13" s="11" t="n">
        <x:v>1582204</x:v>
      </x:c>
    </x:row>
    <x:row r="14" ht="23" customHeight="1">
      <x:c r="A14" s="17" t="str">
        <x:v>ALL</x:v>
      </x:c>
      <x:c r="B14" s="17" t="str">
        <x:v>C</x:v>
      </x:c>
      <x:c r="C14" s="17" t="str">
        <x:v>hex_nut</x:v>
      </x:c>
      <x:c r="D14" s="9" t="str">
        <x:v>螺母</x:v>
      </x:c>
      <x:c r="E14" s="11" t="n">
        <x:v>456</x:v>
      </x:c>
      <x:c r="F14" s="11" t="n">
        <x:v>220</x:v>
      </x:c>
      <x:c r="G14" s="14" t="n">
        <x:f>F14/E14</x:f>
        <x:v>0.4824561403508772</x:v>
      </x:c>
      <x:c r="H14" s="14" t="n">
        <x:v>0.029561945713517872</x:v>
      </x:c>
      <x:c r="I14" s="11" t="n">
        <x:v>728514</x:v>
      </x:c>
    </x:row>
    <x:row r="15" ht="23" customHeight="1">
      <x:c r="A15" s="17" t="str">
        <x:v>ALL</x:v>
      </x:c>
      <x:c r="B15" s="17" t="str">
        <x:v>C</x:v>
      </x:c>
      <x:c r="C15" s="17" t="str">
        <x:v>punch_tool</x:v>
      </x:c>
      <x:c r="D15" s="9" t="str">
        <x:v>冲头</x:v>
      </x:c>
      <x:c r="E15" s="11" t="n">
        <x:v>187</x:v>
      </x:c>
      <x:c r="F15" s="11" t="n">
        <x:v>165</x:v>
      </x:c>
      <x:c r="G15" s="14" t="n">
        <x:f>F15/E15</x:f>
        <x:v>0.8823529411764706</x:v>
      </x:c>
      <x:c r="H15" s="14" t="n">
        <x:v>0.022171459285138403</x:v>
      </x:c>
      <x:c r="I15" s="11" t="n">
        <x:v>1551234</x:v>
      </x:c>
    </x:row>
    <x:row r="16" ht="23" customHeight="1">
      <x:c r="A16" s="17" t="str">
        <x:v>ALL</x:v>
      </x:c>
      <x:c r="B16" s="17" t="str">
        <x:v>C</x:v>
      </x:c>
      <x:c r="C16" s="17" t="str">
        <x:v>feature_plate</x:v>
      </x:c>
      <x:c r="D16" s="9" t="str">
        <x:v>孔板</x:v>
      </x:c>
      <x:c r="E16" s="11" t="n">
        <x:v>159</x:v>
      </x:c>
      <x:c r="F16" s="11" t="n">
        <x:v>159</x:v>
      </x:c>
      <x:c r="G16" s="14" t="n">
        <x:f>F16/E16</x:f>
        <x:v>1</x:v>
      </x:c>
      <x:c r="H16" s="14" t="n">
        <x:v>0.02136522440204246</x:v>
      </x:c>
      <x:c r="I16" s="11" t="n">
        <x:v>1665896</x:v>
      </x:c>
    </x:row>
    <x:row r="17" ht="23" customHeight="1">
      <x:c r="A17" s="17" t="str">
        <x:v>ALL</x:v>
      </x:c>
      <x:c r="B17" s="17" t="str">
        <x:v>C</x:v>
      </x:c>
      <x:c r="C17" s="17" t="str">
        <x:v>retaining_ring</x:v>
      </x:c>
      <x:c r="D17" s="9" t="str">
        <x:v>卡簧</x:v>
      </x:c>
      <x:c r="E17" s="11" t="n">
        <x:v>317</x:v>
      </x:c>
      <x:c r="F17" s="11" t="n">
        <x:v>156</x:v>
      </x:c>
      <x:c r="G17" s="14" t="n">
        <x:f>F17/E17</x:f>
        <x:v>0.4921135646687697</x:v>
      </x:c>
      <x:c r="H17" s="14" t="n">
        <x:v>0.02096210696049449</x:v>
      </x:c>
      <x:c r="I17" s="11" t="n">
        <x:v>774530</x:v>
      </x:c>
    </x:row>
    <x:row r="18" ht="23" customHeight="1">
      <x:c r="A18" s="17" t="str">
        <x:v>ALL</x:v>
      </x:c>
      <x:c r="B18" s="17" t="str">
        <x:v>C</x:v>
      </x:c>
      <x:c r="C18" s="17" t="str">
        <x:v>slotted_nut</x:v>
      </x:c>
      <x:c r="D18" s="9" t="str">
        <x:v>开槽螺母</x:v>
      </x:c>
      <x:c r="E18" s="11" t="n">
        <x:v>157</x:v>
      </x:c>
      <x:c r="F18" s="11" t="n">
        <x:v>154</x:v>
      </x:c>
      <x:c r="G18" s="14" t="n">
        <x:f>F18/E18</x:f>
        <x:v>0.9808917197452229</x:v>
      </x:c>
      <x:c r="H18" s="14" t="n">
        <x:v>0.02069336199946251</x:v>
      </x:c>
      <x:c r="I18" s="11" t="n">
        <x:v>432038</x:v>
      </x:c>
    </x:row>
    <x:row r="19" ht="23" customHeight="1">
      <x:c r="A19" s="17" t="str">
        <x:v>ALL</x:v>
      </x:c>
      <x:c r="B19" s="17" t="str">
        <x:v>C</x:v>
      </x:c>
      <x:c r="C19" s="17" t="str">
        <x:v>proximity_sensor</x:v>
      </x:c>
      <x:c r="D19" s="9" t="str">
        <x:v>接近开关</x:v>
      </x:c>
      <x:c r="E19" s="11" t="n">
        <x:v>99</x:v>
      </x:c>
      <x:c r="F19" s="11" t="n">
        <x:v>99</x:v>
      </x:c>
      <x:c r="G19" s="14" t="n">
        <x:f>F19/E19</x:f>
        <x:v>1</x:v>
      </x:c>
      <x:c r="H19" s="14" t="n">
        <x:v>0.013302875571083042</x:v>
      </x:c>
      <x:c r="I19" s="11" t="n">
        <x:v>233680</x:v>
      </x:c>
    </x:row>
    <x:row r="20" ht="23" customHeight="1">
      <x:c r="A20" s="17" t="str">
        <x:v>ALL</x:v>
      </x:c>
      <x:c r="B20" s="17" t="str">
        <x:v>C</x:v>
      </x:c>
      <x:c r="C20" s="17" t="str">
        <x:v>aluminum_extrusion</x:v>
      </x:c>
      <x:c r="D20" s="9" t="str">
        <x:v>铝型材</x:v>
      </x:c>
      <x:c r="E20" s="11" t="n">
        <x:v>97</x:v>
      </x:c>
      <x:c r="F20" s="11" t="n">
        <x:v>97</x:v>
      </x:c>
      <x:c r="G20" s="14" t="n">
        <x:f>F20/E20</x:f>
        <x:v>1</x:v>
      </x:c>
      <x:c r="H20" s="14" t="n">
        <x:v>0.013034130610051061</x:v>
      </x:c>
      <x:c r="I20" s="11" t="n">
        <x:v>192804</x:v>
      </x:c>
    </x:row>
    <x:row r="21" ht="23" customHeight="1">
      <x:c r="A21" s="17" t="str">
        <x:v>ALL</x:v>
      </x:c>
      <x:c r="B21" s="17" t="str">
        <x:v>C</x:v>
      </x:c>
      <x:c r="C21" s="17" t="str">
        <x:v>plain_shaft</x:v>
      </x:c>
      <x:c r="D21" s="9" t="str">
        <x:v>圆轴</x:v>
      </x:c>
      <x:c r="E21" s="11" t="n">
        <x:v>56</x:v>
      </x:c>
      <x:c r="F21" s="11" t="n">
        <x:v>56</x:v>
      </x:c>
      <x:c r="G21" s="14" t="n">
        <x:f>F21/E21</x:f>
        <x:v>1</x:v>
      </x:c>
      <x:c r="H21" s="14" t="n">
        <x:v>0.007524858908895459</x:v>
      </x:c>
      <x:c r="I21" s="11" t="n">
        <x:v>99662</x:v>
      </x:c>
    </x:row>
    <x:row r="22" ht="23" customHeight="1">
      <x:c r="A22" s="17" t="str">
        <x:v>ALL</x:v>
      </x:c>
      <x:c r="B22" s="17" t="str">
        <x:v>C</x:v>
      </x:c>
      <x:c r="C22" s="17" t="str">
        <x:v>sprocket</x:v>
      </x:c>
      <x:c r="D22" s="9" t="str">
        <x:v>链轮</x:v>
      </x:c>
      <x:c r="E22" s="11" t="n">
        <x:v>48</x:v>
      </x:c>
      <x:c r="F22" s="11" t="n">
        <x:v>47</x:v>
      </x:c>
      <x:c r="G22" s="14" t="n">
        <x:f>F22/E22</x:f>
        <x:v>0.9791666666666666</x:v>
      </x:c>
      <x:c r="H22" s="14" t="n">
        <x:v>0.006315506584251545</x:v>
      </x:c>
      <x:c r="I22" s="11" t="n">
        <x:v>160418</x:v>
      </x:c>
    </x:row>
    <x:row r="23" ht="23" customHeight="1">
      <x:c r="A23" s="17" t="str">
        <x:v>ALL</x:v>
      </x:c>
      <x:c r="B23" s="17" t="str">
        <x:v>C</x:v>
      </x:c>
      <x:c r="C23" s="17" t="str">
        <x:v>pipe_fitting</x:v>
      </x:c>
      <x:c r="D23" s="9" t="str">
        <x:v>接头</x:v>
      </x:c>
      <x:c r="E23" s="11" t="n">
        <x:v>35</x:v>
      </x:c>
      <x:c r="F23" s="11" t="n">
        <x:v>35</x:v>
      </x:c>
      <x:c r="G23" s="14" t="n">
        <x:f>F23/E23</x:f>
        <x:v>1</x:v>
      </x:c>
      <x:c r="H23" s="14" t="n">
        <x:v>0.0047030368180596615</x:v>
      </x:c>
      <x:c r="I23" s="11" t="n">
        <x:v>195540</x:v>
      </x:c>
    </x:row>
    <x:row r="24" ht="23" customHeight="1">
      <x:c r="A24" s="17" t="str">
        <x:v>ALL</x:v>
      </x:c>
      <x:c r="B24" s="17" t="str">
        <x:v>C</x:v>
      </x:c>
      <x:c r="C24" s="17" t="str">
        <x:v>coil_spring</x:v>
      </x:c>
      <x:c r="D24" s="9" t="str">
        <x:v>弹簧</x:v>
      </x:c>
      <x:c r="E24" s="11" t="n">
        <x:v>33</x:v>
      </x:c>
      <x:c r="F24" s="11" t="n">
        <x:v>33</x:v>
      </x:c>
      <x:c r="G24" s="14" t="n">
        <x:f>F24/E24</x:f>
        <x:v>1</x:v>
      </x:c>
      <x:c r="H24" s="14" t="n">
        <x:v>0.0044342918570276805</x:v>
      </x:c>
      <x:c r="I24" s="11" t="n">
        <x:v>1096802</x:v>
      </x:c>
    </x:row>
    <x:row r="25" ht="23" customHeight="1">
      <x:c r="A25" s="17" t="str">
        <x:v>ALL</x:v>
      </x:c>
      <x:c r="B25" s="17" t="str">
        <x:v>C</x:v>
      </x:c>
      <x:c r="C25" s="17" t="str">
        <x:v>mounting_bracket</x:v>
      </x:c>
      <x:c r="D25" s="9" t="str">
        <x:v>支架</x:v>
      </x:c>
      <x:c r="E25" s="11" t="n">
        <x:v>19</x:v>
      </x:c>
      <x:c r="F25" s="11" t="n">
        <x:v>19</x:v>
      </x:c>
      <x:c r="G25" s="14" t="n">
        <x:f>F25/E25</x:f>
        <x:v>1</x:v>
      </x:c>
      <x:c r="H25" s="14" t="n">
        <x:v>0.002553077129803816</x:v>
      </x:c>
      <x:c r="I25" s="11" t="n">
        <x:v>31228</x:v>
      </x:c>
    </x:row>
    <x:row r="26" ht="23" customHeight="1">
      <x:c r="A26" s="17" t="str">
        <x:v>ALL</x:v>
      </x:c>
      <x:c r="B26" s="17" t="str">
        <x:v>C</x:v>
      </x:c>
      <x:c r="C26" s="17" t="str">
        <x:v>camera_lens</x:v>
      </x:c>
      <x:c r="D26" s="9" t="str">
        <x:v>镜头</x:v>
      </x:c>
      <x:c r="E26" s="11" t="n">
        <x:v>11</x:v>
      </x:c>
      <x:c r="F26" s="11" t="n">
        <x:v>11</x:v>
      </x:c>
      <x:c r="G26" s="14" t="n">
        <x:f>F26/E26</x:f>
        <x:v>1</x:v>
      </x:c>
      <x:c r="H26" s="14" t="n">
        <x:v>0.0014780972856758936</x:v>
      </x:c>
      <x:c r="I26" s="11" t="n">
        <x:v>47072</x:v>
      </x:c>
    </x:row>
    <x:row r="27" ht="23" customHeight="1">
      <x:c r="A27" s="17" t="str">
        <x:v>ALL</x:v>
      </x:c>
      <x:c r="B27" s="17" t="str">
        <x:v>C</x:v>
      </x:c>
      <x:c r="C27" s="17" t="str">
        <x:v>suction_cup</x:v>
      </x:c>
      <x:c r="D27" s="9" t="str">
        <x:v>吸盘</x:v>
      </x:c>
      <x:c r="E27" s="11" t="n">
        <x:v>10</x:v>
      </x:c>
      <x:c r="F27" s="11" t="n">
        <x:v>10</x:v>
      </x:c>
      <x:c r="G27" s="14" t="n">
        <x:f>F27/E27</x:f>
        <x:v>1</x:v>
      </x:c>
      <x:c r="H27" s="14" t="n">
        <x:v>0.0013437248051599033</x:v>
      </x:c>
      <x:c r="I27" s="11" t="n">
        <x:v>154715</x:v>
      </x:c>
    </x:row>
    <x:row r="28" ht="23" customHeight="1">
      <x:c r="A28" s="17" t="str">
        <x:v>ALL</x:v>
      </x:c>
      <x:c r="B28" s="17" t="str">
        <x:v>C</x:v>
      </x:c>
      <x:c r="C28" s="17" t="str">
        <x:v>lead_screw</x:v>
      </x:c>
      <x:c r="D28" s="9" t="str">
        <x:v>丝杆</x:v>
      </x:c>
      <x:c r="E28" s="11" t="n">
        <x:v>9</x:v>
      </x:c>
      <x:c r="F28" s="11" t="n">
        <x:v>9</x:v>
      </x:c>
      <x:c r="G28" s="14" t="n">
        <x:f>F28/E28</x:f>
        <x:v>1</x:v>
      </x:c>
      <x:c r="H28" s="14" t="n">
        <x:v>0.001209352324643913</x:v>
      </x:c>
      <x:c r="I28" s="11" t="n">
        <x:v>140064</x:v>
      </x:c>
    </x:row>
    <x:row r="29" ht="23" customHeight="1">
      <x:c r="A29" s="17" t="str">
        <x:v>ALL</x:v>
      </x:c>
      <x:c r="B29" s="17" t="str">
        <x:v>C</x:v>
      </x:c>
      <x:c r="C29" s="17" t="str">
        <x:v>flexible_hose</x:v>
      </x:c>
      <x:c r="D29" s="9" t="str">
        <x:v>气管</x:v>
      </x:c>
      <x:c r="E29" s="11" t="n">
        <x:v>4</x:v>
      </x:c>
      <x:c r="F29" s="11" t="n">
        <x:v>4</x:v>
      </x:c>
      <x:c r="G29" s="14" t="n">
        <x:f>F29/E29</x:f>
        <x:v>1</x:v>
      </x:c>
      <x:c r="H29" s="14" t="n">
        <x:v>0.0005374899220639613</x:v>
      </x:c>
      <x:c r="I29" s="11" t="n">
        <x:v>4456</x:v>
      </x:c>
    </x:row>
    <x:row r="30" ht="23" customHeight="1">
      <x:c r="A30" s="17" t="str">
        <x:v>ALL</x:v>
      </x:c>
      <x:c r="B30" s="17" t="str">
        <x:v>C</x:v>
      </x:c>
      <x:c r="C30" s="17" t="str">
        <x:v>seal_ring</x:v>
      </x:c>
      <x:c r="D30" s="9" t="str">
        <x:v>密封圈</x:v>
      </x:c>
      <x:c r="E30" s="11" t="n">
        <x:v>4</x:v>
      </x:c>
      <x:c r="F30" s="11" t="n">
        <x:v>4</x:v>
      </x:c>
      <x:c r="G30" s="14" t="n">
        <x:f>F30/E30</x:f>
        <x:v>1</x:v>
      </x:c>
      <x:c r="H30" s="14" t="n">
        <x:v>0.0005374899220639613</x:v>
      </x:c>
      <x:c r="I30" s="11" t="n">
        <x:v>2576</x:v>
      </x:c>
    </x:row>
    <x:row r="31" ht="23" customHeight="1">
      <x:c r="A31" s="17" t="str">
        <x:v>ALL</x:v>
      </x:c>
      <x:c r="B31" s="17" t="str">
        <x:v>C</x:v>
      </x:c>
      <x:c r="C31" s="17" t="str">
        <x:v>machine_base</x:v>
      </x:c>
      <x:c r="D31" s="9" t="str">
        <x:v>底座</x:v>
      </x:c>
      <x:c r="E31" s="11" t="n">
        <x:v>3</x:v>
      </x:c>
      <x:c r="F31" s="11" t="n">
        <x:v>3</x:v>
      </x:c>
      <x:c r="G31" s="14" t="n">
        <x:f>F31/E31</x:f>
        <x:v>1</x:v>
      </x:c>
      <x:c r="H31" s="14" t="n">
        <x:v>0.00040311744154797097</x:v>
      </x:c>
      <x:c r="I31" s="11" t="n">
        <x:v>8580</x:v>
      </x:c>
    </x:row>
    <x:row r="32" ht="23" customHeight="1">
      <x:c r="A32" s="17" t="str">
        <x:v>ALL</x:v>
      </x:c>
      <x:c r="B32" s="17" t="str">
        <x:v>C</x:v>
      </x:c>
      <x:c r="C32" s="17" t="str">
        <x:v>hex_bolt</x:v>
      </x:c>
      <x:c r="D32" s="9" t="str">
        <x:v>螺栓</x:v>
      </x:c>
      <x:c r="E32" s="11" t="n">
        <x:v>2</x:v>
      </x:c>
      <x:c r="F32" s="11" t="n">
        <x:v>2</x:v>
      </x:c>
      <x:c r="G32" s="14" t="n">
        <x:f>F32/E32</x:f>
        <x:v>1</x:v>
      </x:c>
      <x:c r="H32" s="14" t="n">
        <x:v>0.0002687449610319806</x:v>
      </x:c>
      <x:c r="I32" s="11" t="n">
        <x:v>1380</x:v>
      </x:c>
    </x:row>
    <x:row r="33" ht="23" customHeight="1">
      <x:c r="A33" s="17" t="str">
        <x:v>ALL</x:v>
      </x:c>
      <x:c r="B33" s="17" t="str">
        <x:v>C</x:v>
      </x:c>
      <x:c r="C33" s="17" t="str">
        <x:v>timing_belt</x:v>
      </x:c>
      <x:c r="D33" s="9" t="str">
        <x:v>同步带</x:v>
      </x:c>
      <x:c r="E33" s="11" t="n">
        <x:v>2</x:v>
      </x:c>
      <x:c r="F33" s="11" t="n">
        <x:v>2</x:v>
      </x:c>
      <x:c r="G33" s="14" t="n">
        <x:f>F33/E33</x:f>
        <x:v>1</x:v>
      </x:c>
      <x:c r="H33" s="14" t="n">
        <x:v>0.0002687449610319806</x:v>
      </x:c>
      <x:c r="I33" s="11" t="n">
        <x:v>5204</x:v>
      </x:c>
    </x:row>
    <x:row r="34" ht="23" customHeight="1">
      <x:c r="A34" s="17" t="str">
        <x:v>ALL</x:v>
      </x:c>
      <x:c r="B34" s="17" t="str">
        <x:v>C</x:v>
      </x:c>
      <x:c r="C34" s="17" t="str">
        <x:v>frame_beam</x:v>
      </x:c>
      <x:c r="D34" s="9" t="str">
        <x:v>横梁</x:v>
      </x:c>
      <x:c r="E34" s="11" t="n">
        <x:v>1</x:v>
      </x:c>
      <x:c r="F34" s="11" t="n">
        <x:v>1</x:v>
      </x:c>
      <x:c r="G34" s="14" t="n">
        <x:f>F34/E34</x:f>
        <x:v>1</x:v>
      </x:c>
      <x:c r="H34" s="14" t="n">
        <x:v>0.0001343724805159903</x:v>
      </x:c>
      <x:c r="I34" s="11" t="n">
        <x:v>16724</x:v>
      </x:c>
    </x:row>
    <x:row r="35" ht="23" customHeight="1">
      <x:c r="A35" s="17" t="str">
        <x:v>ALL</x:v>
      </x:c>
      <x:c r="B35" s="17" t="str">
        <x:v>C</x:v>
      </x:c>
      <x:c r="C35" s="17" t="str">
        <x:v>inspection_light</x:v>
      </x:c>
      <x:c r="D35" s="9" t="str">
        <x:v>光源</x:v>
      </x:c>
      <x:c r="E35" s="11" t="n">
        <x:v>1</x:v>
      </x:c>
      <x:c r="F35" s="11" t="n">
        <x:v>1</x:v>
      </x:c>
      <x:c r="G35" s="14" t="n">
        <x:f>F35/E35</x:f>
        <x:v>1</x:v>
      </x:c>
      <x:c r="H35" s="14" t="n">
        <x:v>0.0001343724805159903</x:v>
      </x:c>
      <x:c r="I35" s="11" t="n">
        <x:v>12</x:v>
      </x:c>
    </x:row>
    <x:row r="36" ht="23" customHeight="1">
      <x:c r="A36" s="17" t="str">
        <x:v>ALL</x:v>
      </x:c>
      <x:c r="B36" s="17" t="str">
        <x:v>N</x:v>
      </x:c>
      <x:c r="C36" s="17" t="str">
        <x:v>pins_rivets_keys</x:v>
      </x:c>
      <x:c r="D36" s="9" t="str">
        <x:v>销、铆钉、键</x:v>
      </x:c>
      <x:c r="E36" s="11" t="n">
        <x:v>1758</x:v>
      </x:c>
      <x:c r="F36" s="11" t="n">
        <x:v>1371</x:v>
      </x:c>
      <x:c r="G36" s="14" t="n">
        <x:f>F36/E36</x:f>
        <x:v>0.7798634812286689</x:v>
      </x:c>
      <x:c r="H36" s="14" t="n">
        <x:v>0.20697463768115942</x:v>
      </x:c>
      <x:c r="I36" s="11" t="n">
        <x:v>2105556</x:v>
      </x:c>
    </x:row>
    <x:row r="37" ht="23" customHeight="1">
      <x:c r="A37" s="17" t="str">
        <x:v>ALL</x:v>
      </x:c>
      <x:c r="B37" s="17" t="str">
        <x:v>N</x:v>
      </x:c>
      <x:c r="C37" s="17" t="str">
        <x:v>bearings_bushings_guides</x:v>
      </x:c>
      <x:c r="D37" s="9" t="str">
        <x:v>轴承、衬套、导向件</x:v>
      </x:c>
      <x:c r="E37" s="11" t="n">
        <x:v>1473</x:v>
      </x:c>
      <x:c r="F37" s="11" t="n">
        <x:v>1026</x:v>
      </x:c>
      <x:c r="G37" s="14" t="n">
        <x:f>F37/E37</x:f>
        <x:v>0.6965376782077393</x:v>
      </x:c>
      <x:c r="H37" s="14" t="n">
        <x:v>0.15489130434782608</x:v>
      </x:c>
      <x:c r="I37" s="11" t="n">
        <x:v>3135880</x:v>
      </x:c>
    </x:row>
    <x:row r="38" ht="23" customHeight="1">
      <x:c r="A38" s="17" t="str">
        <x:v>ALL</x:v>
      </x:c>
      <x:c r="B38" s="17" t="str">
        <x:v>N</x:v>
      </x:c>
      <x:c r="C38" s="17" t="str">
        <x:v>handles_controls</x:v>
      </x:c>
      <x:c r="D38" s="9" t="str">
        <x:v>把手与控制件</x:v>
      </x:c>
      <x:c r="E38" s="11" t="n">
        <x:v>1124</x:v>
      </x:c>
      <x:c r="F38" s="11" t="n">
        <x:v>1003</x:v>
      </x:c>
      <x:c r="G38" s="14" t="n">
        <x:f>F38/E38</x:f>
        <x:v>0.8923487544483986</x:v>
      </x:c>
      <x:c r="H38" s="14" t="n">
        <x:v>0.15141908212560387</x:v>
      </x:c>
      <x:c r="I38" s="11" t="n">
        <x:v>3572476</x:v>
      </x:c>
    </x:row>
    <x:row r="39" ht="23" customHeight="1">
      <x:c r="A39" s="17" t="str">
        <x:v>ALL</x:v>
      </x:c>
      <x:c r="B39" s="17" t="str">
        <x:v>N</x:v>
      </x:c>
      <x:c r="C39" s="17" t="str">
        <x:v>joints_clamps_structural_connectors</x:v>
      </x:c>
      <x:c r="D39" s="9" t="str">
        <x:v>连接与夹紧件</x:v>
      </x:c>
      <x:c r="E39" s="11" t="n">
        <x:v>1122</x:v>
      </x:c>
      <x:c r="F39" s="11" t="n">
        <x:v>716</x:v>
      </x:c>
      <x:c r="G39" s="14" t="n">
        <x:f>F39/E39</x:f>
        <x:v>0.6381461675579323</x:v>
      </x:c>
      <x:c r="H39" s="14" t="n">
        <x:v>0.10809178743961352</x:v>
      </x:c>
      <x:c r="I39" s="11" t="n">
        <x:v>1528194</x:v>
      </x:c>
    </x:row>
    <x:row r="40" ht="23" customHeight="1">
      <x:c r="A40" s="17" t="str">
        <x:v>ALL</x:v>
      </x:c>
      <x:c r="B40" s="17" t="str">
        <x:v>N</x:v>
      </x:c>
      <x:c r="C40" s="17" t="str">
        <x:v>plates_discs_shapes</x:v>
      </x:c>
      <x:c r="D40" s="9" t="str">
        <x:v>板、盘与型材</x:v>
      </x:c>
      <x:c r="E40" s="11" t="n">
        <x:v>1889</x:v>
      </x:c>
      <x:c r="F40" s="11" t="n">
        <x:v>612</x:v>
      </x:c>
      <x:c r="G40" s="14" t="n">
        <x:f>F40/E40</x:f>
        <x:v>0.3239809422975119</x:v>
      </x:c>
      <x:c r="H40" s="14" t="n">
        <x:v>0.09239130434782608</x:v>
      </x:c>
      <x:c r="I40" s="11" t="n">
        <x:v>1149857</x:v>
      </x:c>
    </x:row>
    <x:row r="41" ht="23" customHeight="1">
      <x:c r="A41" s="17" t="str">
        <x:v>ALL</x:v>
      </x:c>
      <x:c r="B41" s="17" t="str">
        <x:v>N</x:v>
      </x:c>
      <x:c r="C41" s="17" t="str">
        <x:v>pipe_fittings_valves_nozzles</x:v>
      </x:c>
      <x:c r="D41" s="9" t="str">
        <x:v>管接头、阀、喷嘴</x:v>
      </x:c>
      <x:c r="E41" s="11" t="n">
        <x:v>644</x:v>
      </x:c>
      <x:c r="F41" s="11" t="n">
        <x:v>386</x:v>
      </x:c>
      <x:c r="G41" s="14" t="n">
        <x:f>F41/E41</x:f>
        <x:v>0.5993788819875776</x:v>
      </x:c>
      <x:c r="H41" s="14" t="n">
        <x:v>0.058272946859903384</x:v>
      </x:c>
      <x:c r="I41" s="11" t="n">
        <x:v>1166316</x:v>
      </x:c>
    </x:row>
    <x:row r="42" ht="23" customHeight="1">
      <x:c r="A42" s="17" t="str">
        <x:v>ALL</x:v>
      </x:c>
      <x:c r="B42" s="17" t="str">
        <x:v>N</x:v>
      </x:c>
      <x:c r="C42" s="17" t="str">
        <x:v>washers_rings_spacers</x:v>
      </x:c>
      <x:c r="D42" s="9" t="str">
        <x:v>垫圈、环与隔套</x:v>
      </x:c>
      <x:c r="E42" s="11" t="n">
        <x:v>894</x:v>
      </x:c>
      <x:c r="F42" s="11" t="n">
        <x:v>379</x:v>
      </x:c>
      <x:c r="G42" s="14" t="n">
        <x:f>F42/E42</x:f>
        <x:v>0.42393736017897093</x:v>
      </x:c>
      <x:c r="H42" s="14" t="n">
        <x:v>0.057216183574879224</x:v>
      </x:c>
      <x:c r="I42" s="11" t="n">
        <x:v>1103382</x:v>
      </x:c>
    </x:row>
    <x:row r="43" ht="23" customHeight="1">
      <x:c r="A43" s="17" t="str">
        <x:v>ALL</x:v>
      </x:c>
      <x:c r="B43" s="17" t="str">
        <x:v>N</x:v>
      </x:c>
      <x:c r="C43" s="17" t="str">
        <x:v>screws_bolts_studs</x:v>
      </x:c>
      <x:c r="D43" s="9" t="str">
        <x:v>螺钉、螺栓、螺柱</x:v>
      </x:c>
      <x:c r="E43" s="11" t="n">
        <x:v>751</x:v>
      </x:c>
      <x:c r="F43" s="11" t="n">
        <x:v>335</x:v>
      </x:c>
      <x:c r="G43" s="14" t="n">
        <x:f>F43/E43</x:f>
        <x:v>0.44607190412782954</x:v>
      </x:c>
      <x:c r="H43" s="14" t="n">
        <x:v>0.050573671497584544</x:v>
      </x:c>
      <x:c r="I43" s="11" t="n">
        <x:v>297460</x:v>
      </x:c>
    </x:row>
    <x:row r="44" ht="23" customHeight="1">
      <x:c r="A44" s="17" t="str">
        <x:v>ALL</x:v>
      </x:c>
      <x:c r="B44" s="17" t="str">
        <x:v>N</x:v>
      </x:c>
      <x:c r="C44" s="17" t="str">
        <x:v>rotating_fluid_machinery</x:v>
      </x:c>
      <x:c r="D44" s="9" t="str">
        <x:v>旋转流体机械</x:v>
      </x:c>
      <x:c r="E44" s="11" t="n">
        <x:v>307</x:v>
      </x:c>
      <x:c r="F44" s="11" t="n">
        <x:v>259</x:v>
      </x:c>
      <x:c r="G44" s="14" t="n">
        <x:f>F44/E44</x:f>
        <x:v>0.8436482084690554</x:v>
      </x:c>
      <x:c r="H44" s="14" t="n">
        <x:v>0.03910024154589372</x:v>
      </x:c>
      <x:c r="I44" s="11" t="n">
        <x:v>3135950</x:v>
      </x:c>
    </x:row>
    <x:row r="45" ht="23" customHeight="1">
      <x:c r="A45" s="17" t="str">
        <x:v>ALL</x:v>
      </x:c>
      <x:c r="B45" s="17" t="str">
        <x:v>N</x:v>
      </x:c>
      <x:c r="C45" s="17" t="str">
        <x:v>motors_gearmotors</x:v>
      </x:c>
      <x:c r="D45" s="9" t="str">
        <x:v>电机与减速电机</x:v>
      </x:c>
      <x:c r="E45" s="11" t="n">
        <x:v>248</x:v>
      </x:c>
      <x:c r="F45" s="11" t="n">
        <x:v>142</x:v>
      </x:c>
      <x:c r="G45" s="14" t="n">
        <x:f>F45/E45</x:f>
        <x:v>0.5725806451612904</x:v>
      </x:c>
      <x:c r="H45" s="14" t="n">
        <x:v>0.021437198067632852</x:v>
      </x:c>
      <x:c r="I45" s="11" t="n">
        <x:v>738636</x:v>
      </x:c>
    </x:row>
    <x:row r="46" ht="23" customHeight="1">
      <x:c r="A46" s="17" t="str">
        <x:v>ALL</x:v>
      </x:c>
      <x:c r="B46" s="17" t="str">
        <x:v>N</x:v>
      </x:c>
      <x:c r="C46" s="17" t="str">
        <x:v>nuts</x:v>
      </x:c>
      <x:c r="D46" s="9" t="str">
        <x:v>螺母</x:v>
      </x:c>
      <x:c r="E46" s="11" t="n">
        <x:v>362</x:v>
      </x:c>
      <x:c r="F46" s="11" t="n">
        <x:v>138</x:v>
      </x:c>
      <x:c r="G46" s="14" t="n">
        <x:f>F46/E46</x:f>
        <x:v>0.3812154696132597</x:v>
      </x:c>
      <x:c r="H46" s="14" t="n">
        <x:v>0.020833333333333332</x:v>
      </x:c>
      <x:c r="I46" s="11" t="n">
        <x:v>308368</x:v>
      </x:c>
    </x:row>
    <x:row r="47" ht="23" customHeight="1">
      <x:c r="A47" s="17" t="str">
        <x:v>ALL</x:v>
      </x:c>
      <x:c r="B47" s="17" t="str">
        <x:v>N</x:v>
      </x:c>
      <x:c r="C47" s="17" t="str">
        <x:v>springs</x:v>
      </x:c>
      <x:c r="D47" s="9" t="str">
        <x:v>弹簧</x:v>
      </x:c>
      <x:c r="E47" s="11" t="n">
        <x:v>191</x:v>
      </x:c>
      <x:c r="F47" s="11" t="n">
        <x:v>120</x:v>
      </x:c>
      <x:c r="G47" s="14" t="n">
        <x:f>F47/E47</x:f>
        <x:v>0.6282722513089005</x:v>
      </x:c>
      <x:c r="H47" s="14" t="n">
        <x:v>0.018115942028985508</x:v>
      </x:c>
      <x:c r="I47" s="11" t="n">
        <x:v>415388</x:v>
      </x:c>
    </x:row>
    <x:row r="48" ht="23" customHeight="1">
      <x:c r="A48" s="17" t="str">
        <x:v>ALL</x:v>
      </x:c>
      <x:c r="B48" s="17" t="str">
        <x:v>N</x:v>
      </x:c>
      <x:c r="C48" s="17" t="str">
        <x:v>gears_pulleys_chains</x:v>
      </x:c>
      <x:c r="D48" s="9" t="str">
        <x:v>齿轮、带轮、链条</x:v>
      </x:c>
      <x:c r="E48" s="11" t="n">
        <x:v>181</x:v>
      </x:c>
      <x:c r="F48" s="11" t="n">
        <x:v>94</x:v>
      </x:c>
      <x:c r="G48" s="14" t="n">
        <x:f>F48/E48</x:f>
        <x:v>0.5193370165745856</x:v>
      </x:c>
      <x:c r="H48" s="14" t="n">
        <x:v>0.014190821256038648</x:v>
      </x:c>
      <x:c r="I48" s="11" t="n">
        <x:v>166208</x:v>
      </x:c>
    </x:row>
    <x:row r="49" ht="23" customHeight="1">
      <x:c r="A49" s="17" t="str">
        <x:v>ALL</x:v>
      </x:c>
      <x:c r="B49" s="17" t="str">
        <x:v>N</x:v>
      </x:c>
      <x:c r="C49" s="17" t="str">
        <x:v>wheels_castors</x:v>
      </x:c>
      <x:c r="D49" s="9" t="str">
        <x:v>轮与脚轮</x:v>
      </x:c>
      <x:c r="E49" s="11" t="n">
        <x:v>56</x:v>
      </x:c>
      <x:c r="F49" s="11" t="n">
        <x:v>43</x:v>
      </x:c>
      <x:c r="G49" s="14" t="n">
        <x:f>F49/E49</x:f>
        <x:v>0.7678571428571429</x:v>
      </x:c>
      <x:c r="H49" s="14" t="n">
        <x:v>0.006491545893719807</x:v>
      </x:c>
      <x:c r="I49" s="11" t="n">
        <x:v>406322</x:v>
      </x:c>
    </x:row>
    <x:row r="50" ht="23" customHeight="1">
      <x:c r="A50" s="17" t="str">
        <x:v>a</x:v>
      </x:c>
      <x:c r="B50" s="17" t="str">
        <x:v>C</x:v>
      </x:c>
      <x:c r="C50" s="17" t="str">
        <x:v>plain_block</x:v>
      </x:c>
      <x:c r="D50" s="9" t="str">
        <x:v>方块</x:v>
      </x:c>
      <x:c r="E50" s="11" t="n">
        <x:v>272</x:v>
      </x:c>
      <x:c r="F50" s="11" t="n">
        <x:v>272</x:v>
      </x:c>
      <x:c r="G50" s="14" t="n">
        <x:f>F50/E50</x:f>
        <x:v>1</x:v>
      </x:c>
      <x:c r="H50" s="14" t="n">
        <x:v>0.2532588454376164</x:v>
      </x:c>
      <x:c r="I50" s="11" t="n">
        <x:v>579180</x:v>
      </x:c>
    </x:row>
    <x:row r="51" ht="23" customHeight="1">
      <x:c r="A51" s="17" t="str">
        <x:v>a</x:v>
      </x:c>
      <x:c r="B51" s="17" t="str">
        <x:v>C</x:v>
      </x:c>
      <x:c r="C51" s="17" t="str">
        <x:v>shaft_key</x:v>
      </x:c>
      <x:c r="D51" s="9" t="str">
        <x:v>平键</x:v>
      </x:c>
      <x:c r="E51" s="11" t="n">
        <x:v>304</x:v>
      </x:c>
      <x:c r="F51" s="11" t="n">
        <x:v>187</x:v>
      </x:c>
      <x:c r="G51" s="14" t="n">
        <x:f>F51/E51</x:f>
        <x:v>0.6151315789473685</x:v>
      </x:c>
      <x:c r="H51" s="14" t="n">
        <x:v>0.17411545623836128</x:v>
      </x:c>
      <x:c r="I51" s="11" t="n">
        <x:v>2390107</x:v>
      </x:c>
    </x:row>
    <x:row r="52" ht="23" customHeight="1">
      <x:c r="A52" s="17" t="str">
        <x:v>a</x:v>
      </x:c>
      <x:c r="B52" s="17" t="str">
        <x:v>C</x:v>
      </x:c>
      <x:c r="C52" s="17" t="str">
        <x:v>flat_washer</x:v>
      </x:c>
      <x:c r="D52" s="9" t="str">
        <x:v>平垫圈</x:v>
      </x:c>
      <x:c r="E52" s="11" t="n">
        <x:v>127</x:v>
      </x:c>
      <x:c r="F52" s="11" t="n">
        <x:v>124</x:v>
      </x:c>
      <x:c r="G52" s="14" t="n">
        <x:f>F52/E52</x:f>
        <x:v>0.9763779527559056</x:v>
      </x:c>
      <x:c r="H52" s="14" t="n">
        <x:v>0.1154562383612663</x:v>
      </x:c>
      <x:c r="I52" s="11" t="n">
        <x:v>276602</x:v>
      </x:c>
    </x:row>
    <x:row r="53" ht="23" customHeight="1">
      <x:c r="A53" s="17" t="str">
        <x:v>a</x:v>
      </x:c>
      <x:c r="B53" s="17" t="str">
        <x:v>C</x:v>
      </x:c>
      <x:c r="C53" s="17" t="str">
        <x:v>cap_nut</x:v>
      </x:c>
      <x:c r="D53" s="9" t="str">
        <x:v>盖形螺母</x:v>
      </x:c>
      <x:c r="E53" s="11" t="n">
        <x:v>85</x:v>
      </x:c>
      <x:c r="F53" s="11" t="n">
        <x:v>69</x:v>
      </x:c>
      <x:c r="G53" s="14" t="n">
        <x:f>F53/E53</x:f>
        <x:v>0.8117647058823529</x:v>
      </x:c>
      <x:c r="H53" s="14" t="n">
        <x:v>0.06424581005586592</x:v>
      </x:c>
      <x:c r="I53" s="11" t="n">
        <x:v>144078</x:v>
      </x:c>
    </x:row>
    <x:row r="54" ht="23" customHeight="1">
      <x:c r="A54" s="17" t="str">
        <x:v>a</x:v>
      </x:c>
      <x:c r="B54" s="17" t="str">
        <x:v>C</x:v>
      </x:c>
      <x:c r="C54" s="17" t="str">
        <x:v>threaded_stud</x:v>
      </x:c>
      <x:c r="D54" s="9" t="str">
        <x:v>螺柱</x:v>
      </x:c>
      <x:c r="E54" s="11" t="n">
        <x:v>66</x:v>
      </x:c>
      <x:c r="F54" s="11" t="n">
        <x:v>55</x:v>
      </x:c>
      <x:c r="G54" s="14" t="n">
        <x:f>F54/E54</x:f>
        <x:v>0.8333333333333334</x:v>
      </x:c>
      <x:c r="H54" s="14" t="n">
        <x:v>0.051210428305400374</x:v>
      </x:c>
      <x:c r="I54" s="11" t="n">
        <x:v>72230</x:v>
      </x:c>
    </x:row>
    <x:row r="55" ht="23" customHeight="1">
      <x:c r="A55" s="17" t="str">
        <x:v>a</x:v>
      </x:c>
      <x:c r="B55" s="17" t="str">
        <x:v>C</x:v>
      </x:c>
      <x:c r="C55" s="17" t="str">
        <x:v>dowel_pin</x:v>
      </x:c>
      <x:c r="D55" s="9" t="str">
        <x:v>定位销</x:v>
      </x:c>
      <x:c r="E55" s="11" t="n">
        <x:v>482</x:v>
      </x:c>
      <x:c r="F55" s="11" t="n">
        <x:v>53</x:v>
      </x:c>
      <x:c r="G55" s="14" t="n">
        <x:f>F55/E55</x:f>
        <x:v>0.10995850622406639</x:v>
      </x:c>
      <x:c r="H55" s="14" t="n">
        <x:v>0.049348230912476726</x:v>
      </x:c>
      <x:c r="I55" s="11" t="n">
        <x:v>398576</x:v>
      </x:c>
    </x:row>
    <x:row r="56" ht="23" customHeight="1">
      <x:c r="A56" s="17" t="str">
        <x:v>a</x:v>
      </x:c>
      <x:c r="B56" s="17" t="str">
        <x:v>C</x:v>
      </x:c>
      <x:c r="C56" s="17" t="str">
        <x:v>mounting_plate</x:v>
      </x:c>
      <x:c r="D56" s="9" t="str">
        <x:v>安装板</x:v>
      </x:c>
      <x:c r="E56" s="11" t="n">
        <x:v>51</x:v>
      </x:c>
      <x:c r="F56" s="11" t="n">
        <x:v>51</x:v>
      </x:c>
      <x:c r="G56" s="14" t="n">
        <x:f>F56/E56</x:f>
        <x:v>1</x:v>
      </x:c>
      <x:c r="H56" s="14" t="n">
        <x:v>0.04748603351955307</x:v>
      </x:c>
      <x:c r="I56" s="11" t="n">
        <x:v>87094</x:v>
      </x:c>
    </x:row>
    <x:row r="57" ht="23" customHeight="1">
      <x:c r="A57" s="17" t="str">
        <x:v>a</x:v>
      </x:c>
      <x:c r="B57" s="17" t="str">
        <x:v>C</x:v>
      </x:c>
      <x:c r="C57" s="17" t="str">
        <x:v>hex_nut</x:v>
      </x:c>
      <x:c r="D57" s="9" t="str">
        <x:v>螺母</x:v>
      </x:c>
      <x:c r="E57" s="11" t="n">
        <x:v>142</x:v>
      </x:c>
      <x:c r="F57" s="11" t="n">
        <x:v>50</x:v>
      </x:c>
      <x:c r="G57" s="14" t="n">
        <x:f>F57/E57</x:f>
        <x:v>0.352112676056338</x:v>
      </x:c>
      <x:c r="H57" s="14" t="n">
        <x:v>0.04655493482309125</x:v>
      </x:c>
      <x:c r="I57" s="11" t="n">
        <x:v>53632</x:v>
      </x:c>
    </x:row>
    <x:row r="58" ht="23" customHeight="1">
      <x:c r="A58" s="17" t="str">
        <x:v>a</x:v>
      </x:c>
      <x:c r="B58" s="17" t="str">
        <x:v>C</x:v>
      </x:c>
      <x:c r="C58" s="17" t="str">
        <x:v>punch_tool</x:v>
      </x:c>
      <x:c r="D58" s="9" t="str">
        <x:v>冲头</x:v>
      </x:c>
      <x:c r="E58" s="11" t="n">
        <x:v>66</x:v>
      </x:c>
      <x:c r="F58" s="11" t="n">
        <x:v>44</x:v>
      </x:c>
      <x:c r="G58" s="14" t="n">
        <x:f>F58/E58</x:f>
        <x:v>0.6666666666666666</x:v>
      </x:c>
      <x:c r="H58" s="14" t="n">
        <x:v>0.040968342644320296</x:v>
      </x:c>
      <x:c r="I58" s="11" t="n">
        <x:v>78726</x:v>
      </x:c>
    </x:row>
    <x:row r="59" ht="23" customHeight="1">
      <x:c r="A59" s="17" t="str">
        <x:v>a</x:v>
      </x:c>
      <x:c r="B59" s="17" t="str">
        <x:v>C</x:v>
      </x:c>
      <x:c r="C59" s="17" t="str">
        <x:v>die_block</x:v>
      </x:c>
      <x:c r="D59" s="9" t="str">
        <x:v>模具</x:v>
      </x:c>
      <x:c r="E59" s="11" t="n">
        <x:v>28</x:v>
      </x:c>
      <x:c r="F59" s="11" t="n">
        <x:v>28</x:v>
      </x:c>
      <x:c r="G59" s="14" t="n">
        <x:f>F59/E59</x:f>
        <x:v>1</x:v>
      </x:c>
      <x:c r="H59" s="14" t="n">
        <x:v>0.0260707635009311</x:v>
      </x:c>
      <x:c r="I59" s="11" t="n">
        <x:v>28596</x:v>
      </x:c>
    </x:row>
    <x:row r="60" ht="23" customHeight="1">
      <x:c r="A60" s="17" t="str">
        <x:v>a</x:v>
      </x:c>
      <x:c r="B60" s="17" t="str">
        <x:v>C</x:v>
      </x:c>
      <x:c r="C60" s="17" t="str">
        <x:v>feature_plate</x:v>
      </x:c>
      <x:c r="D60" s="9" t="str">
        <x:v>孔板</x:v>
      </x:c>
      <x:c r="E60" s="11" t="n">
        <x:v>26</x:v>
      </x:c>
      <x:c r="F60" s="11" t="n">
        <x:v>26</x:v>
      </x:c>
      <x:c r="G60" s="14" t="n">
        <x:f>F60/E60</x:f>
        <x:v>1</x:v>
      </x:c>
      <x:c r="H60" s="14" t="n">
        <x:v>0.024208566108007448</x:v>
      </x:c>
      <x:c r="I60" s="11" t="n">
        <x:v>64036</x:v>
      </x:c>
    </x:row>
    <x:row r="61" ht="23" customHeight="1">
      <x:c r="A61" s="17" t="str">
        <x:v>a</x:v>
      </x:c>
      <x:c r="B61" s="17" t="str">
        <x:v>C</x:v>
      </x:c>
      <x:c r="C61" s="17" t="str">
        <x:v>nozzle</x:v>
      </x:c>
      <x:c r="D61" s="9" t="str">
        <x:v>气嘴</x:v>
      </x:c>
      <x:c r="E61" s="11" t="n">
        <x:v>26</x:v>
      </x:c>
      <x:c r="F61" s="11" t="n">
        <x:v>26</x:v>
      </x:c>
      <x:c r="G61" s="14" t="n">
        <x:f>F61/E61</x:f>
        <x:v>1</x:v>
      </x:c>
      <x:c r="H61" s="14" t="n">
        <x:v>0.024208566108007448</x:v>
      </x:c>
      <x:c r="I61" s="11" t="n">
        <x:v>217936</x:v>
      </x:c>
    </x:row>
    <x:row r="62" ht="23" customHeight="1">
      <x:c r="A62" s="17" t="str">
        <x:v>a</x:v>
      </x:c>
      <x:c r="B62" s="17" t="str">
        <x:v>C</x:v>
      </x:c>
      <x:c r="C62" s="17" t="str">
        <x:v>aluminum_extrusion</x:v>
      </x:c>
      <x:c r="D62" s="9" t="str">
        <x:v>铝型材</x:v>
      </x:c>
      <x:c r="E62" s="11" t="n">
        <x:v>20</x:v>
      </x:c>
      <x:c r="F62" s="11" t="n">
        <x:v>20</x:v>
      </x:c>
      <x:c r="G62" s="14" t="n">
        <x:f>F62/E62</x:f>
        <x:v>1</x:v>
      </x:c>
      <x:c r="H62" s="14" t="n">
        <x:v>0.0186219739292365</x:v>
      </x:c>
      <x:c r="I62" s="11" t="n">
        <x:v>22588</x:v>
      </x:c>
    </x:row>
    <x:row r="63" ht="23" customHeight="1">
      <x:c r="A63" s="17" t="str">
        <x:v>a</x:v>
      </x:c>
      <x:c r="B63" s="17" t="str">
        <x:v>C</x:v>
      </x:c>
      <x:c r="C63" s="17" t="str">
        <x:v>plain_shaft</x:v>
      </x:c>
      <x:c r="D63" s="9" t="str">
        <x:v>圆轴</x:v>
      </x:c>
      <x:c r="E63" s="11" t="n">
        <x:v>18</x:v>
      </x:c>
      <x:c r="F63" s="11" t="n">
        <x:v>18</x:v>
      </x:c>
      <x:c r="G63" s="14" t="n">
        <x:f>F63/E63</x:f>
        <x:v>1</x:v>
      </x:c>
      <x:c r="H63" s="14" t="n">
        <x:v>0.01675977653631285</x:v>
      </x:c>
      <x:c r="I63" s="11" t="n">
        <x:v>13452</x:v>
      </x:c>
    </x:row>
    <x:row r="64" ht="23" customHeight="1">
      <x:c r="A64" s="17" t="str">
        <x:v>a</x:v>
      </x:c>
      <x:c r="B64" s="17" t="str">
        <x:v>C</x:v>
      </x:c>
      <x:c r="C64" s="17" t="str">
        <x:v>retaining_ring</x:v>
      </x:c>
      <x:c r="D64" s="9" t="str">
        <x:v>卡簧</x:v>
      </x:c>
      <x:c r="E64" s="11" t="n">
        <x:v>29</x:v>
      </x:c>
      <x:c r="F64" s="11" t="n">
        <x:v>16</x:v>
      </x:c>
      <x:c r="G64" s="14" t="n">
        <x:f>F64/E64</x:f>
        <x:v>0.5517241379310345</x:v>
      </x:c>
      <x:c r="H64" s="14" t="n">
        <x:v>0.0148975791433892</x:v>
      </x:c>
      <x:c r="I64" s="11" t="n">
        <x:v>52746</x:v>
      </x:c>
    </x:row>
    <x:row r="65" ht="23" customHeight="1">
      <x:c r="A65" s="17" t="str">
        <x:v>a</x:v>
      </x:c>
      <x:c r="B65" s="17" t="str">
        <x:v>C</x:v>
      </x:c>
      <x:c r="C65" s="17" t="str">
        <x:v>mounting_bracket</x:v>
      </x:c>
      <x:c r="D65" s="9" t="str">
        <x:v>支架</x:v>
      </x:c>
      <x:c r="E65" s="11" t="n">
        <x:v>9</x:v>
      </x:c>
      <x:c r="F65" s="11" t="n">
        <x:v>9</x:v>
      </x:c>
      <x:c r="G65" s="14" t="n">
        <x:f>F65/E65</x:f>
        <x:v>1</x:v>
      </x:c>
      <x:c r="H65" s="14" t="n">
        <x:v>0.008379888268156424</x:v>
      </x:c>
      <x:c r="I65" s="11" t="n">
        <x:v>12144</x:v>
      </x:c>
    </x:row>
    <x:row r="66" ht="23" customHeight="1">
      <x:c r="A66" s="17" t="str">
        <x:v>a</x:v>
      </x:c>
      <x:c r="B66" s="17" t="str">
        <x:v>C</x:v>
      </x:c>
      <x:c r="C66" s="17" t="str">
        <x:v>slotted_nut</x:v>
      </x:c>
      <x:c r="D66" s="9" t="str">
        <x:v>开槽螺母</x:v>
      </x:c>
      <x:c r="E66" s="11" t="n">
        <x:v>10</x:v>
      </x:c>
      <x:c r="F66" s="11" t="n">
        <x:v>9</x:v>
      </x:c>
      <x:c r="G66" s="14" t="n">
        <x:f>F66/E66</x:f>
        <x:v>0.9</x:v>
      </x:c>
      <x:c r="H66" s="14" t="n">
        <x:v>0.008379888268156424</x:v>
      </x:c>
      <x:c r="I66" s="11" t="n">
        <x:v>13680</x:v>
      </x:c>
    </x:row>
    <x:row r="67" ht="23" customHeight="1">
      <x:c r="A67" s="17" t="str">
        <x:v>a</x:v>
      </x:c>
      <x:c r="B67" s="17" t="str">
        <x:v>C</x:v>
      </x:c>
      <x:c r="C67" s="17" t="str">
        <x:v>coil_spring</x:v>
      </x:c>
      <x:c r="D67" s="9" t="str">
        <x:v>弹簧</x:v>
      </x:c>
      <x:c r="E67" s="11" t="n">
        <x:v>8</x:v>
      </x:c>
      <x:c r="F67" s="11" t="n">
        <x:v>8</x:v>
      </x:c>
      <x:c r="G67" s="14" t="n">
        <x:f>F67/E67</x:f>
        <x:v>1</x:v>
      </x:c>
      <x:c r="H67" s="14" t="n">
        <x:v>0.0074487895716946</x:v>
      </x:c>
      <x:c r="I67" s="11" t="n">
        <x:v>2648</x:v>
      </x:c>
    </x:row>
    <x:row r="68" ht="23" customHeight="1">
      <x:c r="A68" s="17" t="str">
        <x:v>a</x:v>
      </x:c>
      <x:c r="B68" s="17" t="str">
        <x:v>C</x:v>
      </x:c>
      <x:c r="C68" s="17" t="str">
        <x:v>camera_lens</x:v>
      </x:c>
      <x:c r="D68" s="9" t="str">
        <x:v>镜头</x:v>
      </x:c>
      <x:c r="E68" s="11" t="n">
        <x:v>3</x:v>
      </x:c>
      <x:c r="F68" s="11" t="n">
        <x:v>3</x:v>
      </x:c>
      <x:c r="G68" s="14" t="n">
        <x:f>F68/E68</x:f>
        <x:v>1</x:v>
      </x:c>
      <x:c r="H68" s="14" t="n">
        <x:v>0.002793296089385475</x:v>
      </x:c>
      <x:c r="I68" s="11" t="n">
        <x:v>7954</x:v>
      </x:c>
    </x:row>
    <x:row r="69" ht="23" customHeight="1">
      <x:c r="A69" s="17" t="str">
        <x:v>a</x:v>
      </x:c>
      <x:c r="B69" s="17" t="str">
        <x:v>C</x:v>
      </x:c>
      <x:c r="C69" s="17" t="str">
        <x:v>pipe_fitting</x:v>
      </x:c>
      <x:c r="D69" s="9" t="str">
        <x:v>接头</x:v>
      </x:c>
      <x:c r="E69" s="11" t="n">
        <x:v>2</x:v>
      </x:c>
      <x:c r="F69" s="11" t="n">
        <x:v>2</x:v>
      </x:c>
      <x:c r="G69" s="14" t="n">
        <x:f>F69/E69</x:f>
        <x:v>1</x:v>
      </x:c>
      <x:c r="H69" s="14" t="n">
        <x:v>0.00186219739292365</x:v>
      </x:c>
      <x:c r="I69" s="11" t="n">
        <x:v>2324</x:v>
      </x:c>
    </x:row>
    <x:row r="70" ht="23" customHeight="1">
      <x:c r="A70" s="17" t="str">
        <x:v>a</x:v>
      </x:c>
      <x:c r="B70" s="17" t="str">
        <x:v>C</x:v>
      </x:c>
      <x:c r="C70" s="17" t="str">
        <x:v>suction_cup</x:v>
      </x:c>
      <x:c r="D70" s="9" t="str">
        <x:v>吸盘</x:v>
      </x:c>
      <x:c r="E70" s="11" t="n">
        <x:v>2</x:v>
      </x:c>
      <x:c r="F70" s="11" t="n">
        <x:v>2</x:v>
      </x:c>
      <x:c r="G70" s="14" t="n">
        <x:f>F70/E70</x:f>
        <x:v>1</x:v>
      </x:c>
      <x:c r="H70" s="14" t="n">
        <x:v>0.00186219739292365</x:v>
      </x:c>
      <x:c r="I70" s="11" t="n">
        <x:v>11872</x:v>
      </x:c>
    </x:row>
    <x:row r="71" ht="23" customHeight="1">
      <x:c r="A71" s="17" t="str">
        <x:v>a</x:v>
      </x:c>
      <x:c r="B71" s="17" t="str">
        <x:v>C</x:v>
      </x:c>
      <x:c r="C71" s="17" t="str">
        <x:v>flexible_hose</x:v>
      </x:c>
      <x:c r="D71" s="9" t="str">
        <x:v>气管</x:v>
      </x:c>
      <x:c r="E71" s="11" t="n">
        <x:v>1</x:v>
      </x:c>
      <x:c r="F71" s="11" t="n">
        <x:v>1</x:v>
      </x:c>
      <x:c r="G71" s="14" t="n">
        <x:f>F71/E71</x:f>
        <x:v>1</x:v>
      </x:c>
      <x:c r="H71" s="14" t="n">
        <x:v>0.000931098696461825</x:v>
      </x:c>
      <x:c r="I71" s="11" t="n">
        <x:v>2296</x:v>
      </x:c>
    </x:row>
    <x:row r="72" ht="23" customHeight="1">
      <x:c r="A72" s="17" t="str">
        <x:v>a</x:v>
      </x:c>
      <x:c r="B72" s="17" t="str">
        <x:v>C</x:v>
      </x:c>
      <x:c r="C72" s="17" t="str">
        <x:v>proximity_sensor</x:v>
      </x:c>
      <x:c r="D72" s="9" t="str">
        <x:v>接近开关</x:v>
      </x:c>
      <x:c r="E72" s="11" t="n">
        <x:v>1</x:v>
      </x:c>
      <x:c r="F72" s="11" t="n">
        <x:v>1</x:v>
      </x:c>
      <x:c r="G72" s="14" t="n">
        <x:f>F72/E72</x:f>
        <x:v>1</x:v>
      </x:c>
      <x:c r="H72" s="14" t="n">
        <x:v>0.000931098696461825</x:v>
      </x:c>
      <x:c r="I72" s="11" t="n">
        <x:v>832</x:v>
      </x:c>
    </x:row>
    <x:row r="73" ht="23" customHeight="1">
      <x:c r="A73" s="17" t="str">
        <x:v>a</x:v>
      </x:c>
      <x:c r="B73" s="17" t="str">
        <x:v>N</x:v>
      </x:c>
      <x:c r="C73" s="17" t="str">
        <x:v>pins_rivets_keys</x:v>
      </x:c>
      <x:c r="D73" s="9" t="str">
        <x:v>销、铆钉、键</x:v>
      </x:c>
      <x:c r="E73" s="11" t="n">
        <x:v>350</x:v>
      </x:c>
      <x:c r="F73" s="11" t="n">
        <x:v>305</x:v>
      </x:c>
      <x:c r="G73" s="14" t="n">
        <x:f>F73/E73</x:f>
        <x:v>0.8714285714285714</x:v>
      </x:c>
      <x:c r="H73" s="14" t="n">
        <x:v>0.26848591549295775</x:v>
      </x:c>
      <x:c r="I73" s="11" t="n">
        <x:v>448030</x:v>
      </x:c>
    </x:row>
    <x:row r="74" ht="23" customHeight="1">
      <x:c r="A74" s="17" t="str">
        <x:v>a</x:v>
      </x:c>
      <x:c r="B74" s="17" t="str">
        <x:v>N</x:v>
      </x:c>
      <x:c r="C74" s="17" t="str">
        <x:v>bearings_bushings_guides</x:v>
      </x:c>
      <x:c r="D74" s="9" t="str">
        <x:v>轴承、衬套、导向件</x:v>
      </x:c>
      <x:c r="E74" s="11" t="n">
        <x:v>242</x:v>
      </x:c>
      <x:c r="F74" s="11" t="n">
        <x:v>219</x:v>
      </x:c>
      <x:c r="G74" s="14" t="n">
        <x:f>F74/E74</x:f>
        <x:v>0.9049586776859504</x:v>
      </x:c>
      <x:c r="H74" s="14" t="n">
        <x:v>0.19278169014084506</x:v>
      </x:c>
      <x:c r="I74" s="11" t="n">
        <x:v>407032</x:v>
      </x:c>
    </x:row>
    <x:row r="75" ht="23" customHeight="1">
      <x:c r="A75" s="17" t="str">
        <x:v>a</x:v>
      </x:c>
      <x:c r="B75" s="17" t="str">
        <x:v>N</x:v>
      </x:c>
      <x:c r="C75" s="17" t="str">
        <x:v>handles_controls</x:v>
      </x:c>
      <x:c r="D75" s="9" t="str">
        <x:v>把手与控制件</x:v>
      </x:c>
      <x:c r="E75" s="11" t="n">
        <x:v>151</x:v>
      </x:c>
      <x:c r="F75" s="11" t="n">
        <x:v>133</x:v>
      </x:c>
      <x:c r="G75" s="14" t="n">
        <x:f>F75/E75</x:f>
        <x:v>0.8807947019867549</x:v>
      </x:c>
      <x:c r="H75" s="14" t="n">
        <x:v>0.11707746478873239</x:v>
      </x:c>
      <x:c r="I75" s="11" t="n">
        <x:v>380491</x:v>
      </x:c>
    </x:row>
    <x:row r="76" ht="23" customHeight="1">
      <x:c r="A76" s="17" t="str">
        <x:v>a</x:v>
      </x:c>
      <x:c r="B76" s="17" t="str">
        <x:v>N</x:v>
      </x:c>
      <x:c r="C76" s="17" t="str">
        <x:v>joints_clamps_structural_connectors</x:v>
      </x:c>
      <x:c r="D76" s="9" t="str">
        <x:v>连接与夹紧件</x:v>
      </x:c>
      <x:c r="E76" s="11" t="n">
        <x:v>167</x:v>
      </x:c>
      <x:c r="F76" s="11" t="n">
        <x:v>83</x:v>
      </x:c>
      <x:c r="G76" s="14" t="n">
        <x:f>F76/E76</x:f>
        <x:v>0.49700598802395207</x:v>
      </x:c>
      <x:c r="H76" s="14" t="n">
        <x:v>0.07306338028169014</x:v>
      </x:c>
      <x:c r="I76" s="11" t="n">
        <x:v>130526</x:v>
      </x:c>
    </x:row>
    <x:row r="77" ht="23" customHeight="1">
      <x:c r="A77" s="17" t="str">
        <x:v>a</x:v>
      </x:c>
      <x:c r="B77" s="17" t="str">
        <x:v>N</x:v>
      </x:c>
      <x:c r="C77" s="17" t="str">
        <x:v>plates_discs_shapes</x:v>
      </x:c>
      <x:c r="D77" s="9" t="str">
        <x:v>板、盘与型材</x:v>
      </x:c>
      <x:c r="E77" s="11" t="n">
        <x:v>259</x:v>
      </x:c>
      <x:c r="F77" s="11" t="n">
        <x:v>68</x:v>
      </x:c>
      <x:c r="G77" s="14" t="n">
        <x:f>F77/E77</x:f>
        <x:v>0.2625482625482625</x:v>
      </x:c>
      <x:c r="H77" s="14" t="n">
        <x:v>0.05985915492957746</x:v>
      </x:c>
      <x:c r="I77" s="11" t="n">
        <x:v>239577</x:v>
      </x:c>
    </x:row>
    <x:row r="78" ht="23" customHeight="1">
      <x:c r="A78" s="17" t="str">
        <x:v>a</x:v>
      </x:c>
      <x:c r="B78" s="17" t="str">
        <x:v>N</x:v>
      </x:c>
      <x:c r="C78" s="17" t="str">
        <x:v>motors_gearmotors</x:v>
      </x:c>
      <x:c r="D78" s="9" t="str">
        <x:v>电机与减速电机</x:v>
      </x:c>
      <x:c r="E78" s="11" t="n">
        <x:v>80</x:v>
      </x:c>
      <x:c r="F78" s="11" t="n">
        <x:v>62</x:v>
      </x:c>
      <x:c r="G78" s="14" t="n">
        <x:f>F78/E78</x:f>
        <x:v>0.775</x:v>
      </x:c>
      <x:c r="H78" s="14" t="n">
        <x:v>0.05457746478873239</x:v>
      </x:c>
      <x:c r="I78" s="11" t="n">
        <x:v>177358</x:v>
      </x:c>
    </x:row>
    <x:row r="79" ht="23" customHeight="1">
      <x:c r="A79" s="17" t="str">
        <x:v>a</x:v>
      </x:c>
      <x:c r="B79" s="17" t="str">
        <x:v>N</x:v>
      </x:c>
      <x:c r="C79" s="17" t="str">
        <x:v>pipe_fittings_valves_nozzles</x:v>
      </x:c>
      <x:c r="D79" s="9" t="str">
        <x:v>管接头、阀、喷嘴</x:v>
      </x:c>
      <x:c r="E79" s="11" t="n">
        <x:v>66</x:v>
      </x:c>
      <x:c r="F79" s="11" t="n">
        <x:v>47</x:v>
      </x:c>
      <x:c r="G79" s="14" t="n">
        <x:f>F79/E79</x:f>
        <x:v>0.7121212121212122</x:v>
      </x:c>
      <x:c r="H79" s="14" t="n">
        <x:v>0.04137323943661972</x:v>
      </x:c>
      <x:c r="I79" s="11" t="n">
        <x:v>125382</x:v>
      </x:c>
    </x:row>
    <x:row r="80" ht="23" customHeight="1">
      <x:c r="A80" s="17" t="str">
        <x:v>a</x:v>
      </x:c>
      <x:c r="B80" s="17" t="str">
        <x:v>N</x:v>
      </x:c>
      <x:c r="C80" s="17" t="str">
        <x:v>washers_rings_spacers</x:v>
      </x:c>
      <x:c r="D80" s="9" t="str">
        <x:v>垫圈、环与隔套</x:v>
      </x:c>
      <x:c r="E80" s="11" t="n">
        <x:v>78</x:v>
      </x:c>
      <x:c r="F80" s="11" t="n">
        <x:v>47</x:v>
      </x:c>
      <x:c r="G80" s="14" t="n">
        <x:f>F80/E80</x:f>
        <x:v>0.6025641025641025</x:v>
      </x:c>
      <x:c r="H80" s="14" t="n">
        <x:v>0.04137323943661972</x:v>
      </x:c>
      <x:c r="I80" s="11" t="n">
        <x:v>121136</x:v>
      </x:c>
    </x:row>
    <x:row r="81" ht="23" customHeight="1">
      <x:c r="A81" s="17" t="str">
        <x:v>a</x:v>
      </x:c>
      <x:c r="B81" s="17" t="str">
        <x:v>N</x:v>
      </x:c>
      <x:c r="C81" s="17" t="str">
        <x:v>gears_pulleys_chains</x:v>
      </x:c>
      <x:c r="D81" s="9" t="str">
        <x:v>齿轮、带轮、链条</x:v>
      </x:c>
      <x:c r="E81" s="11" t="n">
        <x:v>74</x:v>
      </x:c>
      <x:c r="F81" s="11" t="n">
        <x:v>43</x:v>
      </x:c>
      <x:c r="G81" s="14" t="n">
        <x:f>F81/E81</x:f>
        <x:v>0.581081081081081</x:v>
      </x:c>
      <x:c r="H81" s="14" t="n">
        <x:v>0.037852112676056336</x:v>
      </x:c>
      <x:c r="I81" s="11" t="n">
        <x:v>32500</x:v>
      </x:c>
    </x:row>
    <x:row r="82" ht="23" customHeight="1">
      <x:c r="A82" s="17" t="str">
        <x:v>a</x:v>
      </x:c>
      <x:c r="B82" s="17" t="str">
        <x:v>N</x:v>
      </x:c>
      <x:c r="C82" s="17" t="str">
        <x:v>screws_bolts_studs</x:v>
      </x:c>
      <x:c r="D82" s="9" t="str">
        <x:v>螺钉、螺栓、螺柱</x:v>
      </x:c>
      <x:c r="E82" s="11" t="n">
        <x:v>140</x:v>
      </x:c>
      <x:c r="F82" s="11" t="n">
        <x:v>43</x:v>
      </x:c>
      <x:c r="G82" s="14" t="n">
        <x:f>F82/E82</x:f>
        <x:v>0.30714285714285716</x:v>
      </x:c>
      <x:c r="H82" s="14" t="n">
        <x:v>0.037852112676056336</x:v>
      </x:c>
      <x:c r="I82" s="11" t="n">
        <x:v>17712</x:v>
      </x:c>
    </x:row>
    <x:row r="83" ht="23" customHeight="1">
      <x:c r="A83" s="17" t="str">
        <x:v>a</x:v>
      </x:c>
      <x:c r="B83" s="17" t="str">
        <x:v>N</x:v>
      </x:c>
      <x:c r="C83" s="17" t="str">
        <x:v>rotating_fluid_machinery</x:v>
      </x:c>
      <x:c r="D83" s="9" t="str">
        <x:v>旋转流体机械</x:v>
      </x:c>
      <x:c r="E83" s="11" t="n">
        <x:v>41</x:v>
      </x:c>
      <x:c r="F83" s="11" t="n">
        <x:v>36</x:v>
      </x:c>
      <x:c r="G83" s="14" t="n">
        <x:f>F83/E83</x:f>
        <x:v>0.8780487804878049</x:v>
      </x:c>
      <x:c r="H83" s="14" t="n">
        <x:v>0.03169014084507042</x:v>
      </x:c>
      <x:c r="I83" s="11" t="n">
        <x:v>82440</x:v>
      </x:c>
    </x:row>
    <x:row r="84" ht="23" customHeight="1">
      <x:c r="A84" s="17" t="str">
        <x:v>a</x:v>
      </x:c>
      <x:c r="B84" s="17" t="str">
        <x:v>N</x:v>
      </x:c>
      <x:c r="C84" s="17" t="str">
        <x:v>wheels_castors</x:v>
      </x:c>
      <x:c r="D84" s="9" t="str">
        <x:v>轮与脚轮</x:v>
      </x:c>
      <x:c r="E84" s="11" t="n">
        <x:v>28</x:v>
      </x:c>
      <x:c r="F84" s="11" t="n">
        <x:v>21</x:v>
      </x:c>
      <x:c r="G84" s="14" t="n">
        <x:f>F84/E84</x:f>
        <x:v>0.75</x:v>
      </x:c>
      <x:c r="H84" s="14" t="n">
        <x:v>0.018485915492957746</x:v>
      </x:c>
      <x:c r="I84" s="11" t="n">
        <x:v>44364</x:v>
      </x:c>
    </x:row>
    <x:row r="85" ht="23" customHeight="1">
      <x:c r="A85" s="17" t="str">
        <x:v>a</x:v>
      </x:c>
      <x:c r="B85" s="17" t="str">
        <x:v>N</x:v>
      </x:c>
      <x:c r="C85" s="17" t="str">
        <x:v>springs</x:v>
      </x:c>
      <x:c r="D85" s="9" t="str">
        <x:v>弹簧</x:v>
      </x:c>
      <x:c r="E85" s="11" t="n">
        <x:v>17</x:v>
      </x:c>
      <x:c r="F85" s="11" t="n">
        <x:v>17</x:v>
      </x:c>
      <x:c r="G85" s="14" t="n">
        <x:f>F85/E85</x:f>
        <x:v>1</x:v>
      </x:c>
      <x:c r="H85" s="14" t="n">
        <x:v>0.014964788732394365</x:v>
      </x:c>
      <x:c r="I85" s="11" t="n">
        <x:v>60838</x:v>
      </x:c>
    </x:row>
    <x:row r="86" ht="23" customHeight="1">
      <x:c r="A86" s="17" t="str">
        <x:v>a</x:v>
      </x:c>
      <x:c r="B86" s="17" t="str">
        <x:v>N</x:v>
      </x:c>
      <x:c r="C86" s="17" t="str">
        <x:v>nuts</x:v>
      </x:c>
      <x:c r="D86" s="9" t="str">
        <x:v>螺母</x:v>
      </x:c>
      <x:c r="E86" s="11" t="n">
        <x:v>85</x:v>
      </x:c>
      <x:c r="F86" s="11" t="n">
        <x:v>12</x:v>
      </x:c>
      <x:c r="G86" s="14" t="n">
        <x:f>F86/E86</x:f>
        <x:v>0.1411764705882353</x:v>
      </x:c>
      <x:c r="H86" s="14" t="n">
        <x:v>0.01056338028169014</x:v>
      </x:c>
      <x:c r="I86" s="11" t="n">
        <x:v>6802</x:v>
      </x:c>
    </x:row>
    <x:row r="87" ht="23" customHeight="1">
      <x:c r="A87" s="17" t="str">
        <x:v>b</x:v>
      </x:c>
      <x:c r="B87" s="17" t="str">
        <x:v>C</x:v>
      </x:c>
      <x:c r="C87" s="17" t="str">
        <x:v>plain_block</x:v>
      </x:c>
      <x:c r="D87" s="9" t="str">
        <x:v>方块</x:v>
      </x:c>
      <x:c r="E87" s="11" t="n">
        <x:v>535</x:v>
      </x:c>
      <x:c r="F87" s="11" t="n">
        <x:v>535</x:v>
      </x:c>
      <x:c r="G87" s="14" t="n">
        <x:f>F87/E87</x:f>
        <x:v>1</x:v>
      </x:c>
      <x:c r="H87" s="14" t="n">
        <x:v>0.47429078014184395</x:v>
      </x:c>
      <x:c r="I87" s="11" t="n">
        <x:v>1308536</x:v>
      </x:c>
    </x:row>
    <x:row r="88" ht="23" customHeight="1">
      <x:c r="A88" s="17" t="str">
        <x:v>b</x:v>
      </x:c>
      <x:c r="B88" s="17" t="str">
        <x:v>C</x:v>
      </x:c>
      <x:c r="C88" s="17" t="str">
        <x:v>shaft_key</x:v>
      </x:c>
      <x:c r="D88" s="9" t="str">
        <x:v>平键</x:v>
      </x:c>
      <x:c r="E88" s="11" t="n">
        <x:v>212</x:v>
      </x:c>
      <x:c r="F88" s="11" t="n">
        <x:v>139</x:v>
      </x:c>
      <x:c r="G88" s="14" t="n">
        <x:f>F88/E88</x:f>
        <x:v>0.6556603773584906</x:v>
      </x:c>
      <x:c r="H88" s="14" t="n">
        <x:v>0.12322695035460993</x:v>
      </x:c>
      <x:c r="I88" s="11" t="n">
        <x:v>282720</x:v>
      </x:c>
    </x:row>
    <x:row r="89" ht="23" customHeight="1">
      <x:c r="A89" s="17" t="str">
        <x:v>b</x:v>
      </x:c>
      <x:c r="B89" s="17" t="str">
        <x:v>C</x:v>
      </x:c>
      <x:c r="C89" s="17" t="str">
        <x:v>dowel_pin</x:v>
      </x:c>
      <x:c r="D89" s="9" t="str">
        <x:v>定位销</x:v>
      </x:c>
      <x:c r="E89" s="11" t="n">
        <x:v>251</x:v>
      </x:c>
      <x:c r="F89" s="11" t="n">
        <x:v>97</x:v>
      </x:c>
      <x:c r="G89" s="14" t="n">
        <x:f>F89/E89</x:f>
        <x:v>0.38645418326693226</x:v>
      </x:c>
      <x:c r="H89" s="14" t="n">
        <x:v>0.08599290780141844</x:v>
      </x:c>
      <x:c r="I89" s="11" t="n">
        <x:v>60204</x:v>
      </x:c>
    </x:row>
    <x:row r="90" ht="23" customHeight="1">
      <x:c r="A90" s="17" t="str">
        <x:v>b</x:v>
      </x:c>
      <x:c r="B90" s="17" t="str">
        <x:v>C</x:v>
      </x:c>
      <x:c r="C90" s="17" t="str">
        <x:v>die_block</x:v>
      </x:c>
      <x:c r="D90" s="9" t="str">
        <x:v>模具</x:v>
      </x:c>
      <x:c r="E90" s="11" t="n">
        <x:v>91</x:v>
      </x:c>
      <x:c r="F90" s="11" t="n">
        <x:v>91</x:v>
      </x:c>
      <x:c r="G90" s="14" t="n">
        <x:f>F90/E90</x:f>
        <x:v>1</x:v>
      </x:c>
      <x:c r="H90" s="14" t="n">
        <x:v>0.08067375886524823</x:v>
      </x:c>
      <x:c r="I90" s="11" t="n">
        <x:v>104934</x:v>
      </x:c>
    </x:row>
    <x:row r="91" ht="23" customHeight="1">
      <x:c r="A91" s="17" t="str">
        <x:v>b</x:v>
      </x:c>
      <x:c r="B91" s="17" t="str">
        <x:v>C</x:v>
      </x:c>
      <x:c r="C91" s="17" t="str">
        <x:v>threaded_stud</x:v>
      </x:c>
      <x:c r="D91" s="9" t="str">
        <x:v>螺柱</x:v>
      </x:c>
      <x:c r="E91" s="11" t="n">
        <x:v>82</x:v>
      </x:c>
      <x:c r="F91" s="11" t="n">
        <x:v>75</x:v>
      </x:c>
      <x:c r="G91" s="14" t="n">
        <x:f>F91/E91</x:f>
        <x:v>0.9146341463414634</x:v>
      </x:c>
      <x:c r="H91" s="14" t="n">
        <x:v>0.06648936170212766</x:v>
      </x:c>
      <x:c r="I91" s="11" t="n">
        <x:v>208404</x:v>
      </x:c>
    </x:row>
    <x:row r="92" ht="23" customHeight="1">
      <x:c r="A92" s="17" t="str">
        <x:v>b</x:v>
      </x:c>
      <x:c r="B92" s="17" t="str">
        <x:v>C</x:v>
      </x:c>
      <x:c r="C92" s="17" t="str">
        <x:v>cap_nut</x:v>
      </x:c>
      <x:c r="D92" s="9" t="str">
        <x:v>盖形螺母</x:v>
      </x:c>
      <x:c r="E92" s="11" t="n">
        <x:v>132</x:v>
      </x:c>
      <x:c r="F92" s="11" t="n">
        <x:v>63</x:v>
      </x:c>
      <x:c r="G92" s="14" t="n">
        <x:f>F92/E92</x:f>
        <x:v>0.4772727272727273</x:v>
      </x:c>
      <x:c r="H92" s="14" t="n">
        <x:v>0.05585106382978723</x:v>
      </x:c>
      <x:c r="I92" s="11" t="n">
        <x:v>465846</x:v>
      </x:c>
    </x:row>
    <x:row r="93" ht="23" customHeight="1">
      <x:c r="A93" s="17" t="str">
        <x:v>b</x:v>
      </x:c>
      <x:c r="B93" s="17" t="str">
        <x:v>C</x:v>
      </x:c>
      <x:c r="C93" s="17" t="str">
        <x:v>flat_washer</x:v>
      </x:c>
      <x:c r="D93" s="9" t="str">
        <x:v>平垫圈</x:v>
      </x:c>
      <x:c r="E93" s="11" t="n">
        <x:v>43</x:v>
      </x:c>
      <x:c r="F93" s="11" t="n">
        <x:v>43</x:v>
      </x:c>
      <x:c r="G93" s="14" t="n">
        <x:f>F93/E93</x:f>
        <x:v>1</x:v>
      </x:c>
      <x:c r="H93" s="14" t="n">
        <x:v>0.038120567375886524</x:v>
      </x:c>
      <x:c r="I93" s="11" t="n">
        <x:v>19366</x:v>
      </x:c>
    </x:row>
    <x:row r="94" ht="23" customHeight="1">
      <x:c r="A94" s="17" t="str">
        <x:v>b</x:v>
      </x:c>
      <x:c r="B94" s="17" t="str">
        <x:v>C</x:v>
      </x:c>
      <x:c r="C94" s="17" t="str">
        <x:v>sprocket</x:v>
      </x:c>
      <x:c r="D94" s="9" t="str">
        <x:v>链轮</x:v>
      </x:c>
      <x:c r="E94" s="11" t="n">
        <x:v>18</x:v>
      </x:c>
      <x:c r="F94" s="11" t="n">
        <x:v>18</x:v>
      </x:c>
      <x:c r="G94" s="14" t="n">
        <x:f>F94/E94</x:f>
        <x:v>1</x:v>
      </x:c>
      <x:c r="H94" s="14" t="n">
        <x:v>0.015957446808510637</x:v>
      </x:c>
      <x:c r="I94" s="11" t="n">
        <x:v>81172</x:v>
      </x:c>
    </x:row>
    <x:row r="95" ht="23" customHeight="1">
      <x:c r="A95" s="17" t="str">
        <x:v>b</x:v>
      </x:c>
      <x:c r="B95" s="17" t="str">
        <x:v>C</x:v>
      </x:c>
      <x:c r="C95" s="17" t="str">
        <x:v>feature_plate</x:v>
      </x:c>
      <x:c r="D95" s="9" t="str">
        <x:v>孔板</x:v>
      </x:c>
      <x:c r="E95" s="11" t="n">
        <x:v>14</x:v>
      </x:c>
      <x:c r="F95" s="11" t="n">
        <x:v>14</x:v>
      </x:c>
      <x:c r="G95" s="14" t="n">
        <x:f>F95/E95</x:f>
        <x:v>1</x:v>
      </x:c>
      <x:c r="H95" s="14" t="n">
        <x:v>0.012411347517730497</x:v>
      </x:c>
      <x:c r="I95" s="11" t="n">
        <x:v>41558</x:v>
      </x:c>
    </x:row>
    <x:row r="96" ht="23" customHeight="1">
      <x:c r="A96" s="17" t="str">
        <x:v>b</x:v>
      </x:c>
      <x:c r="B96" s="17" t="str">
        <x:v>C</x:v>
      </x:c>
      <x:c r="C96" s="17" t="str">
        <x:v>mounting_plate</x:v>
      </x:c>
      <x:c r="D96" s="9" t="str">
        <x:v>安装板</x:v>
      </x:c>
      <x:c r="E96" s="11" t="n">
        <x:v>13</x:v>
      </x:c>
      <x:c r="F96" s="11" t="n">
        <x:v>13</x:v>
      </x:c>
      <x:c r="G96" s="14" t="n">
        <x:f>F96/E96</x:f>
        <x:v>1</x:v>
      </x:c>
      <x:c r="H96" s="14" t="n">
        <x:v>0.01152482269503546</x:v>
      </x:c>
      <x:c r="I96" s="11" t="n">
        <x:v>16128</x:v>
      </x:c>
    </x:row>
    <x:row r="97" ht="23" customHeight="1">
      <x:c r="A97" s="17" t="str">
        <x:v>b</x:v>
      </x:c>
      <x:c r="B97" s="17" t="str">
        <x:v>C</x:v>
      </x:c>
      <x:c r="C97" s="17" t="str">
        <x:v>hex_nut</x:v>
      </x:c>
      <x:c r="D97" s="9" t="str">
        <x:v>螺母</x:v>
      </x:c>
      <x:c r="E97" s="11" t="n">
        <x:v>61</x:v>
      </x:c>
      <x:c r="F97" s="11" t="n">
        <x:v>11</x:v>
      </x:c>
      <x:c r="G97" s="14" t="n">
        <x:f>F97/E97</x:f>
        <x:v>0.18032786885245902</x:v>
      </x:c>
      <x:c r="H97" s="14" t="n">
        <x:v>0.00975177304964539</x:v>
      </x:c>
      <x:c r="I97" s="11" t="n">
        <x:v>14248</x:v>
      </x:c>
    </x:row>
    <x:row r="98" ht="23" customHeight="1">
      <x:c r="A98" s="17" t="str">
        <x:v>b</x:v>
      </x:c>
      <x:c r="B98" s="17" t="str">
        <x:v>C</x:v>
      </x:c>
      <x:c r="C98" s="17" t="str">
        <x:v>nozzle</x:v>
      </x:c>
      <x:c r="D98" s="9" t="str">
        <x:v>气嘴</x:v>
      </x:c>
      <x:c r="E98" s="11" t="n">
        <x:v>5</x:v>
      </x:c>
      <x:c r="F98" s="11" t="n">
        <x:v>5</x:v>
      </x:c>
      <x:c r="G98" s="14" t="n">
        <x:f>F98/E98</x:f>
        <x:v>1</x:v>
      </x:c>
      <x:c r="H98" s="14" t="n">
        <x:v>0.004432624113475178</x:v>
      </x:c>
      <x:c r="I98" s="11" t="n">
        <x:v>8240</x:v>
      </x:c>
    </x:row>
    <x:row r="99" ht="23" customHeight="1">
      <x:c r="A99" s="17" t="str">
        <x:v>b</x:v>
      </x:c>
      <x:c r="B99" s="17" t="str">
        <x:v>C</x:v>
      </x:c>
      <x:c r="C99" s="17" t="str">
        <x:v>aluminum_extrusion</x:v>
      </x:c>
      <x:c r="D99" s="9" t="str">
        <x:v>铝型材</x:v>
      </x:c>
      <x:c r="E99" s="11" t="n">
        <x:v>4</x:v>
      </x:c>
      <x:c r="F99" s="11" t="n">
        <x:v>4</x:v>
      </x:c>
      <x:c r="G99" s="14" t="n">
        <x:f>F99/E99</x:f>
        <x:v>1</x:v>
      </x:c>
      <x:c r="H99" s="14" t="n">
        <x:v>0.0035460992907801418</x:v>
      </x:c>
      <x:c r="I99" s="11" t="n">
        <x:v>9190</x:v>
      </x:c>
    </x:row>
    <x:row r="100" ht="23" customHeight="1">
      <x:c r="A100" s="17" t="str">
        <x:v>b</x:v>
      </x:c>
      <x:c r="B100" s="17" t="str">
        <x:v>C</x:v>
      </x:c>
      <x:c r="C100" s="17" t="str">
        <x:v>plain_shaft</x:v>
      </x:c>
      <x:c r="D100" s="9" t="str">
        <x:v>圆轴</x:v>
      </x:c>
      <x:c r="E100" s="11" t="n">
        <x:v>4</x:v>
      </x:c>
      <x:c r="F100" s="11" t="n">
        <x:v>4</x:v>
      </x:c>
      <x:c r="G100" s="14" t="n">
        <x:f>F100/E100</x:f>
        <x:v>1</x:v>
      </x:c>
      <x:c r="H100" s="14" t="n">
        <x:v>0.0035460992907801418</x:v>
      </x:c>
      <x:c r="I100" s="11" t="n">
        <x:v>26408</x:v>
      </x:c>
    </x:row>
    <x:row r="101" ht="23" customHeight="1">
      <x:c r="A101" s="17" t="str">
        <x:v>b</x:v>
      </x:c>
      <x:c r="B101" s="17" t="str">
        <x:v>C</x:v>
      </x:c>
      <x:c r="C101" s="17" t="str">
        <x:v>punch_tool</x:v>
      </x:c>
      <x:c r="D101" s="9" t="str">
        <x:v>冲头</x:v>
      </x:c>
      <x:c r="E101" s="11" t="n">
        <x:v>4</x:v>
      </x:c>
      <x:c r="F101" s="11" t="n">
        <x:v>4</x:v>
      </x:c>
      <x:c r="G101" s="14" t="n">
        <x:f>F101/E101</x:f>
        <x:v>1</x:v>
      </x:c>
      <x:c r="H101" s="14" t="n">
        <x:v>0.0035460992907801418</x:v>
      </x:c>
      <x:c r="I101" s="11" t="n">
        <x:v>6830</x:v>
      </x:c>
    </x:row>
    <x:row r="102" ht="23" customHeight="1">
      <x:c r="A102" s="17" t="str">
        <x:v>b</x:v>
      </x:c>
      <x:c r="B102" s="17" t="str">
        <x:v>C</x:v>
      </x:c>
      <x:c r="C102" s="17" t="str">
        <x:v>slotted_nut</x:v>
      </x:c>
      <x:c r="D102" s="9" t="str">
        <x:v>开槽螺母</x:v>
      </x:c>
      <x:c r="E102" s="11" t="n">
        <x:v>4</x:v>
      </x:c>
      <x:c r="F102" s="11" t="n">
        <x:v>4</x:v>
      </x:c>
      <x:c r="G102" s="14" t="n">
        <x:f>F102/E102</x:f>
        <x:v>1</x:v>
      </x:c>
      <x:c r="H102" s="14" t="n">
        <x:v>0.0035460992907801418</x:v>
      </x:c>
      <x:c r="I102" s="11" t="n">
        <x:v>20364</x:v>
      </x:c>
    </x:row>
    <x:row r="103" ht="23" customHeight="1">
      <x:c r="A103" s="17" t="str">
        <x:v>b</x:v>
      </x:c>
      <x:c r="B103" s="17" t="str">
        <x:v>C</x:v>
      </x:c>
      <x:c r="C103" s="17" t="str">
        <x:v>machine_base</x:v>
      </x:c>
      <x:c r="D103" s="9" t="str">
        <x:v>底座</x:v>
      </x:c>
      <x:c r="E103" s="11" t="n">
        <x:v>3</x:v>
      </x:c>
      <x:c r="F103" s="11" t="n">
        <x:v>3</x:v>
      </x:c>
      <x:c r="G103" s="14" t="n">
        <x:f>F103/E103</x:f>
        <x:v>1</x:v>
      </x:c>
      <x:c r="H103" s="14" t="n">
        <x:v>0.0026595744680851063</x:v>
      </x:c>
      <x:c r="I103" s="11" t="n">
        <x:v>8580</x:v>
      </x:c>
    </x:row>
    <x:row r="104" ht="23" customHeight="1">
      <x:c r="A104" s="17" t="str">
        <x:v>b</x:v>
      </x:c>
      <x:c r="B104" s="17" t="str">
        <x:v>C</x:v>
      </x:c>
      <x:c r="C104" s="17" t="str">
        <x:v>retaining_ring</x:v>
      </x:c>
      <x:c r="D104" s="9" t="str">
        <x:v>卡簧</x:v>
      </x:c>
      <x:c r="E104" s="11" t="n">
        <x:v>3</x:v>
      </x:c>
      <x:c r="F104" s="11" t="n">
        <x:v>3</x:v>
      </x:c>
      <x:c r="G104" s="14" t="n">
        <x:f>F104/E104</x:f>
        <x:v>1</x:v>
      </x:c>
      <x:c r="H104" s="14" t="n">
        <x:v>0.0026595744680851063</x:v>
      </x:c>
      <x:c r="I104" s="11" t="n">
        <x:v>4136</x:v>
      </x:c>
    </x:row>
    <x:row r="105" ht="23" customHeight="1">
      <x:c r="A105" s="17" t="str">
        <x:v>b</x:v>
      </x:c>
      <x:c r="B105" s="17" t="str">
        <x:v>C</x:v>
      </x:c>
      <x:c r="C105" s="17" t="str">
        <x:v>suction_cup</x:v>
      </x:c>
      <x:c r="D105" s="9" t="str">
        <x:v>吸盘</x:v>
      </x:c>
      <x:c r="E105" s="11" t="n">
        <x:v>1</x:v>
      </x:c>
      <x:c r="F105" s="11" t="n">
        <x:v>1</x:v>
      </x:c>
      <x:c r="G105" s="14" t="n">
        <x:f>F105/E105</x:f>
        <x:v>1</x:v>
      </x:c>
      <x:c r="H105" s="14" t="n">
        <x:v>0.0008865248226950354</x:v>
      </x:c>
      <x:c r="I105" s="11" t="n">
        <x:v>2698</x:v>
      </x:c>
    </x:row>
    <x:row r="106" ht="23" customHeight="1">
      <x:c r="A106" s="17" t="str">
        <x:v>b</x:v>
      </x:c>
      <x:c r="B106" s="17" t="str">
        <x:v>C</x:v>
      </x:c>
      <x:c r="C106" s="17" t="str">
        <x:v>timing_belt</x:v>
      </x:c>
      <x:c r="D106" s="9" t="str">
        <x:v>同步带</x:v>
      </x:c>
      <x:c r="E106" s="11" t="n">
        <x:v>1</x:v>
      </x:c>
      <x:c r="F106" s="11" t="n">
        <x:v>1</x:v>
      </x:c>
      <x:c r="G106" s="14" t="n">
        <x:f>F106/E106</x:f>
        <x:v>1</x:v>
      </x:c>
      <x:c r="H106" s="14" t="n">
        <x:v>0.0008865248226950354</x:v>
      </x:c>
      <x:c r="I106" s="11" t="n">
        <x:v>2108</x:v>
      </x:c>
    </x:row>
    <x:row r="107" ht="23" customHeight="1">
      <x:c r="A107" s="17" t="str">
        <x:v>b</x:v>
      </x:c>
      <x:c r="B107" s="17" t="str">
        <x:v>N</x:v>
      </x:c>
      <x:c r="C107" s="17" t="str">
        <x:v>handles_controls</x:v>
      </x:c>
      <x:c r="D107" s="9" t="str">
        <x:v>把手与控制件</x:v>
      </x:c>
      <x:c r="E107" s="11" t="n">
        <x:v>204</x:v>
      </x:c>
      <x:c r="F107" s="11" t="n">
        <x:v>182</x:v>
      </x:c>
      <x:c r="G107" s="14" t="n">
        <x:f>F107/E107</x:f>
        <x:v>0.8921568627450981</x:v>
      </x:c>
      <x:c r="H107" s="14" t="n">
        <x:v>0.18091451292246521</x:v>
      </x:c>
      <x:c r="I107" s="11" t="n">
        <x:v>325550</x:v>
      </x:c>
    </x:row>
    <x:row r="108" ht="23" customHeight="1">
      <x:c r="A108" s="17" t="str">
        <x:v>b</x:v>
      </x:c>
      <x:c r="B108" s="17" t="str">
        <x:v>N</x:v>
      </x:c>
      <x:c r="C108" s="17" t="str">
        <x:v>pins_rivets_keys</x:v>
      </x:c>
      <x:c r="D108" s="9" t="str">
        <x:v>销、铆钉、键</x:v>
      </x:c>
      <x:c r="E108" s="11" t="n">
        <x:v>214</x:v>
      </x:c>
      <x:c r="F108" s="11" t="n">
        <x:v>164</x:v>
      </x:c>
      <x:c r="G108" s="14" t="n">
        <x:f>F108/E108</x:f>
        <x:v>0.7663551401869159</x:v>
      </x:c>
      <x:c r="H108" s="14" t="n">
        <x:v>0.16302186878727634</x:v>
      </x:c>
      <x:c r="I108" s="11" t="n">
        <x:v>231722</x:v>
      </x:c>
    </x:row>
    <x:row r="109" ht="23" customHeight="1">
      <x:c r="A109" s="17" t="str">
        <x:v>b</x:v>
      </x:c>
      <x:c r="B109" s="17" t="str">
        <x:v>N</x:v>
      </x:c>
      <x:c r="C109" s="17" t="str">
        <x:v>bearings_bushings_guides</x:v>
      </x:c>
      <x:c r="D109" s="9" t="str">
        <x:v>轴承、衬套、导向件</x:v>
      </x:c>
      <x:c r="E109" s="11" t="n">
        <x:v>244</x:v>
      </x:c>
      <x:c r="F109" s="11" t="n">
        <x:v>153</x:v>
      </x:c>
      <x:c r="G109" s="14" t="n">
        <x:f>F109/E109</x:f>
        <x:v>0.6270491803278688</x:v>
      </x:c>
      <x:c r="H109" s="14" t="n">
        <x:v>0.15208747514910537</x:v>
      </x:c>
      <x:c r="I109" s="11" t="n">
        <x:v>165400</x:v>
      </x:c>
    </x:row>
    <x:row r="110" ht="23" customHeight="1">
      <x:c r="A110" s="17" t="str">
        <x:v>b</x:v>
      </x:c>
      <x:c r="B110" s="17" t="str">
        <x:v>N</x:v>
      </x:c>
      <x:c r="C110" s="17" t="str">
        <x:v>joints_clamps_structural_connectors</x:v>
      </x:c>
      <x:c r="D110" s="9" t="str">
        <x:v>连接与夹紧件</x:v>
      </x:c>
      <x:c r="E110" s="11" t="n">
        <x:v>168</x:v>
      </x:c>
      <x:c r="F110" s="11" t="n">
        <x:v>143</x:v>
      </x:c>
      <x:c r="G110" s="14" t="n">
        <x:f>F110/E110</x:f>
        <x:v>0.8511904761904762</x:v>
      </x:c>
      <x:c r="H110" s="14" t="n">
        <x:v>0.14214711729622267</x:v>
      </x:c>
      <x:c r="I110" s="11" t="n">
        <x:v>197414</x:v>
      </x:c>
    </x:row>
    <x:row r="111" ht="23" customHeight="1">
      <x:c r="A111" s="17" t="str">
        <x:v>b</x:v>
      </x:c>
      <x:c r="B111" s="17" t="str">
        <x:v>N</x:v>
      </x:c>
      <x:c r="C111" s="17" t="str">
        <x:v>plates_discs_shapes</x:v>
      </x:c>
      <x:c r="D111" s="9" t="str">
        <x:v>板、盘与型材</x:v>
      </x:c>
      <x:c r="E111" s="11" t="n">
        <x:v>250</x:v>
      </x:c>
      <x:c r="F111" s="11" t="n">
        <x:v>104</x:v>
      </x:c>
      <x:c r="G111" s="14" t="n">
        <x:f>F111/E111</x:f>
        <x:v>0.416</x:v>
      </x:c>
      <x:c r="H111" s="14" t="n">
        <x:v>0.10337972166998012</x:v>
      </x:c>
      <x:c r="I111" s="11" t="n">
        <x:v>132170</x:v>
      </x:c>
    </x:row>
    <x:row r="112" ht="23" customHeight="1">
      <x:c r="A112" s="17" t="str">
        <x:v>b</x:v>
      </x:c>
      <x:c r="B112" s="17" t="str">
        <x:v>N</x:v>
      </x:c>
      <x:c r="C112" s="17" t="str">
        <x:v>nuts</x:v>
      </x:c>
      <x:c r="D112" s="9" t="str">
        <x:v>螺母</x:v>
      </x:c>
      <x:c r="E112" s="11" t="n">
        <x:v>107</x:v>
      </x:c>
      <x:c r="F112" s="11" t="n">
        <x:v>65</x:v>
      </x:c>
      <x:c r="G112" s="14" t="n">
        <x:f>F112/E112</x:f>
        <x:v>0.6074766355140186</x:v>
      </x:c>
      <x:c r="H112" s="14" t="n">
        <x:v>0.06461232604373758</x:v>
      </x:c>
      <x:c r="I112" s="11" t="n">
        <x:v>153802</x:v>
      </x:c>
    </x:row>
    <x:row r="113" ht="23" customHeight="1">
      <x:c r="A113" s="17" t="str">
        <x:v>b</x:v>
      </x:c>
      <x:c r="B113" s="17" t="str">
        <x:v>N</x:v>
      </x:c>
      <x:c r="C113" s="17" t="str">
        <x:v>pipe_fittings_valves_nozzles</x:v>
      </x:c>
      <x:c r="D113" s="9" t="str">
        <x:v>管接头、阀、喷嘴</x:v>
      </x:c>
      <x:c r="E113" s="11" t="n">
        <x:v>65</x:v>
      </x:c>
      <x:c r="F113" s="11" t="n">
        <x:v>59</x:v>
      </x:c>
      <x:c r="G113" s="14" t="n">
        <x:f>F113/E113</x:f>
        <x:v>0.9076923076923077</x:v>
      </x:c>
      <x:c r="H113" s="14" t="n">
        <x:v>0.05864811133200795</x:v>
      </x:c>
      <x:c r="I113" s="11" t="n">
        <x:v>184302</x:v>
      </x:c>
    </x:row>
    <x:row r="114" ht="23" customHeight="1">
      <x:c r="A114" s="17" t="str">
        <x:v>b</x:v>
      </x:c>
      <x:c r="B114" s="17" t="str">
        <x:v>N</x:v>
      </x:c>
      <x:c r="C114" s="17" t="str">
        <x:v>springs</x:v>
      </x:c>
      <x:c r="D114" s="9" t="str">
        <x:v>弹簧</x:v>
      </x:c>
      <x:c r="E114" s="11" t="n">
        <x:v>53</x:v>
      </x:c>
      <x:c r="F114" s="11" t="n">
        <x:v>41</x:v>
      </x:c>
      <x:c r="G114" s="14" t="n">
        <x:f>F114/E114</x:f>
        <x:v>0.7735849056603774</x:v>
      </x:c>
      <x:c r="H114" s="14" t="n">
        <x:v>0.040755467196819085</x:v>
      </x:c>
      <x:c r="I114" s="11" t="n">
        <x:v>216120</x:v>
      </x:c>
    </x:row>
    <x:row r="115" ht="23" customHeight="1">
      <x:c r="A115" s="17" t="str">
        <x:v>b</x:v>
      </x:c>
      <x:c r="B115" s="17" t="str">
        <x:v>N</x:v>
      </x:c>
      <x:c r="C115" s="17" t="str">
        <x:v>washers_rings_spacers</x:v>
      </x:c>
      <x:c r="D115" s="9" t="str">
        <x:v>垫圈、环与隔套</x:v>
      </x:c>
      <x:c r="E115" s="11" t="n">
        <x:v>59</x:v>
      </x:c>
      <x:c r="F115" s="11" t="n">
        <x:v>31</x:v>
      </x:c>
      <x:c r="G115" s="14" t="n">
        <x:f>F115/E115</x:f>
        <x:v>0.5254237288135594</x:v>
      </x:c>
      <x:c r="H115" s="14" t="n">
        <x:v>0.030815109343936383</x:v>
      </x:c>
      <x:c r="I115" s="11" t="n">
        <x:v>12760</x:v>
      </x:c>
    </x:row>
    <x:row r="116" ht="23" customHeight="1">
      <x:c r="A116" s="17" t="str">
        <x:v>b</x:v>
      </x:c>
      <x:c r="B116" s="17" t="str">
        <x:v>N</x:v>
      </x:c>
      <x:c r="C116" s="17" t="str">
        <x:v>motors_gearmotors</x:v>
      </x:c>
      <x:c r="D116" s="9" t="str">
        <x:v>电机与减速电机</x:v>
      </x:c>
      <x:c r="E116" s="11" t="n">
        <x:v>66</x:v>
      </x:c>
      <x:c r="F116" s="11" t="n">
        <x:v>27</x:v>
      </x:c>
      <x:c r="G116" s="14" t="n">
        <x:f>F116/E116</x:f>
        <x:v>0.4090909090909091</x:v>
      </x:c>
      <x:c r="H116" s="14" t="n">
        <x:v>0.0268389662027833</x:v>
      </x:c>
      <x:c r="I116" s="11" t="n">
        <x:v>143156</x:v>
      </x:c>
    </x:row>
    <x:row r="117" ht="23" customHeight="1">
      <x:c r="A117" s="17" t="str">
        <x:v>b</x:v>
      </x:c>
      <x:c r="B117" s="17" t="str">
        <x:v>N</x:v>
      </x:c>
      <x:c r="C117" s="17" t="str">
        <x:v>screws_bolts_studs</x:v>
      </x:c>
      <x:c r="D117" s="9" t="str">
        <x:v>螺钉、螺栓、螺柱</x:v>
      </x:c>
      <x:c r="E117" s="11" t="n">
        <x:v>22</x:v>
      </x:c>
      <x:c r="F117" s="11" t="n">
        <x:v>19</x:v>
      </x:c>
      <x:c r="G117" s="14" t="n">
        <x:f>F117/E117</x:f>
        <x:v>0.8636363636363636</x:v>
      </x:c>
      <x:c r="H117" s="14" t="n">
        <x:v>0.018886679920477135</x:v>
      </x:c>
      <x:c r="I117" s="11" t="n">
        <x:v>12292</x:v>
      </x:c>
    </x:row>
    <x:row r="118" ht="23" customHeight="1">
      <x:c r="A118" s="17" t="str">
        <x:v>b</x:v>
      </x:c>
      <x:c r="B118" s="17" t="str">
        <x:v>N</x:v>
      </x:c>
      <x:c r="C118" s="17" t="str">
        <x:v>rotating_fluid_machinery</x:v>
      </x:c>
      <x:c r="D118" s="9" t="str">
        <x:v>旋转流体机械</x:v>
      </x:c>
      <x:c r="E118" s="11" t="n">
        <x:v>17</x:v>
      </x:c>
      <x:c r="F118" s="11" t="n">
        <x:v>15</x:v>
      </x:c>
      <x:c r="G118" s="14" t="n">
        <x:f>F118/E118</x:f>
        <x:v>0.8823529411764706</x:v>
      </x:c>
      <x:c r="H118" s="14" t="n">
        <x:v>0.014910536779324055</x:v>
      </x:c>
      <x:c r="I118" s="11" t="n">
        <x:v>69306</x:v>
      </x:c>
    </x:row>
    <x:row r="119" ht="23" customHeight="1">
      <x:c r="A119" s="17" t="str">
        <x:v>b</x:v>
      </x:c>
      <x:c r="B119" s="17" t="str">
        <x:v>N</x:v>
      </x:c>
      <x:c r="C119" s="17" t="str">
        <x:v>gears_pulleys_chains</x:v>
      </x:c>
      <x:c r="D119" s="9" t="str">
        <x:v>齿轮、带轮、链条</x:v>
      </x:c>
      <x:c r="E119" s="11" t="n">
        <x:v>6</x:v>
      </x:c>
      <x:c r="F119" s="11" t="n">
        <x:v>3</x:v>
      </x:c>
      <x:c r="G119" s="14" t="n">
        <x:f>F119/E119</x:f>
        <x:v>0.5</x:v>
      </x:c>
      <x:c r="H119" s="14" t="n">
        <x:v>0.002982107355864811</x:v>
      </x:c>
      <x:c r="I119" s="11" t="n">
        <x:v>7802</x:v>
      </x:c>
    </x:row>
    <x:row r="120" ht="23" customHeight="1">
      <x:c r="A120" s="17" t="str">
        <x:v>b</x:v>
      </x:c>
      <x:c r="B120" s="17" t="str">
        <x:v>N</x:v>
      </x:c>
      <x:c r="C120" s="17" t="str">
        <x:v>wheels_castors</x:v>
      </x:c>
      <x:c r="D120" s="9" t="str">
        <x:v>轮与脚轮</x:v>
      </x:c>
      <x:c r="E120" s="11" t="n">
        <x:v>6</x:v>
      </x:c>
      <x:c r="F120" s="11" t="n">
        <x:v>0</x:v>
      </x:c>
      <x:c r="G120" s="14" t="n">
        <x:f>F120/E120</x:f>
        <x:v>0</x:v>
      </x:c>
      <x:c r="H120" s="14" t="n">
        <x:v>0</x:v>
      </x:c>
      <x:c r="I120" s="11" t="n">
        <x:v>0</x:v>
      </x:c>
    </x:row>
    <x:row r="121" ht="23" customHeight="1">
      <x:c r="A121" s="17" t="str">
        <x:v>c</x:v>
      </x:c>
      <x:c r="B121" s="17" t="str">
        <x:v>C</x:v>
      </x:c>
      <x:c r="C121" s="17" t="str">
        <x:v>plain_block</x:v>
      </x:c>
      <x:c r="D121" s="9" t="str">
        <x:v>方块</x:v>
      </x:c>
      <x:c r="E121" s="11" t="n">
        <x:v>493</x:v>
      </x:c>
      <x:c r="F121" s="11" t="n">
        <x:v>493</x:v>
      </x:c>
      <x:c r="G121" s="14" t="n">
        <x:f>F121/E121</x:f>
        <x:v>1</x:v>
      </x:c>
      <x:c r="H121" s="14" t="n">
        <x:v>0.3937699680511182</x:v>
      </x:c>
      <x:c r="I121" s="11" t="n">
        <x:v>3421468</x:v>
      </x:c>
    </x:row>
    <x:row r="122" ht="23" customHeight="1">
      <x:c r="A122" s="17" t="str">
        <x:v>c</x:v>
      </x:c>
      <x:c r="B122" s="17" t="str">
        <x:v>C</x:v>
      </x:c>
      <x:c r="C122" s="17" t="str">
        <x:v>shaft_key</x:v>
      </x:c>
      <x:c r="D122" s="9" t="str">
        <x:v>平键</x:v>
      </x:c>
      <x:c r="E122" s="11" t="n">
        <x:v>361</x:v>
      </x:c>
      <x:c r="F122" s="11" t="n">
        <x:v>203</x:v>
      </x:c>
      <x:c r="G122" s="14" t="n">
        <x:f>F122/E122</x:f>
        <x:v>0.5623268698060941</x:v>
      </x:c>
      <x:c r="H122" s="14" t="n">
        <x:v>0.1621405750798722</x:v>
      </x:c>
      <x:c r="I122" s="11" t="n">
        <x:v>1001766</x:v>
      </x:c>
    </x:row>
    <x:row r="123" ht="23" customHeight="1">
      <x:c r="A123" s="17" t="str">
        <x:v>c</x:v>
      </x:c>
      <x:c r="B123" s="17" t="str">
        <x:v>C</x:v>
      </x:c>
      <x:c r="C123" s="17" t="str">
        <x:v>proximity_sensor</x:v>
      </x:c>
      <x:c r="D123" s="9" t="str">
        <x:v>接近开关</x:v>
      </x:c>
      <x:c r="E123" s="11" t="n">
        <x:v>98</x:v>
      </x:c>
      <x:c r="F123" s="11" t="n">
        <x:v>98</x:v>
      </x:c>
      <x:c r="G123" s="14" t="n">
        <x:f>F123/E123</x:f>
        <x:v>1</x:v>
      </x:c>
      <x:c r="H123" s="14" t="n">
        <x:v>0.07827476038338659</x:v>
      </x:c>
      <x:c r="I123" s="11" t="n">
        <x:v>232848</x:v>
      </x:c>
    </x:row>
    <x:row r="124" ht="23" customHeight="1">
      <x:c r="A124" s="17" t="str">
        <x:v>c</x:v>
      </x:c>
      <x:c r="B124" s="17" t="str">
        <x:v>C</x:v>
      </x:c>
      <x:c r="C124" s="17" t="str">
        <x:v>flat_washer</x:v>
      </x:c>
      <x:c r="D124" s="9" t="str">
        <x:v>平垫圈</x:v>
      </x:c>
      <x:c r="E124" s="11" t="n">
        <x:v>54</x:v>
      </x:c>
      <x:c r="F124" s="11" t="n">
        <x:v>53</x:v>
      </x:c>
      <x:c r="G124" s="14" t="n">
        <x:f>F124/E124</x:f>
        <x:v>0.9814814814814815</x:v>
      </x:c>
      <x:c r="H124" s="14" t="n">
        <x:v>0.04233226837060703</x:v>
      </x:c>
      <x:c r="I124" s="11" t="n">
        <x:v>920648</x:v>
      </x:c>
    </x:row>
    <x:row r="125" ht="23" customHeight="1">
      <x:c r="A125" s="17" t="str">
        <x:v>c</x:v>
      </x:c>
      <x:c r="B125" s="17" t="str">
        <x:v>C</x:v>
      </x:c>
      <x:c r="C125" s="17" t="str">
        <x:v>die_block</x:v>
      </x:c>
      <x:c r="D125" s="9" t="str">
        <x:v>模具</x:v>
      </x:c>
      <x:c r="E125" s="11" t="n">
        <x:v>49</x:v>
      </x:c>
      <x:c r="F125" s="11" t="n">
        <x:v>49</x:v>
      </x:c>
      <x:c r="G125" s="14" t="n">
        <x:f>F125/E125</x:f>
        <x:v>1</x:v>
      </x:c>
      <x:c r="H125" s="14" t="n">
        <x:v>0.03913738019169329</x:v>
      </x:c>
      <x:c r="I125" s="11" t="n">
        <x:v>148744</x:v>
      </x:c>
    </x:row>
    <x:row r="126" ht="23" customHeight="1">
      <x:c r="A126" s="17" t="str">
        <x:v>c</x:v>
      </x:c>
      <x:c r="B126" s="17" t="str">
        <x:v>C</x:v>
      </x:c>
      <x:c r="C126" s="17" t="str">
        <x:v>feature_plate</x:v>
      </x:c>
      <x:c r="D126" s="9" t="str">
        <x:v>孔板</x:v>
      </x:c>
      <x:c r="E126" s="11" t="n">
        <x:v>40</x:v>
      </x:c>
      <x:c r="F126" s="11" t="n">
        <x:v>40</x:v>
      </x:c>
      <x:c r="G126" s="14" t="n">
        <x:f>F126/E126</x:f>
        <x:v>1</x:v>
      </x:c>
      <x:c r="H126" s="14" t="n">
        <x:v>0.03194888178913738</x:v>
      </x:c>
      <x:c r="I126" s="11" t="n">
        <x:v>1037496</x:v>
      </x:c>
    </x:row>
    <x:row r="127" ht="23" customHeight="1">
      <x:c r="A127" s="17" t="str">
        <x:v>c</x:v>
      </x:c>
      <x:c r="B127" s="17" t="str">
        <x:v>C</x:v>
      </x:c>
      <x:c r="C127" s="17" t="str">
        <x:v>cap_nut</x:v>
      </x:c>
      <x:c r="D127" s="9" t="str">
        <x:v>盖形螺母</x:v>
      </x:c>
      <x:c r="E127" s="11" t="n">
        <x:v>77</x:v>
      </x:c>
      <x:c r="F127" s="11" t="n">
        <x:v>39</x:v>
      </x:c>
      <x:c r="G127" s="14" t="n">
        <x:f>F127/E127</x:f>
        <x:v>0.5064935064935064</x:v>
      </x:c>
      <x:c r="H127" s="14" t="n">
        <x:v>0.031150159744408944</x:v>
      </x:c>
      <x:c r="I127" s="11" t="n">
        <x:v>341850</x:v>
      </x:c>
    </x:row>
    <x:row r="128" ht="23" customHeight="1">
      <x:c r="A128" s="17" t="str">
        <x:v>c</x:v>
      </x:c>
      <x:c r="B128" s="17" t="str">
        <x:v>C</x:v>
      </x:c>
      <x:c r="C128" s="17" t="str">
        <x:v>mounting_plate</x:v>
      </x:c>
      <x:c r="D128" s="9" t="str">
        <x:v>安装板</x:v>
      </x:c>
      <x:c r="E128" s="11" t="n">
        <x:v>38</x:v>
      </x:c>
      <x:c r="F128" s="11" t="n">
        <x:v>38</x:v>
      </x:c>
      <x:c r="G128" s="14" t="n">
        <x:f>F128/E128</x:f>
        <x:v>1</x:v>
      </x:c>
      <x:c r="H128" s="14" t="n">
        <x:v>0.03035143769968051</x:v>
      </x:c>
      <x:c r="I128" s="11" t="n">
        <x:v>70144</x:v>
      </x:c>
    </x:row>
    <x:row r="129" ht="23" customHeight="1">
      <x:c r="A129" s="17" t="str">
        <x:v>c</x:v>
      </x:c>
      <x:c r="B129" s="17" t="str">
        <x:v>C</x:v>
      </x:c>
      <x:c r="C129" s="17" t="str">
        <x:v>slotted_nut</x:v>
      </x:c>
      <x:c r="D129" s="9" t="str">
        <x:v>开槽螺母</x:v>
      </x:c>
      <x:c r="E129" s="11" t="n">
        <x:v>38</x:v>
      </x:c>
      <x:c r="F129" s="11" t="n">
        <x:v>36</x:v>
      </x:c>
      <x:c r="G129" s="14" t="n">
        <x:f>F129/E129</x:f>
        <x:v>0.9473684210526315</x:v>
      </x:c>
      <x:c r="H129" s="14" t="n">
        <x:v>0.02875399361022364</x:v>
      </x:c>
      <x:c r="I129" s="11" t="n">
        <x:v>194152</x:v>
      </x:c>
    </x:row>
    <x:row r="130" ht="23" customHeight="1">
      <x:c r="A130" s="17" t="str">
        <x:v>c</x:v>
      </x:c>
      <x:c r="B130" s="17" t="str">
        <x:v>C</x:v>
      </x:c>
      <x:c r="C130" s="17" t="str">
        <x:v>dowel_pin</x:v>
      </x:c>
      <x:c r="D130" s="9" t="str">
        <x:v>定位销</x:v>
      </x:c>
      <x:c r="E130" s="11" t="n">
        <x:v>269</x:v>
      </x:c>
      <x:c r="F130" s="11" t="n">
        <x:v>31</x:v>
      </x:c>
      <x:c r="G130" s="14" t="n">
        <x:f>F130/E130</x:f>
        <x:v>0.11524163568773234</x:v>
      </x:c>
      <x:c r="H130" s="14" t="n">
        <x:v>0.02476038338658147</x:v>
      </x:c>
      <x:c r="I130" s="11" t="n">
        <x:v>44960</x:v>
      </x:c>
    </x:row>
    <x:row r="131" ht="23" customHeight="1">
      <x:c r="A131" s="17" t="str">
        <x:v>c</x:v>
      </x:c>
      <x:c r="B131" s="17" t="str">
        <x:v>C</x:v>
      </x:c>
      <x:c r="C131" s="17" t="str">
        <x:v>hex_nut</x:v>
      </x:c>
      <x:c r="D131" s="9" t="str">
        <x:v>螺母</x:v>
      </x:c>
      <x:c r="E131" s="11" t="n">
        <x:v>77</x:v>
      </x:c>
      <x:c r="F131" s="11" t="n">
        <x:v>31</x:v>
      </x:c>
      <x:c r="G131" s="14" t="n">
        <x:f>F131/E131</x:f>
        <x:v>0.4025974025974026</x:v>
      </x:c>
      <x:c r="H131" s="14" t="n">
        <x:v>0.02476038338658147</x:v>
      </x:c>
      <x:c r="I131" s="11" t="n">
        <x:v>100542</x:v>
      </x:c>
    </x:row>
    <x:row r="132" ht="23" customHeight="1">
      <x:c r="A132" s="17" t="str">
        <x:v>c</x:v>
      </x:c>
      <x:c r="B132" s="17" t="str">
        <x:v>C</x:v>
      </x:c>
      <x:c r="C132" s="17" t="str">
        <x:v>punch_tool</x:v>
      </x:c>
      <x:c r="D132" s="9" t="str">
        <x:v>冲头</x:v>
      </x:c>
      <x:c r="E132" s="11" t="n">
        <x:v>26</x:v>
      </x:c>
      <x:c r="F132" s="11" t="n">
        <x:v>26</x:v>
      </x:c>
      <x:c r="G132" s="14" t="n">
        <x:f>F132/E132</x:f>
        <x:v>1</x:v>
      </x:c>
      <x:c r="H132" s="14" t="n">
        <x:v>0.020766773162939296</x:v>
      </x:c>
      <x:c r="I132" s="11" t="n">
        <x:v>1309478</x:v>
      </x:c>
    </x:row>
    <x:row r="133" ht="23" customHeight="1">
      <x:c r="A133" s="17" t="str">
        <x:v>c</x:v>
      </x:c>
      <x:c r="B133" s="17" t="str">
        <x:v>C</x:v>
      </x:c>
      <x:c r="C133" s="17" t="str">
        <x:v>threaded_stud</x:v>
      </x:c>
      <x:c r="D133" s="9" t="str">
        <x:v>螺柱</x:v>
      </x:c>
      <x:c r="E133" s="11" t="n">
        <x:v>31</x:v>
      </x:c>
      <x:c r="F133" s="11" t="n">
        <x:v>25</x:v>
      </x:c>
      <x:c r="G133" s="14" t="n">
        <x:f>F133/E133</x:f>
        <x:v>0.8064516129032258</x:v>
      </x:c>
      <x:c r="H133" s="14" t="n">
        <x:v>0.019968051118210862</x:v>
      </x:c>
      <x:c r="I133" s="11" t="n">
        <x:v>106544</x:v>
      </x:c>
    </x:row>
    <x:row r="134" ht="23" customHeight="1">
      <x:c r="A134" s="17" t="str">
        <x:v>c</x:v>
      </x:c>
      <x:c r="B134" s="17" t="str">
        <x:v>C</x:v>
      </x:c>
      <x:c r="C134" s="17" t="str">
        <x:v>retaining_ring</x:v>
      </x:c>
      <x:c r="D134" s="9" t="str">
        <x:v>卡簧</x:v>
      </x:c>
      <x:c r="E134" s="11" t="n">
        <x:v>26</x:v>
      </x:c>
      <x:c r="F134" s="11" t="n">
        <x:v>20</x:v>
      </x:c>
      <x:c r="G134" s="14" t="n">
        <x:f>F134/E134</x:f>
        <x:v>0.7692307692307693</x:v>
      </x:c>
      <x:c r="H134" s="14" t="n">
        <x:v>0.01597444089456869</x:v>
      </x:c>
      <x:c r="I134" s="11" t="n">
        <x:v>621458</x:v>
      </x:c>
    </x:row>
    <x:row r="135" ht="23" customHeight="1">
      <x:c r="A135" s="17" t="str">
        <x:v>c</x:v>
      </x:c>
      <x:c r="B135" s="17" t="str">
        <x:v>C</x:v>
      </x:c>
      <x:c r="C135" s="17" t="str">
        <x:v>aluminum_extrusion</x:v>
      </x:c>
      <x:c r="D135" s="9" t="str">
        <x:v>铝型材</x:v>
      </x:c>
      <x:c r="E135" s="11" t="n">
        <x:v>13</x:v>
      </x:c>
      <x:c r="F135" s="11" t="n">
        <x:v>13</x:v>
      </x:c>
      <x:c r="G135" s="14" t="n">
        <x:f>F135/E135</x:f>
        <x:v>1</x:v>
      </x:c>
      <x:c r="H135" s="14" t="n">
        <x:v>0.010383386581469648</x:v>
      </x:c>
      <x:c r="I135" s="11" t="n">
        <x:v>54240</x:v>
      </x:c>
    </x:row>
    <x:row r="136" ht="23" customHeight="1">
      <x:c r="A136" s="17" t="str">
        <x:v>c</x:v>
      </x:c>
      <x:c r="B136" s="17" t="str">
        <x:v>C</x:v>
      </x:c>
      <x:c r="C136" s="17" t="str">
        <x:v>coil_spring</x:v>
      </x:c>
      <x:c r="D136" s="9" t="str">
        <x:v>弹簧</x:v>
      </x:c>
      <x:c r="E136" s="11" t="n">
        <x:v>13</x:v>
      </x:c>
      <x:c r="F136" s="11" t="n">
        <x:v>13</x:v>
      </x:c>
      <x:c r="G136" s="14" t="n">
        <x:f>F136/E136</x:f>
        <x:v>1</x:v>
      </x:c>
      <x:c r="H136" s="14" t="n">
        <x:v>0.010383386581469648</x:v>
      </x:c>
      <x:c r="I136" s="11" t="n">
        <x:v>503898</x:v>
      </x:c>
    </x:row>
    <x:row r="137" ht="23" customHeight="1">
      <x:c r="A137" s="17" t="str">
        <x:v>c</x:v>
      </x:c>
      <x:c r="B137" s="17" t="str">
        <x:v>C</x:v>
      </x:c>
      <x:c r="C137" s="17" t="str">
        <x:v>nozzle</x:v>
      </x:c>
      <x:c r="D137" s="9" t="str">
        <x:v>气嘴</x:v>
      </x:c>
      <x:c r="E137" s="11" t="n">
        <x:v>12</x:v>
      </x:c>
      <x:c r="F137" s="11" t="n">
        <x:v>12</x:v>
      </x:c>
      <x:c r="G137" s="14" t="n">
        <x:f>F137/E137</x:f>
        <x:v>1</x:v>
      </x:c>
      <x:c r="H137" s="14" t="n">
        <x:v>0.009584664536741214</x:v>
      </x:c>
      <x:c r="I137" s="11" t="n">
        <x:v>55494</x:v>
      </x:c>
    </x:row>
    <x:row r="138" ht="23" customHeight="1">
      <x:c r="A138" s="17" t="str">
        <x:v>c</x:v>
      </x:c>
      <x:c r="B138" s="17" t="str">
        <x:v>C</x:v>
      </x:c>
      <x:c r="C138" s="17" t="str">
        <x:v>lead_screw</x:v>
      </x:c>
      <x:c r="D138" s="9" t="str">
        <x:v>丝杆</x:v>
      </x:c>
      <x:c r="E138" s="11" t="n">
        <x:v>9</x:v>
      </x:c>
      <x:c r="F138" s="11" t="n">
        <x:v>9</x:v>
      </x:c>
      <x:c r="G138" s="14" t="n">
        <x:f>F138/E138</x:f>
        <x:v>1</x:v>
      </x:c>
      <x:c r="H138" s="14" t="n">
        <x:v>0.00718849840255591</x:v>
      </x:c>
      <x:c r="I138" s="11" t="n">
        <x:v>140064</x:v>
      </x:c>
    </x:row>
    <x:row r="139" ht="23" customHeight="1">
      <x:c r="A139" s="17" t="str">
        <x:v>c</x:v>
      </x:c>
      <x:c r="B139" s="17" t="str">
        <x:v>C</x:v>
      </x:c>
      <x:c r="C139" s="17" t="str">
        <x:v>plain_shaft</x:v>
      </x:c>
      <x:c r="D139" s="9" t="str">
        <x:v>圆轴</x:v>
      </x:c>
      <x:c r="E139" s="11" t="n">
        <x:v>5</x:v>
      </x:c>
      <x:c r="F139" s="11" t="n">
        <x:v>5</x:v>
      </x:c>
      <x:c r="G139" s="14" t="n">
        <x:f>F139/E139</x:f>
        <x:v>1</x:v>
      </x:c>
      <x:c r="H139" s="14" t="n">
        <x:v>0.003993610223642172</x:v>
      </x:c>
      <x:c r="I139" s="11" t="n">
        <x:v>7264</x:v>
      </x:c>
    </x:row>
    <x:row r="140" ht="23" customHeight="1">
      <x:c r="A140" s="17" t="str">
        <x:v>c</x:v>
      </x:c>
      <x:c r="B140" s="17" t="str">
        <x:v>C</x:v>
      </x:c>
      <x:c r="C140" s="17" t="str">
        <x:v>seal_ring</x:v>
      </x:c>
      <x:c r="D140" s="9" t="str">
        <x:v>密封圈</x:v>
      </x:c>
      <x:c r="E140" s="11" t="n">
        <x:v>4</x:v>
      </x:c>
      <x:c r="F140" s="11" t="n">
        <x:v>4</x:v>
      </x:c>
      <x:c r="G140" s="14" t="n">
        <x:f>F140/E140</x:f>
        <x:v>1</x:v>
      </x:c>
      <x:c r="H140" s="14" t="n">
        <x:v>0.003194888178913738</x:v>
      </x:c>
      <x:c r="I140" s="11" t="n">
        <x:v>2576</x:v>
      </x:c>
    </x:row>
    <x:row r="141" ht="23" customHeight="1">
      <x:c r="A141" s="17" t="str">
        <x:v>c</x:v>
      </x:c>
      <x:c r="B141" s="17" t="str">
        <x:v>C</x:v>
      </x:c>
      <x:c r="C141" s="17" t="str">
        <x:v>suction_cup</x:v>
      </x:c>
      <x:c r="D141" s="9" t="str">
        <x:v>吸盘</x:v>
      </x:c>
      <x:c r="E141" s="11" t="n">
        <x:v>4</x:v>
      </x:c>
      <x:c r="F141" s="11" t="n">
        <x:v>4</x:v>
      </x:c>
      <x:c r="G141" s="14" t="n">
        <x:f>F141/E141</x:f>
        <x:v>1</x:v>
      </x:c>
      <x:c r="H141" s="14" t="n">
        <x:v>0.003194888178913738</x:v>
      </x:c>
      <x:c r="I141" s="11" t="n">
        <x:v>131179</x:v>
      </x:c>
    </x:row>
    <x:row r="142" ht="23" customHeight="1">
      <x:c r="A142" s="17" t="str">
        <x:v>c</x:v>
      </x:c>
      <x:c r="B142" s="17" t="str">
        <x:v>C</x:v>
      </x:c>
      <x:c r="C142" s="17" t="str">
        <x:v>camera_lens</x:v>
      </x:c>
      <x:c r="D142" s="9" t="str">
        <x:v>镜头</x:v>
      </x:c>
      <x:c r="E142" s="11" t="n">
        <x:v>3</x:v>
      </x:c>
      <x:c r="F142" s="11" t="n">
        <x:v>3</x:v>
      </x:c>
      <x:c r="G142" s="14" t="n">
        <x:f>F142/E142</x:f>
        <x:v>1</x:v>
      </x:c>
      <x:c r="H142" s="14" t="n">
        <x:v>0.0023961661341853034</x:v>
      </x:c>
      <x:c r="I142" s="11" t="n">
        <x:v>27000</x:v>
      </x:c>
    </x:row>
    <x:row r="143" ht="23" customHeight="1">
      <x:c r="A143" s="17" t="str">
        <x:v>c</x:v>
      </x:c>
      <x:c r="B143" s="17" t="str">
        <x:v>C</x:v>
      </x:c>
      <x:c r="C143" s="17" t="str">
        <x:v>mounting_bracket</x:v>
      </x:c>
      <x:c r="D143" s="9" t="str">
        <x:v>支架</x:v>
      </x:c>
      <x:c r="E143" s="11" t="n">
        <x:v>3</x:v>
      </x:c>
      <x:c r="F143" s="11" t="n">
        <x:v>3</x:v>
      </x:c>
      <x:c r="G143" s="14" t="n">
        <x:f>F143/E143</x:f>
        <x:v>1</x:v>
      </x:c>
      <x:c r="H143" s="14" t="n">
        <x:v>0.0023961661341853034</x:v>
      </x:c>
      <x:c r="I143" s="11" t="n">
        <x:v>7302</x:v>
      </x:c>
    </x:row>
    <x:row r="144" ht="23" customHeight="1">
      <x:c r="A144" s="17" t="str">
        <x:v>c</x:v>
      </x:c>
      <x:c r="B144" s="17" t="str">
        <x:v>C</x:v>
      </x:c>
      <x:c r="C144" s="17" t="str">
        <x:v>flexible_hose</x:v>
      </x:c>
      <x:c r="D144" s="9" t="str">
        <x:v>气管</x:v>
      </x:c>
      <x:c r="E144" s="11" t="n">
        <x:v>1</x:v>
      </x:c>
      <x:c r="F144" s="11" t="n">
        <x:v>1</x:v>
      </x:c>
      <x:c r="G144" s="14" t="n">
        <x:f>F144/E144</x:f>
        <x:v>1</x:v>
      </x:c>
      <x:c r="H144" s="14" t="n">
        <x:v>0.0007987220447284345</x:v>
      </x:c>
      <x:c r="I144" s="11" t="n">
        <x:v>620</x:v>
      </x:c>
    </x:row>
    <x:row r="145" ht="23" customHeight="1">
      <x:c r="A145" s="17" t="str">
        <x:v>c</x:v>
      </x:c>
      <x:c r="B145" s="17" t="str">
        <x:v>C</x:v>
      </x:c>
      <x:c r="C145" s="17" t="str">
        <x:v>frame_beam</x:v>
      </x:c>
      <x:c r="D145" s="9" t="str">
        <x:v>横梁</x:v>
      </x:c>
      <x:c r="E145" s="11" t="n">
        <x:v>1</x:v>
      </x:c>
      <x:c r="F145" s="11" t="n">
        <x:v>1</x:v>
      </x:c>
      <x:c r="G145" s="14" t="n">
        <x:f>F145/E145</x:f>
        <x:v>1</x:v>
      </x:c>
      <x:c r="H145" s="14" t="n">
        <x:v>0.0007987220447284345</x:v>
      </x:c>
      <x:c r="I145" s="11" t="n">
        <x:v>16724</x:v>
      </x:c>
    </x:row>
    <x:row r="146" ht="23" customHeight="1">
      <x:c r="A146" s="17" t="str">
        <x:v>c</x:v>
      </x:c>
      <x:c r="B146" s="17" t="str">
        <x:v>C</x:v>
      </x:c>
      <x:c r="C146" s="17" t="str">
        <x:v>sprocket</x:v>
      </x:c>
      <x:c r="D146" s="9" t="str">
        <x:v>链轮</x:v>
      </x:c>
      <x:c r="E146" s="11" t="n">
        <x:v>1</x:v>
      </x:c>
      <x:c r="F146" s="11" t="n">
        <x:v>1</x:v>
      </x:c>
      <x:c r="G146" s="14" t="n">
        <x:f>F146/E146</x:f>
        <x:v>1</x:v>
      </x:c>
      <x:c r="H146" s="14" t="n">
        <x:v>0.0007987220447284345</x:v>
      </x:c>
      <x:c r="I146" s="11" t="n">
        <x:v>4576</x:v>
      </x:c>
    </x:row>
    <x:row r="147" ht="23" customHeight="1">
      <x:c r="A147" s="17" t="str">
        <x:v>c</x:v>
      </x:c>
      <x:c r="B147" s="17" t="str">
        <x:v>C</x:v>
      </x:c>
      <x:c r="C147" s="17" t="str">
        <x:v>timing_belt</x:v>
      </x:c>
      <x:c r="D147" s="9" t="str">
        <x:v>同步带</x:v>
      </x:c>
      <x:c r="E147" s="11" t="n">
        <x:v>1</x:v>
      </x:c>
      <x:c r="F147" s="11" t="n">
        <x:v>1</x:v>
      </x:c>
      <x:c r="G147" s="14" t="n">
        <x:f>F147/E147</x:f>
        <x:v>1</x:v>
      </x:c>
      <x:c r="H147" s="14" t="n">
        <x:v>0.0007987220447284345</x:v>
      </x:c>
      <x:c r="I147" s="11" t="n">
        <x:v>3096</x:v>
      </x:c>
    </x:row>
    <x:row r="148" ht="23" customHeight="1">
      <x:c r="A148" s="17" t="str">
        <x:v>c</x:v>
      </x:c>
      <x:c r="B148" s="17" t="str">
        <x:v>N</x:v>
      </x:c>
      <x:c r="C148" s="17" t="str">
        <x:v>handles_controls</x:v>
      </x:c>
      <x:c r="D148" s="9" t="str">
        <x:v>把手与控制件</x:v>
      </x:c>
      <x:c r="E148" s="11" t="n">
        <x:v>224</x:v>
      </x:c>
      <x:c r="F148" s="11" t="n">
        <x:v>199</x:v>
      </x:c>
      <x:c r="G148" s="14" t="n">
        <x:f>F148/E148</x:f>
        <x:v>0.8883928571428571</x:v>
      </x:c>
      <x:c r="H148" s="14" t="n">
        <x:v>0.17563989408649602</x:v>
      </x:c>
      <x:c r="I148" s="11" t="n">
        <x:v>1333489</x:v>
      </x:c>
    </x:row>
    <x:row r="149" ht="23" customHeight="1">
      <x:c r="A149" s="17" t="str">
        <x:v>c</x:v>
      </x:c>
      <x:c r="B149" s="17" t="str">
        <x:v>N</x:v>
      </x:c>
      <x:c r="C149" s="17" t="str">
        <x:v>pins_rivets_keys</x:v>
      </x:c>
      <x:c r="D149" s="9" t="str">
        <x:v>销、铆钉、键</x:v>
      </x:c>
      <x:c r="E149" s="11" t="n">
        <x:v>214</x:v>
      </x:c>
      <x:c r="F149" s="11" t="n">
        <x:v>168</x:v>
      </x:c>
      <x:c r="G149" s="14" t="n">
        <x:f>F149/E149</x:f>
        <x:v>0.7850467289719626</x:v>
      </x:c>
      <x:c r="H149" s="14" t="n">
        <x:v>0.14827890556045895</x:v>
      </x:c>
      <x:c r="I149" s="11" t="n">
        <x:v>342934</x:v>
      </x:c>
    </x:row>
    <x:row r="150" ht="23" customHeight="1">
      <x:c r="A150" s="17" t="str">
        <x:v>c</x:v>
      </x:c>
      <x:c r="B150" s="17" t="str">
        <x:v>N</x:v>
      </x:c>
      <x:c r="C150" s="17" t="str">
        <x:v>rotating_fluid_machinery</x:v>
      </x:c>
      <x:c r="D150" s="9" t="str">
        <x:v>旋转流体机械</x:v>
      </x:c>
      <x:c r="E150" s="11" t="n">
        <x:v>167</x:v>
      </x:c>
      <x:c r="F150" s="11" t="n">
        <x:v>147</x:v>
      </x:c>
      <x:c r="G150" s="14" t="n">
        <x:f>F150/E150</x:f>
        <x:v>0.8802395209580839</x:v>
      </x:c>
      <x:c r="H150" s="14" t="n">
        <x:v>0.1297440423654016</x:v>
      </x:c>
      <x:c r="I150" s="11" t="n">
        <x:v>1916994</x:v>
      </x:c>
    </x:row>
    <x:row r="151" ht="23" customHeight="1">
      <x:c r="A151" s="17" t="str">
        <x:v>c</x:v>
      </x:c>
      <x:c r="B151" s="17" t="str">
        <x:v>N</x:v>
      </x:c>
      <x:c r="C151" s="17" t="str">
        <x:v>joints_clamps_structural_connectors</x:v>
      </x:c>
      <x:c r="D151" s="9" t="str">
        <x:v>连接与夹紧件</x:v>
      </x:c>
      <x:c r="E151" s="11" t="n">
        <x:v>202</x:v>
      </x:c>
      <x:c r="F151" s="11" t="n">
        <x:v>146</x:v>
      </x:c>
      <x:c r="G151" s="14" t="n">
        <x:f>F151/E151</x:f>
        <x:v>0.7227722772277227</x:v>
      </x:c>
      <x:c r="H151" s="14" t="n">
        <x:v>0.12886142983230361</x:v>
      </x:c>
      <x:c r="I151" s="11" t="n">
        <x:v>573870</x:v>
      </x:c>
    </x:row>
    <x:row r="152" ht="23" customHeight="1">
      <x:c r="A152" s="17" t="str">
        <x:v>c</x:v>
      </x:c>
      <x:c r="B152" s="17" t="str">
        <x:v>N</x:v>
      </x:c>
      <x:c r="C152" s="17" t="str">
        <x:v>bearings_bushings_guides</x:v>
      </x:c>
      <x:c r="D152" s="9" t="str">
        <x:v>轴承、衬套、导向件</x:v>
      </x:c>
      <x:c r="E152" s="11" t="n">
        <x:v>177</x:v>
      </x:c>
      <x:c r="F152" s="11" t="n">
        <x:v>123</x:v>
      </x:c>
      <x:c r="G152" s="14" t="n">
        <x:f>F152/E152</x:f>
        <x:v>0.6949152542372882</x:v>
      </x:c>
      <x:c r="H152" s="14" t="n">
        <x:v>0.10856134157105031</x:v>
      </x:c>
      <x:c r="I152" s="11" t="n">
        <x:v>1397652</x:v>
      </x:c>
    </x:row>
    <x:row r="153" ht="23" customHeight="1">
      <x:c r="A153" s="17" t="str">
        <x:v>c</x:v>
      </x:c>
      <x:c r="B153" s="17" t="str">
        <x:v>N</x:v>
      </x:c>
      <x:c r="C153" s="17" t="str">
        <x:v>plates_discs_shapes</x:v>
      </x:c>
      <x:c r="D153" s="9" t="str">
        <x:v>板、盘与型材</x:v>
      </x:c>
      <x:c r="E153" s="11" t="n">
        <x:v>292</x:v>
      </x:c>
      <x:c r="F153" s="11" t="n">
        <x:v>107</x:v>
      </x:c>
      <x:c r="G153" s="14" t="n">
        <x:f>F153/E153</x:f>
        <x:v>0.3664383561643836</x:v>
      </x:c>
      <x:c r="H153" s="14" t="n">
        <x:v>0.09443954104148279</x:v>
      </x:c>
      <x:c r="I153" s="11" t="n">
        <x:v>326116</x:v>
      </x:c>
    </x:row>
    <x:row r="154" ht="23" customHeight="1">
      <x:c r="A154" s="17" t="str">
        <x:v>c</x:v>
      </x:c>
      <x:c r="B154" s="17" t="str">
        <x:v>N</x:v>
      </x:c>
      <x:c r="C154" s="17" t="str">
        <x:v>screws_bolts_studs</x:v>
      </x:c>
      <x:c r="D154" s="9" t="str">
        <x:v>螺钉、螺栓、螺柱</x:v>
      </x:c>
      <x:c r="E154" s="11" t="n">
        <x:v>139</x:v>
      </x:c>
      <x:c r="F154" s="11" t="n">
        <x:v>78</x:v>
      </x:c>
      <x:c r="G154" s="14" t="n">
        <x:f>F154/E154</x:f>
        <x:v>0.5611510791366906</x:v>
      </x:c>
      <x:c r="H154" s="14" t="n">
        <x:v>0.06884377758164166</x:v>
      </x:c>
      <x:c r="I154" s="11" t="n">
        <x:v>92090</x:v>
      </x:c>
    </x:row>
    <x:row r="155" ht="23" customHeight="1">
      <x:c r="A155" s="17" t="str">
        <x:v>c</x:v>
      </x:c>
      <x:c r="B155" s="17" t="str">
        <x:v>N</x:v>
      </x:c>
      <x:c r="C155" s="17" t="str">
        <x:v>pipe_fittings_valves_nozzles</x:v>
      </x:c>
      <x:c r="D155" s="9" t="str">
        <x:v>管接头、阀、喷嘴</x:v>
      </x:c>
      <x:c r="E155" s="11" t="n">
        <x:v>127</x:v>
      </x:c>
      <x:c r="F155" s="11" t="n">
        <x:v>72</x:v>
      </x:c>
      <x:c r="G155" s="14" t="n">
        <x:f>F155/E155</x:f>
        <x:v>0.5669291338582677</x:v>
      </x:c>
      <x:c r="H155" s="14" t="n">
        <x:v>0.06354810238305383</x:v>
      </x:c>
      <x:c r="I155" s="11" t="n">
        <x:v>308690</x:v>
      </x:c>
    </x:row>
    <x:row r="156" ht="23" customHeight="1">
      <x:c r="A156" s="17" t="str">
        <x:v>c</x:v>
      </x:c>
      <x:c r="B156" s="17" t="str">
        <x:v>N</x:v>
      </x:c>
      <x:c r="C156" s="17" t="str">
        <x:v>washers_rings_spacers</x:v>
      </x:c>
      <x:c r="D156" s="9" t="str">
        <x:v>垫圈、环与隔套</x:v>
      </x:c>
      <x:c r="E156" s="11" t="n">
        <x:v>52</x:v>
      </x:c>
      <x:c r="F156" s="11" t="n">
        <x:v>34</x:v>
      </x:c>
      <x:c r="G156" s="14" t="n">
        <x:f>F156/E156</x:f>
        <x:v>0.6538461538461539</x:v>
      </x:c>
      <x:c r="H156" s="14" t="n">
        <x:v>0.03000882612533098</x:v>
      </x:c>
      <x:c r="I156" s="11" t="n">
        <x:v>147650</x:v>
      </x:c>
    </x:row>
    <x:row r="157" ht="23" customHeight="1">
      <x:c r="A157" s="17" t="str">
        <x:v>c</x:v>
      </x:c>
      <x:c r="B157" s="17" t="str">
        <x:v>N</x:v>
      </x:c>
      <x:c r="C157" s="17" t="str">
        <x:v>nuts</x:v>
      </x:c>
      <x:c r="D157" s="9" t="str">
        <x:v>螺母</x:v>
      </x:c>
      <x:c r="E157" s="11" t="n">
        <x:v>86</x:v>
      </x:c>
      <x:c r="F157" s="11" t="n">
        <x:v>26</x:v>
      </x:c>
      <x:c r="G157" s="14" t="n">
        <x:f>F157/E157</x:f>
        <x:v>0.3023255813953488</x:v>
      </x:c>
      <x:c r="H157" s="14" t="n">
        <x:v>0.02294792586054722</x:v>
      </x:c>
      <x:c r="I157" s="11" t="n">
        <x:v>88616</x:v>
      </x:c>
    </x:row>
    <x:row r="158" ht="23" customHeight="1">
      <x:c r="A158" s="17" t="str">
        <x:v>c</x:v>
      </x:c>
      <x:c r="B158" s="17" t="str">
        <x:v>N</x:v>
      </x:c>
      <x:c r="C158" s="17" t="str">
        <x:v>motors_gearmotors</x:v>
      </x:c>
      <x:c r="D158" s="9" t="str">
        <x:v>电机与减速电机</x:v>
      </x:c>
      <x:c r="E158" s="11" t="n">
        <x:v>28</x:v>
      </x:c>
      <x:c r="F158" s="11" t="n">
        <x:v>15</x:v>
      </x:c>
      <x:c r="G158" s="14" t="n">
        <x:f>F158/E158</x:f>
        <x:v>0.5357142857142857</x:v>
      </x:c>
      <x:c r="H158" s="14" t="n">
        <x:v>0.01323918799646955</x:v>
      </x:c>
      <x:c r="I158" s="11" t="n">
        <x:v>98362</x:v>
      </x:c>
    </x:row>
    <x:row r="159" ht="23" customHeight="1">
      <x:c r="A159" s="17" t="str">
        <x:v>c</x:v>
      </x:c>
      <x:c r="B159" s="17" t="str">
        <x:v>N</x:v>
      </x:c>
      <x:c r="C159" s="17" t="str">
        <x:v>gears_pulleys_chains</x:v>
      </x:c>
      <x:c r="D159" s="9" t="str">
        <x:v>齿轮、带轮、链条</x:v>
      </x:c>
      <x:c r="E159" s="11" t="n">
        <x:v>14</x:v>
      </x:c>
      <x:c r="F159" s="11" t="n">
        <x:v>7</x:v>
      </x:c>
      <x:c r="G159" s="14" t="n">
        <x:f>F159/E159</x:f>
        <x:v>0.5</x:v>
      </x:c>
      <x:c r="H159" s="14" t="n">
        <x:v>0.00617828773168579</x:v>
      </x:c>
      <x:c r="I159" s="11" t="n">
        <x:v>34258</x:v>
      </x:c>
    </x:row>
    <x:row r="160" ht="23" customHeight="1">
      <x:c r="A160" s="17" t="str">
        <x:v>c</x:v>
      </x:c>
      <x:c r="B160" s="17" t="str">
        <x:v>N</x:v>
      </x:c>
      <x:c r="C160" s="17" t="str">
        <x:v>wheels_castors</x:v>
      </x:c>
      <x:c r="D160" s="9" t="str">
        <x:v>轮与脚轮</x:v>
      </x:c>
      <x:c r="E160" s="11" t="n">
        <x:v>6</x:v>
      </x:c>
      <x:c r="F160" s="11" t="n">
        <x:v>6</x:v>
      </x:c>
      <x:c r="G160" s="14" t="n">
        <x:f>F160/E160</x:f>
        <x:v>1</x:v>
      </x:c>
      <x:c r="H160" s="14" t="n">
        <x:v>0.00529567519858782</x:v>
      </x:c>
      <x:c r="I160" s="11" t="n">
        <x:v>311330</x:v>
      </x:c>
    </x:row>
    <x:row r="161" ht="23" customHeight="1">
      <x:c r="A161" s="17" t="str">
        <x:v>c</x:v>
      </x:c>
      <x:c r="B161" s="17" t="str">
        <x:v>N</x:v>
      </x:c>
      <x:c r="C161" s="17" t="str">
        <x:v>springs</x:v>
      </x:c>
      <x:c r="D161" s="9" t="str">
        <x:v>弹簧</x:v>
      </x:c>
      <x:c r="E161" s="11" t="n">
        <x:v>19</x:v>
      </x:c>
      <x:c r="F161" s="11" t="n">
        <x:v>5</x:v>
      </x:c>
      <x:c r="G161" s="14" t="n">
        <x:f>F161/E161</x:f>
        <x:v>0.2631578947368421</x:v>
      </x:c>
      <x:c r="H161" s="14" t="n">
        <x:v>0.00441306266548985</x:v>
      </x:c>
      <x:c r="I161" s="11" t="n">
        <x:v>16148</x:v>
      </x:c>
    </x:row>
    <x:row r="162" ht="23" customHeight="1">
      <x:c r="A162" s="17" t="str">
        <x:v>d</x:v>
      </x:c>
      <x:c r="B162" s="17" t="str">
        <x:v>C</x:v>
      </x:c>
      <x:c r="C162" s="17" t="str">
        <x:v>plain_block</x:v>
      </x:c>
      <x:c r="D162" s="9" t="str">
        <x:v>方块</x:v>
      </x:c>
      <x:c r="E162" s="11" t="n">
        <x:v>243</x:v>
      </x:c>
      <x:c r="F162" s="11" t="n">
        <x:v>243</x:v>
      </x:c>
      <x:c r="G162" s="14" t="n">
        <x:f>F162/E162</x:f>
        <x:v>1</x:v>
      </x:c>
      <x:c r="H162" s="14" t="n">
        <x:v>0.28222996515679444</x:v>
      </x:c>
      <x:c r="I162" s="11" t="n">
        <x:v>560066</x:v>
      </x:c>
    </x:row>
    <x:row r="163" ht="23" customHeight="1">
      <x:c r="A163" s="17" t="str">
        <x:v>d</x:v>
      </x:c>
      <x:c r="B163" s="17" t="str">
        <x:v>C</x:v>
      </x:c>
      <x:c r="C163" s="17" t="str">
        <x:v>shaft_key</x:v>
      </x:c>
      <x:c r="D163" s="9" t="str">
        <x:v>平键</x:v>
      </x:c>
      <x:c r="E163" s="11" t="n">
        <x:v>226</x:v>
      </x:c>
      <x:c r="F163" s="11" t="n">
        <x:v>175</x:v>
      </x:c>
      <x:c r="G163" s="14" t="n">
        <x:f>F163/E163</x:f>
        <x:v>0.7743362831858407</x:v>
      </x:c>
      <x:c r="H163" s="14" t="n">
        <x:v>0.2032520325203252</x:v>
      </x:c>
      <x:c r="I163" s="11" t="n">
        <x:v>183822</x:v>
      </x:c>
    </x:row>
    <x:row r="164" ht="23" customHeight="1">
      <x:c r="A164" s="17" t="str">
        <x:v>d</x:v>
      </x:c>
      <x:c r="B164" s="17" t="str">
        <x:v>C</x:v>
      </x:c>
      <x:c r="C164" s="17" t="str">
        <x:v>flat_washer</x:v>
      </x:c>
      <x:c r="D164" s="9" t="str">
        <x:v>平垫圈</x:v>
      </x:c>
      <x:c r="E164" s="11" t="n">
        <x:v>82</x:v>
      </x:c>
      <x:c r="F164" s="11" t="n">
        <x:v>80</x:v>
      </x:c>
      <x:c r="G164" s="14" t="n">
        <x:f>F164/E164</x:f>
        <x:v>0.975609756097561</x:v>
      </x:c>
      <x:c r="H164" s="14" t="n">
        <x:v>0.09291521486643438</x:v>
      </x:c>
      <x:c r="I164" s="11" t="n">
        <x:v>155824</x:v>
      </x:c>
    </x:row>
    <x:row r="165" ht="23" customHeight="1">
      <x:c r="A165" s="17" t="str">
        <x:v>d</x:v>
      </x:c>
      <x:c r="B165" s="17" t="str">
        <x:v>C</x:v>
      </x:c>
      <x:c r="C165" s="17" t="str">
        <x:v>dowel_pin</x:v>
      </x:c>
      <x:c r="D165" s="9" t="str">
        <x:v>定位销</x:v>
      </x:c>
      <x:c r="E165" s="11" t="n">
        <x:v>273</x:v>
      </x:c>
      <x:c r="F165" s="11" t="n">
        <x:v>72</x:v>
      </x:c>
      <x:c r="G165" s="14" t="n">
        <x:f>F165/E165</x:f>
        <x:v>0.26373626373626374</x:v>
      </x:c>
      <x:c r="H165" s="14" t="n">
        <x:v>0.08362369337979095</x:v>
      </x:c>
      <x:c r="I165" s="11" t="n">
        <x:v>50826</x:v>
      </x:c>
    </x:row>
    <x:row r="166" ht="23" customHeight="1">
      <x:c r="A166" s="17" t="str">
        <x:v>d</x:v>
      </x:c>
      <x:c r="B166" s="17" t="str">
        <x:v>C</x:v>
      </x:c>
      <x:c r="C166" s="17" t="str">
        <x:v>mounting_plate</x:v>
      </x:c>
      <x:c r="D166" s="9" t="str">
        <x:v>安装板</x:v>
      </x:c>
      <x:c r="E166" s="11" t="n">
        <x:v>68</x:v>
      </x:c>
      <x:c r="F166" s="11" t="n">
        <x:v>63</x:v>
      </x:c>
      <x:c r="G166" s="14" t="n">
        <x:f>F166/E166</x:f>
        <x:v>0.9264705882352942</x:v>
      </x:c>
      <x:c r="H166" s="14" t="n">
        <x:v>0.07317073170731707</x:v>
      </x:c>
      <x:c r="I166" s="11" t="n">
        <x:v>78252</x:v>
      </x:c>
    </x:row>
    <x:row r="167" ht="23" customHeight="1">
      <x:c r="A167" s="17" t="str">
        <x:v>d</x:v>
      </x:c>
      <x:c r="B167" s="17" t="str">
        <x:v>C</x:v>
      </x:c>
      <x:c r="C167" s="17" t="str">
        <x:v>die_block</x:v>
      </x:c>
      <x:c r="D167" s="9" t="str">
        <x:v>模具</x:v>
      </x:c>
      <x:c r="E167" s="11" t="n">
        <x:v>50</x:v>
      </x:c>
      <x:c r="F167" s="11" t="n">
        <x:v>50</x:v>
      </x:c>
      <x:c r="G167" s="14" t="n">
        <x:f>F167/E167</x:f>
        <x:v>1</x:v>
      </x:c>
      <x:c r="H167" s="14" t="n">
        <x:v>0.05807200929152149</x:v>
      </x:c>
      <x:c r="I167" s="11" t="n">
        <x:v>33400</x:v>
      </x:c>
    </x:row>
    <x:row r="168" ht="23" customHeight="1">
      <x:c r="A168" s="17" t="str">
        <x:v>d</x:v>
      </x:c>
      <x:c r="B168" s="17" t="str">
        <x:v>C</x:v>
      </x:c>
      <x:c r="C168" s="17" t="str">
        <x:v>hex_nut</x:v>
      </x:c>
      <x:c r="D168" s="9" t="str">
        <x:v>螺母</x:v>
      </x:c>
      <x:c r="E168" s="11" t="n">
        <x:v>61</x:v>
      </x:c>
      <x:c r="F168" s="11" t="n">
        <x:v>41</x:v>
      </x:c>
      <x:c r="G168" s="14" t="n">
        <x:f>F168/E168</x:f>
        <x:v>0.6721311475409836</x:v>
      </x:c>
      <x:c r="H168" s="14" t="n">
        <x:v>0.047619047619047616</x:v>
      </x:c>
      <x:c r="I168" s="11" t="n">
        <x:v>60434</x:v>
      </x:c>
    </x:row>
    <x:row r="169" ht="23" customHeight="1">
      <x:c r="A169" s="17" t="str">
        <x:v>d</x:v>
      </x:c>
      <x:c r="B169" s="17" t="str">
        <x:v>C</x:v>
      </x:c>
      <x:c r="C169" s="17" t="str">
        <x:v>cap_nut</x:v>
      </x:c>
      <x:c r="D169" s="9" t="str">
        <x:v>盖形螺母</x:v>
      </x:c>
      <x:c r="E169" s="11" t="n">
        <x:v>39</x:v>
      </x:c>
      <x:c r="F169" s="11" t="n">
        <x:v>38</x:v>
      </x:c>
      <x:c r="G169" s="14" t="n">
        <x:f>F169/E169</x:f>
        <x:v>0.9743589743589743</x:v>
      </x:c>
      <x:c r="H169" s="14" t="n">
        <x:v>0.04413472706155633</x:v>
      </x:c>
      <x:c r="I169" s="11" t="n">
        <x:v>57622</x:v>
      </x:c>
    </x:row>
    <x:row r="170" ht="23" customHeight="1">
      <x:c r="A170" s="17" t="str">
        <x:v>d</x:v>
      </x:c>
      <x:c r="B170" s="17" t="str">
        <x:v>C</x:v>
      </x:c>
      <x:c r="C170" s="17" t="str">
        <x:v>aluminum_extrusion</x:v>
      </x:c>
      <x:c r="D170" s="9" t="str">
        <x:v>铝型材</x:v>
      </x:c>
      <x:c r="E170" s="11" t="n">
        <x:v>35</x:v>
      </x:c>
      <x:c r="F170" s="11" t="n">
        <x:v>35</x:v>
      </x:c>
      <x:c r="G170" s="14" t="n">
        <x:f>F170/E170</x:f>
        <x:v>1</x:v>
      </x:c>
      <x:c r="H170" s="14" t="n">
        <x:v>0.04065040650406504</x:v>
      </x:c>
      <x:c r="I170" s="11" t="n">
        <x:v>78700</x:v>
      </x:c>
    </x:row>
    <x:row r="171" ht="23" customHeight="1">
      <x:c r="A171" s="17" t="str">
        <x:v>d</x:v>
      </x:c>
      <x:c r="B171" s="17" t="str">
        <x:v>C</x:v>
      </x:c>
      <x:c r="C171" s="17" t="str">
        <x:v>feature_plate</x:v>
      </x:c>
      <x:c r="D171" s="9" t="str">
        <x:v>孔板</x:v>
      </x:c>
      <x:c r="E171" s="11" t="n">
        <x:v>25</x:v>
      </x:c>
      <x:c r="F171" s="11" t="n">
        <x:v>25</x:v>
      </x:c>
      <x:c r="G171" s="14" t="n">
        <x:f>F171/E171</x:f>
        <x:v>1</x:v>
      </x:c>
      <x:c r="H171" s="14" t="n">
        <x:v>0.029036004645760744</x:v>
      </x:c>
      <x:c r="I171" s="11" t="n">
        <x:v>94740</x:v>
      </x:c>
    </x:row>
    <x:row r="172" ht="23" customHeight="1">
      <x:c r="A172" s="17" t="str">
        <x:v>d</x:v>
      </x:c>
      <x:c r="B172" s="17" t="str">
        <x:v>C</x:v>
      </x:c>
      <x:c r="C172" s="17" t="str">
        <x:v>slotted_nut</x:v>
      </x:c>
      <x:c r="D172" s="9" t="str">
        <x:v>开槽螺母</x:v>
      </x:c>
      <x:c r="E172" s="11" t="n">
        <x:v>14</x:v>
      </x:c>
      <x:c r="F172" s="11" t="n">
        <x:v>14</x:v>
      </x:c>
      <x:c r="G172" s="14" t="n">
        <x:f>F172/E172</x:f>
        <x:v>1</x:v>
      </x:c>
      <x:c r="H172" s="14" t="n">
        <x:v>0.016260162601626018</x:v>
      </x:c>
      <x:c r="I172" s="11" t="n">
        <x:v>15512</x:v>
      </x:c>
    </x:row>
    <x:row r="173" ht="23" customHeight="1">
      <x:c r="A173" s="17" t="str">
        <x:v>d</x:v>
      </x:c>
      <x:c r="B173" s="17" t="str">
        <x:v>C</x:v>
      </x:c>
      <x:c r="C173" s="17" t="str">
        <x:v>threaded_stud</x:v>
      </x:c>
      <x:c r="D173" s="9" t="str">
        <x:v>螺柱</x:v>
      </x:c>
      <x:c r="E173" s="11" t="n">
        <x:v>17</x:v>
      </x:c>
      <x:c r="F173" s="11" t="n">
        <x:v>10</x:v>
      </x:c>
      <x:c r="G173" s="14" t="n">
        <x:f>F173/E173</x:f>
        <x:v>0.5882352941176471</x:v>
      </x:c>
      <x:c r="H173" s="14" t="n">
        <x:v>0.011614401858304297</x:v>
      </x:c>
      <x:c r="I173" s="11" t="n">
        <x:v>16460</x:v>
      </x:c>
    </x:row>
    <x:row r="174" ht="23" customHeight="1">
      <x:c r="A174" s="17" t="str">
        <x:v>d</x:v>
      </x:c>
      <x:c r="B174" s="17" t="str">
        <x:v>C</x:v>
      </x:c>
      <x:c r="C174" s="17" t="str">
        <x:v>mounting_bracket</x:v>
      </x:c>
      <x:c r="D174" s="9" t="str">
        <x:v>支架</x:v>
      </x:c>
      <x:c r="E174" s="11" t="n">
        <x:v>4</x:v>
      </x:c>
      <x:c r="F174" s="11" t="n">
        <x:v>4</x:v>
      </x:c>
      <x:c r="G174" s="14" t="n">
        <x:f>F174/E174</x:f>
        <x:v>1</x:v>
      </x:c>
      <x:c r="H174" s="14" t="n">
        <x:v>0.004645760743321719</x:v>
      </x:c>
      <x:c r="I174" s="11" t="n">
        <x:v>8226</x:v>
      </x:c>
    </x:row>
    <x:row r="175" ht="23" customHeight="1">
      <x:c r="A175" s="17" t="str">
        <x:v>d</x:v>
      </x:c>
      <x:c r="B175" s="17" t="str">
        <x:v>C</x:v>
      </x:c>
      <x:c r="C175" s="17" t="str">
        <x:v>sprocket</x:v>
      </x:c>
      <x:c r="D175" s="9" t="str">
        <x:v>链轮</x:v>
      </x:c>
      <x:c r="E175" s="11" t="n">
        <x:v>3</x:v>
      </x:c>
      <x:c r="F175" s="11" t="n">
        <x:v>3</x:v>
      </x:c>
      <x:c r="G175" s="14" t="n">
        <x:f>F175/E175</x:f>
        <x:v>1</x:v>
      </x:c>
      <x:c r="H175" s="14" t="n">
        <x:v>0.003484320557491289</x:v>
      </x:c>
      <x:c r="I175" s="11" t="n">
        <x:v>8692</x:v>
      </x:c>
    </x:row>
    <x:row r="176" ht="23" customHeight="1">
      <x:c r="A176" s="17" t="str">
        <x:v>d</x:v>
      </x:c>
      <x:c r="B176" s="17" t="str">
        <x:v>C</x:v>
      </x:c>
      <x:c r="C176" s="17" t="str">
        <x:v>pipe_fitting</x:v>
      </x:c>
      <x:c r="D176" s="9" t="str">
        <x:v>接头</x:v>
      </x:c>
      <x:c r="E176" s="11" t="n">
        <x:v>2</x:v>
      </x:c>
      <x:c r="F176" s="11" t="n">
        <x:v>2</x:v>
      </x:c>
      <x:c r="G176" s="14" t="n">
        <x:f>F176/E176</x:f>
        <x:v>1</x:v>
      </x:c>
      <x:c r="H176" s="14" t="n">
        <x:v>0.0023228803716608595</x:v>
      </x:c>
      <x:c r="I176" s="11" t="n">
        <x:v>7092</x:v>
      </x:c>
    </x:row>
    <x:row r="177" ht="23" customHeight="1">
      <x:c r="A177" s="17" t="str">
        <x:v>d</x:v>
      </x:c>
      <x:c r="B177" s="17" t="str">
        <x:v>C</x:v>
      </x:c>
      <x:c r="C177" s="17" t="str">
        <x:v>punch_tool</x:v>
      </x:c>
      <x:c r="D177" s="9" t="str">
        <x:v>冲头</x:v>
      </x:c>
      <x:c r="E177" s="11" t="n">
        <x:v>2</x:v>
      </x:c>
      <x:c r="F177" s="11" t="n">
        <x:v>2</x:v>
      </x:c>
      <x:c r="G177" s="14" t="n">
        <x:f>F177/E177</x:f>
        <x:v>1</x:v>
      </x:c>
      <x:c r="H177" s="14" t="n">
        <x:v>0.0023228803716608595</x:v>
      </x:c>
      <x:c r="I177" s="11" t="n">
        <x:v>26256</x:v>
      </x:c>
    </x:row>
    <x:row r="178" ht="23" customHeight="1">
      <x:c r="A178" s="17" t="str">
        <x:v>d</x:v>
      </x:c>
      <x:c r="B178" s="17" t="str">
        <x:v>C</x:v>
      </x:c>
      <x:c r="C178" s="17" t="str">
        <x:v>suction_cup</x:v>
      </x:c>
      <x:c r="D178" s="9" t="str">
        <x:v>吸盘</x:v>
      </x:c>
      <x:c r="E178" s="11" t="n">
        <x:v>2</x:v>
      </x:c>
      <x:c r="F178" s="11" t="n">
        <x:v>2</x:v>
      </x:c>
      <x:c r="G178" s="14" t="n">
        <x:f>F178/E178</x:f>
        <x:v>1</x:v>
      </x:c>
      <x:c r="H178" s="14" t="n">
        <x:v>0.0023228803716608595</x:v>
      </x:c>
      <x:c r="I178" s="11" t="n">
        <x:v>5656</x:v>
      </x:c>
    </x:row>
    <x:row r="179" ht="23" customHeight="1">
      <x:c r="A179" s="17" t="str">
        <x:v>d</x:v>
      </x:c>
      <x:c r="B179" s="17" t="str">
        <x:v>C</x:v>
      </x:c>
      <x:c r="C179" s="17" t="str">
        <x:v>camera_lens</x:v>
      </x:c>
      <x:c r="D179" s="9" t="str">
        <x:v>镜头</x:v>
      </x:c>
      <x:c r="E179" s="11" t="n">
        <x:v>1</x:v>
      </x:c>
      <x:c r="F179" s="11" t="n">
        <x:v>1</x:v>
      </x:c>
      <x:c r="G179" s="14" t="n">
        <x:f>F179/E179</x:f>
        <x:v>1</x:v>
      </x:c>
      <x:c r="H179" s="14" t="n">
        <x:v>0.0011614401858304297</x:v>
      </x:c>
      <x:c r="I179" s="11" t="n">
        <x:v>1106</x:v>
      </x:c>
    </x:row>
    <x:row r="180" ht="23" customHeight="1">
      <x:c r="A180" s="17" t="str">
        <x:v>d</x:v>
      </x:c>
      <x:c r="B180" s="17" t="str">
        <x:v>C</x:v>
      </x:c>
      <x:c r="C180" s="17" t="str">
        <x:v>retaining_ring</x:v>
      </x:c>
      <x:c r="D180" s="9" t="str">
        <x:v>卡簧</x:v>
      </x:c>
      <x:c r="E180" s="11" t="n">
        <x:v>20</x:v>
      </x:c>
      <x:c r="F180" s="11" t="n">
        <x:v>1</x:v>
      </x:c>
      <x:c r="G180" s="14" t="n">
        <x:f>F180/E180</x:f>
        <x:v>0.05</x:v>
      </x:c>
      <x:c r="H180" s="14" t="n">
        <x:v>0.0011614401858304297</x:v>
      </x:c>
      <x:c r="I180" s="11" t="n">
        <x:v>4162</x:v>
      </x:c>
    </x:row>
    <x:row r="181" ht="23" customHeight="1">
      <x:c r="A181" s="17" t="str">
        <x:v>d</x:v>
      </x:c>
      <x:c r="B181" s="17" t="str">
        <x:v>N</x:v>
      </x:c>
      <x:c r="C181" s="17" t="str">
        <x:v>pins_rivets_keys</x:v>
      </x:c>
      <x:c r="D181" s="9" t="str">
        <x:v>销、铆钉、键</x:v>
      </x:c>
      <x:c r="E181" s="11" t="n">
        <x:v>178</x:v>
      </x:c>
      <x:c r="F181" s="11" t="n">
        <x:v>150</x:v>
      </x:c>
      <x:c r="G181" s="14" t="n">
        <x:f>F181/E181</x:f>
        <x:v>0.8426966292134831</x:v>
      </x:c>
      <x:c r="H181" s="14" t="n">
        <x:v>0.20689655172413793</x:v>
      </x:c>
      <x:c r="I181" s="11" t="n">
        <x:v>229212</x:v>
      </x:c>
    </x:row>
    <x:row r="182" ht="23" customHeight="1">
      <x:c r="A182" s="17" t="str">
        <x:v>d</x:v>
      </x:c>
      <x:c r="B182" s="17" t="str">
        <x:v>N</x:v>
      </x:c>
      <x:c r="C182" s="17" t="str">
        <x:v>plates_discs_shapes</x:v>
      </x:c>
      <x:c r="D182" s="9" t="str">
        <x:v>板、盘与型材</x:v>
      </x:c>
      <x:c r="E182" s="11" t="n">
        <x:v>288</x:v>
      </x:c>
      <x:c r="F182" s="11" t="n">
        <x:v>104</x:v>
      </x:c>
      <x:c r="G182" s="14" t="n">
        <x:f>F182/E182</x:f>
        <x:v>0.3611111111111111</x:v>
      </x:c>
      <x:c r="H182" s="14" t="n">
        <x:v>0.14344827586206896</x:v>
      </x:c>
      <x:c r="I182" s="11" t="n">
        <x:v>134786</x:v>
      </x:c>
    </x:row>
    <x:row r="183" ht="23" customHeight="1">
      <x:c r="A183" s="17" t="str">
        <x:v>d</x:v>
      </x:c>
      <x:c r="B183" s="17" t="str">
        <x:v>N</x:v>
      </x:c>
      <x:c r="C183" s="17" t="str">
        <x:v>bearings_bushings_guides</x:v>
      </x:c>
      <x:c r="D183" s="9" t="str">
        <x:v>轴承、衬套、导向件</x:v>
      </x:c>
      <x:c r="E183" s="11" t="n">
        <x:v>100</x:v>
      </x:c>
      <x:c r="F183" s="11" t="n">
        <x:v>93</x:v>
      </x:c>
      <x:c r="G183" s="14" t="n">
        <x:f>F183/E183</x:f>
        <x:v>0.93</x:v>
      </x:c>
      <x:c r="H183" s="14" t="n">
        <x:v>0.12827586206896552</x:v>
      </x:c>
      <x:c r="I183" s="11" t="n">
        <x:v>132516</x:v>
      </x:c>
    </x:row>
    <x:row r="184" ht="23" customHeight="1">
      <x:c r="A184" s="17" t="str">
        <x:v>d</x:v>
      </x:c>
      <x:c r="B184" s="17" t="str">
        <x:v>N</x:v>
      </x:c>
      <x:c r="C184" s="17" t="str">
        <x:v>handles_controls</x:v>
      </x:c>
      <x:c r="D184" s="9" t="str">
        <x:v>把手与控制件</x:v>
      </x:c>
      <x:c r="E184" s="11" t="n">
        <x:v>98</x:v>
      </x:c>
      <x:c r="F184" s="11" t="n">
        <x:v>82</x:v>
      </x:c>
      <x:c r="G184" s="14" t="n">
        <x:f>F184/E184</x:f>
        <x:v>0.8367346938775511</x:v>
      </x:c>
      <x:c r="H184" s="14" t="n">
        <x:v>0.11310344827586206</x:v>
      </x:c>
      <x:c r="I184" s="11" t="n">
        <x:v>135946</x:v>
      </x:c>
    </x:row>
    <x:row r="185" ht="23" customHeight="1">
      <x:c r="A185" s="17" t="str">
        <x:v>d</x:v>
      </x:c>
      <x:c r="B185" s="17" t="str">
        <x:v>N</x:v>
      </x:c>
      <x:c r="C185" s="17" t="str">
        <x:v>washers_rings_spacers</x:v>
      </x:c>
      <x:c r="D185" s="9" t="str">
        <x:v>垫圈、环与隔套</x:v>
      </x:c>
      <x:c r="E185" s="11" t="n">
        <x:v>88</x:v>
      </x:c>
      <x:c r="F185" s="11" t="n">
        <x:v>74</x:v>
      </x:c>
      <x:c r="G185" s="14" t="n">
        <x:f>F185/E185</x:f>
        <x:v>0.8409090909090909</x:v>
      </x:c>
      <x:c r="H185" s="14" t="n">
        <x:v>0.10206896551724139</x:v>
      </x:c>
      <x:c r="I185" s="11" t="n">
        <x:v>129258</x:v>
      </x:c>
    </x:row>
    <x:row r="186" ht="23" customHeight="1">
      <x:c r="A186" s="17" t="str">
        <x:v>d</x:v>
      </x:c>
      <x:c r="B186" s="17" t="str">
        <x:v>N</x:v>
      </x:c>
      <x:c r="C186" s="17" t="str">
        <x:v>joints_clamps_structural_connectors</x:v>
      </x:c>
      <x:c r="D186" s="9" t="str">
        <x:v>连接与夹紧件</x:v>
      </x:c>
      <x:c r="E186" s="11" t="n">
        <x:v>118</x:v>
      </x:c>
      <x:c r="F186" s="11" t="n">
        <x:v>56</x:v>
      </x:c>
      <x:c r="G186" s="14" t="n">
        <x:f>F186/E186</x:f>
        <x:v>0.4745762711864407</x:v>
      </x:c>
      <x:c r="H186" s="14" t="n">
        <x:v>0.07724137931034483</x:v>
      </x:c>
      <x:c r="I186" s="11" t="n">
        <x:v>72506</x:v>
      </x:c>
    </x:row>
    <x:row r="187" ht="23" customHeight="1">
      <x:c r="A187" s="17" t="str">
        <x:v>d</x:v>
      </x:c>
      <x:c r="B187" s="17" t="str">
        <x:v>N</x:v>
      </x:c>
      <x:c r="C187" s="17" t="str">
        <x:v>springs</x:v>
      </x:c>
      <x:c r="D187" s="9" t="str">
        <x:v>弹簧</x:v>
      </x:c>
      <x:c r="E187" s="11" t="n">
        <x:v>36</x:v>
      </x:c>
      <x:c r="F187" s="11" t="n">
        <x:v>36</x:v>
      </x:c>
      <x:c r="G187" s="14" t="n">
        <x:f>F187/E187</x:f>
        <x:v>1</x:v>
      </x:c>
      <x:c r="H187" s="14" t="n">
        <x:v>0.0496551724137931</x:v>
      </x:c>
      <x:c r="I187" s="11" t="n">
        <x:v>47428</x:v>
      </x:c>
    </x:row>
    <x:row r="188" ht="23" customHeight="1">
      <x:c r="A188" s="17" t="str">
        <x:v>d</x:v>
      </x:c>
      <x:c r="B188" s="17" t="str">
        <x:v>N</x:v>
      </x:c>
      <x:c r="C188" s="17" t="str">
        <x:v>screws_bolts_studs</x:v>
      </x:c>
      <x:c r="D188" s="9" t="str">
        <x:v>螺钉、螺栓、螺柱</x:v>
      </x:c>
      <x:c r="E188" s="11" t="n">
        <x:v>127</x:v>
      </x:c>
      <x:c r="F188" s="11" t="n">
        <x:v>27</x:v>
      </x:c>
      <x:c r="G188" s="14" t="n">
        <x:f>F188/E188</x:f>
        <x:v>0.2125984251968504</x:v>
      </x:c>
      <x:c r="H188" s="14" t="n">
        <x:v>0.037241379310344824</x:v>
      </x:c>
      <x:c r="I188" s="11" t="n">
        <x:v>14578</x:v>
      </x:c>
    </x:row>
    <x:row r="189" ht="23" customHeight="1">
      <x:c r="A189" s="17" t="str">
        <x:v>d</x:v>
      </x:c>
      <x:c r="B189" s="17" t="str">
        <x:v>N</x:v>
      </x:c>
      <x:c r="C189" s="17" t="str">
        <x:v>nuts</x:v>
      </x:c>
      <x:c r="D189" s="9" t="str">
        <x:v>螺母</x:v>
      </x:c>
      <x:c r="E189" s="11" t="n">
        <x:v>35</x:v>
      </x:c>
      <x:c r="F189" s="11" t="n">
        <x:v>21</x:v>
      </x:c>
      <x:c r="G189" s="14" t="n">
        <x:f>F189/E189</x:f>
        <x:v>0.6</x:v>
      </x:c>
      <x:c r="H189" s="14" t="n">
        <x:v>0.028965517241379312</x:v>
      </x:c>
      <x:c r="I189" s="11" t="n">
        <x:v>45532</x:v>
      </x:c>
    </x:row>
    <x:row r="190" ht="23" customHeight="1">
      <x:c r="A190" s="17" t="str">
        <x:v>d</x:v>
      </x:c>
      <x:c r="B190" s="17" t="str">
        <x:v>N</x:v>
      </x:c>
      <x:c r="C190" s="17" t="str">
        <x:v>gears_pulleys_chains</x:v>
      </x:c>
      <x:c r="D190" s="9" t="str">
        <x:v>齿轮、带轮、链条</x:v>
      </x:c>
      <x:c r="E190" s="11" t="n">
        <x:v>21</x:v>
      </x:c>
      <x:c r="F190" s="11" t="n">
        <x:v>20</x:v>
      </x:c>
      <x:c r="G190" s="14" t="n">
        <x:f>F190/E190</x:f>
        <x:v>0.9523809523809523</x:v>
      </x:c>
      <x:c r="H190" s="14" t="n">
        <x:v>0.027586206896551724</x:v>
      </x:c>
      <x:c r="I190" s="11" t="n">
        <x:v>22234</x:v>
      </x:c>
    </x:row>
    <x:row r="191" ht="23" customHeight="1">
      <x:c r="A191" s="17" t="str">
        <x:v>d</x:v>
      </x:c>
      <x:c r="B191" s="17" t="str">
        <x:v>N</x:v>
      </x:c>
      <x:c r="C191" s="17" t="str">
        <x:v>pipe_fittings_valves_nozzles</x:v>
      </x:c>
      <x:c r="D191" s="9" t="str">
        <x:v>管接头、阀、喷嘴</x:v>
      </x:c>
      <x:c r="E191" s="11" t="n">
        <x:v>24</x:v>
      </x:c>
      <x:c r="F191" s="11" t="n">
        <x:v>20</x:v>
      </x:c>
      <x:c r="G191" s="14" t="n">
        <x:f>F191/E191</x:f>
        <x:v>0.8333333333333334</x:v>
      </x:c>
      <x:c r="H191" s="14" t="n">
        <x:v>0.027586206896551724</x:v>
      </x:c>
      <x:c r="I191" s="11" t="n">
        <x:v>29060</x:v>
      </x:c>
    </x:row>
    <x:row r="192" ht="23" customHeight="1">
      <x:c r="A192" s="17" t="str">
        <x:v>d</x:v>
      </x:c>
      <x:c r="B192" s="17" t="str">
        <x:v>N</x:v>
      </x:c>
      <x:c r="C192" s="17" t="str">
        <x:v>rotating_fluid_machinery</x:v>
      </x:c>
      <x:c r="D192" s="9" t="str">
        <x:v>旋转流体机械</x:v>
      </x:c>
      <x:c r="E192" s="11" t="n">
        <x:v>22</x:v>
      </x:c>
      <x:c r="F192" s="11" t="n">
        <x:v>20</x:v>
      </x:c>
      <x:c r="G192" s="14" t="n">
        <x:f>F192/E192</x:f>
        <x:v>0.9090909090909091</x:v>
      </x:c>
      <x:c r="H192" s="14" t="n">
        <x:v>0.027586206896551724</x:v>
      </x:c>
      <x:c r="I192" s="11" t="n">
        <x:v>39038</x:v>
      </x:c>
    </x:row>
    <x:row r="193" ht="23" customHeight="1">
      <x:c r="A193" s="17" t="str">
        <x:v>d</x:v>
      </x:c>
      <x:c r="B193" s="17" t="str">
        <x:v>N</x:v>
      </x:c>
      <x:c r="C193" s="17" t="str">
        <x:v>motors_gearmotors</x:v>
      </x:c>
      <x:c r="D193" s="9" t="str">
        <x:v>电机与减速电机</x:v>
      </x:c>
      <x:c r="E193" s="11" t="n">
        <x:v>23</x:v>
      </x:c>
      <x:c r="F193" s="11" t="n">
        <x:v>13</x:v>
      </x:c>
      <x:c r="G193" s="14" t="n">
        <x:f>F193/E193</x:f>
        <x:v>0.5652173913043478</x:v>
      </x:c>
      <x:c r="H193" s="14" t="n">
        <x:v>0.01793103448275862</x:v>
      </x:c>
      <x:c r="I193" s="11" t="n">
        <x:v>59464</x:v>
      </x:c>
    </x:row>
    <x:row r="194" ht="23" customHeight="1">
      <x:c r="A194" s="17" t="str">
        <x:v>d</x:v>
      </x:c>
      <x:c r="B194" s="17" t="str">
        <x:v>N</x:v>
      </x:c>
      <x:c r="C194" s="17" t="str">
        <x:v>wheels_castors</x:v>
      </x:c>
      <x:c r="D194" s="9" t="str">
        <x:v>轮与脚轮</x:v>
      </x:c>
      <x:c r="E194" s="11" t="n">
        <x:v>9</x:v>
      </x:c>
      <x:c r="F194" s="11" t="n">
        <x:v>9</x:v>
      </x:c>
      <x:c r="G194" s="14" t="n">
        <x:f>F194/E194</x:f>
        <x:v>1</x:v>
      </x:c>
      <x:c r="H194" s="14" t="n">
        <x:v>0.012413793103448275</x:v>
      </x:c>
      <x:c r="I194" s="11" t="n">
        <x:v>12104</x:v>
      </x:c>
    </x:row>
    <x:row r="195" ht="23" customHeight="1">
      <x:c r="A195" s="17" t="str">
        <x:v>e</x:v>
      </x:c>
      <x:c r="B195" s="17" t="str">
        <x:v>C</x:v>
      </x:c>
      <x:c r="C195" s="17" t="str">
        <x:v>plain_block</x:v>
      </x:c>
      <x:c r="D195" s="9" t="str">
        <x:v>方块</x:v>
      </x:c>
      <x:c r="E195" s="11" t="n">
        <x:v>714</x:v>
      </x:c>
      <x:c r="F195" s="11" t="n">
        <x:v>714</x:v>
      </x:c>
      <x:c r="G195" s="14" t="n">
        <x:f>F195/E195</x:f>
        <x:v>1</x:v>
      </x:c>
      <x:c r="H195" s="14" t="n">
        <x:v>0.323956442831216</x:v>
      </x:c>
      <x:c r="I195" s="11" t="n">
        <x:v>5464442</x:v>
      </x:c>
    </x:row>
    <x:row r="196" ht="23" customHeight="1">
      <x:c r="A196" s="17" t="str">
        <x:v>e</x:v>
      </x:c>
      <x:c r="B196" s="17" t="str">
        <x:v>C</x:v>
      </x:c>
      <x:c r="C196" s="17" t="str">
        <x:v>flat_washer</x:v>
      </x:c>
      <x:c r="D196" s="9" t="str">
        <x:v>平垫圈</x:v>
      </x:c>
      <x:c r="E196" s="11" t="n">
        <x:v>310</x:v>
      </x:c>
      <x:c r="F196" s="11" t="n">
        <x:v>284</x:v>
      </x:c>
      <x:c r="G196" s="14" t="n">
        <x:f>F196/E196</x:f>
        <x:v>0.9161290322580645</x:v>
      </x:c>
      <x:c r="H196" s="14" t="n">
        <x:v>0.12885662431941924</x:v>
      </x:c>
      <x:c r="I196" s="11" t="n">
        <x:v>1346574</x:v>
      </x:c>
    </x:row>
    <x:row r="197" ht="23" customHeight="1">
      <x:c r="A197" s="17" t="str">
        <x:v>e</x:v>
      </x:c>
      <x:c r="B197" s="17" t="str">
        <x:v>C</x:v>
      </x:c>
      <x:c r="C197" s="17" t="str">
        <x:v>shaft_key</x:v>
      </x:c>
      <x:c r="D197" s="9" t="str">
        <x:v>平键</x:v>
      </x:c>
      <x:c r="E197" s="11" t="n">
        <x:v>496</x:v>
      </x:c>
      <x:c r="F197" s="11" t="n">
        <x:v>259</x:v>
      </x:c>
      <x:c r="G197" s="14" t="n">
        <x:f>F197/E197</x:f>
        <x:v>0.5221774193548387</x:v>
      </x:c>
      <x:c r="H197" s="14" t="n">
        <x:v>0.11751361161524501</x:v>
      </x:c>
      <x:c r="I197" s="11" t="n">
        <x:v>1134374</x:v>
      </x:c>
    </x:row>
    <x:row r="198" ht="23" customHeight="1">
      <x:c r="A198" s="17" t="str">
        <x:v>e</x:v>
      </x:c>
      <x:c r="B198" s="17" t="str">
        <x:v>C</x:v>
      </x:c>
      <x:c r="C198" s="17" t="str">
        <x:v>nozzle</x:v>
      </x:c>
      <x:c r="D198" s="9" t="str">
        <x:v>气嘴</x:v>
      </x:c>
      <x:c r="E198" s="11" t="n">
        <x:v>178</x:v>
      </x:c>
      <x:c r="F198" s="11" t="n">
        <x:v>176</x:v>
      </x:c>
      <x:c r="G198" s="14" t="n">
        <x:f>F198/E198</x:f>
        <x:v>0.9887640449438202</x:v>
      </x:c>
      <x:c r="H198" s="14" t="n">
        <x:v>0.07985480943738657</x:v>
      </x:c>
      <x:c r="I198" s="11" t="n">
        <x:v>1293130</x:v>
      </x:c>
    </x:row>
    <x:row r="199" ht="23" customHeight="1">
      <x:c r="A199" s="17" t="str">
        <x:v>e</x:v>
      </x:c>
      <x:c r="B199" s="17" t="str">
        <x:v>C</x:v>
      </x:c>
      <x:c r="C199" s="17" t="str">
        <x:v>threaded_stud</x:v>
      </x:c>
      <x:c r="D199" s="9" t="str">
        <x:v>螺柱</x:v>
      </x:c>
      <x:c r="E199" s="11" t="n">
        <x:v>138</x:v>
      </x:c>
      <x:c r="F199" s="11" t="n">
        <x:v>120</x:v>
      </x:c>
      <x:c r="G199" s="14" t="n">
        <x:f>F199/E199</x:f>
        <x:v>0.8695652173913043</x:v>
      </x:c>
      <x:c r="H199" s="14" t="n">
        <x:v>0.0544464609800363</x:v>
      </x:c>
      <x:c r="I199" s="11" t="n">
        <x:v>419118</x:v>
      </x:c>
    </x:row>
    <x:row r="200" ht="23" customHeight="1">
      <x:c r="A200" s="17" t="str">
        <x:v>e</x:v>
      </x:c>
      <x:c r="B200" s="17" t="str">
        <x:v>C</x:v>
      </x:c>
      <x:c r="C200" s="17" t="str">
        <x:v>retaining_ring</x:v>
      </x:c>
      <x:c r="D200" s="9" t="str">
        <x:v>卡簧</x:v>
      </x:c>
      <x:c r="E200" s="11" t="n">
        <x:v>209</x:v>
      </x:c>
      <x:c r="F200" s="11" t="n">
        <x:v>102</x:v>
      </x:c>
      <x:c r="G200" s="14" t="n">
        <x:f>F200/E200</x:f>
        <x:v>0.4880382775119617</x:v>
      </x:c>
      <x:c r="H200" s="14" t="n">
        <x:v>0.04627949183303085</x:v>
      </x:c>
      <x:c r="I200" s="11" t="n">
        <x:v>85700</x:v>
      </x:c>
    </x:row>
    <x:row r="201" ht="23" customHeight="1">
      <x:c r="A201" s="17" t="str">
        <x:v>e</x:v>
      </x:c>
      <x:c r="B201" s="17" t="str">
        <x:v>C</x:v>
      </x:c>
      <x:c r="C201" s="17" t="str">
        <x:v>dowel_pin</x:v>
      </x:c>
      <x:c r="D201" s="9" t="str">
        <x:v>定位销</x:v>
      </x:c>
      <x:c r="E201" s="11" t="n">
        <x:v>819</x:v>
      </x:c>
      <x:c r="F201" s="11" t="n">
        <x:v>99</x:v>
      </x:c>
      <x:c r="G201" s="14" t="n">
        <x:f>F201/E201</x:f>
        <x:v>0.12087912087912088</x:v>
      </x:c>
      <x:c r="H201" s="14" t="n">
        <x:v>0.044918330308529944</x:v>
      </x:c>
      <x:c r="I201" s="11" t="n">
        <x:v>94780</x:v>
      </x:c>
    </x:row>
    <x:row r="202" ht="23" customHeight="1">
      <x:c r="A202" s="17" t="str">
        <x:v>e</x:v>
      </x:c>
      <x:c r="B202" s="17" t="str">
        <x:v>C</x:v>
      </x:c>
      <x:c r="C202" s="17" t="str">
        <x:v>slotted_nut</x:v>
      </x:c>
      <x:c r="D202" s="9" t="str">
        <x:v>开槽螺母</x:v>
      </x:c>
      <x:c r="E202" s="11" t="n">
        <x:v>65</x:v>
      </x:c>
      <x:c r="F202" s="11" t="n">
        <x:v>65</x:v>
      </x:c>
      <x:c r="G202" s="14" t="n">
        <x:f>F202/E202</x:f>
        <x:v>1</x:v>
      </x:c>
      <x:c r="H202" s="14" t="n">
        <x:v>0.029491833030852996</x:v>
      </x:c>
      <x:c r="I202" s="11" t="n">
        <x:v>175590</x:v>
      </x:c>
    </x:row>
    <x:row r="203" ht="23" customHeight="1">
      <x:c r="A203" s="17" t="str">
        <x:v>e</x:v>
      </x:c>
      <x:c r="B203" s="17" t="str">
        <x:v>C</x:v>
      </x:c>
      <x:c r="C203" s="17" t="str">
        <x:v>hex_nut</x:v>
      </x:c>
      <x:c r="D203" s="9" t="str">
        <x:v>螺母</x:v>
      </x:c>
      <x:c r="E203" s="11" t="n">
        <x:v>66</x:v>
      </x:c>
      <x:c r="F203" s="11" t="n">
        <x:v>62</x:v>
      </x:c>
      <x:c r="G203" s="14" t="n">
        <x:f>F203/E203</x:f>
        <x:v>0.9393939393939394</x:v>
      </x:c>
      <x:c r="H203" s="14" t="n">
        <x:v>0.028130671506352088</x:v>
      </x:c>
      <x:c r="I203" s="11" t="n">
        <x:v>481918</x:v>
      </x:c>
    </x:row>
    <x:row r="204" ht="23" customHeight="1">
      <x:c r="A204" s="17" t="str">
        <x:v>e</x:v>
      </x:c>
      <x:c r="B204" s="17" t="str">
        <x:v>C</x:v>
      </x:c>
      <x:c r="C204" s="17" t="str">
        <x:v>cap_nut</x:v>
      </x:c>
      <x:c r="D204" s="9" t="str">
        <x:v>盖形螺母</x:v>
      </x:c>
      <x:c r="E204" s="11" t="n">
        <x:v>71</x:v>
      </x:c>
      <x:c r="F204" s="11" t="n">
        <x:v>61</x:v>
      </x:c>
      <x:c r="G204" s="14" t="n">
        <x:f>F204/E204</x:f>
        <x:v>0.8591549295774648</x:v>
      </x:c>
      <x:c r="H204" s="14" t="n">
        <x:v>0.027676950998185117</x:v>
      </x:c>
      <x:c r="I204" s="11" t="n">
        <x:v>575578</x:v>
      </x:c>
    </x:row>
    <x:row r="205" ht="23" customHeight="1">
      <x:c r="A205" s="17" t="str">
        <x:v>e</x:v>
      </x:c>
      <x:c r="B205" s="17" t="str">
        <x:v>C</x:v>
      </x:c>
      <x:c r="C205" s="17" t="str">
        <x:v>mounting_plate</x:v>
      </x:c>
      <x:c r="D205" s="9" t="str">
        <x:v>安装板</x:v>
      </x:c>
      <x:c r="E205" s="11" t="n">
        <x:v>70</x:v>
      </x:c>
      <x:c r="F205" s="11" t="n">
        <x:v>51</x:v>
      </x:c>
      <x:c r="G205" s="14" t="n">
        <x:f>F205/E205</x:f>
        <x:v>0.7285714285714285</x:v>
      </x:c>
      <x:c r="H205" s="14" t="n">
        <x:v>0.023139745916515426</x:v>
      </x:c>
      <x:c r="I205" s="11" t="n">
        <x:v>70186</x:v>
      </x:c>
    </x:row>
    <x:row r="206" ht="23" customHeight="1">
      <x:c r="A206" s="17" t="str">
        <x:v>e</x:v>
      </x:c>
      <x:c r="B206" s="17" t="str">
        <x:v>C</x:v>
      </x:c>
      <x:c r="C206" s="17" t="str">
        <x:v>feature_plate</x:v>
      </x:c>
      <x:c r="D206" s="9" t="str">
        <x:v>孔板</x:v>
      </x:c>
      <x:c r="E206" s="11" t="n">
        <x:v>50</x:v>
      </x:c>
      <x:c r="F206" s="11" t="n">
        <x:v>50</x:v>
      </x:c>
      <x:c r="G206" s="14" t="n">
        <x:f>F206/E206</x:f>
        <x:v>1</x:v>
      </x:c>
      <x:c r="H206" s="14" t="n">
        <x:v>0.022686025408348458</x:v>
      </x:c>
      <x:c r="I206" s="11" t="n">
        <x:v>422670</x:v>
      </x:c>
    </x:row>
    <x:row r="207" ht="23" customHeight="1">
      <x:c r="A207" s="17" t="str">
        <x:v>e</x:v>
      </x:c>
      <x:c r="B207" s="17" t="str">
        <x:v>C</x:v>
      </x:c>
      <x:c r="C207" s="17" t="str">
        <x:v>punch_tool</x:v>
      </x:c>
      <x:c r="D207" s="9" t="str">
        <x:v>冲头</x:v>
      </x:c>
      <x:c r="E207" s="11" t="n">
        <x:v>37</x:v>
      </x:c>
      <x:c r="F207" s="11" t="n">
        <x:v>37</x:v>
      </x:c>
      <x:c r="G207" s="14" t="n">
        <x:f>F207/E207</x:f>
        <x:v>1</x:v>
      </x:c>
      <x:c r="H207" s="14" t="n">
        <x:v>0.01678765880217786</x:v>
      </x:c>
      <x:c r="I207" s="11" t="n">
        <x:v>108652</x:v>
      </x:c>
    </x:row>
    <x:row r="208" ht="23" customHeight="1">
      <x:c r="A208" s="17" t="str">
        <x:v>e</x:v>
      </x:c>
      <x:c r="B208" s="17" t="str">
        <x:v>C</x:v>
      </x:c>
      <x:c r="C208" s="17" t="str">
        <x:v>die_block</x:v>
      </x:c>
      <x:c r="D208" s="9" t="str">
        <x:v>模具</x:v>
      </x:c>
      <x:c r="E208" s="11" t="n">
        <x:v>34</x:v>
      </x:c>
      <x:c r="F208" s="11" t="n">
        <x:v>34</x:v>
      </x:c>
      <x:c r="G208" s="14" t="n">
        <x:f>F208/E208</x:f>
        <x:v>1</x:v>
      </x:c>
      <x:c r="H208" s="14" t="n">
        <x:v>0.015426497277676952</x:v>
      </x:c>
      <x:c r="I208" s="11" t="n">
        <x:v>68362</x:v>
      </x:c>
    </x:row>
    <x:row r="209" ht="23" customHeight="1">
      <x:c r="A209" s="17" t="str">
        <x:v>e</x:v>
      </x:c>
      <x:c r="B209" s="17" t="str">
        <x:v>C</x:v>
      </x:c>
      <x:c r="C209" s="17" t="str">
        <x:v>pipe_fitting</x:v>
      </x:c>
      <x:c r="D209" s="9" t="str">
        <x:v>接头</x:v>
      </x:c>
      <x:c r="E209" s="11" t="n">
        <x:v>31</x:v>
      </x:c>
      <x:c r="F209" s="11" t="n">
        <x:v>31</x:v>
      </x:c>
      <x:c r="G209" s="14" t="n">
        <x:f>F209/E209</x:f>
        <x:v>1</x:v>
      </x:c>
      <x:c r="H209" s="14" t="n">
        <x:v>0.014065335753176044</x:v>
      </x:c>
      <x:c r="I209" s="11" t="n">
        <x:v>186124</x:v>
      </x:c>
    </x:row>
    <x:row r="210" ht="23" customHeight="1">
      <x:c r="A210" s="17" t="str">
        <x:v>e</x:v>
      </x:c>
      <x:c r="B210" s="17" t="str">
        <x:v>C</x:v>
      </x:c>
      <x:c r="C210" s="17" t="str">
        <x:v>aluminum_extrusion</x:v>
      </x:c>
      <x:c r="D210" s="9" t="str">
        <x:v>铝型材</x:v>
      </x:c>
      <x:c r="E210" s="11" t="n">
        <x:v>24</x:v>
      </x:c>
      <x:c r="F210" s="11" t="n">
        <x:v>24</x:v>
      </x:c>
      <x:c r="G210" s="14" t="n">
        <x:f>F210/E210</x:f>
        <x:v>1</x:v>
      </x:c>
      <x:c r="H210" s="14" t="n">
        <x:v>0.010889292196007259</x:v>
      </x:c>
      <x:c r="I210" s="11" t="n">
        <x:v>27774</x:v>
      </x:c>
    </x:row>
    <x:row r="211" ht="23" customHeight="1">
      <x:c r="A211" s="17" t="str">
        <x:v>e</x:v>
      </x:c>
      <x:c r="B211" s="17" t="str">
        <x:v>C</x:v>
      </x:c>
      <x:c r="C211" s="17" t="str">
        <x:v>coil_spring</x:v>
      </x:c>
      <x:c r="D211" s="9" t="str">
        <x:v>弹簧</x:v>
      </x:c>
      <x:c r="E211" s="11" t="n">
        <x:v>12</x:v>
      </x:c>
      <x:c r="F211" s="11" t="n">
        <x:v>12</x:v>
      </x:c>
      <x:c r="G211" s="14" t="n">
        <x:f>F211/E211</x:f>
        <x:v>1</x:v>
      </x:c>
      <x:c r="H211" s="14" t="n">
        <x:v>0.0054446460980036296</x:v>
      </x:c>
      <x:c r="I211" s="11" t="n">
        <x:v>590256</x:v>
      </x:c>
    </x:row>
    <x:row r="212" ht="23" customHeight="1">
      <x:c r="A212" s="17" t="str">
        <x:v>e</x:v>
      </x:c>
      <x:c r="B212" s="17" t="str">
        <x:v>C</x:v>
      </x:c>
      <x:c r="C212" s="17" t="str">
        <x:v>plain_shaft</x:v>
      </x:c>
      <x:c r="D212" s="9" t="str">
        <x:v>圆轴</x:v>
      </x:c>
      <x:c r="E212" s="11" t="n">
        <x:v>9</x:v>
      </x:c>
      <x:c r="F212" s="11" t="n">
        <x:v>9</x:v>
      </x:c>
      <x:c r="G212" s="14" t="n">
        <x:f>F212/E212</x:f>
        <x:v>1</x:v>
      </x:c>
      <x:c r="H212" s="14" t="n">
        <x:v>0.004083484573502722</x:v>
      </x:c>
      <x:c r="I212" s="11" t="n">
        <x:v>49582</x:v>
      </x:c>
    </x:row>
    <x:row r="213" ht="23" customHeight="1">
      <x:c r="A213" s="17" t="str">
        <x:v>e</x:v>
      </x:c>
      <x:c r="B213" s="17" t="str">
        <x:v>C</x:v>
      </x:c>
      <x:c r="C213" s="17" t="str">
        <x:v>sprocket</x:v>
      </x:c>
      <x:c r="D213" s="9" t="str">
        <x:v>链轮</x:v>
      </x:c>
      <x:c r="E213" s="11" t="n">
        <x:v>7</x:v>
      </x:c>
      <x:c r="F213" s="11" t="n">
        <x:v>7</x:v>
      </x:c>
      <x:c r="G213" s="14" t="n">
        <x:f>F213/E213</x:f>
        <x:v>1</x:v>
      </x:c>
      <x:c r="H213" s="14" t="n">
        <x:v>0.003176043557168784</x:v>
      </x:c>
      <x:c r="I213" s="11" t="n">
        <x:v>42964</x:v>
      </x:c>
    </x:row>
    <x:row r="214" ht="23" customHeight="1">
      <x:c r="A214" s="17" t="str">
        <x:v>e</x:v>
      </x:c>
      <x:c r="B214" s="17" t="str">
        <x:v>C</x:v>
      </x:c>
      <x:c r="C214" s="17" t="str">
        <x:v>camera_lens</x:v>
      </x:c>
      <x:c r="D214" s="9" t="str">
        <x:v>镜头</x:v>
      </x:c>
      <x:c r="E214" s="11" t="n">
        <x:v>3</x:v>
      </x:c>
      <x:c r="F214" s="11" t="n">
        <x:v>3</x:v>
      </x:c>
      <x:c r="G214" s="14" t="n">
        <x:f>F214/E214</x:f>
        <x:v>1</x:v>
      </x:c>
      <x:c r="H214" s="14" t="n">
        <x:v>0.0013611615245009074</x:v>
      </x:c>
      <x:c r="I214" s="11" t="n">
        <x:v>10652</x:v>
      </x:c>
    </x:row>
    <x:row r="215" ht="23" customHeight="1">
      <x:c r="A215" s="17" t="str">
        <x:v>e</x:v>
      </x:c>
      <x:c r="B215" s="17" t="str">
        <x:v>C</x:v>
      </x:c>
      <x:c r="C215" s="17" t="str">
        <x:v>mounting_bracket</x:v>
      </x:c>
      <x:c r="D215" s="9" t="str">
        <x:v>支架</x:v>
      </x:c>
      <x:c r="E215" s="11" t="n">
        <x:v>2</x:v>
      </x:c>
      <x:c r="F215" s="11" t="n">
        <x:v>2</x:v>
      </x:c>
      <x:c r="G215" s="14" t="n">
        <x:f>F215/E215</x:f>
        <x:v>1</x:v>
      </x:c>
      <x:c r="H215" s="14" t="n">
        <x:v>0.0009074410163339383</x:v>
      </x:c>
      <x:c r="I215" s="11" t="n">
        <x:v>2864</x:v>
      </x:c>
    </x:row>
    <x:row r="216" ht="23" customHeight="1">
      <x:c r="A216" s="17" t="str">
        <x:v>e</x:v>
      </x:c>
      <x:c r="B216" s="17" t="str">
        <x:v>C</x:v>
      </x:c>
      <x:c r="C216" s="17" t="str">
        <x:v>inspection_light</x:v>
      </x:c>
      <x:c r="D216" s="9" t="str">
        <x:v>光源</x:v>
      </x:c>
      <x:c r="E216" s="11" t="n">
        <x:v>1</x:v>
      </x:c>
      <x:c r="F216" s="11" t="n">
        <x:v>1</x:v>
      </x:c>
      <x:c r="G216" s="14" t="n">
        <x:f>F216/E216</x:f>
        <x:v>1</x:v>
      </x:c>
      <x:c r="H216" s="14" t="n">
        <x:v>0.00045372050816696913</x:v>
      </x:c>
      <x:c r="I216" s="11" t="n">
        <x:v>12</x:v>
      </x:c>
    </x:row>
    <x:row r="217" ht="23" customHeight="1">
      <x:c r="A217" s="17" t="str">
        <x:v>e</x:v>
      </x:c>
      <x:c r="B217" s="17" t="str">
        <x:v>C</x:v>
      </x:c>
      <x:c r="C217" s="17" t="str">
        <x:v>suction_cup</x:v>
      </x:c>
      <x:c r="D217" s="9" t="str">
        <x:v>吸盘</x:v>
      </x:c>
      <x:c r="E217" s="11" t="n">
        <x:v>1</x:v>
      </x:c>
      <x:c r="F217" s="11" t="n">
        <x:v>1</x:v>
      </x:c>
      <x:c r="G217" s="14" t="n">
        <x:f>F217/E217</x:f>
        <x:v>1</x:v>
      </x:c>
      <x:c r="H217" s="14" t="n">
        <x:v>0.00045372050816696913</x:v>
      </x:c>
      <x:c r="I217" s="11" t="n">
        <x:v>3310</x:v>
      </x:c>
    </x:row>
    <x:row r="218" ht="23" customHeight="1">
      <x:c r="A218" s="17" t="str">
        <x:v>e</x:v>
      </x:c>
      <x:c r="B218" s="17" t="str">
        <x:v>N</x:v>
      </x:c>
      <x:c r="C218" s="17" t="str">
        <x:v>pins_rivets_keys</x:v>
      </x:c>
      <x:c r="D218" s="9" t="str">
        <x:v>销、铆钉、键</x:v>
      </x:c>
      <x:c r="E218" s="11" t="n">
        <x:v>617</x:v>
      </x:c>
      <x:c r="F218" s="11" t="n">
        <x:v>438</x:v>
      </x:c>
      <x:c r="G218" s="14" t="n">
        <x:f>F218/E218</x:f>
        <x:v>0.7098865478119936</x:v>
      </x:c>
      <x:c r="H218" s="14" t="n">
        <x:v>0.25825471698113206</x:v>
      </x:c>
      <x:c r="I218" s="11" t="n">
        <x:v>766588</x:v>
      </x:c>
    </x:row>
    <x:row r="219" ht="23" customHeight="1">
      <x:c r="A219" s="17" t="str">
        <x:v>e</x:v>
      </x:c>
      <x:c r="B219" s="17" t="str">
        <x:v>N</x:v>
      </x:c>
      <x:c r="C219" s="17" t="str">
        <x:v>joints_clamps_structural_connectors</x:v>
      </x:c>
      <x:c r="D219" s="9" t="str">
        <x:v>连接与夹紧件</x:v>
      </x:c>
      <x:c r="E219" s="11" t="n">
        <x:v>332</x:v>
      </x:c>
      <x:c r="F219" s="11" t="n">
        <x:v>217</x:v>
      </x:c>
      <x:c r="G219" s="14" t="n">
        <x:f>F219/E219</x:f>
        <x:v>0.6536144578313253</x:v>
      </x:c>
      <x:c r="H219" s="14" t="n">
        <x:v>0.12794811320754718</x:v>
      </x:c>
      <x:c r="I219" s="11" t="n">
        <x:v>502352</x:v>
      </x:c>
    </x:row>
    <x:row r="220" ht="23" customHeight="1">
      <x:c r="A220" s="17" t="str">
        <x:v>e</x:v>
      </x:c>
      <x:c r="B220" s="17" t="str">
        <x:v>N</x:v>
      </x:c>
      <x:c r="C220" s="17" t="str">
        <x:v>bearings_bushings_guides</x:v>
      </x:c>
      <x:c r="D220" s="9" t="str">
        <x:v>轴承、衬套、导向件</x:v>
      </x:c>
      <x:c r="E220" s="11" t="n">
        <x:v>438</x:v>
      </x:c>
      <x:c r="F220" s="11" t="n">
        <x:v>212</x:v>
      </x:c>
      <x:c r="G220" s="14" t="n">
        <x:f>F220/E220</x:f>
        <x:v>0.4840182648401826</x:v>
      </x:c>
      <x:c r="H220" s="14" t="n">
        <x:v>0.125</x:v>
      </x:c>
      <x:c r="I220" s="11" t="n">
        <x:v>899202</x:v>
      </x:c>
    </x:row>
    <x:row r="221" ht="23" customHeight="1">
      <x:c r="A221" s="17" t="str">
        <x:v>e</x:v>
      </x:c>
      <x:c r="B221" s="17" t="str">
        <x:v>N</x:v>
      </x:c>
      <x:c r="C221" s="17" t="str">
        <x:v>handles_controls</x:v>
      </x:c>
      <x:c r="D221" s="9" t="str">
        <x:v>把手与控制件</x:v>
      </x:c>
      <x:c r="E221" s="11" t="n">
        <x:v>217</x:v>
      </x:c>
      <x:c r="F221" s="11" t="n">
        <x:v>200</x:v>
      </x:c>
      <x:c r="G221" s="14" t="n">
        <x:f>F221/E221</x:f>
        <x:v>0.9216589861751152</x:v>
      </x:c>
      <x:c r="H221" s="14" t="n">
        <x:v>0.1179245283018868</x:v>
      </x:c>
      <x:c r="I221" s="11" t="n">
        <x:v>1309760</x:v>
      </x:c>
    </x:row>
    <x:row r="222" ht="23" customHeight="1">
      <x:c r="A222" s="17" t="str">
        <x:v>e</x:v>
      </x:c>
      <x:c r="B222" s="17" t="str">
        <x:v>N</x:v>
      </x:c>
      <x:c r="C222" s="17" t="str">
        <x:v>washers_rings_spacers</x:v>
      </x:c>
      <x:c r="D222" s="9" t="str">
        <x:v>垫圈、环与隔套</x:v>
      </x:c>
      <x:c r="E222" s="11" t="n">
        <x:v>448</x:v>
      </x:c>
      <x:c r="F222" s="11" t="n">
        <x:v>159</x:v>
      </x:c>
      <x:c r="G222" s="14" t="n">
        <x:f>F222/E222</x:f>
        <x:v>0.3549107142857143</x:v>
      </x:c>
      <x:c r="H222" s="14" t="n">
        <x:v>0.09375</x:v>
      </x:c>
      <x:c r="I222" s="11" t="n">
        <x:v>668006</x:v>
      </x:c>
    </x:row>
    <x:row r="223" ht="23" customHeight="1">
      <x:c r="A223" s="17" t="str">
        <x:v>e</x:v>
      </x:c>
      <x:c r="B223" s="17" t="str">
        <x:v>N</x:v>
      </x:c>
      <x:c r="C223" s="17" t="str">
        <x:v>plates_discs_shapes</x:v>
      </x:c>
      <x:c r="D223" s="9" t="str">
        <x:v>板、盘与型材</x:v>
      </x:c>
      <x:c r="E223" s="11" t="n">
        <x:v>637</x:v>
      </x:c>
      <x:c r="F223" s="11" t="n">
        <x:v>152</x:v>
      </x:c>
      <x:c r="G223" s="14" t="n">
        <x:f>F223/E223</x:f>
        <x:v>0.23861852433281006</x:v>
      </x:c>
      <x:c r="H223" s="14" t="n">
        <x:v>0.08962264150943396</x:v>
      </x:c>
      <x:c r="I223" s="11" t="n">
        <x:v>257400</x:v>
      </x:c>
    </x:row>
    <x:row r="224" ht="23" customHeight="1">
      <x:c r="A224" s="17" t="str">
        <x:v>e</x:v>
      </x:c>
      <x:c r="B224" s="17" t="str">
        <x:v>N</x:v>
      </x:c>
      <x:c r="C224" s="17" t="str">
        <x:v>pipe_fittings_valves_nozzles</x:v>
      </x:c>
      <x:c r="D224" s="9" t="str">
        <x:v>管接头、阀、喷嘴</x:v>
      </x:c>
      <x:c r="E224" s="11" t="n">
        <x:v>316</x:v>
      </x:c>
      <x:c r="F224" s="11" t="n">
        <x:v>148</x:v>
      </x:c>
      <x:c r="G224" s="14" t="n">
        <x:f>F224/E224</x:f>
        <x:v>0.46835443037974683</x:v>
      </x:c>
      <x:c r="H224" s="14" t="n">
        <x:v>0.08726415094339622</x:v>
      </x:c>
      <x:c r="I224" s="11" t="n">
        <x:v>493910</x:v>
      </x:c>
    </x:row>
    <x:row r="225" ht="23" customHeight="1">
      <x:c r="A225" s="17" t="str">
        <x:v>e</x:v>
      </x:c>
      <x:c r="B225" s="17" t="str">
        <x:v>N</x:v>
      </x:c>
      <x:c r="C225" s="17" t="str">
        <x:v>screws_bolts_studs</x:v>
      </x:c>
      <x:c r="D225" s="9" t="str">
        <x:v>螺钉、螺栓、螺柱</x:v>
      </x:c>
      <x:c r="E225" s="11" t="n">
        <x:v>174</x:v>
      </x:c>
      <x:c r="F225" s="11" t="n">
        <x:v>82</x:v>
      </x:c>
      <x:c r="G225" s="14" t="n">
        <x:f>F225/E225</x:f>
        <x:v>0.47126436781609193</x:v>
      </x:c>
      <x:c r="H225" s="14" t="n">
        <x:v>0.04834905660377359</x:v>
      </x:c>
      <x:c r="I225" s="11" t="n">
        <x:v>125052</x:v>
      </x:c>
    </x:row>
    <x:row r="226" ht="23" customHeight="1">
      <x:c r="A226" s="17" t="str">
        <x:v>e</x:v>
      </x:c>
      <x:c r="B226" s="17" t="str">
        <x:v>N</x:v>
      </x:c>
      <x:c r="C226" s="17" t="str">
        <x:v>rotating_fluid_machinery</x:v>
      </x:c>
      <x:c r="D226" s="9" t="str">
        <x:v>旋转流体机械</x:v>
      </x:c>
      <x:c r="E226" s="11" t="n">
        <x:v>46</x:v>
      </x:c>
      <x:c r="F226" s="11" t="n">
        <x:v>27</x:v>
      </x:c>
      <x:c r="G226" s="14" t="n">
        <x:f>F226/E226</x:f>
        <x:v>0.5869565217391305</x:v>
      </x:c>
      <x:c r="H226" s="14" t="n">
        <x:v>0.015919811320754717</x:v>
      </x:c>
      <x:c r="I226" s="11" t="n">
        <x:v>1020020</x:v>
      </x:c>
    </x:row>
    <x:row r="227" ht="23" customHeight="1">
      <x:c r="A227" s="17" t="str">
        <x:v>e</x:v>
      </x:c>
      <x:c r="B227" s="17" t="str">
        <x:v>N</x:v>
      </x:c>
      <x:c r="C227" s="17" t="str">
        <x:v>motors_gearmotors</x:v>
      </x:c>
      <x:c r="D227" s="9" t="str">
        <x:v>电机与减速电机</x:v>
      </x:c>
      <x:c r="E227" s="11" t="n">
        <x:v>37</x:v>
      </x:c>
      <x:c r="F227" s="11" t="n">
        <x:v>23</x:v>
      </x:c>
      <x:c r="G227" s="14" t="n">
        <x:f>F227/E227</x:f>
        <x:v>0.6216216216216216</x:v>
      </x:c>
      <x:c r="H227" s="14" t="n">
        <x:v>0.013561320754716982</x:v>
      </x:c>
      <x:c r="I227" s="11" t="n">
        <x:v>259202</x:v>
      </x:c>
    </x:row>
    <x:row r="228" ht="23" customHeight="1">
      <x:c r="A228" s="17" t="str">
        <x:v>e</x:v>
      </x:c>
      <x:c r="B228" s="17" t="str">
        <x:v>N</x:v>
      </x:c>
      <x:c r="C228" s="17" t="str">
        <x:v>springs</x:v>
      </x:c>
      <x:c r="D228" s="9" t="str">
        <x:v>弹簧</x:v>
      </x:c>
      <x:c r="E228" s="11" t="n">
        <x:v>26</x:v>
      </x:c>
      <x:c r="F228" s="11" t="n">
        <x:v>14</x:v>
      </x:c>
      <x:c r="G228" s="14" t="n">
        <x:f>F228/E228</x:f>
        <x:v>0.5384615384615384</x:v>
      </x:c>
      <x:c r="H228" s="14" t="n">
        <x:v>0.008254716981132075</x:v>
      </x:c>
      <x:c r="I228" s="11" t="n">
        <x:v>72408</x:v>
      </x:c>
    </x:row>
    <x:row r="229" ht="23" customHeight="1">
      <x:c r="A229" s="17" t="str">
        <x:v>e</x:v>
      </x:c>
      <x:c r="B229" s="17" t="str">
        <x:v>N</x:v>
      </x:c>
      <x:c r="C229" s="17" t="str">
        <x:v>gears_pulleys_chains</x:v>
      </x:c>
      <x:c r="D229" s="9" t="str">
        <x:v>齿轮、带轮、链条</x:v>
      </x:c>
      <x:c r="E229" s="11" t="n">
        <x:v>36</x:v>
      </x:c>
      <x:c r="F229" s="11" t="n">
        <x:v>13</x:v>
      </x:c>
      <x:c r="G229" s="14" t="n">
        <x:f>F229/E229</x:f>
        <x:v>0.3611111111111111</x:v>
      </x:c>
      <x:c r="H229" s="14" t="n">
        <x:v>0.0076650943396226415</x:v>
      </x:c>
      <x:c r="I229" s="11" t="n">
        <x:v>39496</x:v>
      </x:c>
    </x:row>
    <x:row r="230" ht="23" customHeight="1">
      <x:c r="A230" s="17" t="str">
        <x:v>e</x:v>
      </x:c>
      <x:c r="B230" s="17" t="str">
        <x:v>N</x:v>
      </x:c>
      <x:c r="C230" s="17" t="str">
        <x:v>nuts</x:v>
      </x:c>
      <x:c r="D230" s="9" t="str">
        <x:v>螺母</x:v>
      </x:c>
      <x:c r="E230" s="11" t="n">
        <x:v>20</x:v>
      </x:c>
      <x:c r="F230" s="11" t="n">
        <x:v>8</x:v>
      </x:c>
      <x:c r="G230" s="14" t="n">
        <x:f>F230/E230</x:f>
        <x:v>0.4</x:v>
      </x:c>
      <x:c r="H230" s="14" t="n">
        <x:v>0.0047169811320754715</x:v>
      </x:c>
      <x:c r="I230" s="11" t="n">
        <x:v>10032</x:v>
      </x:c>
    </x:row>
    <x:row r="231" ht="23" customHeight="1">
      <x:c r="A231" s="17" t="str">
        <x:v>e</x:v>
      </x:c>
      <x:c r="B231" s="17" t="str">
        <x:v>N</x:v>
      </x:c>
      <x:c r="C231" s="17" t="str">
        <x:v>wheels_castors</x:v>
      </x:c>
      <x:c r="D231" s="9" t="str">
        <x:v>轮与脚轮</x:v>
      </x:c>
      <x:c r="E231" s="11" t="n">
        <x:v>3</x:v>
      </x:c>
      <x:c r="F231" s="11" t="n">
        <x:v>3</x:v>
      </x:c>
      <x:c r="G231" s="14" t="n">
        <x:f>F231/E231</x:f>
        <x:v>1</x:v>
      </x:c>
      <x:c r="H231" s="14" t="n">
        <x:v>0.001768867924528302</x:v>
      </x:c>
      <x:c r="I231" s="11" t="n">
        <x:v>36110</x:v>
      </x:c>
    </x:row>
    <x:row r="232" ht="23" customHeight="1">
      <x:c r="A232" s="17" t="str">
        <x:v>f</x:v>
      </x:c>
      <x:c r="B232" s="17" t="str">
        <x:v>C</x:v>
      </x:c>
      <x:c r="C232" s="17" t="str">
        <x:v>plain_block</x:v>
      </x:c>
      <x:c r="D232" s="9" t="str">
        <x:v>方块</x:v>
      </x:c>
      <x:c r="E232" s="11" t="n">
        <x:v>285</x:v>
      </x:c>
      <x:c r="F232" s="11" t="n">
        <x:v>285</x:v>
      </x:c>
      <x:c r="G232" s="14" t="n">
        <x:f>F232/E232</x:f>
        <x:v>1</x:v>
      </x:c>
      <x:c r="H232" s="14" t="n">
        <x:v>0.3087757313109426</x:v>
      </x:c>
      <x:c r="I232" s="11" t="n">
        <x:v>250195</x:v>
      </x:c>
    </x:row>
    <x:row r="233" ht="23" customHeight="1">
      <x:c r="A233" s="17" t="str">
        <x:v>f</x:v>
      </x:c>
      <x:c r="B233" s="17" t="str">
        <x:v>C</x:v>
      </x:c>
      <x:c r="C233" s="17" t="str">
        <x:v>shaft_key</x:v>
      </x:c>
      <x:c r="D233" s="9" t="str">
        <x:v>平键</x:v>
      </x:c>
      <x:c r="E233" s="11" t="n">
        <x:v>307</x:v>
      </x:c>
      <x:c r="F233" s="11" t="n">
        <x:v>168</x:v>
      </x:c>
      <x:c r="G233" s="14" t="n">
        <x:f>F233/E233</x:f>
        <x:v>0.5472312703583062</x:v>
      </x:c>
      <x:c r="H233" s="14" t="n">
        <x:v>0.1820151679306609</x:v>
      </x:c>
      <x:c r="I233" s="11" t="n">
        <x:v>87180</x:v>
      </x:c>
    </x:row>
    <x:row r="234" ht="23" customHeight="1">
      <x:c r="A234" s="17" t="str">
        <x:v>f</x:v>
      </x:c>
      <x:c r="B234" s="17" t="str">
        <x:v>C</x:v>
      </x:c>
      <x:c r="C234" s="17" t="str">
        <x:v>flat_washer</x:v>
      </x:c>
      <x:c r="D234" s="9" t="str">
        <x:v>平垫圈</x:v>
      </x:c>
      <x:c r="E234" s="11" t="n">
        <x:v>203</x:v>
      </x:c>
      <x:c r="F234" s="11" t="n">
        <x:v>154</x:v>
      </x:c>
      <x:c r="G234" s="14" t="n">
        <x:f>F234/E234</x:f>
        <x:v>0.7586206896551724</x:v>
      </x:c>
      <x:c r="H234" s="14" t="n">
        <x:v>0.1668472372697725</x:v>
      </x:c>
      <x:c r="I234" s="11" t="n">
        <x:v>77906</x:v>
      </x:c>
    </x:row>
    <x:row r="235" ht="23" customHeight="1">
      <x:c r="A235" s="17" t="str">
        <x:v>f</x:v>
      </x:c>
      <x:c r="B235" s="17" t="str">
        <x:v>C</x:v>
      </x:c>
      <x:c r="C235" s="17" t="str">
        <x:v>punch_tool</x:v>
      </x:c>
      <x:c r="D235" s="9" t="str">
        <x:v>冲头</x:v>
      </x:c>
      <x:c r="E235" s="11" t="n">
        <x:v>52</x:v>
      </x:c>
      <x:c r="F235" s="11" t="n">
        <x:v>52</x:v>
      </x:c>
      <x:c r="G235" s="14" t="n">
        <x:f>F235/E235</x:f>
        <x:v>1</x:v>
      </x:c>
      <x:c r="H235" s="14" t="n">
        <x:v>0.056338028169014086</x:v>
      </x:c>
      <x:c r="I235" s="11" t="n">
        <x:v>21292</x:v>
      </x:c>
    </x:row>
    <x:row r="236" ht="23" customHeight="1">
      <x:c r="A236" s="17" t="str">
        <x:v>f</x:v>
      </x:c>
      <x:c r="B236" s="17" t="str">
        <x:v>C</x:v>
      </x:c>
      <x:c r="C236" s="17" t="str">
        <x:v>cap_nut</x:v>
      </x:c>
      <x:c r="D236" s="9" t="str">
        <x:v>盖形螺母</x:v>
      </x:c>
      <x:c r="E236" s="11" t="n">
        <x:v>70</x:v>
      </x:c>
      <x:c r="F236" s="11" t="n">
        <x:v>51</x:v>
      </x:c>
      <x:c r="G236" s="14" t="n">
        <x:f>F236/E236</x:f>
        <x:v>0.7285714285714285</x:v>
      </x:c>
      <x:c r="H236" s="14" t="n">
        <x:v>0.0552546045503792</x:v>
      </x:c>
      <x:c r="I236" s="11" t="n">
        <x:v>36364</x:v>
      </x:c>
    </x:row>
    <x:row r="237" ht="23" customHeight="1">
      <x:c r="A237" s="17" t="str">
        <x:v>f</x:v>
      </x:c>
      <x:c r="B237" s="17" t="str">
        <x:v>C</x:v>
      </x:c>
      <x:c r="C237" s="17" t="str">
        <x:v>die_block</x:v>
      </x:c>
      <x:c r="D237" s="9" t="str">
        <x:v>模具</x:v>
      </x:c>
      <x:c r="E237" s="11" t="n">
        <x:v>42</x:v>
      </x:c>
      <x:c r="F237" s="11" t="n">
        <x:v>42</x:v>
      </x:c>
      <x:c r="G237" s="14" t="n">
        <x:f>F237/E237</x:f>
        <x:v>1</x:v>
      </x:c>
      <x:c r="H237" s="14" t="n">
        <x:v>0.04550379198266522</x:v>
      </x:c>
      <x:c r="I237" s="11" t="n">
        <x:v>13946</x:v>
      </x:c>
    </x:row>
    <x:row r="238" ht="23" customHeight="1">
      <x:c r="A238" s="17" t="str">
        <x:v>f</x:v>
      </x:c>
      <x:c r="B238" s="17" t="str">
        <x:v>C</x:v>
      </x:c>
      <x:c r="C238" s="17" t="str">
        <x:v>slotted_nut</x:v>
      </x:c>
      <x:c r="D238" s="9" t="str">
        <x:v>开槽螺母</x:v>
      </x:c>
      <x:c r="E238" s="11" t="n">
        <x:v>26</x:v>
      </x:c>
      <x:c r="F238" s="11" t="n">
        <x:v>26</x:v>
      </x:c>
      <x:c r="G238" s="14" t="n">
        <x:f>F238/E238</x:f>
        <x:v>1</x:v>
      </x:c>
      <x:c r="H238" s="14" t="n">
        <x:v>0.028169014084507043</x:v>
      </x:c>
      <x:c r="I238" s="11" t="n">
        <x:v>12740</x:v>
      </x:c>
    </x:row>
    <x:row r="239" ht="23" customHeight="1">
      <x:c r="A239" s="17" t="str">
        <x:v>f</x:v>
      </x:c>
      <x:c r="B239" s="17" t="str">
        <x:v>C</x:v>
      </x:c>
      <x:c r="C239" s="17" t="str">
        <x:v>hex_nut</x:v>
      </x:c>
      <x:c r="D239" s="9" t="str">
        <x:v>螺母</x:v>
      </x:c>
      <x:c r="E239" s="11" t="n">
        <x:v>49</x:v>
      </x:c>
      <x:c r="F239" s="11" t="n">
        <x:v>25</x:v>
      </x:c>
      <x:c r="G239" s="14" t="n">
        <x:f>F239/E239</x:f>
        <x:v>0.5102040816326531</x:v>
      </x:c>
      <x:c r="H239" s="14" t="n">
        <x:v>0.027085590465872156</x:v>
      </x:c>
      <x:c r="I239" s="11" t="n">
        <x:v>17740</x:v>
      </x:c>
    </x:row>
    <x:row r="240" ht="23" customHeight="1">
      <x:c r="A240" s="17" t="str">
        <x:v>f</x:v>
      </x:c>
      <x:c r="B240" s="17" t="str">
        <x:v>C</x:v>
      </x:c>
      <x:c r="C240" s="17" t="str">
        <x:v>threaded_stud</x:v>
      </x:c>
      <x:c r="D240" s="9" t="str">
        <x:v>螺柱</x:v>
      </x:c>
      <x:c r="E240" s="11" t="n">
        <x:v>27</x:v>
      </x:c>
      <x:c r="F240" s="11" t="n">
        <x:v>22</x:v>
      </x:c>
      <x:c r="G240" s="14" t="n">
        <x:f>F240/E240</x:f>
        <x:v>0.8148148148148148</x:v>
      </x:c>
      <x:c r="H240" s="14" t="n">
        <x:v>0.023835319609967497</x:v>
      </x:c>
      <x:c r="I240" s="11" t="n">
        <x:v>14970</x:v>
      </x:c>
    </x:row>
    <x:row r="241" ht="23" customHeight="1">
      <x:c r="A241" s="17" t="str">
        <x:v>f</x:v>
      </x:c>
      <x:c r="B241" s="17" t="str">
        <x:v>C</x:v>
      </x:c>
      <x:c r="C241" s="17" t="str">
        <x:v>plain_shaft</x:v>
      </x:c>
      <x:c r="D241" s="9" t="str">
        <x:v>圆轴</x:v>
      </x:c>
      <x:c r="E241" s="11" t="n">
        <x:v>20</x:v>
      </x:c>
      <x:c r="F241" s="11" t="n">
        <x:v>20</x:v>
      </x:c>
      <x:c r="G241" s="14" t="n">
        <x:f>F241/E241</x:f>
        <x:v>1</x:v>
      </x:c>
      <x:c r="H241" s="14" t="n">
        <x:v>0.021668472372697724</x:v>
      </x:c>
      <x:c r="I241" s="11" t="n">
        <x:v>2956</x:v>
      </x:c>
    </x:row>
    <x:row r="242" ht="23" customHeight="1">
      <x:c r="A242" s="17" t="str">
        <x:v>f</x:v>
      </x:c>
      <x:c r="B242" s="17" t="str">
        <x:v>C</x:v>
      </x:c>
      <x:c r="C242" s="17" t="str">
        <x:v>sprocket</x:v>
      </x:c>
      <x:c r="D242" s="9" t="str">
        <x:v>链轮</x:v>
      </x:c>
      <x:c r="E242" s="11" t="n">
        <x:v>19</x:v>
      </x:c>
      <x:c r="F242" s="11" t="n">
        <x:v>18</x:v>
      </x:c>
      <x:c r="G242" s="14" t="n">
        <x:f>F242/E242</x:f>
        <x:v>0.9473684210526315</x:v>
      </x:c>
      <x:c r="H242" s="14" t="n">
        <x:v>0.01950162513542795</x:v>
      </x:c>
      <x:c r="I242" s="11" t="n">
        <x:v>23014</x:v>
      </x:c>
    </x:row>
    <x:row r="243" ht="23" customHeight="1">
      <x:c r="A243" s="17" t="str">
        <x:v>f</x:v>
      </x:c>
      <x:c r="B243" s="17" t="str">
        <x:v>C</x:v>
      </x:c>
      <x:c r="C243" s="17" t="str">
        <x:v>mounting_plate</x:v>
      </x:c>
      <x:c r="D243" s="9" t="str">
        <x:v>安装板</x:v>
      </x:c>
      <x:c r="E243" s="11" t="n">
        <x:v>16</x:v>
      </x:c>
      <x:c r="F243" s="11" t="n">
        <x:v>16</x:v>
      </x:c>
      <x:c r="G243" s="14" t="n">
        <x:f>F243/E243</x:f>
        <x:v>1</x:v>
      </x:c>
      <x:c r="H243" s="14" t="n">
        <x:v>0.01733477789815818</x:v>
      </x:c>
      <x:c r="I243" s="11" t="n">
        <x:v>6828</x:v>
      </x:c>
    </x:row>
    <x:row r="244" ht="23" customHeight="1">
      <x:c r="A244" s="17" t="str">
        <x:v>f</x:v>
      </x:c>
      <x:c r="B244" s="17" t="str">
        <x:v>C</x:v>
      </x:c>
      <x:c r="C244" s="17" t="str">
        <x:v>retaining_ring</x:v>
      </x:c>
      <x:c r="D244" s="9" t="str">
        <x:v>卡簧</x:v>
      </x:c>
      <x:c r="E244" s="11" t="n">
        <x:v>30</x:v>
      </x:c>
      <x:c r="F244" s="11" t="n">
        <x:v>14</x:v>
      </x:c>
      <x:c r="G244" s="14" t="n">
        <x:f>F244/E244</x:f>
        <x:v>0.4666666666666667</x:v>
      </x:c>
      <x:c r="H244" s="14" t="n">
        <x:v>0.015167930660888408</x:v>
      </x:c>
      <x:c r="I244" s="11" t="n">
        <x:v>6328</x:v>
      </x:c>
    </x:row>
    <x:row r="245" ht="23" customHeight="1">
      <x:c r="A245" s="17" t="str">
        <x:v>f</x:v>
      </x:c>
      <x:c r="B245" s="17" t="str">
        <x:v>C</x:v>
      </x:c>
      <x:c r="C245" s="17" t="str">
        <x:v>dowel_pin</x:v>
      </x:c>
      <x:c r="D245" s="9" t="str">
        <x:v>定位销</x:v>
      </x:c>
      <x:c r="E245" s="11" t="n">
        <x:v>316</x:v>
      </x:c>
      <x:c r="F245" s="11" t="n">
        <x:v>12</x:v>
      </x:c>
      <x:c r="G245" s="14" t="n">
        <x:f>F245/E245</x:f>
        <x:v>0.0379746835443038</x:v>
      </x:c>
      <x:c r="H245" s="14" t="n">
        <x:v>0.013001083423618635</x:v>
      </x:c>
      <x:c r="I245" s="11" t="n">
        <x:v>71646</x:v>
      </x:c>
    </x:row>
    <x:row r="246" ht="23" customHeight="1">
      <x:c r="A246" s="17" t="str">
        <x:v>f</x:v>
      </x:c>
      <x:c r="B246" s="17" t="str">
        <x:v>C</x:v>
      </x:c>
      <x:c r="C246" s="17" t="str">
        <x:v>nozzle</x:v>
      </x:c>
      <x:c r="D246" s="9" t="str">
        <x:v>气嘴</x:v>
      </x:c>
      <x:c r="E246" s="11" t="n">
        <x:v>7</x:v>
      </x:c>
      <x:c r="F246" s="11" t="n">
        <x:v>7</x:v>
      </x:c>
      <x:c r="G246" s="14" t="n">
        <x:f>F246/E246</x:f>
        <x:v>1</x:v>
      </x:c>
      <x:c r="H246" s="14" t="n">
        <x:v>0.007583965330444204</x:v>
      </x:c>
      <x:c r="I246" s="11" t="n">
        <x:v>7404</x:v>
      </x:c>
    </x:row>
    <x:row r="247" ht="23" customHeight="1">
      <x:c r="A247" s="17" t="str">
        <x:v>f</x:v>
      </x:c>
      <x:c r="B247" s="17" t="str">
        <x:v>C</x:v>
      </x:c>
      <x:c r="C247" s="17" t="str">
        <x:v>feature_plate</x:v>
      </x:c>
      <x:c r="D247" s="9" t="str">
        <x:v>孔板</x:v>
      </x:c>
      <x:c r="E247" s="11" t="n">
        <x:v>4</x:v>
      </x:c>
      <x:c r="F247" s="11" t="n">
        <x:v>4</x:v>
      </x:c>
      <x:c r="G247" s="14" t="n">
        <x:f>F247/E247</x:f>
        <x:v>1</x:v>
      </x:c>
      <x:c r="H247" s="14" t="n">
        <x:v>0.004333694474539545</x:v>
      </x:c>
      <x:c r="I247" s="11" t="n">
        <x:v>5396</x:v>
      </x:c>
    </x:row>
    <x:row r="248" ht="23" customHeight="1">
      <x:c r="A248" s="17" t="str">
        <x:v>f</x:v>
      </x:c>
      <x:c r="B248" s="17" t="str">
        <x:v>C</x:v>
      </x:c>
      <x:c r="C248" s="17" t="str">
        <x:v>flexible_hose</x:v>
      </x:c>
      <x:c r="D248" s="9" t="str">
        <x:v>气管</x:v>
      </x:c>
      <x:c r="E248" s="11" t="n">
        <x:v>2</x:v>
      </x:c>
      <x:c r="F248" s="11" t="n">
        <x:v>2</x:v>
      </x:c>
      <x:c r="G248" s="14" t="n">
        <x:f>F248/E248</x:f>
        <x:v>1</x:v>
      </x:c>
      <x:c r="H248" s="14" t="n">
        <x:v>0.0021668472372697724</x:v>
      </x:c>
      <x:c r="I248" s="11" t="n">
        <x:v>1540</x:v>
      </x:c>
    </x:row>
    <x:row r="249" ht="23" customHeight="1">
      <x:c r="A249" s="17" t="str">
        <x:v>f</x:v>
      </x:c>
      <x:c r="B249" s="17" t="str">
        <x:v>C</x:v>
      </x:c>
      <x:c r="C249" s="17" t="str">
        <x:v>hex_bolt</x:v>
      </x:c>
      <x:c r="D249" s="9" t="str">
        <x:v>螺栓</x:v>
      </x:c>
      <x:c r="E249" s="11" t="n">
        <x:v>2</x:v>
      </x:c>
      <x:c r="F249" s="11" t="n">
        <x:v>2</x:v>
      </x:c>
      <x:c r="G249" s="14" t="n">
        <x:f>F249/E249</x:f>
        <x:v>1</x:v>
      </x:c>
      <x:c r="H249" s="14" t="n">
        <x:v>0.0021668472372697724</x:v>
      </x:c>
      <x:c r="I249" s="11" t="n">
        <x:v>1380</x:v>
      </x:c>
    </x:row>
    <x:row r="250" ht="23" customHeight="1">
      <x:c r="A250" s="17" t="str">
        <x:v>f</x:v>
      </x:c>
      <x:c r="B250" s="17" t="str">
        <x:v>C</x:v>
      </x:c>
      <x:c r="C250" s="17" t="str">
        <x:v>aluminum_extrusion</x:v>
      </x:c>
      <x:c r="D250" s="9" t="str">
        <x:v>铝型材</x:v>
      </x:c>
      <x:c r="E250" s="11" t="n">
        <x:v>1</x:v>
      </x:c>
      <x:c r="F250" s="11" t="n">
        <x:v>1</x:v>
      </x:c>
      <x:c r="G250" s="14" t="n">
        <x:f>F250/E250</x:f>
        <x:v>1</x:v>
      </x:c>
      <x:c r="H250" s="14" t="n">
        <x:v>0.0010834236186348862</x:v>
      </x:c>
      <x:c r="I250" s="11" t="n">
        <x:v>312</x:v>
      </x:c>
    </x:row>
    <x:row r="251" ht="23" customHeight="1">
      <x:c r="A251" s="17" t="str">
        <x:v>f</x:v>
      </x:c>
      <x:c r="B251" s="17" t="str">
        <x:v>C</x:v>
      </x:c>
      <x:c r="C251" s="17" t="str">
        <x:v>camera_lens</x:v>
      </x:c>
      <x:c r="D251" s="9" t="str">
        <x:v>镜头</x:v>
      </x:c>
      <x:c r="E251" s="11" t="n">
        <x:v>1</x:v>
      </x:c>
      <x:c r="F251" s="11" t="n">
        <x:v>1</x:v>
      </x:c>
      <x:c r="G251" s="14" t="n">
        <x:f>F251/E251</x:f>
        <x:v>1</x:v>
      </x:c>
      <x:c r="H251" s="14" t="n">
        <x:v>0.0010834236186348862</x:v>
      </x:c>
      <x:c r="I251" s="11" t="n">
        <x:v>360</x:v>
      </x:c>
    </x:row>
    <x:row r="252" ht="23" customHeight="1">
      <x:c r="A252" s="17" t="str">
        <x:v>f</x:v>
      </x:c>
      <x:c r="B252" s="17" t="str">
        <x:v>C</x:v>
      </x:c>
      <x:c r="C252" s="17" t="str">
        <x:v>mounting_bracket</x:v>
      </x:c>
      <x:c r="D252" s="9" t="str">
        <x:v>支架</x:v>
      </x:c>
      <x:c r="E252" s="11" t="n">
        <x:v>1</x:v>
      </x:c>
      <x:c r="F252" s="11" t="n">
        <x:v>1</x:v>
      </x:c>
      <x:c r="G252" s="14" t="n">
        <x:f>F252/E252</x:f>
        <x:v>1</x:v>
      </x:c>
      <x:c r="H252" s="14" t="n">
        <x:v>0.0010834236186348862</x:v>
      </x:c>
      <x:c r="I252" s="11" t="n">
        <x:v>692</x:v>
      </x:c>
    </x:row>
    <x:row r="253" ht="23" customHeight="1">
      <x:c r="A253" s="17" t="str">
        <x:v>f</x:v>
      </x:c>
      <x:c r="B253" s="17" t="str">
        <x:v>N</x:v>
      </x:c>
      <x:c r="C253" s="17" t="str">
        <x:v>bearings_bushings_guides</x:v>
      </x:c>
      <x:c r="D253" s="9" t="str">
        <x:v>轴承、衬套、导向件</x:v>
      </x:c>
      <x:c r="E253" s="11" t="n">
        <x:v>272</x:v>
      </x:c>
      <x:c r="F253" s="11" t="n">
        <x:v>226</x:v>
      </x:c>
      <x:c r="G253" s="14" t="n">
        <x:f>F253/E253</x:f>
        <x:v>0.8308823529411765</x:v>
      </x:c>
      <x:c r="H253" s="14" t="n">
        <x:v>0.2435344827586207</x:v>
      </x:c>
      <x:c r="I253" s="11" t="n">
        <x:v>134078</x:v>
      </x:c>
    </x:row>
    <x:row r="254" ht="23" customHeight="1">
      <x:c r="A254" s="17" t="str">
        <x:v>f</x:v>
      </x:c>
      <x:c r="B254" s="17" t="str">
        <x:v>N</x:v>
      </x:c>
      <x:c r="C254" s="17" t="str">
        <x:v>handles_controls</x:v>
      </x:c>
      <x:c r="D254" s="9" t="str">
        <x:v>把手与控制件</x:v>
      </x:c>
      <x:c r="E254" s="11" t="n">
        <x:v>230</x:v>
      </x:c>
      <x:c r="F254" s="11" t="n">
        <x:v>207</x:v>
      </x:c>
      <x:c r="G254" s="14" t="n">
        <x:f>F254/E254</x:f>
        <x:v>0.9</x:v>
      </x:c>
      <x:c r="H254" s="14" t="n">
        <x:v>0.22306034482758622</x:v>
      </x:c>
      <x:c r="I254" s="11" t="n">
        <x:v>87240</x:v>
      </x:c>
    </x:row>
    <x:row r="255" ht="23" customHeight="1">
      <x:c r="A255" s="17" t="str">
        <x:v>f</x:v>
      </x:c>
      <x:c r="B255" s="17" t="str">
        <x:v>N</x:v>
      </x:c>
      <x:c r="C255" s="17" t="str">
        <x:v>pins_rivets_keys</x:v>
      </x:c>
      <x:c r="D255" s="9" t="str">
        <x:v>销、铆钉、键</x:v>
      </x:c>
      <x:c r="E255" s="11" t="n">
        <x:v>185</x:v>
      </x:c>
      <x:c r="F255" s="11" t="n">
        <x:v>146</x:v>
      </x:c>
      <x:c r="G255" s="14" t="n">
        <x:f>F255/E255</x:f>
        <x:v>0.7891891891891892</x:v>
      </x:c>
      <x:c r="H255" s="14" t="n">
        <x:v>0.15732758620689655</x:v>
      </x:c>
      <x:c r="I255" s="11" t="n">
        <x:v>87070</x:v>
      </x:c>
    </x:row>
    <x:row r="256" ht="23" customHeight="1">
      <x:c r="A256" s="17" t="str">
        <x:v>f</x:v>
      </x:c>
      <x:c r="B256" s="17" t="str">
        <x:v>N</x:v>
      </x:c>
      <x:c r="C256" s="17" t="str">
        <x:v>screws_bolts_studs</x:v>
      </x:c>
      <x:c r="D256" s="9" t="str">
        <x:v>螺钉、螺栓、螺柱</x:v>
      </x:c>
      <x:c r="E256" s="11" t="n">
        <x:v>149</x:v>
      </x:c>
      <x:c r="F256" s="11" t="n">
        <x:v>86</x:v>
      </x:c>
      <x:c r="G256" s="14" t="n">
        <x:f>F256/E256</x:f>
        <x:v>0.5771812080536913</x:v>
      </x:c>
      <x:c r="H256" s="14" t="n">
        <x:v>0.09267241379310345</x:v>
      </x:c>
      <x:c r="I256" s="11" t="n">
        <x:v>35736</x:v>
      </x:c>
    </x:row>
    <x:row r="257" ht="23" customHeight="1">
      <x:c r="A257" s="17" t="str">
        <x:v>f</x:v>
      </x:c>
      <x:c r="B257" s="17" t="str">
        <x:v>N</x:v>
      </x:c>
      <x:c r="C257" s="17" t="str">
        <x:v>plates_discs_shapes</x:v>
      </x:c>
      <x:c r="D257" s="9" t="str">
        <x:v>板、盘与型材</x:v>
      </x:c>
      <x:c r="E257" s="11" t="n">
        <x:v>163</x:v>
      </x:c>
      <x:c r="F257" s="11" t="n">
        <x:v>77</x:v>
      </x:c>
      <x:c r="G257" s="14" t="n">
        <x:f>F257/E257</x:f>
        <x:v>0.4723926380368098</x:v>
      </x:c>
      <x:c r="H257" s="14" t="n">
        <x:v>0.08297413793103449</x:v>
      </x:c>
      <x:c r="I257" s="11" t="n">
        <x:v>59808</x:v>
      </x:c>
    </x:row>
    <x:row r="258" ht="23" customHeight="1">
      <x:c r="A258" s="17" t="str">
        <x:v>f</x:v>
      </x:c>
      <x:c r="B258" s="17" t="str">
        <x:v>N</x:v>
      </x:c>
      <x:c r="C258" s="17" t="str">
        <x:v>joints_clamps_structural_connectors</x:v>
      </x:c>
      <x:c r="D258" s="9" t="str">
        <x:v>连接与夹紧件</x:v>
      </x:c>
      <x:c r="E258" s="11" t="n">
        <x:v>135</x:v>
      </x:c>
      <x:c r="F258" s="11" t="n">
        <x:v>71</x:v>
      </x:c>
      <x:c r="G258" s="14" t="n">
        <x:f>F258/E258</x:f>
        <x:v>0.5259259259259259</x:v>
      </x:c>
      <x:c r="H258" s="14" t="n">
        <x:v>0.07650862068965517</x:v>
      </x:c>
      <x:c r="I258" s="11" t="n">
        <x:v>51526</x:v>
      </x:c>
    </x:row>
    <x:row r="259" ht="23" customHeight="1">
      <x:c r="A259" s="17" t="str">
        <x:v>f</x:v>
      </x:c>
      <x:c r="B259" s="17" t="str">
        <x:v>N</x:v>
      </x:c>
      <x:c r="C259" s="17" t="str">
        <x:v>pipe_fittings_valves_nozzles</x:v>
      </x:c>
      <x:c r="D259" s="9" t="str">
        <x:v>管接头、阀、喷嘴</x:v>
      </x:c>
      <x:c r="E259" s="11" t="n">
        <x:v>46</x:v>
      </x:c>
      <x:c r="F259" s="11" t="n">
        <x:v>40</x:v>
      </x:c>
      <x:c r="G259" s="14" t="n">
        <x:f>F259/E259</x:f>
        <x:v>0.8695652173913043</x:v>
      </x:c>
      <x:c r="H259" s="14" t="n">
        <x:v>0.04310344827586207</x:v>
      </x:c>
      <x:c r="I259" s="11" t="n">
        <x:v>24972</x:v>
      </x:c>
    </x:row>
    <x:row r="260" ht="23" customHeight="1">
      <x:c r="A260" s="17" t="str">
        <x:v>f</x:v>
      </x:c>
      <x:c r="B260" s="17" t="str">
        <x:v>N</x:v>
      </x:c>
      <x:c r="C260" s="17" t="str">
        <x:v>washers_rings_spacers</x:v>
      </x:c>
      <x:c r="D260" s="9" t="str">
        <x:v>垫圈、环与隔套</x:v>
      </x:c>
      <x:c r="E260" s="11" t="n">
        <x:v>169</x:v>
      </x:c>
      <x:c r="F260" s="11" t="n">
        <x:v>34</x:v>
      </x:c>
      <x:c r="G260" s="14" t="n">
        <x:f>F260/E260</x:f>
        <x:v>0.20118343195266272</x:v>
      </x:c>
      <x:c r="H260" s="14" t="n">
        <x:v>0.036637931034482756</x:v>
      </x:c>
      <x:c r="I260" s="11" t="n">
        <x:v>24572</x:v>
      </x:c>
    </x:row>
    <x:row r="261" ht="23" customHeight="1">
      <x:c r="A261" s="17" t="str">
        <x:v>f</x:v>
      </x:c>
      <x:c r="B261" s="17" t="str">
        <x:v>N</x:v>
      </x:c>
      <x:c r="C261" s="17" t="str">
        <x:v>rotating_fluid_machinery</x:v>
      </x:c>
      <x:c r="D261" s="9" t="str">
        <x:v>旋转流体机械</x:v>
      </x:c>
      <x:c r="E261" s="11" t="n">
        <x:v>14</x:v>
      </x:c>
      <x:c r="F261" s="11" t="n">
        <x:v>14</x:v>
      </x:c>
      <x:c r="G261" s="14" t="n">
        <x:f>F261/E261</x:f>
        <x:v>1</x:v>
      </x:c>
      <x:c r="H261" s="14" t="n">
        <x:v>0.015086206896551725</x:v>
      </x:c>
      <x:c r="I261" s="11" t="n">
        <x:v>8152</x:v>
      </x:c>
    </x:row>
    <x:row r="262" ht="23" customHeight="1">
      <x:c r="A262" s="17" t="str">
        <x:v>f</x:v>
      </x:c>
      <x:c r="B262" s="17" t="str">
        <x:v>N</x:v>
      </x:c>
      <x:c r="C262" s="17" t="str">
        <x:v>gears_pulleys_chains</x:v>
      </x:c>
      <x:c r="D262" s="9" t="str">
        <x:v>齿轮、带轮、链条</x:v>
      </x:c>
      <x:c r="E262" s="11" t="n">
        <x:v>30</x:v>
      </x:c>
      <x:c r="F262" s="11" t="n">
        <x:v>8</x:v>
      </x:c>
      <x:c r="G262" s="14" t="n">
        <x:f>F262/E262</x:f>
        <x:v>0.26666666666666666</x:v>
      </x:c>
      <x:c r="H262" s="14" t="n">
        <x:v>0.008620689655172414</x:v>
      </x:c>
      <x:c r="I262" s="11" t="n">
        <x:v>29918</x:v>
      </x:c>
    </x:row>
    <x:row r="263" ht="23" customHeight="1">
      <x:c r="A263" s="17" t="str">
        <x:v>f</x:v>
      </x:c>
      <x:c r="B263" s="17" t="str">
        <x:v>N</x:v>
      </x:c>
      <x:c r="C263" s="17" t="str">
        <x:v>springs</x:v>
      </x:c>
      <x:c r="D263" s="9" t="str">
        <x:v>弹簧</x:v>
      </x:c>
      <x:c r="E263" s="11" t="n">
        <x:v>40</x:v>
      </x:c>
      <x:c r="F263" s="11" t="n">
        <x:v>7</x:v>
      </x:c>
      <x:c r="G263" s="14" t="n">
        <x:f>F263/E263</x:f>
        <x:v>0.175</x:v>
      </x:c>
      <x:c r="H263" s="14" t="n">
        <x:v>0.007543103448275862</x:v>
      </x:c>
      <x:c r="I263" s="11" t="n">
        <x:v>2446</x:v>
      </x:c>
    </x:row>
    <x:row r="264" ht="23" customHeight="1">
      <x:c r="A264" s="17" t="str">
        <x:v>f</x:v>
      </x:c>
      <x:c r="B264" s="17" t="str">
        <x:v>N</x:v>
      </x:c>
      <x:c r="C264" s="17" t="str">
        <x:v>nuts</x:v>
      </x:c>
      <x:c r="D264" s="9" t="str">
        <x:v>螺母</x:v>
      </x:c>
      <x:c r="E264" s="11" t="n">
        <x:v>29</x:v>
      </x:c>
      <x:c r="F264" s="11" t="n">
        <x:v>6</x:v>
      </x:c>
      <x:c r="G264" s="14" t="n">
        <x:f>F264/E264</x:f>
        <x:v>0.20689655172413793</x:v>
      </x:c>
      <x:c r="H264" s="14" t="n">
        <x:v>0.00646551724137931</x:v>
      </x:c>
      <x:c r="I264" s="11" t="n">
        <x:v>3584</x:v>
      </x:c>
    </x:row>
    <x:row r="265" ht="23" customHeight="1">
      <x:c r="A265" s="17" t="str">
        <x:v>f</x:v>
      </x:c>
      <x:c r="B265" s="17" t="str">
        <x:v>N</x:v>
      </x:c>
      <x:c r="C265" s="17" t="str">
        <x:v>wheels_castors</x:v>
      </x:c>
      <x:c r="D265" s="9" t="str">
        <x:v>轮与脚轮</x:v>
      </x:c>
      <x:c r="E265" s="11" t="n">
        <x:v>4</x:v>
      </x:c>
      <x:c r="F265" s="11" t="n">
        <x:v>4</x:v>
      </x:c>
      <x:c r="G265" s="14" t="n">
        <x:f>F265/E265</x:f>
        <x:v>1</x:v>
      </x:c>
      <x:c r="H265" s="14" t="n">
        <x:v>0.004310344827586207</x:v>
      </x:c>
      <x:c r="I265" s="11" t="n">
        <x:v>2414</x:v>
      </x:c>
    </x:row>
    <x:row r="266" ht="23" customHeight="1">
      <x:c r="A266" s="17" t="str">
        <x:v>f</x:v>
      </x:c>
      <x:c r="B266" s="17" t="str">
        <x:v>N</x:v>
      </x:c>
      <x:c r="C266" s="17" t="str">
        <x:v>motors_gearmotors</x:v>
      </x:c>
      <x:c r="D266" s="9" t="str">
        <x:v>电机与减速电机</x:v>
      </x:c>
      <x:c r="E266" s="11" t="n">
        <x:v>14</x:v>
      </x:c>
      <x:c r="F266" s="11" t="n">
        <x:v>2</x:v>
      </x:c>
      <x:c r="G266" s="14" t="n">
        <x:f>F266/E266</x:f>
        <x:v>0.14285714285714285</x:v>
      </x:c>
      <x:c r="H266" s="14" t="n">
        <x:v>0.0021551724137931034</x:v>
      </x:c>
      <x:c r="I266" s="11" t="n">
        <x:v>1094</x:v>
      </x:c>
    </x:row>
  </x:sheetData>
  <x:pageMargins left="0.7" right="0.7" top="0.75" bottom="0.75" header="0.3" footer="0.3"/>
  <x:tableParts count="1">
    <x:tablePart xmlns:r="http://schemas.openxmlformats.org/officeDocument/2006/relationships" r:id="R5696988fea5848ac"/>
  </x:tableParts>
</x:worksheet>
</file>

<file path=xl/worksheets/sheet7.xml><?xml version="1.0" encoding="utf-8"?>
<x:worksheet xmlns:x="http://schemas.openxmlformats.org/spreadsheetml/2006/main">
  <x:sheetPr>
    <x:tabColor rgb="FF23395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11" hidden="0" customWidth="1"/>
    <x:col min="4" max="4" width="14" hidden="0" customWidth="1"/>
    <x:col min="5" max="5" width="20" hidden="0" customWidth="1"/>
    <x:col min="6" max="6" width="21" hidden="0" customWidth="1"/>
    <x:col min="7" max="7" width="21" hidden="0" customWidth="1"/>
    <x:col min="8" max="8" width="18" hidden="0" customWidth="1"/>
    <x:col min="9" max="9" width="18" hidden="0" customWidth="1"/>
    <x:col min="10" max="10" width="19" hidden="0" customWidth="1"/>
    <x:col min="11" max="11" width="21" hidden="0" customWidth="1"/>
    <x:col min="12" max="12" width="23" hidden="0" customWidth="1"/>
    <x:col min="13" max="13" width="25" hidden="0" customWidth="1"/>
    <x:col min="14" max="14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3" t="str">
        <x:v>单网格简化诊断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QEM误差按两倍RMS半径归一化。不同实际预算，不能据此声称真实LOD或FPS提升。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4" customHeight="1">
      <x:c r="A4" s="8" t="str">
        <x:v>模型</x:v>
      </x:c>
      <x:c r="B4" s="8" t="str">
        <x:v>组合</x:v>
      </x:c>
      <x:c r="C4" s="8" t="str">
        <x:v>树辅助</x:v>
      </x:c>
      <x:c r="D4" s="8" t="str">
        <x:v>节点数</x:v>
      </x:c>
      <x:c r="E4" s="8" t="str">
        <x:v>源三角形数</x:v>
      </x:c>
      <x:c r="F4" s="8" t="str">
        <x:v>请求三角形数</x:v>
      </x:c>
      <x:c r="G4" s="8" t="str">
        <x:v>实际三角形数</x:v>
      </x:c>
      <x:c r="H4" s="8" t="str">
        <x:v>请求保留比例</x:v>
      </x:c>
      <x:c r="I4" s="8" t="str">
        <x:v>实际保留比例</x:v>
      </x:c>
      <x:c r="J4" s="8" t="str">
        <x:v>平均QEM误差</x:v>
      </x:c>
      <x:c r="K4" s="8" t="str">
        <x:v>面数加权误差</x:v>
      </x:c>
      <x:c r="L4" s="8" t="str">
        <x:v>轴收缩&gt;10%节点</x:v>
      </x:c>
      <x:c r="M4" s="8" t="str">
        <x:v>显著分量丢失节点</x:v>
      </x:c>
      <x:c r="N4" s="8" t="str">
        <x:v>空几何节点</x:v>
      </x:c>
    </x:row>
    <x:row r="5" ht="23" customHeight="1">
      <x:c r="A5" s="17" t="str">
        <x:v>ALL</x:v>
      </x:c>
      <x:c r="B5" s="17" t="str">
        <x:v>N</x:v>
      </x:c>
      <x:c r="C5" s="17" t="str">
        <x:v>H0</x:v>
      </x:c>
      <x:c r="D5" s="11" t="n">
        <x:v>11000</x:v>
      </x:c>
      <x:c r="E5" s="11" t="n">
        <x:v>40794715</x:v>
      </x:c>
      <x:c r="F5" s="11" t="n">
        <x:v>12352453.000000013</x:v>
      </x:c>
      <x:c r="G5" s="11" t="n">
        <x:v>21242541</x:v>
      </x:c>
      <x:c r="H5" s="18" t="n">
        <x:f>F5/E5</x:f>
        <x:v>0.30279542337775894</x:v>
      </x:c>
      <x:c r="I5" s="18" t="n">
        <x:f>G5/E5</x:f>
        <x:v>0.5207179655501945</x:v>
      </x:c>
      <x:c r="J5" s="19" t="n">
        <x:v>0.04502432573060279</x:v>
      </x:c>
      <x:c r="K5" s="19" t="n">
        <x:v>0.06435411928484508</x:v>
      </x:c>
      <x:c r="L5" s="11" t="n">
        <x:v>108</x:v>
      </x:c>
      <x:c r="M5" s="11" t="n">
        <x:v>21</x:v>
      </x:c>
      <x:c r="N5" s="11" t="n">
        <x:v>0</x:v>
      </x:c>
    </x:row>
    <x:row r="6" ht="23" customHeight="1">
      <x:c r="A6" s="17" t="str">
        <x:v>ALL</x:v>
      </x:c>
      <x:c r="B6" s="17" t="str">
        <x:v>N</x:v>
      </x:c>
      <x:c r="C6" s="17" t="str">
        <x:v>H1</x:v>
      </x:c>
      <x:c r="D6" s="11" t="n">
        <x:v>11000</x:v>
      </x:c>
      <x:c r="E6" s="11" t="n">
        <x:v>40794715</x:v>
      </x:c>
      <x:c r="F6" s="11" t="n">
        <x:v>12370172.360000012</x:v>
      </x:c>
      <x:c r="G6" s="11" t="n">
        <x:v>21242743</x:v>
      </x:c>
      <x:c r="H6" s="18" t="n">
        <x:f>F6/E6</x:f>
        <x:v>0.30322977768076115</x:v>
      </x:c>
      <x:c r="I6" s="18" t="n">
        <x:f>G6/E6</x:f>
        <x:v>0.5207229171719915</x:v>
      </x:c>
      <x:c r="J6" s="19" t="n">
        <x:v>0.044780409955571664</x:v>
      </x:c>
      <x:c r="K6" s="19" t="n">
        <x:v>0.06432843436139483</x:v>
      </x:c>
      <x:c r="L6" s="11" t="n">
        <x:v>108</x:v>
      </x:c>
      <x:c r="M6" s="11" t="n">
        <x:v>21</x:v>
      </x:c>
      <x:c r="N6" s="11" t="n">
        <x:v>0</x:v>
      </x:c>
    </x:row>
    <x:row r="7" ht="23" customHeight="1">
      <x:c r="A7" s="17" t="str">
        <x:v>ALL</x:v>
      </x:c>
      <x:c r="B7" s="17" t="str">
        <x:v>C</x:v>
      </x:c>
      <x:c r="C7" s="17" t="str">
        <x:v>H0</x:v>
      </x:c>
      <x:c r="D7" s="11" t="n">
        <x:v>11000</x:v>
      </x:c>
      <x:c r="E7" s="11" t="n">
        <x:v>40794715</x:v>
      </x:c>
      <x:c r="F7" s="11" t="n">
        <x:v>7014354.719999995</x:v>
      </x:c>
      <x:c r="G7" s="11" t="n">
        <x:v>20225817</x:v>
      </x:c>
      <x:c r="H7" s="18" t="n">
        <x:f>F7/E7</x:f>
        <x:v>0.17194273130722926</x:v>
      </x:c>
      <x:c r="I7" s="18" t="n">
        <x:f>G7/E7</x:f>
        <x:v>0.4957950312926564</x:v>
      </x:c>
      <x:c r="J7" s="19" t="n">
        <x:v>0.051073358766438454</x:v>
      </x:c>
      <x:c r="K7" s="19" t="n">
        <x:v>0.07496719691896901</x:v>
      </x:c>
      <x:c r="L7" s="11" t="n">
        <x:v>143</x:v>
      </x:c>
      <x:c r="M7" s="11" t="n">
        <x:v>21</x:v>
      </x:c>
      <x:c r="N7" s="11" t="n">
        <x:v>0</x:v>
      </x:c>
    </x:row>
    <x:row r="8" ht="23" customHeight="1">
      <x:c r="A8" s="17" t="str">
        <x:v>ALL</x:v>
      </x:c>
      <x:c r="B8" s="17" t="str">
        <x:v>C</x:v>
      </x:c>
      <x:c r="C8" s="17" t="str">
        <x:v>H1</x:v>
      </x:c>
      <x:c r="D8" s="11" t="n">
        <x:v>11000</x:v>
      </x:c>
      <x:c r="E8" s="11" t="n">
        <x:v>40794715</x:v>
      </x:c>
      <x:c r="F8" s="11" t="n">
        <x:v>7025395.639999995</x:v>
      </x:c>
      <x:c r="G8" s="11" t="n">
        <x:v>20226067</x:v>
      </x:c>
      <x:c r="H8" s="18" t="n">
        <x:f>F8/E8</x:f>
        <x:v>0.1722133771494664</x:v>
      </x:c>
      <x:c r="I8" s="18" t="n">
        <x:f>G8/E8</x:f>
        <x:v>0.4958011595374548</x:v>
      </x:c>
      <x:c r="J8" s="19" t="n">
        <x:v>0.05091994772793102</x:v>
      </x:c>
      <x:c r="K8" s="19" t="n">
        <x:v>0.07495727241957921</x:v>
      </x:c>
      <x:c r="L8" s="11" t="n">
        <x:v>143</x:v>
      </x:c>
      <x:c r="M8" s="11" t="n">
        <x:v>21</x:v>
      </x:c>
      <x:c r="N8" s="11" t="n">
        <x:v>0</x:v>
      </x:c>
    </x:row>
    <x:row r="9" ht="23" customHeight="1">
      <x:c r="A9" s="17" t="str">
        <x:v>ALL</x:v>
      </x:c>
      <x:c r="B9" s="17" t="str">
        <x:v>NG</x:v>
      </x:c>
      <x:c r="C9" s="17" t="str">
        <x:v>H0</x:v>
      </x:c>
      <x:c r="D9" s="11" t="n">
        <x:v>11000</x:v>
      </x:c>
      <x:c r="E9" s="11" t="n">
        <x:v>40794715</x:v>
      </x:c>
      <x:c r="F9" s="11" t="n">
        <x:v>13897246.319999969</x:v>
      </x:c>
      <x:c r="G9" s="11" t="n">
        <x:v>21362136</x:v>
      </x:c>
      <x:c r="H9" s="18" t="n">
        <x:f>F9/E9</x:f>
        <x:v>0.34066290988918463</x:v>
      </x:c>
      <x:c r="I9" s="18" t="n">
        <x:f>G9/E9</x:f>
        <x:v>0.5236495952968417</x:v>
      </x:c>
      <x:c r="J9" s="19" t="n">
        <x:v>0.04382853287262854</x:v>
      </x:c>
      <x:c r="K9" s="19" t="n">
        <x:v>0.0639961857652752</x:v>
      </x:c>
      <x:c r="L9" s="11" t="n">
        <x:v>80</x:v>
      </x:c>
      <x:c r="M9" s="11" t="n">
        <x:v>21</x:v>
      </x:c>
      <x:c r="N9" s="11" t="n">
        <x:v>0</x:v>
      </x:c>
    </x:row>
    <x:row r="10" ht="23" customHeight="1">
      <x:c r="A10" s="17" t="str">
        <x:v>ALL</x:v>
      </x:c>
      <x:c r="B10" s="17" t="str">
        <x:v>NG</x:v>
      </x:c>
      <x:c r="C10" s="17" t="str">
        <x:v>H1</x:v>
      </x:c>
      <x:c r="D10" s="11" t="n">
        <x:v>11000</x:v>
      </x:c>
      <x:c r="E10" s="11" t="n">
        <x:v>40794715</x:v>
      </x:c>
      <x:c r="F10" s="11" t="n">
        <x:v>13921772.479999967</x:v>
      </x:c>
      <x:c r="G10" s="11" t="n">
        <x:v>21362328</x:v>
      </x:c>
      <x:c r="H10" s="18" t="n">
        <x:f>F10/E10</x:f>
        <x:v>0.3412641191389612</x:v>
      </x:c>
      <x:c r="I10" s="18" t="n">
        <x:f>G10/E10</x:f>
        <x:v>0.5236543017888469</x:v>
      </x:c>
      <x:c r="J10" s="19" t="n">
        <x:v>0.04362352670823407</x:v>
      </x:c>
      <x:c r="K10" s="19" t="n">
        <x:v>0.06397667021408038</x:v>
      </x:c>
      <x:c r="L10" s="11" t="n">
        <x:v>80</x:v>
      </x:c>
      <x:c r="M10" s="11" t="n">
        <x:v>21</x:v>
      </x:c>
      <x:c r="N10" s="11" t="n">
        <x:v>0</x:v>
      </x:c>
    </x:row>
    <x:row r="11" ht="23" customHeight="1">
      <x:c r="A11" s="17" t="str">
        <x:v>ALL</x:v>
      </x:c>
      <x:c r="B11" s="17" t="str">
        <x:v>CG</x:v>
      </x:c>
      <x:c r="C11" s="17" t="str">
        <x:v>H0</x:v>
      </x:c>
      <x:c r="D11" s="11" t="n">
        <x:v>11000</x:v>
      </x:c>
      <x:c r="E11" s="11" t="n">
        <x:v>40794715</x:v>
      </x:c>
      <x:c r="F11" s="11" t="n">
        <x:v>10731309.76000001</x:v>
      </x:c>
      <x:c r="G11" s="11" t="n">
        <x:v>20601313</x:v>
      </x:c>
      <x:c r="H11" s="18" t="n">
        <x:f>F11/E11</x:f>
        <x:v>0.26305637286594624</x:v>
      </x:c>
      <x:c r="I11" s="18" t="n">
        <x:f>G11/E11</x:f>
        <x:v>0.5049995569279011</x:v>
      </x:c>
      <x:c r="J11" s="19" t="n">
        <x:v>0.04862576561003565</x:v>
      </x:c>
      <x:c r="K11" s="19" t="n">
        <x:v>0.07206804554111672</x:v>
      </x:c>
      <x:c r="L11" s="11" t="n">
        <x:v>105</x:v>
      </x:c>
      <x:c r="M11" s="11" t="n">
        <x:v>21</x:v>
      </x:c>
      <x:c r="N11" s="11" t="n">
        <x:v>0</x:v>
      </x:c>
    </x:row>
    <x:row r="12" ht="23" customHeight="1">
      <x:c r="A12" s="17" t="str">
        <x:v>ALL</x:v>
      </x:c>
      <x:c r="B12" s="17" t="str">
        <x:v>CG</x:v>
      </x:c>
      <x:c r="C12" s="17" t="str">
        <x:v>H1</x:v>
      </x:c>
      <x:c r="D12" s="11" t="n">
        <x:v>11000</x:v>
      </x:c>
      <x:c r="E12" s="11" t="n">
        <x:v>40794715</x:v>
      </x:c>
      <x:c r="F12" s="11" t="n">
        <x:v>10777541.320000011</x:v>
      </x:c>
      <x:c r="G12" s="11" t="n">
        <x:v>20602521</x:v>
      </x:c>
      <x:c r="H12" s="18" t="n">
        <x:f>F12/E12</x:f>
        <x:v>0.26418964613430956</x:v>
      </x:c>
      <x:c r="I12" s="18" t="n">
        <x:f>G12/E12</x:f>
        <x:v>0.5050291686067668</x:v>
      </x:c>
      <x:c r="J12" s="19" t="n">
        <x:v>0.04846282836685125</x:v>
      </x:c>
      <x:c r="K12" s="19" t="n">
        <x:v>0.07205213229137694</x:v>
      </x:c>
      <x:c r="L12" s="11" t="n">
        <x:v>105</x:v>
      </x:c>
      <x:c r="M12" s="11" t="n">
        <x:v>21</x:v>
      </x:c>
      <x:c r="N12" s="11" t="n">
        <x:v>0</x:v>
      </x:c>
    </x:row>
    <x:row r="13" ht="23" customHeight="1">
      <x:c r="A13" s="17" t="str">
        <x:v>ALL</x:v>
      </x:c>
      <x:c r="B13" s="17" t="str">
        <x:v>NC</x:v>
      </x:c>
      <x:c r="C13" s="17" t="str">
        <x:v>H0</x:v>
      </x:c>
      <x:c r="D13" s="11" t="n">
        <x:v>11000</x:v>
      </x:c>
      <x:c r="E13" s="11" t="n">
        <x:v>40794715</x:v>
      </x:c>
      <x:c r="F13" s="11" t="n">
        <x:v>11080732.000000028</x:v>
      </x:c>
      <x:c r="G13" s="11" t="n">
        <x:v>20942101</x:v>
      </x:c>
      <x:c r="H13" s="18" t="n">
        <x:f>F13/E13</x:f>
        <x:v>0.2716217529648149</x:v>
      </x:c>
      <x:c r="I13" s="18" t="n">
        <x:f>G13/E13</x:f>
        <x:v>0.5133532860812975</x:v>
      </x:c>
      <x:c r="J13" s="19" t="n">
        <x:v>0.04556498307557668</x:v>
      </x:c>
      <x:c r="K13" s="19" t="n">
        <x:v>0.06514314885818297</x:v>
      </x:c>
      <x:c r="L13" s="11" t="n">
        <x:v>83</x:v>
      </x:c>
      <x:c r="M13" s="11" t="n">
        <x:v>21</x:v>
      </x:c>
      <x:c r="N13" s="11" t="n">
        <x:v>0</x:v>
      </x:c>
    </x:row>
    <x:row r="14" ht="23" customHeight="1">
      <x:c r="A14" s="17" t="str">
        <x:v>ALL</x:v>
      </x:c>
      <x:c r="B14" s="17" t="str">
        <x:v>NC</x:v>
      </x:c>
      <x:c r="C14" s="17" t="str">
        <x:v>H1</x:v>
      </x:c>
      <x:c r="D14" s="11" t="n">
        <x:v>11000</x:v>
      </x:c>
      <x:c r="E14" s="11" t="n">
        <x:v>40794715</x:v>
      </x:c>
      <x:c r="F14" s="11" t="n">
        <x:v>11100927.080000028</x:v>
      </x:c>
      <x:c r="G14" s="11" t="n">
        <x:v>20942349</x:v>
      </x:c>
      <x:c r="H14" s="18" t="n">
        <x:f>F14/E14</x:f>
        <x:v>0.27211679454066606</x:v>
      </x:c>
      <x:c r="I14" s="18" t="n">
        <x:f>G14/E14</x:f>
        <x:v>0.5133593653001375</x:v>
      </x:c>
      <x:c r="J14" s="19" t="n">
        <x:v>0.045416376427760495</x:v>
      </x:c>
      <x:c r="K14" s="19" t="n">
        <x:v>0.06513511064730011</x:v>
      </x:c>
      <x:c r="L14" s="11" t="n">
        <x:v>83</x:v>
      </x:c>
      <x:c r="M14" s="11" t="n">
        <x:v>21</x:v>
      </x:c>
      <x:c r="N14" s="11" t="n">
        <x:v>0</x:v>
      </x:c>
    </x:row>
    <x:row r="15" ht="23" customHeight="1">
      <x:c r="A15" s="17" t="str">
        <x:v>ALL</x:v>
      </x:c>
      <x:c r="B15" s="17" t="str">
        <x:v>NCG</x:v>
      </x:c>
      <x:c r="C15" s="17" t="str">
        <x:v>H0</x:v>
      </x:c>
      <x:c r="D15" s="11" t="n">
        <x:v>11000</x:v>
      </x:c>
      <x:c r="E15" s="11" t="n">
        <x:v>40794715</x:v>
      </x:c>
      <x:c r="F15" s="11" t="n">
        <x:v>13066533.15999999</x:v>
      </x:c>
      <x:c r="G15" s="11" t="n">
        <x:v>21083092</x:v>
      </x:c>
      <x:c r="H15" s="18" t="n">
        <x:f>F15/E15</x:f>
        <x:v>0.3202996554823337</x:v>
      </x:c>
      <x:c r="I15" s="18" t="n">
        <x:f>G15/E15</x:f>
        <x:v>0.5168093955307691</x:v>
      </x:c>
      <x:c r="J15" s="19" t="n">
        <x:v>0.04372486535287029</x:v>
      </x:c>
      <x:c r="K15" s="19" t="n">
        <x:v>0.06454308929754</x:v>
      </x:c>
      <x:c r="L15" s="11" t="n">
        <x:v>68</x:v>
      </x:c>
      <x:c r="M15" s="11" t="n">
        <x:v>21</x:v>
      </x:c>
      <x:c r="N15" s="11" t="n">
        <x:v>0</x:v>
      </x:c>
    </x:row>
    <x:row r="16" ht="23" customHeight="1">
      <x:c r="A16" s="17" t="str">
        <x:v>ALL</x:v>
      </x:c>
      <x:c r="B16" s="17" t="str">
        <x:v>NCG</x:v>
      </x:c>
      <x:c r="C16" s="17" t="str">
        <x:v>H1</x:v>
      </x:c>
      <x:c r="D16" s="11" t="n">
        <x:v>11000</x:v>
      </x:c>
      <x:c r="E16" s="11" t="n">
        <x:v>40794715</x:v>
      </x:c>
      <x:c r="F16" s="11" t="n">
        <x:v>13105059.759999987</x:v>
      </x:c>
      <x:c r="G16" s="11" t="n">
        <x:v>21084300</x:v>
      </x:c>
      <x:c r="H16" s="18" t="n">
        <x:f>F16/E16</x:f>
        <x:v>0.3212440572265301</x:v>
      </x:c>
      <x:c r="I16" s="18" t="n">
        <x:f>G16/E16</x:f>
        <x:v>0.5168390072096348</x:v>
      </x:c>
      <x:c r="J16" s="19" t="n">
        <x:v>0.04356673250037714</x:v>
      </x:c>
      <x:c r="K16" s="19" t="n">
        <x:v>0.06452906233630717</x:v>
      </x:c>
      <x:c r="L16" s="11" t="n">
        <x:v>68</x:v>
      </x:c>
      <x:c r="M16" s="11" t="n">
        <x:v>21</x:v>
      </x:c>
      <x:c r="N16" s="11" t="n">
        <x:v>0</x:v>
      </x:c>
    </x:row>
    <x:row r="17" ht="23" customHeight="1">
      <x:c r="A17" s="17" t="str">
        <x:v>a</x:v>
      </x:c>
      <x:c r="B17" s="17" t="str">
        <x:v>N</x:v>
      </x:c>
      <x:c r="C17" s="17" t="str">
        <x:v>H0</x:v>
      </x:c>
      <x:c r="D17" s="11" t="n">
        <x:v>1778</x:v>
      </x:c>
      <x:c r="E17" s="11" t="n">
        <x:v>5469879</x:v>
      </x:c>
      <x:c r="F17" s="11" t="n">
        <x:v>1600471.4800000056</x:v>
      </x:c>
      <x:c r="G17" s="11" t="n">
        <x:v>1778197</x:v>
      </x:c>
      <x:c r="H17" s="18" t="n">
        <x:f>F17/E17</x:f>
        <x:v>0.29259723661163356</x:v>
      </x:c>
      <x:c r="I17" s="18" t="n">
        <x:f>G17/E17</x:f>
        <x:v>0.3250889096449848</x:v>
      </x:c>
      <x:c r="J17" s="19" t="n">
        <x:v>0.03926837844748932</x:v>
      </x:c>
      <x:c r="K17" s="19" t="n">
        <x:v>0.009303709527856951</x:v>
      </x:c>
      <x:c r="L17" s="11" t="n">
        <x:v>53</x:v>
      </x:c>
      <x:c r="M17" s="11" t="n">
        <x:v>0</x:v>
      </x:c>
      <x:c r="N17" s="11" t="n">
        <x:v>0</x:v>
      </x:c>
    </x:row>
    <x:row r="18" ht="23" customHeight="1">
      <x:c r="A18" s="17" t="str">
        <x:v>a</x:v>
      </x:c>
      <x:c r="B18" s="17" t="str">
        <x:v>N</x:v>
      </x:c>
      <x:c r="C18" s="17" t="str">
        <x:v>H1</x:v>
      </x:c>
      <x:c r="D18" s="11" t="n">
        <x:v>1778</x:v>
      </x:c>
      <x:c r="E18" s="11" t="n">
        <x:v>5469879</x:v>
      </x:c>
      <x:c r="F18" s="11" t="n">
        <x:v>1600471.4800000056</x:v>
      </x:c>
      <x:c r="G18" s="11" t="n">
        <x:v>1778197</x:v>
      </x:c>
      <x:c r="H18" s="18" t="n">
        <x:f>F18/E18</x:f>
        <x:v>0.29259723661163356</x:v>
      </x:c>
      <x:c r="I18" s="18" t="n">
        <x:f>G18/E18</x:f>
        <x:v>0.3250889096449848</x:v>
      </x:c>
      <x:c r="J18" s="19" t="n">
        <x:v>0.03926837844748932</x:v>
      </x:c>
      <x:c r="K18" s="19" t="n">
        <x:v>0.009303709527856951</x:v>
      </x:c>
      <x:c r="L18" s="11" t="n">
        <x:v>53</x:v>
      </x:c>
      <x:c r="M18" s="11" t="n">
        <x:v>0</x:v>
      </x:c>
      <x:c r="N18" s="11" t="n">
        <x:v>0</x:v>
      </x:c>
    </x:row>
    <x:row r="19" ht="23" customHeight="1">
      <x:c r="A19" s="17" t="str">
        <x:v>a</x:v>
      </x:c>
      <x:c r="B19" s="17" t="str">
        <x:v>C</x:v>
      </x:c>
      <x:c r="C19" s="17" t="str">
        <x:v>H0</x:v>
      </x:c>
      <x:c r="D19" s="11" t="n">
        <x:v>1778</x:v>
      </x:c>
      <x:c r="E19" s="11" t="n">
        <x:v>5469879</x:v>
      </x:c>
      <x:c r="F19" s="11" t="n">
        <x:v>966927.0400000041</x:v>
      </x:c>
      <x:c r="G19" s="11" t="n">
        <x:v>1243120</x:v>
      </x:c>
      <x:c r="H19" s="18" t="n">
        <x:f>F19/E19</x:f>
        <x:v>0.17677302185295216</x:v>
      </x:c>
      <x:c r="I19" s="18" t="n">
        <x:f>G19/E19</x:f>
        <x:v>0.22726645324329844</x:v>
      </x:c>
      <x:c r="J19" s="19" t="n">
        <x:v>0.05304460054816436</x:v>
      </x:c>
      <x:c r="K19" s="19" t="n">
        <x:v>0.02114184533851751</x:v>
      </x:c>
      <x:c r="L19" s="11" t="n">
        <x:v>63</x:v>
      </x:c>
      <x:c r="M19" s="11" t="n">
        <x:v>0</x:v>
      </x:c>
      <x:c r="N19" s="11" t="n">
        <x:v>0</x:v>
      </x:c>
    </x:row>
    <x:row r="20" ht="23" customHeight="1">
      <x:c r="A20" s="17" t="str">
        <x:v>a</x:v>
      </x:c>
      <x:c r="B20" s="17" t="str">
        <x:v>C</x:v>
      </x:c>
      <x:c r="C20" s="17" t="str">
        <x:v>H1</x:v>
      </x:c>
      <x:c r="D20" s="11" t="n">
        <x:v>1778</x:v>
      </x:c>
      <x:c r="E20" s="11" t="n">
        <x:v>5469879</x:v>
      </x:c>
      <x:c r="F20" s="11" t="n">
        <x:v>966927.0400000041</x:v>
      </x:c>
      <x:c r="G20" s="11" t="n">
        <x:v>1243120</x:v>
      </x:c>
      <x:c r="H20" s="18" t="n">
        <x:f>F20/E20</x:f>
        <x:v>0.17677302185295216</x:v>
      </x:c>
      <x:c r="I20" s="18" t="n">
        <x:f>G20/E20</x:f>
        <x:v>0.22726645324329844</x:v>
      </x:c>
      <x:c r="J20" s="19" t="n">
        <x:v>0.05304460054816436</x:v>
      </x:c>
      <x:c r="K20" s="19" t="n">
        <x:v>0.02114184533851751</x:v>
      </x:c>
      <x:c r="L20" s="11" t="n">
        <x:v>63</x:v>
      </x:c>
      <x:c r="M20" s="11" t="n">
        <x:v>0</x:v>
      </x:c>
      <x:c r="N20" s="11" t="n">
        <x:v>0</x:v>
      </x:c>
    </x:row>
    <x:row r="21" ht="23" customHeight="1">
      <x:c r="A21" s="17" t="str">
        <x:v>a</x:v>
      </x:c>
      <x:c r="B21" s="17" t="str">
        <x:v>NG</x:v>
      </x:c>
      <x:c r="C21" s="17" t="str">
        <x:v>H0</x:v>
      </x:c>
      <x:c r="D21" s="11" t="n">
        <x:v>1778</x:v>
      </x:c>
      <x:c r="E21" s="11" t="n">
        <x:v>5469879</x:v>
      </x:c>
      <x:c r="F21" s="11" t="n">
        <x:v>1776505.1999999953</x:v>
      </x:c>
      <x:c r="G21" s="11" t="n">
        <x:v>1890174</x:v>
      </x:c>
      <x:c r="H21" s="18" t="n">
        <x:f>F21/E21</x:f>
        <x:v>0.3247796157830905</x:v>
      </x:c>
      <x:c r="I21" s="18" t="n">
        <x:f>G21/E21</x:f>
        <x:v>0.34556047766321707</x:v>
      </x:c>
      <x:c r="J21" s="19" t="n">
        <x:v>0.035565432707836714</x:v>
      </x:c>
      <x:c r="K21" s="19" t="n">
        <x:v>0.007865336981940259</x:v>
      </x:c>
      <x:c r="L21" s="11" t="n">
        <x:v>28</x:v>
      </x:c>
      <x:c r="M21" s="11" t="n">
        <x:v>0</x:v>
      </x:c>
      <x:c r="N21" s="11" t="n">
        <x:v>0</x:v>
      </x:c>
    </x:row>
    <x:row r="22" ht="23" customHeight="1">
      <x:c r="A22" s="17" t="str">
        <x:v>a</x:v>
      </x:c>
      <x:c r="B22" s="17" t="str">
        <x:v>NG</x:v>
      </x:c>
      <x:c r="C22" s="17" t="str">
        <x:v>H1</x:v>
      </x:c>
      <x:c r="D22" s="11" t="n">
        <x:v>1778</x:v>
      </x:c>
      <x:c r="E22" s="11" t="n">
        <x:v>5469879</x:v>
      </x:c>
      <x:c r="F22" s="11" t="n">
        <x:v>1776505.1999999953</x:v>
      </x:c>
      <x:c r="G22" s="11" t="n">
        <x:v>1890174</x:v>
      </x:c>
      <x:c r="H22" s="18" t="n">
        <x:f>F22/E22</x:f>
        <x:v>0.3247796157830905</x:v>
      </x:c>
      <x:c r="I22" s="18" t="n">
        <x:f>G22/E22</x:f>
        <x:v>0.34556047766321707</x:v>
      </x:c>
      <x:c r="J22" s="19" t="n">
        <x:v>0.035565432707836714</x:v>
      </x:c>
      <x:c r="K22" s="19" t="n">
        <x:v>0.007865336981940259</x:v>
      </x:c>
      <x:c r="L22" s="11" t="n">
        <x:v>28</x:v>
      </x:c>
      <x:c r="M22" s="11" t="n">
        <x:v>0</x:v>
      </x:c>
      <x:c r="N22" s="11" t="n">
        <x:v>0</x:v>
      </x:c>
    </x:row>
    <x:row r="23" ht="23" customHeight="1">
      <x:c r="A23" s="17" t="str">
        <x:v>a</x:v>
      </x:c>
      <x:c r="B23" s="17" t="str">
        <x:v>CG</x:v>
      </x:c>
      <x:c r="C23" s="17" t="str">
        <x:v>H0</x:v>
      </x:c>
      <x:c r="D23" s="11" t="n">
        <x:v>1778</x:v>
      </x:c>
      <x:c r="E23" s="11" t="n">
        <x:v>5469879</x:v>
      </x:c>
      <x:c r="F23" s="11" t="n">
        <x:v>1464476.2000000018</x:v>
      </x:c>
      <x:c r="G23" s="11" t="n">
        <x:v>1592416</x:v>
      </x:c>
      <x:c r="H23" s="18" t="n">
        <x:f>F23/E23</x:f>
        <x:v>0.2677346610409484</x:v>
      </x:c>
      <x:c r="I23" s="18" t="n">
        <x:f>G23/E23</x:f>
        <x:v>0.29112453858668536</x:v>
      </x:c>
      <x:c r="J23" s="19" t="n">
        <x:v>0.043272025054652156</x:v>
      </x:c>
      <x:c r="K23" s="19" t="n">
        <x:v>0.014452797530232537</x:v>
      </x:c>
      <x:c r="L23" s="11" t="n">
        <x:v>31</x:v>
      </x:c>
      <x:c r="M23" s="11" t="n">
        <x:v>0</x:v>
      </x:c>
      <x:c r="N23" s="11" t="n">
        <x:v>0</x:v>
      </x:c>
    </x:row>
    <x:row r="24" ht="23" customHeight="1">
      <x:c r="A24" s="17" t="str">
        <x:v>a</x:v>
      </x:c>
      <x:c r="B24" s="17" t="str">
        <x:v>CG</x:v>
      </x:c>
      <x:c r="C24" s="17" t="str">
        <x:v>H1</x:v>
      </x:c>
      <x:c r="D24" s="11" t="n">
        <x:v>1778</x:v>
      </x:c>
      <x:c r="E24" s="11" t="n">
        <x:v>5469879</x:v>
      </x:c>
      <x:c r="F24" s="11" t="n">
        <x:v>1464476.2000000018</x:v>
      </x:c>
      <x:c r="G24" s="11" t="n">
        <x:v>1592416</x:v>
      </x:c>
      <x:c r="H24" s="18" t="n">
        <x:f>F24/E24</x:f>
        <x:v>0.2677346610409484</x:v>
      </x:c>
      <x:c r="I24" s="18" t="n">
        <x:f>G24/E24</x:f>
        <x:v>0.29112453858668536</x:v>
      </x:c>
      <x:c r="J24" s="19" t="n">
        <x:v>0.043272025054652156</x:v>
      </x:c>
      <x:c r="K24" s="19" t="n">
        <x:v>0.014452797530232537</x:v>
      </x:c>
      <x:c r="L24" s="11" t="n">
        <x:v>31</x:v>
      </x:c>
      <x:c r="M24" s="11" t="n">
        <x:v>0</x:v>
      </x:c>
      <x:c r="N24" s="11" t="n">
        <x:v>0</x:v>
      </x:c>
    </x:row>
    <x:row r="25" ht="23" customHeight="1">
      <x:c r="A25" s="17" t="str">
        <x:v>a</x:v>
      </x:c>
      <x:c r="B25" s="17" t="str">
        <x:v>NC</x:v>
      </x:c>
      <x:c r="C25" s="17" t="str">
        <x:v>H0</x:v>
      </x:c>
      <x:c r="D25" s="11" t="n">
        <x:v>1778</x:v>
      </x:c>
      <x:c r="E25" s="11" t="n">
        <x:v>5469879</x:v>
      </x:c>
      <x:c r="F25" s="11" t="n">
        <x:v>1474602.2800000047</x:v>
      </x:c>
      <x:c r="G25" s="11" t="n">
        <x:v>1722979</x:v>
      </x:c>
      <x:c r="H25" s="18" t="n">
        <x:f>F25/E25</x:f>
        <x:v>0.2695859049167275</x:v>
      </x:c>
      <x:c r="I25" s="18" t="n">
        <x:f>G25/E25</x:f>
        <x:v>0.31499398798401207</x:v>
      </x:c>
      <x:c r="J25" s="19" t="n">
        <x:v>0.039397742772475146</x:v>
      </x:c>
      <x:c r="K25" s="19" t="n">
        <x:v>0.011945412767930427</x:v>
      </x:c>
      <x:c r="L25" s="11" t="n">
        <x:v>25</x:v>
      </x:c>
      <x:c r="M25" s="11" t="n">
        <x:v>0</x:v>
      </x:c>
      <x:c r="N25" s="11" t="n">
        <x:v>0</x:v>
      </x:c>
    </x:row>
    <x:row r="26" ht="23" customHeight="1">
      <x:c r="A26" s="17" t="str">
        <x:v>a</x:v>
      </x:c>
      <x:c r="B26" s="17" t="str">
        <x:v>NC</x:v>
      </x:c>
      <x:c r="C26" s="17" t="str">
        <x:v>H1</x:v>
      </x:c>
      <x:c r="D26" s="11" t="n">
        <x:v>1778</x:v>
      </x:c>
      <x:c r="E26" s="11" t="n">
        <x:v>5469879</x:v>
      </x:c>
      <x:c r="F26" s="11" t="n">
        <x:v>1474602.2800000047</x:v>
      </x:c>
      <x:c r="G26" s="11" t="n">
        <x:v>1722979</x:v>
      </x:c>
      <x:c r="H26" s="18" t="n">
        <x:f>F26/E26</x:f>
        <x:v>0.2695859049167275</x:v>
      </x:c>
      <x:c r="I26" s="18" t="n">
        <x:f>G26/E26</x:f>
        <x:v>0.31499398798401207</x:v>
      </x:c>
      <x:c r="J26" s="19" t="n">
        <x:v>0.039397742772475146</x:v>
      </x:c>
      <x:c r="K26" s="19" t="n">
        <x:v>0.011945412767930427</x:v>
      </x:c>
      <x:c r="L26" s="11" t="n">
        <x:v>25</x:v>
      </x:c>
      <x:c r="M26" s="11" t="n">
        <x:v>0</x:v>
      </x:c>
      <x:c r="N26" s="11" t="n">
        <x:v>0</x:v>
      </x:c>
    </x:row>
    <x:row r="27" ht="23" customHeight="1">
      <x:c r="A27" s="17" t="str">
        <x:v>a</x:v>
      </x:c>
      <x:c r="B27" s="17" t="str">
        <x:v>NCG</x:v>
      </x:c>
      <x:c r="C27" s="17" t="str">
        <x:v>H0</x:v>
      </x:c>
      <x:c r="D27" s="11" t="n">
        <x:v>1778</x:v>
      </x:c>
      <x:c r="E27" s="11" t="n">
        <x:v>5469879</x:v>
      </x:c>
      <x:c r="F27" s="11" t="n">
        <x:v>1740547.64</x:v>
      </x:c>
      <x:c r="G27" s="11" t="n">
        <x:v>1856296</x:v>
      </x:c>
      <x:c r="H27" s="18" t="n">
        <x:f>F27/E27</x:f>
        <x:v>0.31820587621773716</x:v>
      </x:c>
      <x:c r="I27" s="18" t="n">
        <x:f>G27/E27</x:f>
        <x:v>0.33936692201052343</x:v>
      </x:c>
      <x:c r="J27" s="19" t="n">
        <x:v>0.03203116975544227</x:v>
      </x:c>
      <x:c r="K27" s="19" t="n">
        <x:v>0.008889242605669792</x:v>
      </x:c>
      <x:c r="L27" s="11" t="n">
        <x:v>16</x:v>
      </x:c>
      <x:c r="M27" s="11" t="n">
        <x:v>0</x:v>
      </x:c>
      <x:c r="N27" s="11" t="n">
        <x:v>0</x:v>
      </x:c>
    </x:row>
    <x:row r="28" ht="23" customHeight="1">
      <x:c r="A28" s="17" t="str">
        <x:v>a</x:v>
      </x:c>
      <x:c r="B28" s="17" t="str">
        <x:v>NCG</x:v>
      </x:c>
      <x:c r="C28" s="17" t="str">
        <x:v>H1</x:v>
      </x:c>
      <x:c r="D28" s="11" t="n">
        <x:v>1778</x:v>
      </x:c>
      <x:c r="E28" s="11" t="n">
        <x:v>5469879</x:v>
      </x:c>
      <x:c r="F28" s="11" t="n">
        <x:v>1740547.64</x:v>
      </x:c>
      <x:c r="G28" s="11" t="n">
        <x:v>1856296</x:v>
      </x:c>
      <x:c r="H28" s="18" t="n">
        <x:f>F28/E28</x:f>
        <x:v>0.31820587621773716</x:v>
      </x:c>
      <x:c r="I28" s="18" t="n">
        <x:f>G28/E28</x:f>
        <x:v>0.33936692201052343</x:v>
      </x:c>
      <x:c r="J28" s="19" t="n">
        <x:v>0.03203116975544227</x:v>
      </x:c>
      <x:c r="K28" s="19" t="n">
        <x:v>0.008889242605669792</x:v>
      </x:c>
      <x:c r="L28" s="11" t="n">
        <x:v>16</x:v>
      </x:c>
      <x:c r="M28" s="11" t="n">
        <x:v>0</x:v>
      </x:c>
      <x:c r="N28" s="11" t="n">
        <x:v>0</x:v>
      </x:c>
    </x:row>
    <x:row r="29" ht="23" customHeight="1">
      <x:c r="A29" s="17" t="str">
        <x:v>b</x:v>
      </x:c>
      <x:c r="B29" s="17" t="str">
        <x:v>N</x:v>
      </x:c>
      <x:c r="C29" s="17" t="str">
        <x:v>H0</x:v>
      </x:c>
      <x:c r="D29" s="11" t="n">
        <x:v>1481</x:v>
      </x:c>
      <x:c r="E29" s="11" t="n">
        <x:v>3433060</x:v>
      </x:c>
      <x:c r="F29" s="11" t="n">
        <x:v>1056115.9200000002</x:v>
      </x:c>
      <x:c r="G29" s="11" t="n">
        <x:v>1877354</x:v>
      </x:c>
      <x:c r="H29" s="18" t="n">
        <x:f>F29/E29</x:f>
        <x:v>0.3076310696579728</x:v>
      </x:c>
      <x:c r="I29" s="18" t="n">
        <x:f>G29/E29</x:f>
        <x:v>0.5468456712087758</x:v>
      </x:c>
      <x:c r="J29" s="19" t="n">
        <x:v>0.03487509143488602</x:v>
      </x:c>
      <x:c r="K29" s="19" t="n">
        <x:v>0.061132227537017365</x:v>
      </x:c>
      <x:c r="L29" s="11" t="n">
        <x:v>11</x:v>
      </x:c>
      <x:c r="M29" s="11" t="n">
        <x:v>6</x:v>
      </x:c>
      <x:c r="N29" s="11" t="n">
        <x:v>0</x:v>
      </x:c>
    </x:row>
    <x:row r="30" ht="23" customHeight="1">
      <x:c r="A30" s="17" t="str">
        <x:v>b</x:v>
      </x:c>
      <x:c r="B30" s="17" t="str">
        <x:v>N</x:v>
      </x:c>
      <x:c r="C30" s="17" t="str">
        <x:v>H1</x:v>
      </x:c>
      <x:c r="D30" s="11" t="n">
        <x:v>1481</x:v>
      </x:c>
      <x:c r="E30" s="11" t="n">
        <x:v>3433060</x:v>
      </x:c>
      <x:c r="F30" s="11" t="n">
        <x:v>1058288.4000000001</x:v>
      </x:c>
      <x:c r="G30" s="11" t="n">
        <x:v>1877354</x:v>
      </x:c>
      <x:c r="H30" s="18" t="n">
        <x:f>F30/E30</x:f>
        <x:v>0.30826388120219284</x:v>
      </x:c>
      <x:c r="I30" s="18" t="n">
        <x:f>G30/E30</x:f>
        <x:v>0.5468456712087758</x:v>
      </x:c>
      <x:c r="J30" s="19" t="n">
        <x:v>0.03487509143488602</x:v>
      </x:c>
      <x:c r="K30" s="19" t="n">
        <x:v>0.061132227537017365</x:v>
      </x:c>
      <x:c r="L30" s="11" t="n">
        <x:v>11</x:v>
      </x:c>
      <x:c r="M30" s="11" t="n">
        <x:v>6</x:v>
      </x:c>
      <x:c r="N30" s="11" t="n">
        <x:v>0</x:v>
      </x:c>
    </x:row>
    <x:row r="31" ht="23" customHeight="1">
      <x:c r="A31" s="17" t="str">
        <x:v>b</x:v>
      </x:c>
      <x:c r="B31" s="17" t="str">
        <x:v>C</x:v>
      </x:c>
      <x:c r="C31" s="17" t="str">
        <x:v>H0</x:v>
      </x:c>
      <x:c r="D31" s="11" t="n">
        <x:v>1481</x:v>
      </x:c>
      <x:c r="E31" s="11" t="n">
        <x:v>3433060</x:v>
      </x:c>
      <x:c r="F31" s="11" t="n">
        <x:v>582817.400000002</x:v>
      </x:c>
      <x:c r="G31" s="11" t="n">
        <x:v>1841488</x:v>
      </x:c>
      <x:c r="H31" s="18" t="n">
        <x:f>F31/E31</x:f>
        <x:v>0.16976615614058654</x:v>
      </x:c>
      <x:c r="I31" s="18" t="n">
        <x:f>G31/E31</x:f>
        <x:v>0.5363984317198068</x:v>
      </x:c>
      <x:c r="J31" s="19" t="n">
        <x:v>0.040620018276840274</x:v>
      </x:c>
      <x:c r="K31" s="19" t="n">
        <x:v>0.07408941787703963</x:v>
      </x:c>
      <x:c r="L31" s="11" t="n">
        <x:v>12</x:v>
      </x:c>
      <x:c r="M31" s="11" t="n">
        <x:v>6</x:v>
      </x:c>
      <x:c r="N31" s="11" t="n">
        <x:v>0</x:v>
      </x:c>
    </x:row>
    <x:row r="32" ht="23" customHeight="1">
      <x:c r="A32" s="17" t="str">
        <x:v>b</x:v>
      </x:c>
      <x:c r="B32" s="17" t="str">
        <x:v>C</x:v>
      </x:c>
      <x:c r="C32" s="17" t="str">
        <x:v>H1</x:v>
      </x:c>
      <x:c r="D32" s="11" t="n">
        <x:v>1481</x:v>
      </x:c>
      <x:c r="E32" s="11" t="n">
        <x:v>3433060</x:v>
      </x:c>
      <x:c r="F32" s="11" t="n">
        <x:v>586526.6000000023</x:v>
      </x:c>
      <x:c r="G32" s="11" t="n">
        <x:v>1841488</x:v>
      </x:c>
      <x:c r="H32" s="18" t="n">
        <x:f>F32/E32</x:f>
        <x:v>0.1708465916704055</x:v>
      </x:c>
      <x:c r="I32" s="18" t="n">
        <x:f>G32/E32</x:f>
        <x:v>0.5363984317198068</x:v>
      </x:c>
      <x:c r="J32" s="19" t="n">
        <x:v>0.040620018276840274</x:v>
      </x:c>
      <x:c r="K32" s="19" t="n">
        <x:v>0.07408941787703963</x:v>
      </x:c>
      <x:c r="L32" s="11" t="n">
        <x:v>12</x:v>
      </x:c>
      <x:c r="M32" s="11" t="n">
        <x:v>6</x:v>
      </x:c>
      <x:c r="N32" s="11" t="n">
        <x:v>0</x:v>
      </x:c>
    </x:row>
    <x:row r="33" ht="23" customHeight="1">
      <x:c r="A33" s="17" t="str">
        <x:v>b</x:v>
      </x:c>
      <x:c r="B33" s="17" t="str">
        <x:v>NG</x:v>
      </x:c>
      <x:c r="C33" s="17" t="str">
        <x:v>H0</x:v>
      </x:c>
      <x:c r="D33" s="11" t="n">
        <x:v>1481</x:v>
      </x:c>
      <x:c r="E33" s="11" t="n">
        <x:v>3433060</x:v>
      </x:c>
      <x:c r="F33" s="11" t="n">
        <x:v>1161170.479999999</x:v>
      </x:c>
      <x:c r="G33" s="11" t="n">
        <x:v>1877912</x:v>
      </x:c>
      <x:c r="H33" s="18" t="n">
        <x:f>F33/E33</x:f>
        <x:v>0.3382319213762646</x:v>
      </x:c>
      <x:c r="I33" s="18" t="n">
        <x:f>G33/E33</x:f>
        <x:v>0.5470082084204761</x:v>
      </x:c>
      <x:c r="J33" s="19" t="n">
        <x:v>0.034552287230450666</x:v>
      </x:c>
      <x:c r="K33" s="19" t="n">
        <x:v>0.060951028158018665</x:v>
      </x:c>
      <x:c r="L33" s="11" t="n">
        <x:v>9</x:v>
      </x:c>
      <x:c r="M33" s="11" t="n">
        <x:v>6</x:v>
      </x:c>
      <x:c r="N33" s="11" t="n">
        <x:v>0</x:v>
      </x:c>
    </x:row>
    <x:row r="34" ht="23" customHeight="1">
      <x:c r="A34" s="17" t="str">
        <x:v>b</x:v>
      </x:c>
      <x:c r="B34" s="17" t="str">
        <x:v>NG</x:v>
      </x:c>
      <x:c r="C34" s="17" t="str">
        <x:v>H1</x:v>
      </x:c>
      <x:c r="D34" s="11" t="n">
        <x:v>1481</x:v>
      </x:c>
      <x:c r="E34" s="11" t="n">
        <x:v>3433060</x:v>
      </x:c>
      <x:c r="F34" s="11" t="n">
        <x:v>1162580.559999999</x:v>
      </x:c>
      <x:c r="G34" s="11" t="n">
        <x:v>1877912</x:v>
      </x:c>
      <x:c r="H34" s="18" t="n">
        <x:f>F34/E34</x:f>
        <x:v>0.33864265698822593</x:v>
      </x:c>
      <x:c r="I34" s="18" t="n">
        <x:f>G34/E34</x:f>
        <x:v>0.5470082084204761</x:v>
      </x:c>
      <x:c r="J34" s="19" t="n">
        <x:v>0.034552287230450666</x:v>
      </x:c>
      <x:c r="K34" s="19" t="n">
        <x:v>0.060951028158018665</x:v>
      </x:c>
      <x:c r="L34" s="11" t="n">
        <x:v>9</x:v>
      </x:c>
      <x:c r="M34" s="11" t="n">
        <x:v>6</x:v>
      </x:c>
      <x:c r="N34" s="11" t="n">
        <x:v>0</x:v>
      </x:c>
    </x:row>
    <x:row r="35" ht="23" customHeight="1">
      <x:c r="A35" s="17" t="str">
        <x:v>b</x:v>
      </x:c>
      <x:c r="B35" s="17" t="str">
        <x:v>CG</x:v>
      </x:c>
      <x:c r="C35" s="17" t="str">
        <x:v>H0</x:v>
      </x:c>
      <x:c r="D35" s="11" t="n">
        <x:v>1481</x:v>
      </x:c>
      <x:c r="E35" s="11" t="n">
        <x:v>3433060</x:v>
      </x:c>
      <x:c r="F35" s="11" t="n">
        <x:v>841323.8000000019</x:v>
      </x:c>
      <x:c r="G35" s="11" t="n">
        <x:v>1842096</x:v>
      </x:c>
      <x:c r="H35" s="18" t="n">
        <x:f>F35/E35</x:f>
        <x:v>0.24506527704147377</x:v>
      </x:c>
      <x:c r="I35" s="18" t="n">
        <x:f>G35/E35</x:f>
        <x:v>0.5365755331977886</x:v>
      </x:c>
      <x:c r="J35" s="19" t="n">
        <x:v>0.040102566485985994</x:v>
      </x:c>
      <x:c r="K35" s="19" t="n">
        <x:v>0.07365846293767131</x:v>
      </x:c>
      <x:c r="L35" s="11" t="n">
        <x:v>9</x:v>
      </x:c>
      <x:c r="M35" s="11" t="n">
        <x:v>6</x:v>
      </x:c>
      <x:c r="N35" s="11" t="n">
        <x:v>0</x:v>
      </x:c>
    </x:row>
    <x:row r="36" ht="23" customHeight="1">
      <x:c r="A36" s="17" t="str">
        <x:v>b</x:v>
      </x:c>
      <x:c r="B36" s="17" t="str">
        <x:v>CG</x:v>
      </x:c>
      <x:c r="C36" s="17" t="str">
        <x:v>H1</x:v>
      </x:c>
      <x:c r="D36" s="11" t="n">
        <x:v>1481</x:v>
      </x:c>
      <x:c r="E36" s="11" t="n">
        <x:v>3433060</x:v>
      </x:c>
      <x:c r="F36" s="11" t="n">
        <x:v>844135.6000000013</x:v>
      </x:c>
      <x:c r="G36" s="11" t="n">
        <x:v>1842096</x:v>
      </x:c>
      <x:c r="H36" s="18" t="n">
        <x:f>F36/E36</x:f>
        <x:v>0.245884313120074</x:v>
      </x:c>
      <x:c r="I36" s="18" t="n">
        <x:f>G36/E36</x:f>
        <x:v>0.5365755331977886</x:v>
      </x:c>
      <x:c r="J36" s="19" t="n">
        <x:v>0.040102566485985994</x:v>
      </x:c>
      <x:c r="K36" s="19" t="n">
        <x:v>0.07365846293767131</x:v>
      </x:c>
      <x:c r="L36" s="11" t="n">
        <x:v>9</x:v>
      </x:c>
      <x:c r="M36" s="11" t="n">
        <x:v>6</x:v>
      </x:c>
      <x:c r="N36" s="11" t="n">
        <x:v>0</x:v>
      </x:c>
    </x:row>
    <x:row r="37" ht="23" customHeight="1">
      <x:c r="A37" s="17" t="str">
        <x:v>b</x:v>
      </x:c>
      <x:c r="B37" s="17" t="str">
        <x:v>NC</x:v>
      </x:c>
      <x:c r="C37" s="17" t="str">
        <x:v>H0</x:v>
      </x:c>
      <x:c r="D37" s="11" t="n">
        <x:v>1481</x:v>
      </x:c>
      <x:c r="E37" s="11" t="n">
        <x:v>3433060</x:v>
      </x:c>
      <x:c r="F37" s="11" t="n">
        <x:v>931759.6400000008</x:v>
      </x:c>
      <x:c r="G37" s="11" t="n">
        <x:v>1863776</x:v>
      </x:c>
      <x:c r="H37" s="18" t="n">
        <x:f>F37/E37</x:f>
        <x:v>0.271407910144303</x:v>
      </x:c>
      <x:c r="I37" s="18" t="n">
        <x:f>G37/E37</x:f>
        <x:v>0.5428905990574007</x:v>
      </x:c>
      <x:c r="J37" s="19" t="n">
        <x:v>0.037844742579763634</x:v>
      </x:c>
      <x:c r="K37" s="19" t="n">
        <x:v>0.06420681128319371</x:v>
      </x:c>
      <x:c r="L37" s="11" t="n">
        <x:v>12</x:v>
      </x:c>
      <x:c r="M37" s="11" t="n">
        <x:v>6</x:v>
      </x:c>
      <x:c r="N37" s="11" t="n">
        <x:v>0</x:v>
      </x:c>
    </x:row>
    <x:row r="38" ht="23" customHeight="1">
      <x:c r="A38" s="17" t="str">
        <x:v>b</x:v>
      </x:c>
      <x:c r="B38" s="17" t="str">
        <x:v>NC</x:v>
      </x:c>
      <x:c r="C38" s="17" t="str">
        <x:v>H1</x:v>
      </x:c>
      <x:c r="D38" s="11" t="n">
        <x:v>1481</x:v>
      </x:c>
      <x:c r="E38" s="11" t="n">
        <x:v>3433060</x:v>
      </x:c>
      <x:c r="F38" s="11" t="n">
        <x:v>935823.4800000002</x:v>
      </x:c>
      <x:c r="G38" s="11" t="n">
        <x:v>1863776</x:v>
      </x:c>
      <x:c r="H38" s="18" t="n">
        <x:f>F38/E38</x:f>
        <x:v>0.27259164710200234</x:v>
      </x:c>
      <x:c r="I38" s="18" t="n">
        <x:f>G38/E38</x:f>
        <x:v>0.5428905990574007</x:v>
      </x:c>
      <x:c r="J38" s="19" t="n">
        <x:v>0.037844742579763634</x:v>
      </x:c>
      <x:c r="K38" s="19" t="n">
        <x:v>0.06420681128319371</x:v>
      </x:c>
      <x:c r="L38" s="11" t="n">
        <x:v>12</x:v>
      </x:c>
      <x:c r="M38" s="11" t="n">
        <x:v>6</x:v>
      </x:c>
      <x:c r="N38" s="11" t="n">
        <x:v>0</x:v>
      </x:c>
    </x:row>
    <x:row r="39" ht="23" customHeight="1">
      <x:c r="A39" s="17" t="str">
        <x:v>b</x:v>
      </x:c>
      <x:c r="B39" s="17" t="str">
        <x:v>NCG</x:v>
      </x:c>
      <x:c r="C39" s="17" t="str">
        <x:v>H0</x:v>
      </x:c>
      <x:c r="D39" s="11" t="n">
        <x:v>1481</x:v>
      </x:c>
      <x:c r="E39" s="11" t="n">
        <x:v>3433060</x:v>
      </x:c>
      <x:c r="F39" s="11" t="n">
        <x:v>1072139.2400000007</x:v>
      </x:c>
      <x:c r="G39" s="11" t="n">
        <x:v>1864376</x:v>
      </x:c>
      <x:c r="H39" s="18" t="n">
        <x:f>F39/E39</x:f>
        <x:v>0.3122984276418125</x:v>
      </x:c>
      <x:c r="I39" s="18" t="n">
        <x:f>G39/E39</x:f>
        <x:v>0.5430653702527775</x:v>
      </x:c>
      <x:c r="J39" s="19" t="n">
        <x:v>0.037497645888032116</x:v>
      </x:c>
      <x:c r="K39" s="19" t="n">
        <x:v>0.06401409000121712</x:v>
      </x:c>
      <x:c r="L39" s="11" t="n">
        <x:v>9</x:v>
      </x:c>
      <x:c r="M39" s="11" t="n">
        <x:v>6</x:v>
      </x:c>
      <x:c r="N39" s="11" t="n">
        <x:v>0</x:v>
      </x:c>
    </x:row>
    <x:row r="40" ht="23" customHeight="1">
      <x:c r="A40" s="17" t="str">
        <x:v>b</x:v>
      </x:c>
      <x:c r="B40" s="17" t="str">
        <x:v>NCG</x:v>
      </x:c>
      <x:c r="C40" s="17" t="str">
        <x:v>H1</x:v>
      </x:c>
      <x:c r="D40" s="11" t="n">
        <x:v>1481</x:v>
      </x:c>
      <x:c r="E40" s="11" t="n">
        <x:v>3433060</x:v>
      </x:c>
      <x:c r="F40" s="11" t="n">
        <x:v>1074373.6800000004</x:v>
      </x:c>
      <x:c r="G40" s="11" t="n">
        <x:v>1864376</x:v>
      </x:c>
      <x:c r="H40" s="18" t="n">
        <x:f>F40/E40</x:f>
        <x:v>0.3129492872248083</x:v>
      </x:c>
      <x:c r="I40" s="18" t="n">
        <x:f>G40/E40</x:f>
        <x:v>0.5430653702527775</x:v>
      </x:c>
      <x:c r="J40" s="19" t="n">
        <x:v>0.037497645888032116</x:v>
      </x:c>
      <x:c r="K40" s="19" t="n">
        <x:v>0.06401409000121712</x:v>
      </x:c>
      <x:c r="L40" s="11" t="n">
        <x:v>9</x:v>
      </x:c>
      <x:c r="M40" s="11" t="n">
        <x:v>6</x:v>
      </x:c>
      <x:c r="N40" s="11" t="n">
        <x:v>0</x:v>
      </x:c>
    </x:row>
    <x:row r="41" ht="23" customHeight="1">
      <x:c r="A41" s="17" t="str">
        <x:v>c</x:v>
      </x:c>
      <x:c r="B41" s="17" t="str">
        <x:v>N</x:v>
      </x:c>
      <x:c r="C41" s="17" t="str">
        <x:v>H0</x:v>
      </x:c>
      <x:c r="D41" s="11" t="n">
        <x:v>1747</x:v>
      </x:c>
      <x:c r="E41" s="11" t="n">
        <x:v>11760345</x:v>
      </x:c>
      <x:c r="F41" s="11" t="n">
        <x:v>3628244.1600000123</x:v>
      </x:c>
      <x:c r="G41" s="11" t="n">
        <x:v>6837089</x:v>
      </x:c>
      <x:c r="H41" s="18" t="n">
        <x:f>F41/E41</x:f>
        <x:v>0.30851511243930446</x:v>
      </x:c>
      <x:c r="I41" s="18" t="n">
        <x:f>G41/E41</x:f>
        <x:v>0.5813680636069776</x:v>
      </x:c>
      <x:c r="J41" s="19" t="n">
        <x:v>0.06003557942450916</x:v>
      </x:c>
      <x:c r="K41" s="19" t="n">
        <x:v>0.07708586063970577</x:v>
      </x:c>
      <x:c r="L41" s="11" t="n">
        <x:v>0</x:v>
      </x:c>
      <x:c r="M41" s="11" t="n">
        <x:v>3</x:v>
      </x:c>
      <x:c r="N41" s="11" t="n">
        <x:v>0</x:v>
      </x:c>
    </x:row>
    <x:row r="42" ht="23" customHeight="1">
      <x:c r="A42" s="17" t="str">
        <x:v>c</x:v>
      </x:c>
      <x:c r="B42" s="17" t="str">
        <x:v>N</x:v>
      </x:c>
      <x:c r="C42" s="17" t="str">
        <x:v>H1</x:v>
      </x:c>
      <x:c r="D42" s="11" t="n">
        <x:v>1747</x:v>
      </x:c>
      <x:c r="E42" s="11" t="n">
        <x:v>11760345</x:v>
      </x:c>
      <x:c r="F42" s="11" t="n">
        <x:v>3635579.8400000115</x:v>
      </x:c>
      <x:c r="G42" s="11" t="n">
        <x:v>6837087</x:v>
      </x:c>
      <x:c r="H42" s="18" t="n">
        <x:f>F42/E42</x:f>
        <x:v>0.30913887645303023</x:v>
      </x:c>
      <x:c r="I42" s="18" t="n">
        <x:f>G42/E42</x:f>
        <x:v>0.5813678935439394</x:v>
      </x:c>
      <x:c r="J42" s="19" t="n">
        <x:v>0.06003557942450916</x:v>
      </x:c>
      <x:c r="K42" s="19" t="n">
        <x:v>0.07708586063970577</x:v>
      </x:c>
      <x:c r="L42" s="11" t="n">
        <x:v>0</x:v>
      </x:c>
      <x:c r="M42" s="11" t="n">
        <x:v>3</x:v>
      </x:c>
      <x:c r="N42" s="11" t="n">
        <x:v>0</x:v>
      </x:c>
    </x:row>
    <x:row r="43" ht="23" customHeight="1">
      <x:c r="A43" s="17" t="str">
        <x:v>c</x:v>
      </x:c>
      <x:c r="B43" s="17" t="str">
        <x:v>C</x:v>
      </x:c>
      <x:c r="C43" s="17" t="str">
        <x:v>H0</x:v>
      </x:c>
      <x:c r="D43" s="11" t="n">
        <x:v>1747</x:v>
      </x:c>
      <x:c r="E43" s="11" t="n">
        <x:v>11760345</x:v>
      </x:c>
      <x:c r="F43" s="11" t="n">
        <x:v>2176479.039999997</x:v>
      </x:c>
      <x:c r="G43" s="11" t="n">
        <x:v>6640523</x:v>
      </x:c>
      <x:c r="H43" s="18" t="n">
        <x:f>F43/E43</x:f>
        <x:v>0.18506931896980885</x:v>
      </x:c>
      <x:c r="I43" s="18" t="n">
        <x:f>G43/E43</x:f>
        <x:v>0.5646537580317584</x:v>
      </x:c>
      <x:c r="J43" s="19" t="n">
        <x:v>0.06518475647008136</x:v>
      </x:c>
      <x:c r="K43" s="19" t="n">
        <x:v>0.09217772024780185</x:v>
      </x:c>
      <x:c r="L43" s="11" t="n">
        <x:v>0</x:v>
      </x:c>
      <x:c r="M43" s="11" t="n">
        <x:v>3</x:v>
      </x:c>
      <x:c r="N43" s="11" t="n">
        <x:v>0</x:v>
      </x:c>
    </x:row>
    <x:row r="44" ht="23" customHeight="1">
      <x:c r="A44" s="17" t="str">
        <x:v>c</x:v>
      </x:c>
      <x:c r="B44" s="17" t="str">
        <x:v>C</x:v>
      </x:c>
      <x:c r="C44" s="17" t="str">
        <x:v>H1</x:v>
      </x:c>
      <x:c r="D44" s="11" t="n">
        <x:v>1747</x:v>
      </x:c>
      <x:c r="E44" s="11" t="n">
        <x:v>11760345</x:v>
      </x:c>
      <x:c r="F44" s="11" t="n">
        <x:v>2177655.599999997</x:v>
      </x:c>
      <x:c r="G44" s="11" t="n">
        <x:v>6640525</x:v>
      </x:c>
      <x:c r="H44" s="18" t="n">
        <x:f>F44/E44</x:f>
        <x:v>0.18516936365387213</x:v>
      </x:c>
      <x:c r="I44" s="18" t="n">
        <x:f>G44/E44</x:f>
        <x:v>0.5646539280947965</x:v>
      </x:c>
      <x:c r="J44" s="19" t="n">
        <x:v>0.06518475647008136</x:v>
      </x:c>
      <x:c r="K44" s="19" t="n">
        <x:v>0.09217772024780185</x:v>
      </x:c>
      <x:c r="L44" s="11" t="n">
        <x:v>0</x:v>
      </x:c>
      <x:c r="M44" s="11" t="n">
        <x:v>3</x:v>
      </x:c>
      <x:c r="N44" s="11" t="n">
        <x:v>0</x:v>
      </x:c>
    </x:row>
    <x:row r="45" ht="23" customHeight="1">
      <x:c r="A45" s="17" t="str">
        <x:v>c</x:v>
      </x:c>
      <x:c r="B45" s="17" t="str">
        <x:v>NG</x:v>
      </x:c>
      <x:c r="C45" s="17" t="str">
        <x:v>H0</x:v>
      </x:c>
      <x:c r="D45" s="11" t="n">
        <x:v>1747</x:v>
      </x:c>
      <x:c r="E45" s="11" t="n">
        <x:v>11760345</x:v>
      </x:c>
      <x:c r="F45" s="11" t="n">
        <x:v>4001440.52000001</x:v>
      </x:c>
      <x:c r="G45" s="11" t="n">
        <x:v>6837419</x:v>
      </x:c>
      <x:c r="H45" s="18" t="n">
        <x:f>F45/E45</x:f>
        <x:v>0.3402485658371425</x:v>
      </x:c>
      <x:c r="I45" s="18" t="n">
        <x:f>G45/E45</x:f>
        <x:v>0.5813961240082668</x:v>
      </x:c>
      <x:c r="J45" s="19" t="n">
        <x:v>0.05948042695682621</x:v>
      </x:c>
      <x:c r="K45" s="19" t="n">
        <x:v>0.0769253408000023</x:v>
      </x:c>
      <x:c r="L45" s="11" t="n">
        <x:v>0</x:v>
      </x:c>
      <x:c r="M45" s="11" t="n">
        <x:v>3</x:v>
      </x:c>
      <x:c r="N45" s="11" t="n">
        <x:v>0</x:v>
      </x:c>
    </x:row>
    <x:row r="46" ht="23" customHeight="1">
      <x:c r="A46" s="17" t="str">
        <x:v>c</x:v>
      </x:c>
      <x:c r="B46" s="17" t="str">
        <x:v>NG</x:v>
      </x:c>
      <x:c r="C46" s="17" t="str">
        <x:v>H1</x:v>
      </x:c>
      <x:c r="D46" s="11" t="n">
        <x:v>1747</x:v>
      </x:c>
      <x:c r="E46" s="11" t="n">
        <x:v>11760345</x:v>
      </x:c>
      <x:c r="F46" s="11" t="n">
        <x:v>4003715.4800000084</x:v>
      </x:c>
      <x:c r="G46" s="11" t="n">
        <x:v>6837423</x:v>
      </x:c>
      <x:c r="H46" s="18" t="n">
        <x:f>F46/E46</x:f>
        <x:v>0.34044200914173933</x:v>
      </x:c>
      <x:c r="I46" s="18" t="n">
        <x:f>G46/E46</x:f>
        <x:v>0.581396464134343</x:v>
      </x:c>
      <x:c r="J46" s="19" t="n">
        <x:v>0.05948034846670825</x:v>
      </x:c>
      <x:c r="K46" s="19" t="n">
        <x:v>0.07692533483022974</x:v>
      </x:c>
      <x:c r="L46" s="11" t="n">
        <x:v>0</x:v>
      </x:c>
      <x:c r="M46" s="11" t="n">
        <x:v>3</x:v>
      </x:c>
      <x:c r="N46" s="11" t="n">
        <x:v>0</x:v>
      </x:c>
    </x:row>
    <x:row r="47" ht="23" customHeight="1">
      <x:c r="A47" s="17" t="str">
        <x:v>c</x:v>
      </x:c>
      <x:c r="B47" s="17" t="str">
        <x:v>CG</x:v>
      </x:c>
      <x:c r="C47" s="17" t="str">
        <x:v>H0</x:v>
      </x:c>
      <x:c r="D47" s="11" t="n">
        <x:v>1747</x:v>
      </x:c>
      <x:c r="E47" s="11" t="n">
        <x:v>11760345</x:v>
      </x:c>
      <x:c r="F47" s="11" t="n">
        <x:v>3061588.239999992</x:v>
      </x:c>
      <x:c r="G47" s="11" t="n">
        <x:v>6657943</x:v>
      </x:c>
      <x:c r="H47" s="18" t="n">
        <x:f>F47/E47</x:f>
        <x:v>0.26033149877830897</x:v>
      </x:c>
      <x:c r="I47" s="18" t="n">
        <x:f>G47/E47</x:f>
        <x:v>0.5661350070937545</x:v>
      </x:c>
      <x:c r="J47" s="19" t="n">
        <x:v>0.06343057790722474</x:v>
      </x:c>
      <x:c r="K47" s="19" t="n">
        <x:v>0.08293409977068612</x:v>
      </x:c>
      <x:c r="L47" s="11" t="n">
        <x:v>0</x:v>
      </x:c>
      <x:c r="M47" s="11" t="n">
        <x:v>3</x:v>
      </x:c>
      <x:c r="N47" s="11" t="n">
        <x:v>0</x:v>
      </x:c>
    </x:row>
    <x:row r="48" ht="23" customHeight="1">
      <x:c r="A48" s="17" t="str">
        <x:v>c</x:v>
      </x:c>
      <x:c r="B48" s="17" t="str">
        <x:v>CG</x:v>
      </x:c>
      <x:c r="C48" s="17" t="str">
        <x:v>H1</x:v>
      </x:c>
      <x:c r="D48" s="11" t="n">
        <x:v>1747</x:v>
      </x:c>
      <x:c r="E48" s="11" t="n">
        <x:v>11760345</x:v>
      </x:c>
      <x:c r="F48" s="11" t="n">
        <x:v>3070005.239999992</x:v>
      </x:c>
      <x:c r="G48" s="11" t="n">
        <x:v>6657949</x:v>
      </x:c>
      <x:c r="H48" s="18" t="n">
        <x:f>F48/E48</x:f>
        <x:v>0.2610472090742229</x:v>
      </x:c>
      <x:c r="I48" s="18" t="n">
        <x:f>G48/E48</x:f>
        <x:v>0.5661355172828688</x:v>
      </x:c>
      <x:c r="J48" s="19" t="n">
        <x:v>0.0634164841357635</x:v>
      </x:c>
      <x:c r="K48" s="19" t="n">
        <x:v>0.08292790618328687</x:v>
      </x:c>
      <x:c r="L48" s="11" t="n">
        <x:v>0</x:v>
      </x:c>
      <x:c r="M48" s="11" t="n">
        <x:v>3</x:v>
      </x:c>
      <x:c r="N48" s="11" t="n">
        <x:v>0</x:v>
      </x:c>
    </x:row>
    <x:row r="49" ht="23" customHeight="1">
      <x:c r="A49" s="17" t="str">
        <x:v>c</x:v>
      </x:c>
      <x:c r="B49" s="17" t="str">
        <x:v>NC</x:v>
      </x:c>
      <x:c r="C49" s="17" t="str">
        <x:v>H0</x:v>
      </x:c>
      <x:c r="D49" s="11" t="n">
        <x:v>1747</x:v>
      </x:c>
      <x:c r="E49" s="11" t="n">
        <x:v>11760345</x:v>
      </x:c>
      <x:c r="F49" s="11" t="n">
        <x:v>3397710.6800000165</x:v>
      </x:c>
      <x:c r="G49" s="11" t="n">
        <x:v>6743199</x:v>
      </x:c>
      <x:c r="H49" s="18" t="n">
        <x:f>F49/E49</x:f>
        <x:v>0.2889125004411024</x:v>
      </x:c>
      <x:c r="I49" s="18" t="n">
        <x:f>G49/E49</x:f>
        <x:v>0.5733844542825912</x:v>
      </x:c>
      <x:c r="J49" s="19" t="n">
        <x:v>0.06032083249951091</x:v>
      </x:c>
      <x:c r="K49" s="19" t="n">
        <x:v>0.07755817788331776</x:v>
      </x:c>
      <x:c r="L49" s="11" t="n">
        <x:v>0</x:v>
      </x:c>
      <x:c r="M49" s="11" t="n">
        <x:v>3</x:v>
      </x:c>
      <x:c r="N49" s="11" t="n">
        <x:v>0</x:v>
      </x:c>
    </x:row>
    <x:row r="50" ht="23" customHeight="1">
      <x:c r="A50" s="17" t="str">
        <x:v>c</x:v>
      </x:c>
      <x:c r="B50" s="17" t="str">
        <x:v>NC</x:v>
      </x:c>
      <x:c r="C50" s="17" t="str">
        <x:v>H1</x:v>
      </x:c>
      <x:c r="D50" s="11" t="n">
        <x:v>1747</x:v>
      </x:c>
      <x:c r="E50" s="11" t="n">
        <x:v>11760345</x:v>
      </x:c>
      <x:c r="F50" s="11" t="n">
        <x:v>3403742.280000015</x:v>
      </x:c>
      <x:c r="G50" s="11" t="n">
        <x:v>6743199</x:v>
      </x:c>
      <x:c r="H50" s="18" t="n">
        <x:f>F50/E50</x:f>
        <x:v>0.2894253765514545</x:v>
      </x:c>
      <x:c r="I50" s="18" t="n">
        <x:f>G50/E50</x:f>
        <x:v>0.5733844542825912</x:v>
      </x:c>
      <x:c r="J50" s="19" t="n">
        <x:v>0.06035108513310136</x:v>
      </x:c>
      <x:c r="K50" s="19" t="n">
        <x:v>0.07756472119194391</x:v>
      </x:c>
      <x:c r="L50" s="11" t="n">
        <x:v>0</x:v>
      </x:c>
      <x:c r="M50" s="11" t="n">
        <x:v>3</x:v>
      </x:c>
      <x:c r="N50" s="11" t="n">
        <x:v>0</x:v>
      </x:c>
    </x:row>
    <x:row r="51" ht="23" customHeight="1">
      <x:c r="A51" s="17" t="str">
        <x:v>c</x:v>
      </x:c>
      <x:c r="B51" s="17" t="str">
        <x:v>NCG</x:v>
      </x:c>
      <x:c r="C51" s="17" t="str">
        <x:v>H0</x:v>
      </x:c>
      <x:c r="D51" s="11" t="n">
        <x:v>1747</x:v>
      </x:c>
      <x:c r="E51" s="11" t="n">
        <x:v>11760345</x:v>
      </x:c>
      <x:c r="F51" s="11" t="n">
        <x:v>3834397.0400000084</x:v>
      </x:c>
      <x:c r="G51" s="11" t="n">
        <x:v>6743555</x:v>
      </x:c>
      <x:c r="H51" s="18" t="n">
        <x:f>F51/E51</x:f>
        <x:v>0.32604460498395316</x:v>
      </x:c>
      <x:c r="I51" s="18" t="n">
        <x:f>G51/E51</x:f>
        <x:v>0.5734147255033759</x:v>
      </x:c>
      <x:c r="J51" s="19" t="n">
        <x:v>0.059763355669274695</x:v>
      </x:c>
      <x:c r="K51" s="19" t="n">
        <x:v>0.07739620450138594</x:v>
      </x:c>
      <x:c r="L51" s="11" t="n">
        <x:v>0</x:v>
      </x:c>
      <x:c r="M51" s="11" t="n">
        <x:v>3</x:v>
      </x:c>
      <x:c r="N51" s="11" t="n">
        <x:v>0</x:v>
      </x:c>
    </x:row>
    <x:row r="52" ht="23" customHeight="1">
      <x:c r="A52" s="17" t="str">
        <x:v>c</x:v>
      </x:c>
      <x:c r="B52" s="17" t="str">
        <x:v>NCG</x:v>
      </x:c>
      <x:c r="C52" s="17" t="str">
        <x:v>H1</x:v>
      </x:c>
      <x:c r="D52" s="11" t="n">
        <x:v>1747</x:v>
      </x:c>
      <x:c r="E52" s="11" t="n">
        <x:v>11760345</x:v>
      </x:c>
      <x:c r="F52" s="11" t="n">
        <x:v>3843760.1200000052</x:v>
      </x:c>
      <x:c r="G52" s="11" t="n">
        <x:v>6743561</x:v>
      </x:c>
      <x:c r="H52" s="18" t="n">
        <x:f>F52/E52</x:f>
        <x:v>0.3268407618994175</x:v>
      </x:c>
      <x:c r="I52" s="18" t="n">
        <x:f>G52/E52</x:f>
        <x:v>0.5734152356924903</x:v>
      </x:c>
      <x:c r="J52" s="19" t="n">
        <x:v>0.05977951453140392</x:v>
      </x:c>
      <x:c r="K52" s="19" t="n">
        <x:v>0.07739655422261284</x:v>
      </x:c>
      <x:c r="L52" s="11" t="n">
        <x:v>0</x:v>
      </x:c>
      <x:c r="M52" s="11" t="n">
        <x:v>3</x:v>
      </x:c>
      <x:c r="N52" s="11" t="n">
        <x:v>0</x:v>
      </x:c>
    </x:row>
    <x:row r="53" ht="23" customHeight="1">
      <x:c r="A53" s="17" t="str">
        <x:v>d</x:v>
      </x:c>
      <x:c r="B53" s="17" t="str">
        <x:v>N</x:v>
      </x:c>
      <x:c r="C53" s="17" t="str">
        <x:v>H0</x:v>
      </x:c>
      <x:c r="D53" s="11" t="n">
        <x:v>1167</x:v>
      </x:c>
      <x:c r="E53" s="11" t="n">
        <x:v>1723934</x:v>
      </x:c>
      <x:c r="F53" s="11" t="n">
        <x:v>382792.12000000343</x:v>
      </x:c>
      <x:c r="G53" s="11" t="n">
        <x:v>900949</x:v>
      </x:c>
      <x:c r="H53" s="18" t="n">
        <x:f>F53/E53</x:f>
        <x:v>0.2220456931645895</x:v>
      </x:c>
      <x:c r="I53" s="18" t="n">
        <x:f>G53/E53</x:f>
        <x:v>0.5226122345751055</x:v>
      </x:c>
      <x:c r="J53" s="19" t="n">
        <x:v>0.04322685874500966</x:v>
      </x:c>
      <x:c r="K53" s="19" t="n">
        <x:v>0.04733438866717769</x:v>
      </x:c>
      <x:c r="L53" s="11" t="n">
        <x:v>3</x:v>
      </x:c>
      <x:c r="M53" s="11" t="n">
        <x:v>0</x:v>
      </x:c>
      <x:c r="N53" s="11" t="n">
        <x:v>0</x:v>
      </x:c>
    </x:row>
    <x:row r="54" ht="23" customHeight="1">
      <x:c r="A54" s="17" t="str">
        <x:v>d</x:v>
      </x:c>
      <x:c r="B54" s="17" t="str">
        <x:v>N</x:v>
      </x:c>
      <x:c r="C54" s="17" t="str">
        <x:v>H1</x:v>
      </x:c>
      <x:c r="D54" s="11" t="n">
        <x:v>1167</x:v>
      </x:c>
      <x:c r="E54" s="11" t="n">
        <x:v>1723934</x:v>
      </x:c>
      <x:c r="F54" s="11" t="n">
        <x:v>383379.4800000035</x:v>
      </x:c>
      <x:c r="G54" s="11" t="n">
        <x:v>901041</x:v>
      </x:c>
      <x:c r="H54" s="18" t="n">
        <x:f>F54/E54</x:f>
        <x:v>0.22238640226366177</x:v>
      </x:c>
      <x:c r="I54" s="18" t="n">
        <x:f>G54/E54</x:f>
        <x:v>0.522665600887273</x:v>
      </x:c>
      <x:c r="J54" s="19" t="n">
        <x:v>0.042612767568697564</x:v>
      </x:c>
      <x:c r="K54" s="19" t="n">
        <x:v>0.04707249638185423</x:v>
      </x:c>
      <x:c r="L54" s="11" t="n">
        <x:v>3</x:v>
      </x:c>
      <x:c r="M54" s="11" t="n">
        <x:v>0</x:v>
      </x:c>
      <x:c r="N54" s="11" t="n">
        <x:v>0</x:v>
      </x:c>
    </x:row>
    <x:row r="55" ht="23" customHeight="1">
      <x:c r="A55" s="17" t="str">
        <x:v>d</x:v>
      </x:c>
      <x:c r="B55" s="17" t="str">
        <x:v>C</x:v>
      </x:c>
      <x:c r="C55" s="17" t="str">
        <x:v>H0</x:v>
      </x:c>
      <x:c r="D55" s="11" t="n">
        <x:v>1167</x:v>
      </x:c>
      <x:c r="E55" s="11" t="n">
        <x:v>1723934</x:v>
      </x:c>
      <x:c r="F55" s="11" t="n">
        <x:v>310865.5600000014</x:v>
      </x:c>
      <x:c r="G55" s="11" t="n">
        <x:v>898187</x:v>
      </x:c>
      <x:c r="H55" s="18" t="n">
        <x:f>F55/E55</x:f>
        <x:v>0.18032335344624642</x:v>
      </x:c>
      <x:c r="I55" s="18" t="n">
        <x:f>G55/E55</x:f>
        <x:v>0.5210100850728624</x:v>
      </x:c>
      <x:c r="J55" s="19" t="n">
        <x:v>0.047344863358509764</x:v>
      </x:c>
      <x:c r="K55" s="19" t="n">
        <x:v>0.048927294683456725</x:v>
      </x:c>
      <x:c r="L55" s="11" t="n">
        <x:v>9</x:v>
      </x:c>
      <x:c r="M55" s="11" t="n">
        <x:v>0</x:v>
      </x:c>
      <x:c r="N55" s="11" t="n">
        <x:v>0</x:v>
      </x:c>
    </x:row>
    <x:row r="56" ht="23" customHeight="1">
      <x:c r="A56" s="17" t="str">
        <x:v>d</x:v>
      </x:c>
      <x:c r="B56" s="17" t="str">
        <x:v>C</x:v>
      </x:c>
      <x:c r="C56" s="17" t="str">
        <x:v>H1</x:v>
      </x:c>
      <x:c r="D56" s="11" t="n">
        <x:v>1167</x:v>
      </x:c>
      <x:c r="E56" s="11" t="n">
        <x:v>1723934</x:v>
      </x:c>
      <x:c r="F56" s="11" t="n">
        <x:v>310865.5600000014</x:v>
      </x:c>
      <x:c r="G56" s="11" t="n">
        <x:v>898187</x:v>
      </x:c>
      <x:c r="H56" s="18" t="n">
        <x:f>F56/E56</x:f>
        <x:v>0.18032335344624642</x:v>
      </x:c>
      <x:c r="I56" s="18" t="n">
        <x:f>G56/E56</x:f>
        <x:v>0.5210100850728624</x:v>
      </x:c>
      <x:c r="J56" s="19" t="n">
        <x:v>0.047344863358509764</x:v>
      </x:c>
      <x:c r="K56" s="19" t="n">
        <x:v>0.048927294683456725</x:v>
      </x:c>
      <x:c r="L56" s="11" t="n">
        <x:v>9</x:v>
      </x:c>
      <x:c r="M56" s="11" t="n">
        <x:v>0</x:v>
      </x:c>
      <x:c r="N56" s="11" t="n">
        <x:v>0</x:v>
      </x:c>
    </x:row>
    <x:row r="57" ht="23" customHeight="1">
      <x:c r="A57" s="17" t="str">
        <x:v>d</x:v>
      </x:c>
      <x:c r="B57" s="17" t="str">
        <x:v>NG</x:v>
      </x:c>
      <x:c r="C57" s="17" t="str">
        <x:v>H0</x:v>
      </x:c>
      <x:c r="D57" s="11" t="n">
        <x:v>1167</x:v>
      </x:c>
      <x:c r="E57" s="11" t="n">
        <x:v>1723934</x:v>
      </x:c>
      <x:c r="F57" s="11" t="n">
        <x:v>467334.36000000243</x:v>
      </x:c>
      <x:c r="G57" s="11" t="n">
        <x:v>901553</x:v>
      </x:c>
      <x:c r="H57" s="18" t="n">
        <x:f>F57/E57</x:f>
        <x:v>0.27108599285123586</x:v>
      </x:c>
      <x:c r="I57" s="18" t="n">
        <x:f>G57/E57</x:f>
        <x:v>0.5229625960158567</x:v>
      </x:c>
      <x:c r="J57" s="19" t="n">
        <x:v>0.04260474090546168</x:v>
      </x:c>
      <x:c r="K57" s="19" t="n">
        <x:v>0.04670512386179835</x:v>
      </x:c>
      <x:c r="L57" s="11" t="n">
        <x:v>3</x:v>
      </x:c>
      <x:c r="M57" s="11" t="n">
        <x:v>0</x:v>
      </x:c>
      <x:c r="N57" s="11" t="n">
        <x:v>0</x:v>
      </x:c>
    </x:row>
    <x:row r="58" ht="23" customHeight="1">
      <x:c r="A58" s="17" t="str">
        <x:v>d</x:v>
      </x:c>
      <x:c r="B58" s="17" t="str">
        <x:v>NG</x:v>
      </x:c>
      <x:c r="C58" s="17" t="str">
        <x:v>H1</x:v>
      </x:c>
      <x:c r="D58" s="11" t="n">
        <x:v>1167</x:v>
      </x:c>
      <x:c r="E58" s="11" t="n">
        <x:v>1723934</x:v>
      </x:c>
      <x:c r="F58" s="11" t="n">
        <x:v>467921.7200000024</x:v>
      </x:c>
      <x:c r="G58" s="11" t="n">
        <x:v>901645</x:v>
      </x:c>
      <x:c r="H58" s="18" t="n">
        <x:f>F58/E58</x:f>
        <x:v>0.2714267019503081</x:v>
      </x:c>
      <x:c r="I58" s="18" t="n">
        <x:f>G58/E58</x:f>
        <x:v>0.5230159623280242</x:v>
      </x:c>
      <x:c r="J58" s="19" t="n">
        <x:v>0.04199064972914959</x:v>
      </x:c>
      <x:c r="K58" s="19" t="n">
        <x:v>0.04644323157647488</x:v>
      </x:c>
      <x:c r="L58" s="11" t="n">
        <x:v>3</x:v>
      </x:c>
      <x:c r="M58" s="11" t="n">
        <x:v>0</x:v>
      </x:c>
      <x:c r="N58" s="11" t="n">
        <x:v>0</x:v>
      </x:c>
    </x:row>
    <x:row r="59" ht="23" customHeight="1">
      <x:c r="A59" s="17" t="str">
        <x:v>d</x:v>
      </x:c>
      <x:c r="B59" s="17" t="str">
        <x:v>CG</x:v>
      </x:c>
      <x:c r="C59" s="17" t="str">
        <x:v>H0</x:v>
      </x:c>
      <x:c r="D59" s="11" t="n">
        <x:v>1167</x:v>
      </x:c>
      <x:c r="E59" s="11" t="n">
        <x:v>1723934</x:v>
      </x:c>
      <x:c r="F59" s="11" t="n">
        <x:v>433752.28000000276</x:v>
      </x:c>
      <x:c r="G59" s="11" t="n">
        <x:v>898995</x:v>
      </x:c>
      <x:c r="H59" s="18" t="n">
        <x:f>F59/E59</x:f>
        <x:v>0.25160608236742404</x:v>
      </x:c>
      <x:c r="I59" s="18" t="n">
        <x:f>G59/E59</x:f>
        <x:v>0.5214787805101587</x:v>
      </x:c>
      <x:c r="J59" s="19" t="n">
        <x:v>0.046374092328885466</x:v>
      </x:c>
      <x:c r="K59" s="19" t="n">
        <x:v>0.047850179039814734</x:v>
      </x:c>
      <x:c r="L59" s="11" t="n">
        <x:v>9</x:v>
      </x:c>
      <x:c r="M59" s="11" t="n">
        <x:v>0</x:v>
      </x:c>
      <x:c r="N59" s="11" t="n">
        <x:v>0</x:v>
      </x:c>
    </x:row>
    <x:row r="60" ht="23" customHeight="1">
      <x:c r="A60" s="17" t="str">
        <x:v>d</x:v>
      </x:c>
      <x:c r="B60" s="17" t="str">
        <x:v>CG</x:v>
      </x:c>
      <x:c r="C60" s="17" t="str">
        <x:v>H1</x:v>
      </x:c>
      <x:c r="D60" s="11" t="n">
        <x:v>1167</x:v>
      </x:c>
      <x:c r="E60" s="11" t="n">
        <x:v>1723934</x:v>
      </x:c>
      <x:c r="F60" s="11" t="n">
        <x:v>435229.0000000028</x:v>
      </x:c>
      <x:c r="G60" s="11" t="n">
        <x:v>898995</x:v>
      </x:c>
      <x:c r="H60" s="18" t="n">
        <x:f>F60/E60</x:f>
        <x:v>0.2524626812859441</x:v>
      </x:c>
      <x:c r="I60" s="18" t="n">
        <x:f>G60/E60</x:f>
        <x:v>0.5214787805101587</x:v>
      </x:c>
      <x:c r="J60" s="19" t="n">
        <x:v>0.046374092328885466</x:v>
      </x:c>
      <x:c r="K60" s="19" t="n">
        <x:v>0.047850179039814734</x:v>
      </x:c>
      <x:c r="L60" s="11" t="n">
        <x:v>9</x:v>
      </x:c>
      <x:c r="M60" s="11" t="n">
        <x:v>0</x:v>
      </x:c>
      <x:c r="N60" s="11" t="n">
        <x:v>0</x:v>
      </x:c>
    </x:row>
    <x:row r="61" ht="23" customHeight="1">
      <x:c r="A61" s="17" t="str">
        <x:v>d</x:v>
      </x:c>
      <x:c r="B61" s="17" t="str">
        <x:v>NC</x:v>
      </x:c>
      <x:c r="C61" s="17" t="str">
        <x:v>H0</x:v>
      </x:c>
      <x:c r="D61" s="11" t="n">
        <x:v>1167</x:v>
      </x:c>
      <x:c r="E61" s="11" t="n">
        <x:v>1723934</x:v>
      </x:c>
      <x:c r="F61" s="11" t="n">
        <x:v>355344.28000000207</x:v>
      </x:c>
      <x:c r="G61" s="11" t="n">
        <x:v>901133</x:v>
      </x:c>
      <x:c r="H61" s="18" t="n">
        <x:f>F61/E61</x:f>
        <x:v>0.20612406275414374</x:v>
      </x:c>
      <x:c r="I61" s="18" t="n">
        <x:f>G61/E61</x:f>
        <x:v>0.5227189671994403</x:v>
      </x:c>
      <x:c r="J61" s="19" t="n">
        <x:v>0.04297990973314201</x:v>
      </x:c>
      <x:c r="K61" s="19" t="n">
        <x:v>0.04739402800297106</x:v>
      </x:c>
      <x:c r="L61" s="11" t="n">
        <x:v>3</x:v>
      </x:c>
      <x:c r="M61" s="11" t="n">
        <x:v>0</x:v>
      </x:c>
      <x:c r="N61" s="11" t="n">
        <x:v>0</x:v>
      </x:c>
    </x:row>
    <x:row r="62" ht="23" customHeight="1">
      <x:c r="A62" s="17" t="str">
        <x:v>d</x:v>
      </x:c>
      <x:c r="B62" s="17" t="str">
        <x:v>NC</x:v>
      </x:c>
      <x:c r="C62" s="17" t="str">
        <x:v>H1</x:v>
      </x:c>
      <x:c r="D62" s="11" t="n">
        <x:v>1167</x:v>
      </x:c>
      <x:c r="E62" s="11" t="n">
        <x:v>1723934</x:v>
      </x:c>
      <x:c r="F62" s="11" t="n">
        <x:v>355633.8800000019</x:v>
      </x:c>
      <x:c r="G62" s="11" t="n">
        <x:v>901133</x:v>
      </x:c>
      <x:c r="H62" s="18" t="n">
        <x:f>F62/E62</x:f>
        <x:v>0.2062920506237489</x:v>
      </x:c>
      <x:c r="I62" s="18" t="n">
        <x:f>G62/E62</x:f>
        <x:v>0.5227189671994403</x:v>
      </x:c>
      <x:c r="J62" s="19" t="n">
        <x:v>0.04297990711679337</x:v>
      </x:c>
      <x:c r="K62" s="19" t="n">
        <x:v>0.047394027443299916</x:v>
      </x:c>
      <x:c r="L62" s="11" t="n">
        <x:v>3</x:v>
      </x:c>
      <x:c r="M62" s="11" t="n">
        <x:v>0</x:v>
      </x:c>
      <x:c r="N62" s="11" t="n">
        <x:v>0</x:v>
      </x:c>
    </x:row>
    <x:row r="63" ht="23" customHeight="1">
      <x:c r="A63" s="17" t="str">
        <x:v>d</x:v>
      </x:c>
      <x:c r="B63" s="17" t="str">
        <x:v>NCG</x:v>
      </x:c>
      <x:c r="C63" s="17" t="str">
        <x:v>H0</x:v>
      </x:c>
      <x:c r="D63" s="11" t="n">
        <x:v>1167</x:v>
      </x:c>
      <x:c r="E63" s="11" t="n">
        <x:v>1723934</x:v>
      </x:c>
      <x:c r="F63" s="11" t="n">
        <x:v>464233.48000000225</x:v>
      </x:c>
      <x:c r="G63" s="11" t="n">
        <x:v>901941</x:v>
      </x:c>
      <x:c r="H63" s="18" t="n">
        <x:f>F63/E63</x:f>
        <x:v>0.2692872696982612</x:v>
      </x:c>
      <x:c r="I63" s="18" t="n">
        <x:f>G63/E63</x:f>
        <x:v>0.5231876626367367</x:v>
      </x:c>
      <x:c r="J63" s="19" t="n">
        <x:v>0.0420164494027841</x:v>
      </x:c>
      <x:c r="K63" s="19" t="n">
        <x:v>0.04632081209667551</x:v>
      </x:c>
      <x:c r="L63" s="11" t="n">
        <x:v>3</x:v>
      </x:c>
      <x:c r="M63" s="11" t="n">
        <x:v>0</x:v>
      </x:c>
      <x:c r="N63" s="11" t="n">
        <x:v>0</x:v>
      </x:c>
    </x:row>
    <x:row r="64" ht="23" customHeight="1">
      <x:c r="A64" s="17" t="str">
        <x:v>d</x:v>
      </x:c>
      <x:c r="B64" s="17" t="str">
        <x:v>NCG</x:v>
      </x:c>
      <x:c r="C64" s="17" t="str">
        <x:v>H1</x:v>
      </x:c>
      <x:c r="D64" s="11" t="n">
        <x:v>1167</x:v>
      </x:c>
      <x:c r="E64" s="11" t="n">
        <x:v>1723934</x:v>
      </x:c>
      <x:c r="F64" s="11" t="n">
        <x:v>465999.80000000214</x:v>
      </x:c>
      <x:c r="G64" s="11" t="n">
        <x:v>901941</x:v>
      </x:c>
      <x:c r="H64" s="18" t="n">
        <x:f>F64/E64</x:f>
        <x:v>0.27031185648638645</x:v>
      </x:c>
      <x:c r="I64" s="18" t="n">
        <x:f>G64/E64</x:f>
        <x:v>0.5231876626367367</x:v>
      </x:c>
      <x:c r="J64" s="19" t="n">
        <x:v>0.042016446786435464</x:v>
      </x:c>
      <x:c r="K64" s="19" t="n">
        <x:v>0.04632081153700436</x:v>
      </x:c>
      <x:c r="L64" s="11" t="n">
        <x:v>3</x:v>
      </x:c>
      <x:c r="M64" s="11" t="n">
        <x:v>0</x:v>
      </x:c>
      <x:c r="N64" s="11" t="n">
        <x:v>0</x:v>
      </x:c>
    </x:row>
    <x:row r="65" ht="23" customHeight="1">
      <x:c r="A65" s="17" t="str">
        <x:v>e</x:v>
      </x:c>
      <x:c r="B65" s="17" t="str">
        <x:v>N</x:v>
      </x:c>
      <x:c r="C65" s="17" t="str">
        <x:v>H0</x:v>
      </x:c>
      <x:c r="D65" s="11" t="n">
        <x:v>3347</x:v>
      </x:c>
      <x:c r="E65" s="11" t="n">
        <x:v>15496224</x:v>
      </x:c>
      <x:c r="F65" s="11" t="n">
        <x:v>4399811.520000002</x:v>
      </x:c>
      <x:c r="G65" s="11" t="n">
        <x:v>7749845</x:v>
      </x:c>
      <x:c r="H65" s="18" t="n">
        <x:f>F65/E65</x:f>
        <x:v>0.2839279762605395</x:v>
      </x:c>
      <x:c r="I65" s="18" t="n">
        <x:f>G65/E65</x:f>
        <x:v>0.5001118336957442</x:v>
      </x:c>
      <x:c r="J65" s="19" t="n">
        <x:v>0.039802271954437723</x:v>
      </x:c>
      <x:c r="K65" s="19" t="n">
        <x:v>0.08173370433845666</x:v>
      </x:c>
      <x:c r="L65" s="11" t="n">
        <x:v>11</x:v>
      </x:c>
      <x:c r="M65" s="11" t="n">
        <x:v>0</x:v>
      </x:c>
      <x:c r="N65" s="11" t="n">
        <x:v>0</x:v>
      </x:c>
    </x:row>
    <x:row r="66" ht="23" customHeight="1">
      <x:c r="A66" s="17" t="str">
        <x:v>e</x:v>
      </x:c>
      <x:c r="B66" s="17" t="str">
        <x:v>N</x:v>
      </x:c>
      <x:c r="C66" s="17" t="str">
        <x:v>H1</x:v>
      </x:c>
      <x:c r="D66" s="11" t="n">
        <x:v>3347</x:v>
      </x:c>
      <x:c r="E66" s="11" t="n">
        <x:v>15496224</x:v>
      </x:c>
      <x:c r="F66" s="11" t="n">
        <x:v>4401717.920000003</x:v>
      </x:c>
      <x:c r="G66" s="11" t="n">
        <x:v>7749845</x:v>
      </x:c>
      <x:c r="H66" s="18" t="n">
        <x:f>F66/E66</x:f>
        <x:v>0.28405099977904313</x:v>
      </x:c>
      <x:c r="I66" s="18" t="n">
        <x:f>G66/E66</x:f>
        <x:v>0.5001118336957442</x:v>
      </x:c>
      <x:c r="J66" s="19" t="n">
        <x:v>0.039802271954437723</x:v>
      </x:c>
      <x:c r="K66" s="19" t="n">
        <x:v>0.08173370433845666</x:v>
      </x:c>
      <x:c r="L66" s="11" t="n">
        <x:v>11</x:v>
      </x:c>
      <x:c r="M66" s="11" t="n">
        <x:v>0</x:v>
      </x:c>
      <x:c r="N66" s="11" t="n">
        <x:v>0</x:v>
      </x:c>
    </x:row>
    <x:row r="67" ht="23" customHeight="1">
      <x:c r="A67" s="17" t="str">
        <x:v>e</x:v>
      </x:c>
      <x:c r="B67" s="17" t="str">
        <x:v>C</x:v>
      </x:c>
      <x:c r="C67" s="17" t="str">
        <x:v>H0</x:v>
      </x:c>
      <x:c r="D67" s="11" t="n">
        <x:v>3347</x:v>
      </x:c>
      <x:c r="E67" s="11" t="n">
        <x:v>15496224</x:v>
      </x:c>
      <x:c r="F67" s="11" t="n">
        <x:v>2709780.11999999</x:v>
      </x:c>
      <x:c r="G67" s="11" t="n">
        <x:v>7506840</x:v>
      </x:c>
      <x:c r="H67" s="18" t="n">
        <x:f>F67/E67</x:f>
        <x:v>0.17486712375866467</x:v>
      </x:c>
      <x:c r="I67" s="18" t="n">
        <x:f>G67/E67</x:f>
        <x:v>0.48443027152937385</x:v>
      </x:c>
      <x:c r="J67" s="19" t="n">
        <x:v>0.04156032706293254</x:v>
      </x:c>
      <x:c r="K67" s="19" t="n">
        <x:v>0.09070136897692402</x:v>
      </x:c>
      <x:c r="L67" s="11" t="n">
        <x:v>11</x:v>
      </x:c>
      <x:c r="M67" s="11" t="n">
        <x:v>0</x:v>
      </x:c>
      <x:c r="N67" s="11" t="n">
        <x:v>0</x:v>
      </x:c>
    </x:row>
    <x:row r="68" ht="23" customHeight="1">
      <x:c r="A68" s="17" t="str">
        <x:v>e</x:v>
      </x:c>
      <x:c r="B68" s="17" t="str">
        <x:v>C</x:v>
      </x:c>
      <x:c r="C68" s="17" t="str">
        <x:v>H1</x:v>
      </x:c>
      <x:c r="D68" s="11" t="n">
        <x:v>3347</x:v>
      </x:c>
      <x:c r="E68" s="11" t="n">
        <x:v>15496224</x:v>
      </x:c>
      <x:c r="F68" s="11" t="n">
        <x:v>2709996.5999999903</x:v>
      </x:c>
      <x:c r="G68" s="11" t="n">
        <x:v>7506840</x:v>
      </x:c>
      <x:c r="H68" s="18" t="n">
        <x:f>F68/E68</x:f>
        <x:v>0.1748810936135145</x:v>
      </x:c>
      <x:c r="I68" s="18" t="n">
        <x:f>G68/E68</x:f>
        <x:v>0.48443027152937385</x:v>
      </x:c>
      <x:c r="J68" s="19" t="n">
        <x:v>0.04156032706293254</x:v>
      </x:c>
      <x:c r="K68" s="19" t="n">
        <x:v>0.09070136897692402</x:v>
      </x:c>
      <x:c r="L68" s="11" t="n">
        <x:v>11</x:v>
      </x:c>
      <x:c r="M68" s="11" t="n">
        <x:v>0</x:v>
      </x:c>
      <x:c r="N68" s="11" t="n">
        <x:v>0</x:v>
      </x:c>
    </x:row>
    <x:row r="69" ht="23" customHeight="1">
      <x:c r="A69" s="17" t="str">
        <x:v>e</x:v>
      </x:c>
      <x:c r="B69" s="17" t="str">
        <x:v>NG</x:v>
      </x:c>
      <x:c r="C69" s="17" t="str">
        <x:v>H0</x:v>
      </x:c>
      <x:c r="D69" s="11" t="n">
        <x:v>3347</x:v>
      </x:c>
      <x:c r="E69" s="11" t="n">
        <x:v>15496224</x:v>
      </x:c>
      <x:c r="F69" s="11" t="n">
        <x:v>5176241.959999967</x:v>
      </x:c>
      <x:c r="G69" s="11" t="n">
        <x:v>7754527</x:v>
      </x:c>
      <x:c r="H69" s="18" t="n">
        <x:f>F69/E69</x:f>
        <x:v>0.3340324688130455</x:v>
      </x:c>
      <x:c r="I69" s="18" t="n">
        <x:f>G69/E69</x:f>
        <x:v>0.5004139718166181</x:v>
      </x:c>
      <x:c r="J69" s="19" t="n">
        <x:v>0.038839515502916366</x:v>
      </x:c>
      <x:c r="K69" s="19" t="n">
        <x:v>0.08157257442825691</x:v>
      </x:c>
      <x:c r="L69" s="11" t="n">
        <x:v>11</x:v>
      </x:c>
      <x:c r="M69" s="11" t="n">
        <x:v>0</x:v>
      </x:c>
      <x:c r="N69" s="11" t="n">
        <x:v>0</x:v>
      </x:c>
    </x:row>
    <x:row r="70" ht="23" customHeight="1">
      <x:c r="A70" s="17" t="str">
        <x:v>e</x:v>
      </x:c>
      <x:c r="B70" s="17" t="str">
        <x:v>NG</x:v>
      </x:c>
      <x:c r="C70" s="17" t="str">
        <x:v>H1</x:v>
      </x:c>
      <x:c r="D70" s="11" t="n">
        <x:v>3347</x:v>
      </x:c>
      <x:c r="E70" s="11" t="n">
        <x:v>15496224</x:v>
      </x:c>
      <x:c r="F70" s="11" t="n">
        <x:v>5192754.199999967</x:v>
      </x:c>
      <x:c r="G70" s="11" t="n">
        <x:v>7754527</x:v>
      </x:c>
      <x:c r="H70" s="18" t="n">
        <x:f>F70/E70</x:f>
        <x:v>0.3350980342049758</x:v>
      </x:c>
      <x:c r="I70" s="18" t="n">
        <x:f>G70/E70</x:f>
        <x:v>0.5004139718166181</x:v>
      </x:c>
      <x:c r="J70" s="19" t="n">
        <x:v>0.038839515502916366</x:v>
      </x:c>
      <x:c r="K70" s="19" t="n">
        <x:v>0.08157257442825691</x:v>
      </x:c>
      <x:c r="L70" s="11" t="n">
        <x:v>11</x:v>
      </x:c>
      <x:c r="M70" s="11" t="n">
        <x:v>0</x:v>
      </x:c>
      <x:c r="N70" s="11" t="n">
        <x:v>0</x:v>
      </x:c>
    </x:row>
    <x:row r="71" ht="23" customHeight="1">
      <x:c r="A71" s="17" t="str">
        <x:v>e</x:v>
      </x:c>
      <x:c r="B71" s="17" t="str">
        <x:v>CG</x:v>
      </x:c>
      <x:c r="C71" s="17" t="str">
        <x:v>H0</x:v>
      </x:c>
      <x:c r="D71" s="11" t="n">
        <x:v>3347</x:v>
      </x:c>
      <x:c r="E71" s="11" t="n">
        <x:v>15496224</x:v>
      </x:c>
      <x:c r="F71" s="11" t="n">
        <x:v>4140244.800000011</x:v>
      </x:c>
      <x:c r="G71" s="11" t="n">
        <x:v>7512684</x:v>
      </x:c>
      <x:c r="H71" s="18" t="n">
        <x:f>F71/E71</x:f>
        <x:v>0.26717765566631013</x:v>
      </x:c>
      <x:c r="I71" s="18" t="n">
        <x:f>G71/E71</x:f>
        <x:v>0.4848073956597427</x:v>
      </x:c>
      <x:c r="J71" s="19" t="n">
        <x:v>0.040547503094229734</x:v>
      </x:c>
      <x:c r="K71" s="19" t="n">
        <x:v>0.09270268314327933</x:v>
      </x:c>
      <x:c r="L71" s="11" t="n">
        <x:v>11</x:v>
      </x:c>
      <x:c r="M71" s="11" t="n">
        <x:v>0</x:v>
      </x:c>
      <x:c r="N71" s="11" t="n">
        <x:v>0</x:v>
      </x:c>
    </x:row>
    <x:row r="72" ht="23" customHeight="1">
      <x:c r="A72" s="17" t="str">
        <x:v>e</x:v>
      </x:c>
      <x:c r="B72" s="17" t="str">
        <x:v>CG</x:v>
      </x:c>
      <x:c r="C72" s="17" t="str">
        <x:v>H1</x:v>
      </x:c>
      <x:c r="D72" s="11" t="n">
        <x:v>3347</x:v>
      </x:c>
      <x:c r="E72" s="11" t="n">
        <x:v>15496224</x:v>
      </x:c>
      <x:c r="F72" s="11" t="n">
        <x:v>4163197.5600000136</x:v>
      </x:c>
      <x:c r="G72" s="11" t="n">
        <x:v>7513728</x:v>
      </x:c>
      <x:c r="H72" s="18" t="n">
        <x:f>F72/E72</x:f>
        <x:v>0.26865883972766613</x:v>
      </x:c>
      <x:c r="I72" s="18" t="n">
        <x:f>G72/E72</x:f>
        <x:v>0.48487476691095843</x:v>
      </x:c>
      <x:c r="J72" s="19" t="n">
        <x:v>0.040509153647250884</x:v>
      </x:c>
      <x:c r="K72" s="19" t="n">
        <x:v>0.09269006376974613</x:v>
      </x:c>
      <x:c r="L72" s="11" t="n">
        <x:v>11</x:v>
      </x:c>
      <x:c r="M72" s="11" t="n">
        <x:v>0</x:v>
      </x:c>
      <x:c r="N72" s="11" t="n">
        <x:v>0</x:v>
      </x:c>
    </x:row>
    <x:row r="73" ht="23" customHeight="1">
      <x:c r="A73" s="17" t="str">
        <x:v>e</x:v>
      </x:c>
      <x:c r="B73" s="17" t="str">
        <x:v>NC</x:v>
      </x:c>
      <x:c r="C73" s="17" t="str">
        <x:v>H0</x:v>
      </x:c>
      <x:c r="D73" s="11" t="n">
        <x:v>3347</x:v>
      </x:c>
      <x:c r="E73" s="11" t="n">
        <x:v>15496224</x:v>
      </x:c>
      <x:c r="F73" s="11" t="n">
        <x:v>3991242.0000000056</x:v>
      </x:c>
      <x:c r="G73" s="11" t="n">
        <x:v>7612769</x:v>
      </x:c>
      <x:c r="H73" s="18" t="n">
        <x:f>F73/E73</x:f>
        <x:v>0.2575622293534222</x:v>
      </x:c>
      <x:c r="I73" s="18" t="n">
        <x:f>G73/E73</x:f>
        <x:v>0.4912660658493321</x:v>
      </x:c>
      <x:c r="J73" s="19" t="n">
        <x:v>0.037597774009686266</x:v>
      </x:c>
      <x:c r="K73" s="19" t="n">
        <x:v>0.08164582473319618</x:v>
      </x:c>
      <x:c r="L73" s="11" t="n">
        <x:v>11</x:v>
      </x:c>
      <x:c r="M73" s="11" t="n">
        <x:v>0</x:v>
      </x:c>
      <x:c r="N73" s="11" t="n">
        <x:v>0</x:v>
      </x:c>
    </x:row>
    <x:row r="74" ht="23" customHeight="1">
      <x:c r="A74" s="17" t="str">
        <x:v>e</x:v>
      </x:c>
      <x:c r="B74" s="17" t="str">
        <x:v>NC</x:v>
      </x:c>
      <x:c r="C74" s="17" t="str">
        <x:v>H1</x:v>
      </x:c>
      <x:c r="D74" s="11" t="n">
        <x:v>3347</x:v>
      </x:c>
      <x:c r="E74" s="11" t="n">
        <x:v>15496224</x:v>
      </x:c>
      <x:c r="F74" s="11" t="n">
        <x:v>3993110.000000006</x:v>
      </x:c>
      <x:c r="G74" s="11" t="n">
        <x:v>7612769</x:v>
      </x:c>
      <x:c r="H74" s="18" t="n">
        <x:f>F74/E74</x:f>
        <x:v>0.2576827748488926</x:v>
      </x:c>
      <x:c r="I74" s="18" t="n">
        <x:f>G74/E74</x:f>
        <x:v>0.4912660658493321</x:v>
      </x:c>
      <x:c r="J74" s="19" t="n">
        <x:v>0.037597774009686266</x:v>
      </x:c>
      <x:c r="K74" s="19" t="n">
        <x:v>0.08164582473319618</x:v>
      </x:c>
      <x:c r="L74" s="11" t="n">
        <x:v>11</x:v>
      </x:c>
      <x:c r="M74" s="11" t="n">
        <x:v>0</x:v>
      </x:c>
      <x:c r="N74" s="11" t="n">
        <x:v>0</x:v>
      </x:c>
    </x:row>
    <x:row r="75" ht="23" customHeight="1">
      <x:c r="A75" s="17" t="str">
        <x:v>e</x:v>
      </x:c>
      <x:c r="B75" s="17" t="str">
        <x:v>NCG</x:v>
      </x:c>
      <x:c r="C75" s="17" t="str">
        <x:v>H0</x:v>
      </x:c>
      <x:c r="D75" s="11" t="n">
        <x:v>3347</x:v>
      </x:c>
      <x:c r="E75" s="11" t="n">
        <x:v>15496224</x:v>
      </x:c>
      <x:c r="F75" s="11" t="n">
        <x:v>4980544.679999978</x:v>
      </x:c>
      <x:c r="G75" s="11" t="n">
        <x:v>7617169</x:v>
      </x:c>
      <x:c r="H75" s="18" t="n">
        <x:f>F75/E75</x:f>
        <x:v>0.32140376132921017</x:v>
      </x:c>
      <x:c r="I75" s="18" t="n">
        <x:f>G75/E75</x:f>
        <x:v>0.49155000598855564</x:v>
      </x:c>
      <x:c r="J75" s="19" t="n">
        <x:v>0.03659120374196164</x:v>
      </x:c>
      <x:c r="K75" s="19" t="n">
        <x:v>0.08147133573695829</x:v>
      </x:c>
      <x:c r="L75" s="11" t="n">
        <x:v>11</x:v>
      </x:c>
      <x:c r="M75" s="11" t="n">
        <x:v>0</x:v>
      </x:c>
      <x:c r="N75" s="11" t="n">
        <x:v>0</x:v>
      </x:c>
    </x:row>
    <x:row r="76" ht="23" customHeight="1">
      <x:c r="A76" s="17" t="str">
        <x:v>e</x:v>
      </x:c>
      <x:c r="B76" s="17" t="str">
        <x:v>NCG</x:v>
      </x:c>
      <x:c r="C76" s="17" t="str">
        <x:v>H1</x:v>
      </x:c>
      <x:c r="D76" s="11" t="n">
        <x:v>3347</x:v>
      </x:c>
      <x:c r="E76" s="11" t="n">
        <x:v>15496224</x:v>
      </x:c>
      <x:c r="F76" s="11" t="n">
        <x:v>4996827.279999979</x:v>
      </x:c>
      <x:c r="G76" s="11" t="n">
        <x:v>7618213</x:v>
      </x:c>
      <x:c r="H76" s="18" t="n">
        <x:f>F76/E76</x:f>
        <x:v>0.322454507627147</x:v>
      </x:c>
      <x:c r="I76" s="18" t="n">
        <x:f>G76/E76</x:f>
        <x:v>0.49161737723977145</x:v>
      </x:c>
      <x:c r="J76" s="19" t="n">
        <x:v>0.03655285429498279</x:v>
      </x:c>
      <x:c r="K76" s="19" t="n">
        <x:v>0.0814587163634251</x:v>
      </x:c>
      <x:c r="L76" s="11" t="n">
        <x:v>11</x:v>
      </x:c>
      <x:c r="M76" s="11" t="n">
        <x:v>0</x:v>
      </x:c>
      <x:c r="N76" s="11" t="n">
        <x:v>0</x:v>
      </x:c>
    </x:row>
    <x:row r="77" ht="23" customHeight="1">
      <x:c r="A77" s="17" t="str">
        <x:v>f</x:v>
      </x:c>
      <x:c r="B77" s="17" t="str">
        <x:v>N</x:v>
      </x:c>
      <x:c r="C77" s="17" t="str">
        <x:v>H0</x:v>
      </x:c>
      <x:c r="D77" s="11" t="n">
        <x:v>1480</x:v>
      </x:c>
      <x:c r="E77" s="11" t="n">
        <x:v>2911273</x:v>
      </x:c>
      <x:c r="F77" s="11" t="n">
        <x:v>1285017.7999999882</x:v>
      </x:c>
      <x:c r="G77" s="11" t="n">
        <x:v>2099107</x:v>
      </x:c>
      <x:c r="H77" s="18" t="n">
        <x:f>F77/E77</x:f>
        <x:v>0.44139378203280427</x:v>
      </x:c>
      <x:c r="I77" s="18" t="n">
        <x:f>G77/E77</x:f>
        <x:v>0.7210271932587565</x:v>
      </x:c>
      <x:c r="J77" s="19" t="n">
        <x:v>0.05760289871647412</x:v>
      </x:c>
      <x:c r="K77" s="19" t="n">
        <x:v>0.03772429323824388</x:v>
      </x:c>
      <x:c r="L77" s="11" t="n">
        <x:v>30</x:v>
      </x:c>
      <x:c r="M77" s="11" t="n">
        <x:v>12</x:v>
      </x:c>
      <x:c r="N77" s="11" t="n">
        <x:v>0</x:v>
      </x:c>
    </x:row>
    <x:row r="78" ht="23" customHeight="1">
      <x:c r="A78" s="17" t="str">
        <x:v>f</x:v>
      </x:c>
      <x:c r="B78" s="17" t="str">
        <x:v>N</x:v>
      </x:c>
      <x:c r="C78" s="17" t="str">
        <x:v>H1</x:v>
      </x:c>
      <x:c r="D78" s="11" t="n">
        <x:v>1480</x:v>
      </x:c>
      <x:c r="E78" s="11" t="n">
        <x:v>2911273</x:v>
      </x:c>
      <x:c r="F78" s="11" t="n">
        <x:v>1290735.2399999886</x:v>
      </x:c>
      <x:c r="G78" s="11" t="n">
        <x:v>2099219</x:v>
      </x:c>
      <x:c r="H78" s="18" t="n">
        <x:f>F78/E78</x:f>
        <x:v>0.4433576789260192</x:v>
      </x:c>
      <x:c r="I78" s="18" t="n">
        <x:f>G78/E78</x:f>
        <x:v>0.7210656644017926</x:v>
      </x:c>
      <x:c r="J78" s="19" t="n">
        <x:v>0.05627423039040237</x:v>
      </x:c>
      <x:c r="K78" s="19" t="n">
        <x:v>0.03751946046682657</x:v>
      </x:c>
      <x:c r="L78" s="11" t="n">
        <x:v>30</x:v>
      </x:c>
      <x:c r="M78" s="11" t="n">
        <x:v>12</x:v>
      </x:c>
      <x:c r="N78" s="11" t="n">
        <x:v>0</x:v>
      </x:c>
    </x:row>
    <x:row r="79" ht="23" customHeight="1">
      <x:c r="A79" s="17" t="str">
        <x:v>f</x:v>
      </x:c>
      <x:c r="B79" s="17" t="str">
        <x:v>C</x:v>
      </x:c>
      <x:c r="C79" s="17" t="str">
        <x:v>H0</x:v>
      </x:c>
      <x:c r="D79" s="11" t="n">
        <x:v>1480</x:v>
      </x:c>
      <x:c r="E79" s="11" t="n">
        <x:v>2911273</x:v>
      </x:c>
      <x:c r="F79" s="11" t="n">
        <x:v>267485.56000000023</x:v>
      </x:c>
      <x:c r="G79" s="11" t="n">
        <x:v>2095659</x:v>
      </x:c>
      <x:c r="H79" s="18" t="n">
        <x:f>F79/E79</x:f>
        <x:v>0.09187924320391809</x:v>
      </x:c>
      <x:c r="I79" s="18" t="n">
        <x:f>G79/E79</x:f>
        <x:v>0.7198428316410038</x:v>
      </x:c>
      <x:c r="J79" s="19" t="n">
        <x:v>0.0669619998756338</x:v>
      </x:c>
      <x:c r="K79" s="19" t="n">
        <x:v>0.039278601096267185</x:v>
      </x:c>
      <x:c r="L79" s="11" t="n">
        <x:v>48</x:v>
      </x:c>
      <x:c r="M79" s="11" t="n">
        <x:v>12</x:v>
      </x:c>
      <x:c r="N79" s="11" t="n">
        <x:v>0</x:v>
      </x:c>
    </x:row>
    <x:row r="80" ht="23" customHeight="1">
      <x:c r="A80" s="17" t="str">
        <x:v>f</x:v>
      </x:c>
      <x:c r="B80" s="17" t="str">
        <x:v>C</x:v>
      </x:c>
      <x:c r="C80" s="17" t="str">
        <x:v>H1</x:v>
      </x:c>
      <x:c r="D80" s="11" t="n">
        <x:v>1480</x:v>
      </x:c>
      <x:c r="E80" s="11" t="n">
        <x:v>2911273</x:v>
      </x:c>
      <x:c r="F80" s="11" t="n">
        <x:v>273424.24000000017</x:v>
      </x:c>
      <x:c r="G80" s="11" t="n">
        <x:v>2095907</x:v>
      </x:c>
      <x:c r="H80" s="18" t="n">
        <x:f>F80/E80</x:f>
        <x:v>0.09391913434432297</x:v>
      </x:c>
      <x:c r="I80" s="18" t="n">
        <x:f>G80/E80</x:f>
        <x:v>0.7199280177434407</x:v>
      </x:c>
      <x:c r="J80" s="19" t="n">
        <x:v>0.06582178269753805</x:v>
      </x:c>
      <x:c r="K80" s="19" t="n">
        <x:v>0.039139532336956544</x:v>
      </x:c>
      <x:c r="L80" s="11" t="n">
        <x:v>48</x:v>
      </x:c>
      <x:c r="M80" s="11" t="n">
        <x:v>12</x:v>
      </x:c>
      <x:c r="N80" s="11" t="n">
        <x:v>0</x:v>
      </x:c>
    </x:row>
    <x:row r="81" ht="23" customHeight="1">
      <x:c r="A81" s="17" t="str">
        <x:v>f</x:v>
      </x:c>
      <x:c r="B81" s="17" t="str">
        <x:v>NG</x:v>
      </x:c>
      <x:c r="C81" s="17" t="str">
        <x:v>H0</x:v>
      </x:c>
      <x:c r="D81" s="11" t="n">
        <x:v>1480</x:v>
      </x:c>
      <x:c r="E81" s="11" t="n">
        <x:v>2911273</x:v>
      </x:c>
      <x:c r="F81" s="11" t="n">
        <x:v>1314553.7999999947</x:v>
      </x:c>
      <x:c r="G81" s="11" t="n">
        <x:v>2100551</x:v>
      </x:c>
      <x:c r="H81" s="18" t="n">
        <x:f>F81/E81</x:f>
        <x:v>0.45153917203917143</x:v>
      </x:c>
      <x:c r="I81" s="18" t="n">
        <x:f>G81/E81</x:f>
        <x:v>0.7215231962100428</x:v>
      </x:c>
      <x:c r="J81" s="19" t="n">
        <x:v>0.056809924282143674</x:v>
      </x:c>
      <x:c r="K81" s="19" t="n">
        <x:v>0.03750359290274181</x:v>
      </x:c>
      <x:c r="L81" s="11" t="n">
        <x:v>29</x:v>
      </x:c>
      <x:c r="M81" s="11" t="n">
        <x:v>12</x:v>
      </x:c>
      <x:c r="N81" s="11" t="n">
        <x:v>0</x:v>
      </x:c>
    </x:row>
    <x:row r="82" ht="23" customHeight="1">
      <x:c r="A82" s="17" t="str">
        <x:v>f</x:v>
      </x:c>
      <x:c r="B82" s="17" t="str">
        <x:v>NG</x:v>
      </x:c>
      <x:c r="C82" s="17" t="str">
        <x:v>H1</x:v>
      </x:c>
      <x:c r="D82" s="11" t="n">
        <x:v>1480</x:v>
      </x:c>
      <x:c r="E82" s="11" t="n">
        <x:v>2911273</x:v>
      </x:c>
      <x:c r="F82" s="11" t="n">
        <x:v>1318295.319999996</x:v>
      </x:c>
      <x:c r="G82" s="11" t="n">
        <x:v>2100647</x:v>
      </x:c>
      <x:c r="H82" s="18" t="n">
        <x:f>F82/E82</x:f>
        <x:v>0.45282435553106704</x:v>
      </x:c>
      <x:c r="I82" s="18" t="n">
        <x:f>G82/E82</x:f>
        <x:v>0.7215561714755023</x:v>
      </x:c>
      <x:c r="J82" s="19" t="n">
        <x:v>0.05577054165826061</x:v>
      </x:c>
      <x:c r="K82" s="19" t="n">
        <x:v>0.037385233639467726</x:v>
      </x:c>
      <x:c r="L82" s="11" t="n">
        <x:v>29</x:v>
      </x:c>
      <x:c r="M82" s="11" t="n">
        <x:v>12</x:v>
      </x:c>
      <x:c r="N82" s="11" t="n">
        <x:v>0</x:v>
      </x:c>
    </x:row>
    <x:row r="83" ht="23" customHeight="1">
      <x:c r="A83" s="17" t="str">
        <x:v>f</x:v>
      </x:c>
      <x:c r="B83" s="17" t="str">
        <x:v>CG</x:v>
      </x:c>
      <x:c r="C83" s="17" t="str">
        <x:v>H0</x:v>
      </x:c>
      <x:c r="D83" s="11" t="n">
        <x:v>1480</x:v>
      </x:c>
      <x:c r="E83" s="11" t="n">
        <x:v>2911273</x:v>
      </x:c>
      <x:c r="F83" s="11" t="n">
        <x:v>789924.4399999997</x:v>
      </x:c>
      <x:c r="G83" s="11" t="n">
        <x:v>2097179</x:v>
      </x:c>
      <x:c r="H83" s="18" t="n">
        <x:f>F83/E83</x:f>
        <x:v>0.27133300106173475</x:v>
      </x:c>
      <x:c r="I83" s="18" t="n">
        <x:f>G83/E83</x:f>
        <x:v>0.7203649400107788</x:v>
      </x:c>
      <x:c r="J83" s="19" t="n">
        <x:v>0.06615512296578203</x:v>
      </x:c>
      <x:c r="K83" s="19" t="n">
        <x:v>0.03905531445261578</x:v>
      </x:c>
      <x:c r="L83" s="11" t="n">
        <x:v>45</x:v>
      </x:c>
      <x:c r="M83" s="11" t="n">
        <x:v>12</x:v>
      </x:c>
      <x:c r="N83" s="11" t="n">
        <x:v>0</x:v>
      </x:c>
    </x:row>
    <x:row r="84" ht="23" customHeight="1">
      <x:c r="A84" s="17" t="str">
        <x:v>f</x:v>
      </x:c>
      <x:c r="B84" s="17" t="str">
        <x:v>CG</x:v>
      </x:c>
      <x:c r="C84" s="17" t="str">
        <x:v>H1</x:v>
      </x:c>
      <x:c r="D84" s="11" t="n">
        <x:v>1480</x:v>
      </x:c>
      <x:c r="E84" s="11" t="n">
        <x:v>2911273</x:v>
      </x:c>
      <x:c r="F84" s="11" t="n">
        <x:v>800497.7199999992</x:v>
      </x:c>
      <x:c r="G84" s="11" t="n">
        <x:v>2097337</x:v>
      </x:c>
      <x:c r="H84" s="18" t="n">
        <x:f>F84/E84</x:f>
        <x:v>0.2749648418406653</x:v>
      </x:c>
      <x:c r="I84" s="18" t="n">
        <x:f>G84/E84</x:f>
        <x:v>0.7204192118018475</x:v>
      </x:c>
      <x:c r="J84" s="19" t="n">
        <x:v>0.06504746603520951</x:v>
      </x:c>
      <x:c r="K84" s="19" t="n">
        <x:v>0.038924517676001205</x:v>
      </x:c>
      <x:c r="L84" s="11" t="n">
        <x:v>45</x:v>
      </x:c>
      <x:c r="M84" s="11" t="n">
        <x:v>12</x:v>
      </x:c>
      <x:c r="N84" s="11" t="n">
        <x:v>0</x:v>
      </x:c>
    </x:row>
    <x:row r="85" ht="23" customHeight="1">
      <x:c r="A85" s="17" t="str">
        <x:v>f</x:v>
      </x:c>
      <x:c r="B85" s="17" t="str">
        <x:v>NC</x:v>
      </x:c>
      <x:c r="C85" s="17" t="str">
        <x:v>H0</x:v>
      </x:c>
      <x:c r="D85" s="11" t="n">
        <x:v>1480</x:v>
      </x:c>
      <x:c r="E85" s="11" t="n">
        <x:v>2911273</x:v>
      </x:c>
      <x:c r="F85" s="11" t="n">
        <x:v>930073.1199999999</x:v>
      </x:c>
      <x:c r="G85" s="11" t="n">
        <x:v>2098245</x:v>
      </x:c>
      <x:c r="H85" s="18" t="n">
        <x:f>F85/E85</x:f>
        <x:v>0.3194730002991818</x:v>
      </x:c>
      <x:c r="I85" s="18" t="n">
        <x:f>G85/E85</x:f>
        <x:v>0.7207311028543184</x:v>
      </x:c>
      <x:c r="J85" s="19" t="n">
        <x:v>0.06333767890243958</x:v>
      </x:c>
      <x:c r="K85" s="19" t="n">
        <x:v>0.0387161559227958</x:v>
      </x:c>
      <x:c r="L85" s="11" t="n">
        <x:v>32</x:v>
      </x:c>
      <x:c r="M85" s="11" t="n">
        <x:v>12</x:v>
      </x:c>
      <x:c r="N85" s="11" t="n">
        <x:v>0</x:v>
      </x:c>
    </x:row>
    <x:row r="86" ht="23" customHeight="1">
      <x:c r="A86" s="17" t="str">
        <x:v>f</x:v>
      </x:c>
      <x:c r="B86" s="17" t="str">
        <x:v>NC</x:v>
      </x:c>
      <x:c r="C86" s="17" t="str">
        <x:v>H1</x:v>
      </x:c>
      <x:c r="D86" s="11" t="n">
        <x:v>1480</x:v>
      </x:c>
      <x:c r="E86" s="11" t="n">
        <x:v>2911273</x:v>
      </x:c>
      <x:c r="F86" s="11" t="n">
        <x:v>938015.1600000005</x:v>
      </x:c>
      <x:c r="G86" s="11" t="n">
        <x:v>2098493</x:v>
      </x:c>
      <x:c r="H86" s="18" t="n">
        <x:f>F86/E86</x:f>
        <x:v>0.3222010302709504</x:v>
      </x:c>
      <x:c r="I86" s="18" t="n">
        <x:f>G86/E86</x:f>
        <x:v>0.7208162889567553</x:v>
      </x:c>
      <x:c r="J86" s="19" t="n">
        <x:v>0.06219746172434383</x:v>
      </x:c>
      <x:c r="K86" s="19" t="n">
        <x:v>0.03857708716348516</x:v>
      </x:c>
      <x:c r="L86" s="11" t="n">
        <x:v>32</x:v>
      </x:c>
      <x:c r="M86" s="11" t="n">
        <x:v>12</x:v>
      </x:c>
      <x:c r="N86" s="11" t="n">
        <x:v>0</x:v>
      </x:c>
    </x:row>
    <x:row r="87" ht="23" customHeight="1">
      <x:c r="A87" s="17" t="str">
        <x:v>f</x:v>
      </x:c>
      <x:c r="B87" s="17" t="str">
        <x:v>NCG</x:v>
      </x:c>
      <x:c r="C87" s="17" t="str">
        <x:v>H0</x:v>
      </x:c>
      <x:c r="D87" s="11" t="n">
        <x:v>1480</x:v>
      </x:c>
      <x:c r="E87" s="11" t="n">
        <x:v>2911273</x:v>
      </x:c>
      <x:c r="F87" s="11" t="n">
        <x:v>974671.0800000001</x:v>
      </x:c>
      <x:c r="G87" s="11" t="n">
        <x:v>2099755</x:v>
      </x:c>
      <x:c r="H87" s="18" t="n">
        <x:f>F87/E87</x:f>
        <x:v>0.3347920583195049</x:v>
      </x:c>
      <x:c r="I87" s="18" t="n">
        <x:f>G87/E87</x:f>
        <x:v>0.721249776300608</x:v>
      </x:c>
      <x:c r="J87" s="19" t="n">
        <x:v>0.06255239713824574</x:v>
      </x:c>
      <x:c r="K87" s="19" t="n">
        <x:v>0.03849569661499447</x:v>
      </x:c>
      <x:c r="L87" s="11" t="n">
        <x:v>29</x:v>
      </x:c>
      <x:c r="M87" s="11" t="n">
        <x:v>12</x:v>
      </x:c>
      <x:c r="N87" s="11" t="n">
        <x:v>0</x:v>
      </x:c>
    </x:row>
    <x:row r="88" ht="23" customHeight="1">
      <x:c r="A88" s="17" t="str">
        <x:v>f</x:v>
      </x:c>
      <x:c r="B88" s="17" t="str">
        <x:v>NCG</x:v>
      </x:c>
      <x:c r="C88" s="17" t="str">
        <x:v>H1</x:v>
      </x:c>
      <x:c r="D88" s="11" t="n">
        <x:v>1480</x:v>
      </x:c>
      <x:c r="E88" s="11" t="n">
        <x:v>2911273</x:v>
      </x:c>
      <x:c r="F88" s="11" t="n">
        <x:v>983551.2399999993</x:v>
      </x:c>
      <x:c r="G88" s="11" t="n">
        <x:v>2099913</x:v>
      </x:c>
      <x:c r="H88" s="18" t="n">
        <x:f>F88/E88</x:f>
        <x:v>0.3378423253332818</x:v>
      </x:c>
      <x:c r="I88" s="18" t="n">
        <x:f>G88/E88</x:f>
        <x:v>0.7213040480916767</x:v>
      </x:c>
      <x:c r="J88" s="19" t="n">
        <x:v>0.061444740207673196</x:v>
      </x:c>
      <x:c r="K88" s="19" t="n">
        <x:v>0.0383648998383799</x:v>
      </x:c>
      <x:c r="L88" s="11" t="n">
        <x:v>29</x:v>
      </x:c>
      <x:c r="M88" s="11" t="n">
        <x:v>12</x:v>
      </x:c>
      <x:c r="N88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672353703846f3"/>
  </x:tableParts>
</x:worksheet>
</file>

<file path=xl/worksheets/sheet8.xml><?xml version="1.0" encoding="utf-8"?>
<x:worksheet xmlns:x="http://schemas.openxmlformats.org/spreadsheetml/2006/main">
  <x:sheetPr>
    <x:tabColor rgb="FFA9B4C2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32" customHeight="1">
      <x:c r="A2" s="3" t="str">
        <x:v>主72组统计计数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3" customHeight="1">
      <x:c r="A3" s="4" t="str">
        <x:v>来源：main_72_comparison.csv。分支关闭时的诊断计数为不适用，不填零。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 ht="34" customHeight="1">
      <x:c r="A4" s="8" t="str">
        <x:v>模型</x:v>
      </x:c>
      <x:c r="B4" s="8" t="str">
        <x:v>配置</x:v>
      </x:c>
      <x:c r="C4" s="8" t="str">
        <x:v>节点数</x:v>
      </x:c>
      <x:c r="D4" s="8" t="str">
        <x:v>源三角形数</x:v>
      </x:c>
      <x:c r="E4" s="8" t="str">
        <x:v>P1节点数</x:v>
      </x:c>
      <x:c r="F4" s="8" t="str">
        <x:v>P2节点数</x:v>
      </x:c>
      <x:c r="G4" s="8" t="str">
        <x:v>P3节点数</x:v>
      </x:c>
      <x:c r="H4" s="8" t="str">
        <x:v>P4节点数</x:v>
      </x:c>
      <x:c r="I4" s="8" t="str">
        <x:v>P5节点数</x:v>
      </x:c>
      <x:c r="J4" s="8" t="str">
        <x:v>P6节点数</x:v>
      </x:c>
      <x:c r="K4" s="8" t="str">
        <x:v>P7节点数</x:v>
      </x:c>
      <x:c r="L4" s="8" t="str">
        <x:v>P8节点数</x:v>
      </x:c>
      <x:c r="M4" s="8" t="str">
        <x:v>P9节点数</x:v>
      </x:c>
      <x:c r="N4" s="8" t="str">
        <x:v>P10节点数</x:v>
      </x:c>
      <x:c r="O4" s="8" t="str">
        <x:v>P1源三角形数</x:v>
      </x:c>
      <x:c r="P4" s="8" t="str">
        <x:v>P2源三角形数</x:v>
      </x:c>
      <x:c r="Q4" s="8" t="str">
        <x:v>P3源三角形数</x:v>
      </x:c>
      <x:c r="R4" s="8" t="str">
        <x:v>P4源三角形数</x:v>
      </x:c>
      <x:c r="S4" s="8" t="str">
        <x:v>P5源三角形数</x:v>
      </x:c>
      <x:c r="T4" s="8" t="str">
        <x:v>P6源三角形数</x:v>
      </x:c>
      <x:c r="U4" s="8" t="str">
        <x:v>P7源三角形数</x:v>
      </x:c>
      <x:c r="V4" s="8" t="str">
        <x:v>P8源三角形数</x:v>
      </x:c>
      <x:c r="W4" s="8" t="str">
        <x:v>P9源三角形数</x:v>
      </x:c>
      <x:c r="X4" s="8" t="str">
        <x:v>P10源三角形数</x:v>
      </x:c>
      <x:c r="Y4" s="8" t="str">
        <x:v>无对象级输出</x:v>
      </x:c>
      <x:c r="Z4" s="8" t="str">
        <x:v>功能未知</x:v>
      </x:c>
      <x:c r="AA4" s="8" t="str">
        <x:v>N/C冲突</x:v>
      </x:c>
      <x:c r="AB4" s="8" t="str">
        <x:v>几何类型冲突</x:v>
      </x:c>
      <x:c r="AC4" s="8" t="str">
        <x:v>需复核</x:v>
      </x:c>
      <x:c r="AD4" s="8" t="str">
        <x:v>N未可靠</x:v>
      </x:c>
      <x:c r="AE4" s="8" t="str">
        <x:v>C无对象输出</x:v>
      </x:c>
      <x:c r="AF4" s="8" t="str">
        <x:v>名称参考数</x:v>
      </x:c>
      <x:c r="AG4" s="8" t="str">
        <x:v>参考中覆盖数</x:v>
      </x:c>
      <x:c r="AH4" s="8" t="str">
        <x:v>参考中一致数</x:v>
      </x:c>
    </x:row>
    <x:row r="5" ht="23" customHeight="1">
      <x:c r="A5" s="12" t="str">
        <x:v>a</x:v>
      </x:c>
      <x:c r="B5" s="12" t="str">
        <x:v>N_H0</x:v>
      </x:c>
      <x:c r="C5" s="13" t="n">
        <x:v>1778</x:v>
      </x:c>
      <x:c r="D5" s="11" t="n">
        <x:v>5469879</x:v>
      </x:c>
      <x:c r="E5" s="11" t="n">
        <x:v>0</x:v>
      </x:c>
      <x:c r="F5" s="11" t="n">
        <x:v>246</x:v>
      </x:c>
      <x:c r="G5" s="11" t="n">
        <x:v>0</x:v>
      </x:c>
      <x:c r="H5" s="11" t="n">
        <x:v>0</x:v>
      </x:c>
      <x:c r="I5" s="11" t="n">
        <x:v>1122</x:v>
      </x:c>
      <x:c r="J5" s="11" t="n">
        <x:v>7</x:v>
      </x:c>
      <x:c r="K5" s="11" t="n">
        <x:v>326</x:v>
      </x:c>
      <x:c r="L5" s="11" t="n">
        <x:v>23</x:v>
      </x:c>
      <x:c r="M5" s="11" t="n">
        <x:v>54</x:v>
      </x:c>
      <x:c r="N5" s="11" t="n">
        <x:v>0</x:v>
      </x:c>
      <x:c r="O5" s="11" t="n">
        <x:v>0</x:v>
      </x:c>
      <x:c r="P5" s="11" t="n">
        <x:v>173030</x:v>
      </x:c>
      <x:c r="Q5" s="11" t="n">
        <x:v>0</x:v>
      </x:c>
      <x:c r="R5" s="11" t="n">
        <x:v>0</x:v>
      </x:c>
      <x:c r="S5" s="11" t="n">
        <x:v>2185705</x:v>
      </x:c>
      <x:c r="T5" s="11" t="n">
        <x:v>13280</x:v>
      </x:c>
      <x:c r="U5" s="11" t="n">
        <x:v>2836250</x:v>
      </x:c>
      <x:c r="V5" s="11" t="n">
        <x:v>78590</x:v>
      </x:c>
      <x:c r="W5" s="11" t="n">
        <x:v>183024</x:v>
      </x:c>
      <x:c r="X5" s="11" t="n">
        <x:v>0</x:v>
      </x:c>
      <x:c r="Y5" s="11" t="n">
        <x:v>1136</x:v>
      </x:c>
      <x:c r="Z5" s="11" t="n">
        <x:v>1345</x:v>
      </x:c>
      <x:c r="AA5" s="11" t="n">
        <x:v>0</x:v>
      </x:c>
      <x:c r="AB5" s="11" t="n">
        <x:v>0</x:v>
      </x:c>
      <x:c r="AC5" s="11" t="n">
        <x:v>1136</x:v>
      </x:c>
      <x:c r="AD5" s="11" t="n">
        <x:v>1136</x:v>
      </x:c>
      <x:c r="AE5" s="11" t="str">
        <x:v>n.a.</x:v>
      </x:c>
      <x:c r="AF5" s="11" t="n">
        <x:v>0</x:v>
      </x:c>
      <x:c r="AG5" s="11" t="n">
        <x:v>0</x:v>
      </x:c>
      <x:c r="AH5" s="11" t="n">
        <x:v>0</x:v>
      </x:c>
    </x:row>
    <x:row r="6" ht="23" customHeight="1">
      <x:c r="A6" s="12" t="str">
        <x:v>a</x:v>
      </x:c>
      <x:c r="B6" s="12" t="str">
        <x:v>N_H1</x:v>
      </x:c>
      <x:c r="C6" s="13" t="n">
        <x:v>1778</x:v>
      </x:c>
      <x:c r="D6" s="11" t="n">
        <x:v>5469879</x:v>
      </x:c>
      <x:c r="E6" s="11" t="n">
        <x:v>0</x:v>
      </x:c>
      <x:c r="F6" s="11" t="n">
        <x:v>246</x:v>
      </x:c>
      <x:c r="G6" s="11" t="n">
        <x:v>0</x:v>
      </x:c>
      <x:c r="H6" s="11" t="n">
        <x:v>0</x:v>
      </x:c>
      <x:c r="I6" s="11" t="n">
        <x:v>1122</x:v>
      </x:c>
      <x:c r="J6" s="11" t="n">
        <x:v>7</x:v>
      </x:c>
      <x:c r="K6" s="11" t="n">
        <x:v>326</x:v>
      </x:c>
      <x:c r="L6" s="11" t="n">
        <x:v>23</x:v>
      </x:c>
      <x:c r="M6" s="11" t="n">
        <x:v>54</x:v>
      </x:c>
      <x:c r="N6" s="11" t="n">
        <x:v>0</x:v>
      </x:c>
      <x:c r="O6" s="11" t="n">
        <x:v>0</x:v>
      </x:c>
      <x:c r="P6" s="11" t="n">
        <x:v>173030</x:v>
      </x:c>
      <x:c r="Q6" s="11" t="n">
        <x:v>0</x:v>
      </x:c>
      <x:c r="R6" s="11" t="n">
        <x:v>0</x:v>
      </x:c>
      <x:c r="S6" s="11" t="n">
        <x:v>2185705</x:v>
      </x:c>
      <x:c r="T6" s="11" t="n">
        <x:v>13280</x:v>
      </x:c>
      <x:c r="U6" s="11" t="n">
        <x:v>2836250</x:v>
      </x:c>
      <x:c r="V6" s="11" t="n">
        <x:v>78590</x:v>
      </x:c>
      <x:c r="W6" s="11" t="n">
        <x:v>183024</x:v>
      </x:c>
      <x:c r="X6" s="11" t="n">
        <x:v>0</x:v>
      </x:c>
      <x:c r="Y6" s="11" t="n">
        <x:v>1136</x:v>
      </x:c>
      <x:c r="Z6" s="11" t="n">
        <x:v>1345</x:v>
      </x:c>
      <x:c r="AA6" s="11" t="n">
        <x:v>0</x:v>
      </x:c>
      <x:c r="AB6" s="11" t="n">
        <x:v>0</x:v>
      </x:c>
      <x:c r="AC6" s="11" t="n">
        <x:v>1136</x:v>
      </x:c>
      <x:c r="AD6" s="11" t="n">
        <x:v>1136</x:v>
      </x:c>
      <x:c r="AE6" s="11" t="str">
        <x:v>n.a.</x:v>
      </x:c>
      <x:c r="AF6" s="11" t="n">
        <x:v>0</x:v>
      </x:c>
      <x:c r="AG6" s="11" t="n">
        <x:v>0</x:v>
      </x:c>
      <x:c r="AH6" s="11" t="n">
        <x:v>0</x:v>
      </x:c>
    </x:row>
    <x:row r="7" ht="23" customHeight="1">
      <x:c r="A7" s="12" t="str">
        <x:v>a</x:v>
      </x:c>
      <x:c r="B7" s="12" t="str">
        <x:v>C_H0</x:v>
      </x:c>
      <x:c r="C7" s="13" t="n">
        <x:v>1778</x:v>
      </x:c>
      <x:c r="D7" s="11" t="n">
        <x:v>5469879</x:v>
      </x:c>
      <x:c r="E7" s="11" t="n">
        <x:v>0</x:v>
      </x:c>
      <x:c r="F7" s="11" t="n">
        <x:v>682</x:v>
      </x:c>
      <x:c r="G7" s="11" t="n">
        <x:v>0</x:v>
      </x:c>
      <x:c r="H7" s="11" t="n">
        <x:v>0</x:v>
      </x:c>
      <x:c r="I7" s="11" t="n">
        <x:v>1074</x:v>
      </x:c>
      <x:c r="J7" s="11" t="n">
        <x:v>0</x:v>
      </x:c>
      <x:c r="K7" s="11" t="n">
        <x:v>0</x:v>
      </x:c>
      <x:c r="L7" s="11" t="n">
        <x:v>0</x:v>
      </x:c>
      <x:c r="M7" s="11" t="n">
        <x:v>22</x:v>
      </x:c>
      <x:c r="N7" s="11" t="n">
        <x:v>0</x:v>
      </x:c>
      <x:c r="O7" s="11" t="n">
        <x:v>0</x:v>
      </x:c>
      <x:c r="P7" s="11" t="n">
        <x:v>927706</x:v>
      </x:c>
      <x:c r="Q7" s="11" t="n">
        <x:v>0</x:v>
      </x:c>
      <x:c r="R7" s="11" t="n">
        <x:v>0</x:v>
      </x:c>
      <x:c r="S7" s="11" t="n">
        <x:v>4533329</x:v>
      </x:c>
      <x:c r="T7" s="11" t="n">
        <x:v>0</x:v>
      </x:c>
      <x:c r="U7" s="11" t="n">
        <x:v>0</x:v>
      </x:c>
      <x:c r="V7" s="11" t="n">
        <x:v>0</x:v>
      </x:c>
      <x:c r="W7" s="11" t="n">
        <x:v>8844</x:v>
      </x:c>
      <x:c r="X7" s="11" t="n">
        <x:v>0</x:v>
      </x:c>
      <x:c r="Y7" s="11" t="n">
        <x:v>1074</x:v>
      </x:c>
      <x:c r="Z7" s="11" t="n">
        <x:v>1074</x:v>
      </x:c>
      <x:c r="AA7" s="11" t="n">
        <x:v>0</x:v>
      </x:c>
      <x:c r="AB7" s="11" t="n">
        <x:v>0</x:v>
      </x:c>
      <x:c r="AC7" s="11" t="n">
        <x:v>869</x:v>
      </x:c>
      <x:c r="AD7" s="11" t="str">
        <x:v>n.a.</x:v>
      </x:c>
      <x:c r="AE7" s="11" t="n">
        <x:v>1074</x:v>
      </x:c>
      <x:c r="AF7" s="11" t="n">
        <x:v>0</x:v>
      </x:c>
      <x:c r="AG7" s="11" t="n">
        <x:v>0</x:v>
      </x:c>
      <x:c r="AH7" s="11" t="n">
        <x:v>0</x:v>
      </x:c>
    </x:row>
    <x:row r="8" ht="23" customHeight="1">
      <x:c r="A8" s="12" t="str">
        <x:v>a</x:v>
      </x:c>
      <x:c r="B8" s="12" t="str">
        <x:v>C_H1</x:v>
      </x:c>
      <x:c r="C8" s="13" t="n">
        <x:v>1778</x:v>
      </x:c>
      <x:c r="D8" s="11" t="n">
        <x:v>5469879</x:v>
      </x:c>
      <x:c r="E8" s="11" t="n">
        <x:v>0</x:v>
      </x:c>
      <x:c r="F8" s="11" t="n">
        <x:v>682</x:v>
      </x:c>
      <x:c r="G8" s="11" t="n">
        <x:v>0</x:v>
      </x:c>
      <x:c r="H8" s="11" t="n">
        <x:v>0</x:v>
      </x:c>
      <x:c r="I8" s="11" t="n">
        <x:v>1074</x:v>
      </x:c>
      <x:c r="J8" s="11" t="n">
        <x:v>0</x:v>
      </x:c>
      <x:c r="K8" s="11" t="n">
        <x:v>0</x:v>
      </x:c>
      <x:c r="L8" s="11" t="n">
        <x:v>0</x:v>
      </x:c>
      <x:c r="M8" s="11" t="n">
        <x:v>22</x:v>
      </x:c>
      <x:c r="N8" s="11" t="n">
        <x:v>0</x:v>
      </x:c>
      <x:c r="O8" s="11" t="n">
        <x:v>0</x:v>
      </x:c>
      <x:c r="P8" s="11" t="n">
        <x:v>927706</x:v>
      </x:c>
      <x:c r="Q8" s="11" t="n">
        <x:v>0</x:v>
      </x:c>
      <x:c r="R8" s="11" t="n">
        <x:v>0</x:v>
      </x:c>
      <x:c r="S8" s="11" t="n">
        <x:v>4533329</x:v>
      </x:c>
      <x:c r="T8" s="11" t="n">
        <x:v>0</x:v>
      </x:c>
      <x:c r="U8" s="11" t="n">
        <x:v>0</x:v>
      </x:c>
      <x:c r="V8" s="11" t="n">
        <x:v>0</x:v>
      </x:c>
      <x:c r="W8" s="11" t="n">
        <x:v>8844</x:v>
      </x:c>
      <x:c r="X8" s="11" t="n">
        <x:v>0</x:v>
      </x:c>
      <x:c r="Y8" s="11" t="n">
        <x:v>1074</x:v>
      </x:c>
      <x:c r="Z8" s="11" t="n">
        <x:v>1074</x:v>
      </x:c>
      <x:c r="AA8" s="11" t="n">
        <x:v>0</x:v>
      </x:c>
      <x:c r="AB8" s="11" t="n">
        <x:v>0</x:v>
      </x:c>
      <x:c r="AC8" s="11" t="n">
        <x:v>869</x:v>
      </x:c>
      <x:c r="AD8" s="11" t="str">
        <x:v>n.a.</x:v>
      </x:c>
      <x:c r="AE8" s="11" t="n">
        <x:v>1074</x:v>
      </x:c>
      <x:c r="AF8" s="11" t="n">
        <x:v>0</x:v>
      </x:c>
      <x:c r="AG8" s="11" t="n">
        <x:v>0</x:v>
      </x:c>
      <x:c r="AH8" s="11" t="n">
        <x:v>0</x:v>
      </x:c>
    </x:row>
    <x:row r="9" ht="23" customHeight="1">
      <x:c r="A9" s="12" t="str">
        <x:v>a</x:v>
      </x:c>
      <x:c r="B9" s="12" t="str">
        <x:v>NG_H0</x:v>
      </x:c>
      <x:c r="C9" s="13" t="n">
        <x:v>1778</x:v>
      </x:c>
      <x:c r="D9" s="11" t="n">
        <x:v>5469879</x:v>
      </x:c>
      <x:c r="E9" s="11" t="n">
        <x:v>0</x:v>
      </x:c>
      <x:c r="F9" s="11" t="n">
        <x:v>188</x:v>
      </x:c>
      <x:c r="G9" s="11" t="n">
        <x:v>0</x:v>
      </x:c>
      <x:c r="H9" s="11" t="n">
        <x:v>0</x:v>
      </x:c>
      <x:c r="I9" s="11" t="n">
        <x:v>545</x:v>
      </x:c>
      <x:c r="J9" s="11" t="n">
        <x:v>642</x:v>
      </x:c>
      <x:c r="K9" s="11" t="n">
        <x:v>326</x:v>
      </x:c>
      <x:c r="L9" s="11" t="n">
        <x:v>23</x:v>
      </x:c>
      <x:c r="M9" s="11" t="n">
        <x:v>54</x:v>
      </x:c>
      <x:c r="N9" s="11" t="n">
        <x:v>0</x:v>
      </x:c>
      <x:c r="O9" s="11" t="n">
        <x:v>0</x:v>
      </x:c>
      <x:c r="P9" s="11" t="n">
        <x:v>98468</x:v>
      </x:c>
      <x:c r="Q9" s="11" t="n">
        <x:v>0</x:v>
      </x:c>
      <x:c r="R9" s="11" t="n">
        <x:v>0</x:v>
      </x:c>
      <x:c r="S9" s="11" t="n">
        <x:v>596696</x:v>
      </x:c>
      <x:c r="T9" s="11" t="n">
        <x:v>1676851</x:v>
      </x:c>
      <x:c r="U9" s="11" t="n">
        <x:v>2836250</x:v>
      </x:c>
      <x:c r="V9" s="11" t="n">
        <x:v>78590</x:v>
      </x:c>
      <x:c r="W9" s="11" t="n">
        <x:v>183024</x:v>
      </x:c>
      <x:c r="X9" s="11" t="n">
        <x:v>0</x:v>
      </x:c>
      <x:c r="Y9" s="11" t="n">
        <x:v>1136</x:v>
      </x:c>
      <x:c r="Z9" s="11" t="n">
        <x:v>1345</x:v>
      </x:c>
      <x:c r="AA9" s="11" t="n">
        <x:v>0</x:v>
      </x:c>
      <x:c r="AB9" s="11" t="n">
        <x:v>0</x:v>
      </x:c>
      <x:c r="AC9" s="11" t="n">
        <x:v>1136</x:v>
      </x:c>
      <x:c r="AD9" s="11" t="n">
        <x:v>1136</x:v>
      </x:c>
      <x:c r="AE9" s="11" t="str">
        <x:v>n.a.</x:v>
      </x:c>
      <x:c r="AF9" s="11" t="n">
        <x:v>0</x:v>
      </x:c>
      <x:c r="AG9" s="11" t="n">
        <x:v>0</x:v>
      </x:c>
      <x:c r="AH9" s="11" t="n">
        <x:v>0</x:v>
      </x:c>
    </x:row>
    <x:row r="10" ht="23" customHeight="1">
      <x:c r="A10" s="12" t="str">
        <x:v>a</x:v>
      </x:c>
      <x:c r="B10" s="12" t="str">
        <x:v>NG_H1</x:v>
      </x:c>
      <x:c r="C10" s="13" t="n">
        <x:v>1778</x:v>
      </x:c>
      <x:c r="D10" s="11" t="n">
        <x:v>5469879</x:v>
      </x:c>
      <x:c r="E10" s="11" t="n">
        <x:v>0</x:v>
      </x:c>
      <x:c r="F10" s="11" t="n">
        <x:v>188</x:v>
      </x:c>
      <x:c r="G10" s="11" t="n">
        <x:v>0</x:v>
      </x:c>
      <x:c r="H10" s="11" t="n">
        <x:v>0</x:v>
      </x:c>
      <x:c r="I10" s="11" t="n">
        <x:v>545</x:v>
      </x:c>
      <x:c r="J10" s="11" t="n">
        <x:v>642</x:v>
      </x:c>
      <x:c r="K10" s="11" t="n">
        <x:v>326</x:v>
      </x:c>
      <x:c r="L10" s="11" t="n">
        <x:v>23</x:v>
      </x:c>
      <x:c r="M10" s="11" t="n">
        <x:v>54</x:v>
      </x:c>
      <x:c r="N10" s="11" t="n">
        <x:v>0</x:v>
      </x:c>
      <x:c r="O10" s="11" t="n">
        <x:v>0</x:v>
      </x:c>
      <x:c r="P10" s="11" t="n">
        <x:v>98468</x:v>
      </x:c>
      <x:c r="Q10" s="11" t="n">
        <x:v>0</x:v>
      </x:c>
      <x:c r="R10" s="11" t="n">
        <x:v>0</x:v>
      </x:c>
      <x:c r="S10" s="11" t="n">
        <x:v>596696</x:v>
      </x:c>
      <x:c r="T10" s="11" t="n">
        <x:v>1676851</x:v>
      </x:c>
      <x:c r="U10" s="11" t="n">
        <x:v>2836250</x:v>
      </x:c>
      <x:c r="V10" s="11" t="n">
        <x:v>78590</x:v>
      </x:c>
      <x:c r="W10" s="11" t="n">
        <x:v>183024</x:v>
      </x:c>
      <x:c r="X10" s="11" t="n">
        <x:v>0</x:v>
      </x:c>
      <x:c r="Y10" s="11" t="n">
        <x:v>1136</x:v>
      </x:c>
      <x:c r="Z10" s="11" t="n">
        <x:v>1345</x:v>
      </x:c>
      <x:c r="AA10" s="11" t="n">
        <x:v>0</x:v>
      </x:c>
      <x:c r="AB10" s="11" t="n">
        <x:v>0</x:v>
      </x:c>
      <x:c r="AC10" s="11" t="n">
        <x:v>1136</x:v>
      </x:c>
      <x:c r="AD10" s="11" t="n">
        <x:v>1136</x:v>
      </x:c>
      <x:c r="AE10" s="11" t="str">
        <x:v>n.a.</x:v>
      </x:c>
      <x:c r="AF10" s="11" t="n">
        <x:v>0</x:v>
      </x:c>
      <x:c r="AG10" s="11" t="n">
        <x:v>0</x:v>
      </x:c>
      <x:c r="AH10" s="11" t="n">
        <x:v>0</x:v>
      </x:c>
    </x:row>
    <x:row r="11" ht="23" customHeight="1">
      <x:c r="A11" s="12" t="str">
        <x:v>a</x:v>
      </x:c>
      <x:c r="B11" s="12" t="str">
        <x:v>CG_H0</x:v>
      </x:c>
      <x:c r="C11" s="13" t="n">
        <x:v>1778</x:v>
      </x:c>
      <x:c r="D11" s="11" t="n">
        <x:v>5469879</x:v>
      </x:c>
      <x:c r="E11" s="11" t="n">
        <x:v>0</x:v>
      </x:c>
      <x:c r="F11" s="11" t="n">
        <x:v>245</x:v>
      </x:c>
      <x:c r="G11" s="11" t="n">
        <x:v>0</x:v>
      </x:c>
      <x:c r="H11" s="11" t="n">
        <x:v>0</x:v>
      </x:c>
      <x:c r="I11" s="11" t="n">
        <x:v>684</x:v>
      </x:c>
      <x:c r="J11" s="11" t="n">
        <x:v>827</x:v>
      </x:c>
      <x:c r="K11" s="11" t="n">
        <x:v>0</x:v>
      </x:c>
      <x:c r="L11" s="11" t="n">
        <x:v>0</x:v>
      </x:c>
      <x:c r="M11" s="11" t="n">
        <x:v>22</x:v>
      </x:c>
      <x:c r="N11" s="11" t="n">
        <x:v>0</x:v>
      </x:c>
      <x:c r="O11" s="11" t="n">
        <x:v>0</x:v>
      </x:c>
      <x:c r="P11" s="11" t="n">
        <x:v>208060</x:v>
      </x:c>
      <x:c r="Q11" s="11" t="n">
        <x:v>0</x:v>
      </x:c>
      <x:c r="R11" s="11" t="n">
        <x:v>0</x:v>
      </x:c>
      <x:c r="S11" s="11" t="n">
        <x:v>730038</x:v>
      </x:c>
      <x:c r="T11" s="11" t="n">
        <x:v>4522937</x:v>
      </x:c>
      <x:c r="U11" s="11" t="n">
        <x:v>0</x:v>
      </x:c>
      <x:c r="V11" s="11" t="n">
        <x:v>0</x:v>
      </x:c>
      <x:c r="W11" s="11" t="n">
        <x:v>8844</x:v>
      </x:c>
      <x:c r="X11" s="11" t="n">
        <x:v>0</x:v>
      </x:c>
      <x:c r="Y11" s="11" t="n">
        <x:v>1076</x:v>
      </x:c>
      <x:c r="Z11" s="11" t="n">
        <x:v>1076</x:v>
      </x:c>
      <x:c r="AA11" s="11" t="n">
        <x:v>0</x:v>
      </x:c>
      <x:c r="AB11" s="11" t="n">
        <x:v>2</x:v>
      </x:c>
      <x:c r="AC11" s="11" t="n">
        <x:v>871</x:v>
      </x:c>
      <x:c r="AD11" s="11" t="str">
        <x:v>n.a.</x:v>
      </x:c>
      <x:c r="AE11" s="11" t="n">
        <x:v>1074</x:v>
      </x:c>
      <x:c r="AF11" s="11" t="n">
        <x:v>0</x:v>
      </x:c>
      <x:c r="AG11" s="11" t="n">
        <x:v>0</x:v>
      </x:c>
      <x:c r="AH11" s="11" t="n">
        <x:v>0</x:v>
      </x:c>
    </x:row>
    <x:row r="12" ht="23" customHeight="1">
      <x:c r="A12" s="12" t="str">
        <x:v>a</x:v>
      </x:c>
      <x:c r="B12" s="12" t="str">
        <x:v>CG_H1</x:v>
      </x:c>
      <x:c r="C12" s="13" t="n">
        <x:v>1778</x:v>
      </x:c>
      <x:c r="D12" s="11" t="n">
        <x:v>5469879</x:v>
      </x:c>
      <x:c r="E12" s="11" t="n">
        <x:v>0</x:v>
      </x:c>
      <x:c r="F12" s="11" t="n">
        <x:v>245</x:v>
      </x:c>
      <x:c r="G12" s="11" t="n">
        <x:v>0</x:v>
      </x:c>
      <x:c r="H12" s="11" t="n">
        <x:v>0</x:v>
      </x:c>
      <x:c r="I12" s="11" t="n">
        <x:v>684</x:v>
      </x:c>
      <x:c r="J12" s="11" t="n">
        <x:v>827</x:v>
      </x:c>
      <x:c r="K12" s="11" t="n">
        <x:v>0</x:v>
      </x:c>
      <x:c r="L12" s="11" t="n">
        <x:v>0</x:v>
      </x:c>
      <x:c r="M12" s="11" t="n">
        <x:v>22</x:v>
      </x:c>
      <x:c r="N12" s="11" t="n">
        <x:v>0</x:v>
      </x:c>
      <x:c r="O12" s="11" t="n">
        <x:v>0</x:v>
      </x:c>
      <x:c r="P12" s="11" t="n">
        <x:v>208060</x:v>
      </x:c>
      <x:c r="Q12" s="11" t="n">
        <x:v>0</x:v>
      </x:c>
      <x:c r="R12" s="11" t="n">
        <x:v>0</x:v>
      </x:c>
      <x:c r="S12" s="11" t="n">
        <x:v>730038</x:v>
      </x:c>
      <x:c r="T12" s="11" t="n">
        <x:v>4522937</x:v>
      </x:c>
      <x:c r="U12" s="11" t="n">
        <x:v>0</x:v>
      </x:c>
      <x:c r="V12" s="11" t="n">
        <x:v>0</x:v>
      </x:c>
      <x:c r="W12" s="11" t="n">
        <x:v>8844</x:v>
      </x:c>
      <x:c r="X12" s="11" t="n">
        <x:v>0</x:v>
      </x:c>
      <x:c r="Y12" s="11" t="n">
        <x:v>1076</x:v>
      </x:c>
      <x:c r="Z12" s="11" t="n">
        <x:v>1076</x:v>
      </x:c>
      <x:c r="AA12" s="11" t="n">
        <x:v>0</x:v>
      </x:c>
      <x:c r="AB12" s="11" t="n">
        <x:v>2</x:v>
      </x:c>
      <x:c r="AC12" s="11" t="n">
        <x:v>871</x:v>
      </x:c>
      <x:c r="AD12" s="11" t="str">
        <x:v>n.a.</x:v>
      </x:c>
      <x:c r="AE12" s="11" t="n">
        <x:v>1074</x:v>
      </x:c>
      <x:c r="AF12" s="11" t="n">
        <x:v>0</x:v>
      </x:c>
      <x:c r="AG12" s="11" t="n">
        <x:v>0</x:v>
      </x:c>
      <x:c r="AH12" s="11" t="n">
        <x:v>0</x:v>
      </x:c>
    </x:row>
    <x:row r="13" ht="23" customHeight="1">
      <x:c r="A13" s="12" t="str">
        <x:v>a</x:v>
      </x:c>
      <x:c r="B13" s="12" t="str">
        <x:v>NC_H0</x:v>
      </x:c>
      <x:c r="C13" s="13" t="n">
        <x:v>1778</x:v>
      </x:c>
      <x:c r="D13" s="11" t="n">
        <x:v>5469879</x:v>
      </x:c>
      <x:c r="E13" s="11" t="n">
        <x:v>0</x:v>
      </x:c>
      <x:c r="F13" s="11" t="n">
        <x:v>575</x:v>
      </x:c>
      <x:c r="G13" s="11" t="n">
        <x:v>0</x:v>
      </x:c>
      <x:c r="H13" s="11" t="n">
        <x:v>0</x:v>
      </x:c>
      <x:c r="I13" s="11" t="n">
        <x:v>799</x:v>
      </x:c>
      <x:c r="J13" s="11" t="n">
        <x:v>0</x:v>
      </x:c>
      <x:c r="K13" s="11" t="n">
        <x:v>338</x:v>
      </x:c>
      <x:c r="L13" s="11" t="n">
        <x:v>19</x:v>
      </x:c>
      <x:c r="M13" s="11" t="n">
        <x:v>47</x:v>
      </x:c>
      <x:c r="N13" s="11" t="n">
        <x:v>0</x:v>
      </x:c>
      <x:c r="O13" s="11" t="n">
        <x:v>0</x:v>
      </x:c>
      <x:c r="P13" s="11" t="n">
        <x:v>829182</x:v>
      </x:c>
      <x:c r="Q13" s="11" t="n">
        <x:v>0</x:v>
      </x:c>
      <x:c r="R13" s="11" t="n">
        <x:v>0</x:v>
      </x:c>
      <x:c r="S13" s="11" t="n">
        <x:v>1624691</x:v>
      </x:c>
      <x:c r="T13" s="11" t="n">
        <x:v>0</x:v>
      </x:c>
      <x:c r="U13" s="11" t="n">
        <x:v>2882226</x:v>
      </x:c>
      <x:c r="V13" s="11" t="n">
        <x:v>72538</x:v>
      </x:c>
      <x:c r="W13" s="11" t="n">
        <x:v>61242</x:v>
      </x:c>
      <x:c r="X13" s="11" t="n">
        <x:v>0</x:v>
      </x:c>
      <x:c r="Y13" s="11" t="n">
        <x:v>864</x:v>
      </x:c>
      <x:c r="Z13" s="11" t="n">
        <x:v>1052</x:v>
      </x:c>
      <x:c r="AA13" s="11" t="n">
        <x:v>343</x:v>
      </x:c>
      <x:c r="AB13" s="11" t="n">
        <x:v>0</x:v>
      </x:c>
      <x:c r="AC13" s="11" t="n">
        <x:v>875</x:v>
      </x:c>
      <x:c r="AD13" s="11" t="n">
        <x:v>1136</x:v>
      </x:c>
      <x:c r="AE13" s="11" t="n">
        <x:v>1074</x:v>
      </x:c>
      <x:c r="AF13" s="11" t="n">
        <x:v>0</x:v>
      </x:c>
      <x:c r="AG13" s="11" t="n">
        <x:v>0</x:v>
      </x:c>
      <x:c r="AH13" s="11" t="n">
        <x:v>0</x:v>
      </x:c>
    </x:row>
    <x:row r="14" ht="23" customHeight="1">
      <x:c r="A14" s="12" t="str">
        <x:v>a</x:v>
      </x:c>
      <x:c r="B14" s="12" t="str">
        <x:v>NC_H1</x:v>
      </x:c>
      <x:c r="C14" s="13" t="n">
        <x:v>1778</x:v>
      </x:c>
      <x:c r="D14" s="11" t="n">
        <x:v>5469879</x:v>
      </x:c>
      <x:c r="E14" s="11" t="n">
        <x:v>0</x:v>
      </x:c>
      <x:c r="F14" s="11" t="n">
        <x:v>575</x:v>
      </x:c>
      <x:c r="G14" s="11" t="n">
        <x:v>0</x:v>
      </x:c>
      <x:c r="H14" s="11" t="n">
        <x:v>0</x:v>
      </x:c>
      <x:c r="I14" s="11" t="n">
        <x:v>799</x:v>
      </x:c>
      <x:c r="J14" s="11" t="n">
        <x:v>0</x:v>
      </x:c>
      <x:c r="K14" s="11" t="n">
        <x:v>338</x:v>
      </x:c>
      <x:c r="L14" s="11" t="n">
        <x:v>19</x:v>
      </x:c>
      <x:c r="M14" s="11" t="n">
        <x:v>47</x:v>
      </x:c>
      <x:c r="N14" s="11" t="n">
        <x:v>0</x:v>
      </x:c>
      <x:c r="O14" s="11" t="n">
        <x:v>0</x:v>
      </x:c>
      <x:c r="P14" s="11" t="n">
        <x:v>829182</x:v>
      </x:c>
      <x:c r="Q14" s="11" t="n">
        <x:v>0</x:v>
      </x:c>
      <x:c r="R14" s="11" t="n">
        <x:v>0</x:v>
      </x:c>
      <x:c r="S14" s="11" t="n">
        <x:v>1624691</x:v>
      </x:c>
      <x:c r="T14" s="11" t="n">
        <x:v>0</x:v>
      </x:c>
      <x:c r="U14" s="11" t="n">
        <x:v>2882226</x:v>
      </x:c>
      <x:c r="V14" s="11" t="n">
        <x:v>72538</x:v>
      </x:c>
      <x:c r="W14" s="11" t="n">
        <x:v>61242</x:v>
      </x:c>
      <x:c r="X14" s="11" t="n">
        <x:v>0</x:v>
      </x:c>
      <x:c r="Y14" s="11" t="n">
        <x:v>864</x:v>
      </x:c>
      <x:c r="Z14" s="11" t="n">
        <x:v>1052</x:v>
      </x:c>
      <x:c r="AA14" s="11" t="n">
        <x:v>343</x:v>
      </x:c>
      <x:c r="AB14" s="11" t="n">
        <x:v>0</x:v>
      </x:c>
      <x:c r="AC14" s="11" t="n">
        <x:v>875</x:v>
      </x:c>
      <x:c r="AD14" s="11" t="n">
        <x:v>1136</x:v>
      </x:c>
      <x:c r="AE14" s="11" t="n">
        <x:v>1074</x:v>
      </x:c>
      <x:c r="AF14" s="11" t="n">
        <x:v>0</x:v>
      </x:c>
      <x:c r="AG14" s="11" t="n">
        <x:v>0</x:v>
      </x:c>
      <x:c r="AH14" s="11" t="n">
        <x:v>0</x:v>
      </x:c>
    </x:row>
    <x:row r="15" ht="23" customHeight="1">
      <x:c r="A15" s="12" t="str">
        <x:v>a</x:v>
      </x:c>
      <x:c r="B15" s="12" t="str">
        <x:v>NCG_H0</x:v>
      </x:c>
      <x:c r="C15" s="13" t="n">
        <x:v>1778</x:v>
      </x:c>
      <x:c r="D15" s="11" t="n">
        <x:v>5469879</x:v>
      </x:c>
      <x:c r="E15" s="11" t="n">
        <x:v>0</x:v>
      </x:c>
      <x:c r="F15" s="11" t="n">
        <x:v>188</x:v>
      </x:c>
      <x:c r="G15" s="11" t="n">
        <x:v>0</x:v>
      </x:c>
      <x:c r="H15" s="11" t="n">
        <x:v>0</x:v>
      </x:c>
      <x:c r="I15" s="11" t="n">
        <x:v>537</x:v>
      </x:c>
      <x:c r="J15" s="11" t="n">
        <x:v>649</x:v>
      </x:c>
      <x:c r="K15" s="11" t="n">
        <x:v>338</x:v>
      </x:c>
      <x:c r="L15" s="11" t="n">
        <x:v>19</x:v>
      </x:c>
      <x:c r="M15" s="11" t="n">
        <x:v>47</x:v>
      </x:c>
      <x:c r="N15" s="11" t="n">
        <x:v>0</x:v>
      </x:c>
      <x:c r="O15" s="11" t="n">
        <x:v>0</x:v>
      </x:c>
      <x:c r="P15" s="11" t="n">
        <x:v>152602</x:v>
      </x:c>
      <x:c r="Q15" s="11" t="n">
        <x:v>0</x:v>
      </x:c>
      <x:c r="R15" s="11" t="n">
        <x:v>0</x:v>
      </x:c>
      <x:c r="S15" s="11" t="n">
        <x:v>576144</x:v>
      </x:c>
      <x:c r="T15" s="11" t="n">
        <x:v>1725127</x:v>
      </x:c>
      <x:c r="U15" s="11" t="n">
        <x:v>2882226</x:v>
      </x:c>
      <x:c r="V15" s="11" t="n">
        <x:v>72538</x:v>
      </x:c>
      <x:c r="W15" s="11" t="n">
        <x:v>61242</x:v>
      </x:c>
      <x:c r="X15" s="11" t="n">
        <x:v>0</x:v>
      </x:c>
      <x:c r="Y15" s="11" t="n">
        <x:v>866</x:v>
      </x:c>
      <x:c r="Z15" s="11" t="n">
        <x:v>1054</x:v>
      </x:c>
      <x:c r="AA15" s="11" t="n">
        <x:v>343</x:v>
      </x:c>
      <x:c r="AB15" s="11" t="n">
        <x:v>2</x:v>
      </x:c>
      <x:c r="AC15" s="11" t="n">
        <x:v>876</x:v>
      </x:c>
      <x:c r="AD15" s="11" t="n">
        <x:v>1136</x:v>
      </x:c>
      <x:c r="AE15" s="11" t="n">
        <x:v>1074</x:v>
      </x:c>
      <x:c r="AF15" s="11" t="n">
        <x:v>0</x:v>
      </x:c>
      <x:c r="AG15" s="11" t="n">
        <x:v>0</x:v>
      </x:c>
      <x:c r="AH15" s="11" t="n">
        <x:v>0</x:v>
      </x:c>
    </x:row>
    <x:row r="16" ht="23" customHeight="1">
      <x:c r="A16" s="12" t="str">
        <x:v>a</x:v>
      </x:c>
      <x:c r="B16" s="12" t="str">
        <x:v>NCG_H1</x:v>
      </x:c>
      <x:c r="C16" s="13" t="n">
        <x:v>1778</x:v>
      </x:c>
      <x:c r="D16" s="11" t="n">
        <x:v>5469879</x:v>
      </x:c>
      <x:c r="E16" s="11" t="n">
        <x:v>0</x:v>
      </x:c>
      <x:c r="F16" s="11" t="n">
        <x:v>188</x:v>
      </x:c>
      <x:c r="G16" s="11" t="n">
        <x:v>0</x:v>
      </x:c>
      <x:c r="H16" s="11" t="n">
        <x:v>0</x:v>
      </x:c>
      <x:c r="I16" s="11" t="n">
        <x:v>537</x:v>
      </x:c>
      <x:c r="J16" s="11" t="n">
        <x:v>649</x:v>
      </x:c>
      <x:c r="K16" s="11" t="n">
        <x:v>338</x:v>
      </x:c>
      <x:c r="L16" s="11" t="n">
        <x:v>19</x:v>
      </x:c>
      <x:c r="M16" s="11" t="n">
        <x:v>47</x:v>
      </x:c>
      <x:c r="N16" s="11" t="n">
        <x:v>0</x:v>
      </x:c>
      <x:c r="O16" s="11" t="n">
        <x:v>0</x:v>
      </x:c>
      <x:c r="P16" s="11" t="n">
        <x:v>152602</x:v>
      </x:c>
      <x:c r="Q16" s="11" t="n">
        <x:v>0</x:v>
      </x:c>
      <x:c r="R16" s="11" t="n">
        <x:v>0</x:v>
      </x:c>
      <x:c r="S16" s="11" t="n">
        <x:v>576144</x:v>
      </x:c>
      <x:c r="T16" s="11" t="n">
        <x:v>1725127</x:v>
      </x:c>
      <x:c r="U16" s="11" t="n">
        <x:v>2882226</x:v>
      </x:c>
      <x:c r="V16" s="11" t="n">
        <x:v>72538</x:v>
      </x:c>
      <x:c r="W16" s="11" t="n">
        <x:v>61242</x:v>
      </x:c>
      <x:c r="X16" s="11" t="n">
        <x:v>0</x:v>
      </x:c>
      <x:c r="Y16" s="11" t="n">
        <x:v>866</x:v>
      </x:c>
      <x:c r="Z16" s="11" t="n">
        <x:v>1054</x:v>
      </x:c>
      <x:c r="AA16" s="11" t="n">
        <x:v>343</x:v>
      </x:c>
      <x:c r="AB16" s="11" t="n">
        <x:v>2</x:v>
      </x:c>
      <x:c r="AC16" s="11" t="n">
        <x:v>876</x:v>
      </x:c>
      <x:c r="AD16" s="11" t="n">
        <x:v>1136</x:v>
      </x:c>
      <x:c r="AE16" s="11" t="n">
        <x:v>1074</x:v>
      </x:c>
      <x:c r="AF16" s="11" t="n">
        <x:v>0</x:v>
      </x:c>
      <x:c r="AG16" s="11" t="n">
        <x:v>0</x:v>
      </x:c>
      <x:c r="AH16" s="11" t="n">
        <x:v>0</x:v>
      </x:c>
    </x:row>
    <x:row r="17" ht="23" customHeight="1">
      <x:c r="A17" s="12" t="str">
        <x:v>b</x:v>
      </x:c>
      <x:c r="B17" s="12" t="str">
        <x:v>N_H0</x:v>
      </x:c>
      <x:c r="C17" s="13" t="n">
        <x:v>1481</x:v>
      </x:c>
      <x:c r="D17" s="11" t="n">
        <x:v>3433060</x:v>
      </x:c>
      <x:c r="E17" s="11" t="n">
        <x:v>0</x:v>
      </x:c>
      <x:c r="F17" s="11" t="n">
        <x:v>123</x:v>
      </x:c>
      <x:c r="G17" s="11" t="n">
        <x:v>0</x:v>
      </x:c>
      <x:c r="H17" s="11" t="n">
        <x:v>0</x:v>
      </x:c>
      <x:c r="I17" s="11" t="n">
        <x:v>902</x:v>
      </x:c>
      <x:c r="J17" s="11" t="n">
        <x:v>6</x:v>
      </x:c>
      <x:c r="K17" s="11" t="n">
        <x:v>303</x:v>
      </x:c>
      <x:c r="L17" s="11" t="n">
        <x:v>41</x:v>
      </x:c>
      <x:c r="M17" s="11" t="n">
        <x:v>106</x:v>
      </x:c>
      <x:c r="N17" s="11" t="n">
        <x:v>0</x:v>
      </x:c>
      <x:c r="O17" s="11" t="n">
        <x:v>0</x:v>
      </x:c>
      <x:c r="P17" s="11" t="n">
        <x:v>80292</x:v>
      </x:c>
      <x:c r="Q17" s="11" t="n">
        <x:v>0</x:v>
      </x:c>
      <x:c r="R17" s="11" t="n">
        <x:v>0</x:v>
      </x:c>
      <x:c r="S17" s="11" t="n">
        <x:v>1633958</x:v>
      </x:c>
      <x:c r="T17" s="11" t="n">
        <x:v>66678</x:v>
      </x:c>
      <x:c r="U17" s="11" t="n">
        <x:v>802378</x:v>
      </x:c>
      <x:c r="V17" s="11" t="n">
        <x:v>248912</x:v>
      </x:c>
      <x:c r="W17" s="11" t="n">
        <x:v>600842</x:v>
      </x:c>
      <x:c r="X17" s="11" t="n">
        <x:v>0</x:v>
      </x:c>
      <x:c r="Y17" s="11" t="n">
        <x:v>1006</x:v>
      </x:c>
      <x:c r="Z17" s="11" t="n">
        <x:v>1174</x:v>
      </x:c>
      <x:c r="AA17" s="11" t="n">
        <x:v>0</x:v>
      </x:c>
      <x:c r="AB17" s="11" t="n">
        <x:v>0</x:v>
      </x:c>
      <x:c r="AC17" s="11" t="n">
        <x:v>1006</x:v>
      </x:c>
      <x:c r="AD17" s="11" t="n">
        <x:v>1006</x:v>
      </x:c>
      <x:c r="AE17" s="11" t="str">
        <x:v>n.a.</x:v>
      </x:c>
      <x:c r="AF17" s="11" t="n">
        <x:v>167</x:v>
      </x:c>
      <x:c r="AG17" s="11" t="n">
        <x:v>107</x:v>
      </x:c>
      <x:c r="AH17" s="11" t="n">
        <x:v>38</x:v>
      </x:c>
    </x:row>
    <x:row r="18" ht="23" customHeight="1">
      <x:c r="A18" s="12" t="str">
        <x:v>b</x:v>
      </x:c>
      <x:c r="B18" s="12" t="str">
        <x:v>N_H1</x:v>
      </x:c>
      <x:c r="C18" s="13" t="n">
        <x:v>1481</x:v>
      </x:c>
      <x:c r="D18" s="11" t="n">
        <x:v>3433060</x:v>
      </x:c>
      <x:c r="E18" s="11" t="n">
        <x:v>0</x:v>
      </x:c>
      <x:c r="F18" s="11" t="n">
        <x:v>113</x:v>
      </x:c>
      <x:c r="G18" s="11" t="n">
        <x:v>0</x:v>
      </x:c>
      <x:c r="H18" s="11" t="n">
        <x:v>0</x:v>
      </x:c>
      <x:c r="I18" s="11" t="n">
        <x:v>888</x:v>
      </x:c>
      <x:c r="J18" s="11" t="n">
        <x:v>30</x:v>
      </x:c>
      <x:c r="K18" s="11" t="n">
        <x:v>303</x:v>
      </x:c>
      <x:c r="L18" s="11" t="n">
        <x:v>41</x:v>
      </x:c>
      <x:c r="M18" s="11" t="n">
        <x:v>106</x:v>
      </x:c>
      <x:c r="N18" s="11" t="n">
        <x:v>0</x:v>
      </x:c>
      <x:c r="O18" s="11" t="n">
        <x:v>0</x:v>
      </x:c>
      <x:c r="P18" s="11" t="n">
        <x:v>75588</x:v>
      </x:c>
      <x:c r="Q18" s="11" t="n">
        <x:v>0</x:v>
      </x:c>
      <x:c r="R18" s="11" t="n">
        <x:v>0</x:v>
      </x:c>
      <x:c r="S18" s="11" t="n">
        <x:v>1619738</x:v>
      </x:c>
      <x:c r="T18" s="11" t="n">
        <x:v>85602</x:v>
      </x:c>
      <x:c r="U18" s="11" t="n">
        <x:v>802378</x:v>
      </x:c>
      <x:c r="V18" s="11" t="n">
        <x:v>248912</x:v>
      </x:c>
      <x:c r="W18" s="11" t="n">
        <x:v>600842</x:v>
      </x:c>
      <x:c r="X18" s="11" t="n">
        <x:v>0</x:v>
      </x:c>
      <x:c r="Y18" s="11" t="n">
        <x:v>1006</x:v>
      </x:c>
      <x:c r="Z18" s="11" t="n">
        <x:v>1174</x:v>
      </x:c>
      <x:c r="AA18" s="11" t="n">
        <x:v>0</x:v>
      </x:c>
      <x:c r="AB18" s="11" t="n">
        <x:v>0</x:v>
      </x:c>
      <x:c r="AC18" s="11" t="n">
        <x:v>1129</x:v>
      </x:c>
      <x:c r="AD18" s="11" t="n">
        <x:v>1006</x:v>
      </x:c>
      <x:c r="AE18" s="11" t="str">
        <x:v>n.a.</x:v>
      </x:c>
      <x:c r="AF18" s="11" t="n">
        <x:v>167</x:v>
      </x:c>
      <x:c r="AG18" s="11" t="n">
        <x:v>107</x:v>
      </x:c>
      <x:c r="AH18" s="11" t="n">
        <x:v>38</x:v>
      </x:c>
    </x:row>
    <x:row r="19" ht="23" customHeight="1">
      <x:c r="A19" s="12" t="str">
        <x:v>b</x:v>
      </x:c>
      <x:c r="B19" s="12" t="str">
        <x:v>C_H0</x:v>
      </x:c>
      <x:c r="C19" s="13" t="n">
        <x:v>1481</x:v>
      </x:c>
      <x:c r="D19" s="11" t="n">
        <x:v>3433060</x:v>
      </x:c>
      <x:c r="E19" s="11" t="n">
        <x:v>0</x:v>
      </x:c>
      <x:c r="F19" s="11" t="n">
        <x:v>353</x:v>
      </x:c>
      <x:c r="G19" s="11" t="n">
        <x:v>0</x:v>
      </x:c>
      <x:c r="H19" s="11" t="n">
        <x:v>0</x:v>
      </x:c>
      <x:c r="I19" s="11" t="n">
        <x:v>1128</x:v>
      </x:c>
      <x:c r="J19" s="11" t="n">
        <x:v>0</x:v>
      </x:c>
      <x:c r="K19" s="11" t="n">
        <x:v>0</x:v>
      </x:c>
      <x:c r="L19" s="11" t="n">
        <x:v>0</x:v>
      </x:c>
      <x:c r="M19" s="11" t="n">
        <x:v>0</x:v>
      </x:c>
      <x:c r="N19" s="11" t="n">
        <x:v>0</x:v>
      </x:c>
      <x:c r="O19" s="11" t="n">
        <x:v>0</x:v>
      </x:c>
      <x:c r="P19" s="11" t="n">
        <x:v>741390</x:v>
      </x:c>
      <x:c r="Q19" s="11" t="n">
        <x:v>0</x:v>
      </x:c>
      <x:c r="R19" s="11" t="n">
        <x:v>0</x:v>
      </x:c>
      <x:c r="S19" s="11" t="n">
        <x:v>2691670</x:v>
      </x:c>
      <x:c r="T19" s="11" t="n">
        <x:v>0</x:v>
      </x:c>
      <x:c r="U19" s="11" t="n">
        <x:v>0</x:v>
      </x:c>
      <x:c r="V19" s="11" t="n">
        <x:v>0</x:v>
      </x:c>
      <x:c r="W19" s="11" t="n">
        <x:v>0</x:v>
      </x:c>
      <x:c r="X19" s="11" t="n">
        <x:v>0</x:v>
      </x:c>
      <x:c r="Y19" s="11" t="n">
        <x:v>1128</x:v>
      </x:c>
      <x:c r="Z19" s="11" t="n">
        <x:v>1128</x:v>
      </x:c>
      <x:c r="AA19" s="11" t="n">
        <x:v>0</x:v>
      </x:c>
      <x:c r="AB19" s="11" t="n">
        <x:v>0</x:v>
      </x:c>
      <x:c r="AC19" s="11" t="n">
        <x:v>976</x:v>
      </x:c>
      <x:c r="AD19" s="11" t="str">
        <x:v>n.a.</x:v>
      </x:c>
      <x:c r="AE19" s="11" t="n">
        <x:v>1128</x:v>
      </x:c>
      <x:c r="AF19" s="11" t="n">
        <x:v>167</x:v>
      </x:c>
      <x:c r="AG19" s="11" t="n">
        <x:v>56</x:v>
      </x:c>
      <x:c r="AH19" s="11" t="n">
        <x:v>52</x:v>
      </x:c>
    </x:row>
    <x:row r="20" ht="23" customHeight="1">
      <x:c r="A20" s="12" t="str">
        <x:v>b</x:v>
      </x:c>
      <x:c r="B20" s="12" t="str">
        <x:v>C_H1</x:v>
      </x:c>
      <x:c r="C20" s="13" t="n">
        <x:v>1481</x:v>
      </x:c>
      <x:c r="D20" s="11" t="n">
        <x:v>3433060</x:v>
      </x:c>
      <x:c r="E20" s="11" t="n">
        <x:v>0</x:v>
      </x:c>
      <x:c r="F20" s="11" t="n">
        <x:v>323</x:v>
      </x:c>
      <x:c r="G20" s="11" t="n">
        <x:v>0</x:v>
      </x:c>
      <x:c r="H20" s="11" t="n">
        <x:v>0</x:v>
      </x:c>
      <x:c r="I20" s="11" t="n">
        <x:v>1128</x:v>
      </x:c>
      <x:c r="J20" s="11" t="n">
        <x:v>30</x:v>
      </x:c>
      <x:c r="K20" s="11" t="n">
        <x:v>0</x:v>
      </x:c>
      <x:c r="L20" s="11" t="n">
        <x:v>0</x:v>
      </x:c>
      <x:c r="M20" s="11" t="n">
        <x:v>0</x:v>
      </x:c>
      <x:c r="N20" s="11" t="n">
        <x:v>0</x:v>
      </x:c>
      <x:c r="O20" s="11" t="n">
        <x:v>0</x:v>
      </x:c>
      <x:c r="P20" s="11" t="n">
        <x:v>724530</x:v>
      </x:c>
      <x:c r="Q20" s="11" t="n">
        <x:v>0</x:v>
      </x:c>
      <x:c r="R20" s="11" t="n">
        <x:v>0</x:v>
      </x:c>
      <x:c r="S20" s="11" t="n">
        <x:v>2691670</x:v>
      </x:c>
      <x:c r="T20" s="11" t="n">
        <x:v>16860</x:v>
      </x:c>
      <x:c r="U20" s="11" t="n">
        <x:v>0</x:v>
      </x:c>
      <x:c r="V20" s="11" t="n">
        <x:v>0</x:v>
      </x:c>
      <x:c r="W20" s="11" t="n">
        <x:v>0</x:v>
      </x:c>
      <x:c r="X20" s="11" t="n">
        <x:v>0</x:v>
      </x:c>
      <x:c r="Y20" s="11" t="n">
        <x:v>1128</x:v>
      </x:c>
      <x:c r="Z20" s="11" t="n">
        <x:v>1128</x:v>
      </x:c>
      <x:c r="AA20" s="11" t="n">
        <x:v>0</x:v>
      </x:c>
      <x:c r="AB20" s="11" t="n">
        <x:v>0</x:v>
      </x:c>
      <x:c r="AC20" s="11" t="n">
        <x:v>1006</x:v>
      </x:c>
      <x:c r="AD20" s="11" t="str">
        <x:v>n.a.</x:v>
      </x:c>
      <x:c r="AE20" s="11" t="n">
        <x:v>1128</x:v>
      </x:c>
      <x:c r="AF20" s="11" t="n">
        <x:v>167</x:v>
      </x:c>
      <x:c r="AG20" s="11" t="n">
        <x:v>56</x:v>
      </x:c>
      <x:c r="AH20" s="11" t="n">
        <x:v>52</x:v>
      </x:c>
    </x:row>
    <x:row r="21" ht="23" customHeight="1">
      <x:c r="A21" s="12" t="str">
        <x:v>b</x:v>
      </x:c>
      <x:c r="B21" s="12" t="str">
        <x:v>NG_H0</x:v>
      </x:c>
      <x:c r="C21" s="13" t="n">
        <x:v>1481</x:v>
      </x:c>
      <x:c r="D21" s="11" t="n">
        <x:v>3433060</x:v>
      </x:c>
      <x:c r="E21" s="11" t="n">
        <x:v>0</x:v>
      </x:c>
      <x:c r="F21" s="11" t="n">
        <x:v>75</x:v>
      </x:c>
      <x:c r="G21" s="11" t="n">
        <x:v>0</x:v>
      </x:c>
      <x:c r="H21" s="11" t="n">
        <x:v>0</x:v>
      </x:c>
      <x:c r="I21" s="11" t="n">
        <x:v>544</x:v>
      </x:c>
      <x:c r="J21" s="11" t="n">
        <x:v>412</x:v>
      </x:c>
      <x:c r="K21" s="11" t="n">
        <x:v>303</x:v>
      </x:c>
      <x:c r="L21" s="11" t="n">
        <x:v>41</x:v>
      </x:c>
      <x:c r="M21" s="11" t="n">
        <x:v>106</x:v>
      </x:c>
      <x:c r="N21" s="11" t="n">
        <x:v>0</x:v>
      </x:c>
      <x:c r="O21" s="11" t="n">
        <x:v>0</x:v>
      </x:c>
      <x:c r="P21" s="11" t="n">
        <x:v>38764</x:v>
      </x:c>
      <x:c r="Q21" s="11" t="n">
        <x:v>0</x:v>
      </x:c>
      <x:c r="R21" s="11" t="n">
        <x:v>0</x:v>
      </x:c>
      <x:c r="S21" s="11" t="n">
        <x:v>615294</x:v>
      </x:c>
      <x:c r="T21" s="11" t="n">
        <x:v>1126870</x:v>
      </x:c>
      <x:c r="U21" s="11" t="n">
        <x:v>802378</x:v>
      </x:c>
      <x:c r="V21" s="11" t="n">
        <x:v>248912</x:v>
      </x:c>
      <x:c r="W21" s="11" t="n">
        <x:v>600842</x:v>
      </x:c>
      <x:c r="X21" s="11" t="n">
        <x:v>0</x:v>
      </x:c>
      <x:c r="Y21" s="11" t="n">
        <x:v>1006</x:v>
      </x:c>
      <x:c r="Z21" s="11" t="n">
        <x:v>1174</x:v>
      </x:c>
      <x:c r="AA21" s="11" t="n">
        <x:v>0</x:v>
      </x:c>
      <x:c r="AB21" s="11" t="n">
        <x:v>0</x:v>
      </x:c>
      <x:c r="AC21" s="11" t="n">
        <x:v>1006</x:v>
      </x:c>
      <x:c r="AD21" s="11" t="n">
        <x:v>1006</x:v>
      </x:c>
      <x:c r="AE21" s="11" t="str">
        <x:v>n.a.</x:v>
      </x:c>
      <x:c r="AF21" s="11" t="n">
        <x:v>167</x:v>
      </x:c>
      <x:c r="AG21" s="11" t="n">
        <x:v>107</x:v>
      </x:c>
      <x:c r="AH21" s="11" t="n">
        <x:v>38</x:v>
      </x:c>
    </x:row>
    <x:row r="22" ht="23" customHeight="1">
      <x:c r="A22" s="12" t="str">
        <x:v>b</x:v>
      </x:c>
      <x:c r="B22" s="12" t="str">
        <x:v>NG_H1</x:v>
      </x:c>
      <x:c r="C22" s="13" t="n">
        <x:v>1481</x:v>
      </x:c>
      <x:c r="D22" s="11" t="n">
        <x:v>3433060</x:v>
      </x:c>
      <x:c r="E22" s="11" t="n">
        <x:v>0</x:v>
      </x:c>
      <x:c r="F22" s="11" t="n">
        <x:v>68</x:v>
      </x:c>
      <x:c r="G22" s="11" t="n">
        <x:v>0</x:v>
      </x:c>
      <x:c r="H22" s="11" t="n">
        <x:v>0</x:v>
      </x:c>
      <x:c r="I22" s="11" t="n">
        <x:v>536</x:v>
      </x:c>
      <x:c r="J22" s="11" t="n">
        <x:v>427</x:v>
      </x:c>
      <x:c r="K22" s="11" t="n">
        <x:v>303</x:v>
      </x:c>
      <x:c r="L22" s="11" t="n">
        <x:v>41</x:v>
      </x:c>
      <x:c r="M22" s="11" t="n">
        <x:v>106</x:v>
      </x:c>
      <x:c r="N22" s="11" t="n">
        <x:v>0</x:v>
      </x:c>
      <x:c r="O22" s="11" t="n">
        <x:v>0</x:v>
      </x:c>
      <x:c r="P22" s="11" t="n">
        <x:v>34708</x:v>
      </x:c>
      <x:c r="Q22" s="11" t="n">
        <x:v>0</x:v>
      </x:c>
      <x:c r="R22" s="11" t="n">
        <x:v>0</x:v>
      </x:c>
      <x:c r="S22" s="11" t="n">
        <x:v>608822</x:v>
      </x:c>
      <x:c r="T22" s="11" t="n">
        <x:v>1137398</x:v>
      </x:c>
      <x:c r="U22" s="11" t="n">
        <x:v>802378</x:v>
      </x:c>
      <x:c r="V22" s="11" t="n">
        <x:v>248912</x:v>
      </x:c>
      <x:c r="W22" s="11" t="n">
        <x:v>600842</x:v>
      </x:c>
      <x:c r="X22" s="11" t="n">
        <x:v>0</x:v>
      </x:c>
      <x:c r="Y22" s="11" t="n">
        <x:v>1006</x:v>
      </x:c>
      <x:c r="Z22" s="11" t="n">
        <x:v>1174</x:v>
      </x:c>
      <x:c r="AA22" s="11" t="n">
        <x:v>0</x:v>
      </x:c>
      <x:c r="AB22" s="11" t="n">
        <x:v>0</x:v>
      </x:c>
      <x:c r="AC22" s="11" t="n">
        <x:v>1129</x:v>
      </x:c>
      <x:c r="AD22" s="11" t="n">
        <x:v>1006</x:v>
      </x:c>
      <x:c r="AE22" s="11" t="str">
        <x:v>n.a.</x:v>
      </x:c>
      <x:c r="AF22" s="11" t="n">
        <x:v>167</x:v>
      </x:c>
      <x:c r="AG22" s="11" t="n">
        <x:v>107</x:v>
      </x:c>
      <x:c r="AH22" s="11" t="n">
        <x:v>38</x:v>
      </x:c>
    </x:row>
    <x:row r="23" ht="23" customHeight="1">
      <x:c r="A23" s="12" t="str">
        <x:v>b</x:v>
      </x:c>
      <x:c r="B23" s="12" t="str">
        <x:v>CG_H0</x:v>
      </x:c>
      <x:c r="C23" s="13" t="n">
        <x:v>1481</x:v>
      </x:c>
      <x:c r="D23" s="11" t="n">
        <x:v>3433060</x:v>
      </x:c>
      <x:c r="E23" s="11" t="n">
        <x:v>0</x:v>
      </x:c>
      <x:c r="F23" s="11" t="n">
        <x:v>184</x:v>
      </x:c>
      <x:c r="G23" s="11" t="n">
        <x:v>0</x:v>
      </x:c>
      <x:c r="H23" s="11" t="n">
        <x:v>0</x:v>
      </x:c>
      <x:c r="I23" s="11" t="n">
        <x:v>665</x:v>
      </x:c>
      <x:c r="J23" s="11" t="n">
        <x:v>632</x:v>
      </x:c>
      <x:c r="K23" s="11" t="n">
        <x:v>0</x:v>
      </x:c>
      <x:c r="L23" s="11" t="n">
        <x:v>0</x:v>
      </x:c>
      <x:c r="M23" s="11" t="n">
        <x:v>0</x:v>
      </x:c>
      <x:c r="N23" s="11" t="n">
        <x:v>0</x:v>
      </x:c>
      <x:c r="O23" s="11" t="n">
        <x:v>0</x:v>
      </x:c>
      <x:c r="P23" s="11" t="n">
        <x:v>432278</x:v>
      </x:c>
      <x:c r="Q23" s="11" t="n">
        <x:v>0</x:v>
      </x:c>
      <x:c r="R23" s="11" t="n">
        <x:v>0</x:v>
      </x:c>
      <x:c r="S23" s="11" t="n">
        <x:v>521542</x:v>
      </x:c>
      <x:c r="T23" s="11" t="n">
        <x:v>2479240</x:v>
      </x:c>
      <x:c r="U23" s="11" t="n">
        <x:v>0</x:v>
      </x:c>
      <x:c r="V23" s="11" t="n">
        <x:v>0</x:v>
      </x:c>
      <x:c r="W23" s="11" t="n">
        <x:v>0</x:v>
      </x:c>
      <x:c r="X23" s="11" t="n">
        <x:v>0</x:v>
      </x:c>
      <x:c r="Y23" s="11" t="n">
        <x:v>1128</x:v>
      </x:c>
      <x:c r="Z23" s="11" t="n">
        <x:v>1128</x:v>
      </x:c>
      <x:c r="AA23" s="11" t="n">
        <x:v>0</x:v>
      </x:c>
      <x:c r="AB23" s="11" t="n">
        <x:v>0</x:v>
      </x:c>
      <x:c r="AC23" s="11" t="n">
        <x:v>976</x:v>
      </x:c>
      <x:c r="AD23" s="11" t="str">
        <x:v>n.a.</x:v>
      </x:c>
      <x:c r="AE23" s="11" t="n">
        <x:v>1128</x:v>
      </x:c>
      <x:c r="AF23" s="11" t="n">
        <x:v>167</x:v>
      </x:c>
      <x:c r="AG23" s="11" t="n">
        <x:v>56</x:v>
      </x:c>
      <x:c r="AH23" s="11" t="n">
        <x:v>52</x:v>
      </x:c>
    </x:row>
    <x:row r="24" ht="23" customHeight="1">
      <x:c r="A24" s="12" t="str">
        <x:v>b</x:v>
      </x:c>
      <x:c r="B24" s="12" t="str">
        <x:v>CG_H1</x:v>
      </x:c>
      <x:c r="C24" s="13" t="n">
        <x:v>1481</x:v>
      </x:c>
      <x:c r="D24" s="11" t="n">
        <x:v>3433060</x:v>
      </x:c>
      <x:c r="E24" s="11" t="n">
        <x:v>0</x:v>
      </x:c>
      <x:c r="F24" s="11" t="n">
        <x:v>167</x:v>
      </x:c>
      <x:c r="G24" s="11" t="n">
        <x:v>0</x:v>
      </x:c>
      <x:c r="H24" s="11" t="n">
        <x:v>0</x:v>
      </x:c>
      <x:c r="I24" s="11" t="n">
        <x:v>670</x:v>
      </x:c>
      <x:c r="J24" s="11" t="n">
        <x:v>644</x:v>
      </x:c>
      <x:c r="K24" s="11" t="n">
        <x:v>0</x:v>
      </x:c>
      <x:c r="L24" s="11" t="n">
        <x:v>0</x:v>
      </x:c>
      <x:c r="M24" s="11" t="n">
        <x:v>0</x:v>
      </x:c>
      <x:c r="N24" s="11" t="n">
        <x:v>0</x:v>
      </x:c>
      <x:c r="O24" s="11" t="n">
        <x:v>0</x:v>
      </x:c>
      <x:c r="P24" s="11" t="n">
        <x:v>416884</x:v>
      </x:c>
      <x:c r="Q24" s="11" t="n">
        <x:v>0</x:v>
      </x:c>
      <x:c r="R24" s="11" t="n">
        <x:v>0</x:v>
      </x:c>
      <x:c r="S24" s="11" t="n">
        <x:v>528728</x:v>
      </x:c>
      <x:c r="T24" s="11" t="n">
        <x:v>2487448</x:v>
      </x:c>
      <x:c r="U24" s="11" t="n">
        <x:v>0</x:v>
      </x:c>
      <x:c r="V24" s="11" t="n">
        <x:v>0</x:v>
      </x:c>
      <x:c r="W24" s="11" t="n">
        <x:v>0</x:v>
      </x:c>
      <x:c r="X24" s="11" t="n">
        <x:v>0</x:v>
      </x:c>
      <x:c r="Y24" s="11" t="n">
        <x:v>1130</x:v>
      </x:c>
      <x:c r="Z24" s="11" t="n">
        <x:v>1130</x:v>
      </x:c>
      <x:c r="AA24" s="11" t="n">
        <x:v>0</x:v>
      </x:c>
      <x:c r="AB24" s="11" t="n">
        <x:v>2</x:v>
      </x:c>
      <x:c r="AC24" s="11" t="n">
        <x:v>1008</x:v>
      </x:c>
      <x:c r="AD24" s="11" t="str">
        <x:v>n.a.</x:v>
      </x:c>
      <x:c r="AE24" s="11" t="n">
        <x:v>1128</x:v>
      </x:c>
      <x:c r="AF24" s="11" t="n">
        <x:v>167</x:v>
      </x:c>
      <x:c r="AG24" s="11" t="n">
        <x:v>56</x:v>
      </x:c>
      <x:c r="AH24" s="11" t="n">
        <x:v>52</x:v>
      </x:c>
    </x:row>
    <x:row r="25" ht="23" customHeight="1">
      <x:c r="A25" s="12" t="str">
        <x:v>b</x:v>
      </x:c>
      <x:c r="B25" s="12" t="str">
        <x:v>NC_H0</x:v>
      </x:c>
      <x:c r="C25" s="13" t="n">
        <x:v>1481</x:v>
      </x:c>
      <x:c r="D25" s="11" t="n">
        <x:v>3433060</x:v>
      </x:c>
      <x:c r="E25" s="11" t="n">
        <x:v>0</x:v>
      </x:c>
      <x:c r="F25" s="11" t="n">
        <x:v>315</x:v>
      </x:c>
      <x:c r="G25" s="11" t="n">
        <x:v>0</x:v>
      </x:c>
      <x:c r="H25" s="11" t="n">
        <x:v>0</x:v>
      </x:c>
      <x:c r="I25" s="11" t="n">
        <x:v>740</x:v>
      </x:c>
      <x:c r="J25" s="11" t="n">
        <x:v>6</x:v>
      </x:c>
      <x:c r="K25" s="11" t="n">
        <x:v>346</x:v>
      </x:c>
      <x:c r="L25" s="11" t="n">
        <x:v>35</x:v>
      </x:c>
      <x:c r="M25" s="11" t="n">
        <x:v>39</x:v>
      </x:c>
      <x:c r="N25" s="11" t="n">
        <x:v>0</x:v>
      </x:c>
      <x:c r="O25" s="11" t="n">
        <x:v>0</x:v>
      </x:c>
      <x:c r="P25" s="11" t="n">
        <x:v>586152</x:v>
      </x:c>
      <x:c r="Q25" s="11" t="n">
        <x:v>0</x:v>
      </x:c>
      <x:c r="R25" s="11" t="n">
        <x:v>0</x:v>
      </x:c>
      <x:c r="S25" s="11" t="n">
        <x:v>1220298</x:v>
      </x:c>
      <x:c r="T25" s="11" t="n">
        <x:v>66678</x:v>
      </x:c>
      <x:c r="U25" s="11" t="n">
        <x:v>982506</x:v>
      </x:c>
      <x:c r="V25" s="11" t="n">
        <x:v>201026</x:v>
      </x:c>
      <x:c r="W25" s="11" t="n">
        <x:v>376400</x:v>
      </x:c>
      <x:c r="X25" s="11" t="n">
        <x:v>0</x:v>
      </x:c>
      <x:c r="Y25" s="11" t="n">
        <x:v>899</x:v>
      </x:c>
      <x:c r="Z25" s="11" t="n">
        <x:v>1060</x:v>
      </x:c>
      <x:c r="AA25" s="11" t="n">
        <x:v>135</x:v>
      </x:c>
      <x:c r="AB25" s="11" t="n">
        <x:v>0</x:v>
      </x:c>
      <x:c r="AC25" s="11" t="n">
        <x:v>804</x:v>
      </x:c>
      <x:c r="AD25" s="11" t="n">
        <x:v>1006</x:v>
      </x:c>
      <x:c r="AE25" s="11" t="n">
        <x:v>1128</x:v>
      </x:c>
      <x:c r="AF25" s="11" t="n">
        <x:v>167</x:v>
      </x:c>
      <x:c r="AG25" s="11" t="n">
        <x:v>67</x:v>
      </x:c>
      <x:c r="AH25" s="11" t="n">
        <x:v>40</x:v>
      </x:c>
    </x:row>
    <x:row r="26" ht="23" customHeight="1">
      <x:c r="A26" s="12" t="str">
        <x:v>b</x:v>
      </x:c>
      <x:c r="B26" s="12" t="str">
        <x:v>NC_H1</x:v>
      </x:c>
      <x:c r="C26" s="13" t="n">
        <x:v>1481</x:v>
      </x:c>
      <x:c r="D26" s="11" t="n">
        <x:v>3433060</x:v>
      </x:c>
      <x:c r="E26" s="11" t="n">
        <x:v>0</x:v>
      </x:c>
      <x:c r="F26" s="11" t="n">
        <x:v>289</x:v>
      </x:c>
      <x:c r="G26" s="11" t="n">
        <x:v>0</x:v>
      </x:c>
      <x:c r="H26" s="11" t="n">
        <x:v>0</x:v>
      </x:c>
      <x:c r="I26" s="11" t="n">
        <x:v>731</x:v>
      </x:c>
      <x:c r="J26" s="11" t="n">
        <x:v>41</x:v>
      </x:c>
      <x:c r="K26" s="11" t="n">
        <x:v>346</x:v>
      </x:c>
      <x:c r="L26" s="11" t="n">
        <x:v>35</x:v>
      </x:c>
      <x:c r="M26" s="11" t="n">
        <x:v>39</x:v>
      </x:c>
      <x:c r="N26" s="11" t="n">
        <x:v>0</x:v>
      </x:c>
      <x:c r="O26" s="11" t="n">
        <x:v>0</x:v>
      </x:c>
      <x:c r="P26" s="11" t="n">
        <x:v>571208</x:v>
      </x:c>
      <x:c r="Q26" s="11" t="n">
        <x:v>0</x:v>
      </x:c>
      <x:c r="R26" s="11" t="n">
        <x:v>0</x:v>
      </x:c>
      <x:c r="S26" s="11" t="n">
        <x:v>1210596</x:v>
      </x:c>
      <x:c r="T26" s="11" t="n">
        <x:v>91324</x:v>
      </x:c>
      <x:c r="U26" s="11" t="n">
        <x:v>982506</x:v>
      </x:c>
      <x:c r="V26" s="11" t="n">
        <x:v>201026</x:v>
      </x:c>
      <x:c r="W26" s="11" t="n">
        <x:v>376400</x:v>
      </x:c>
      <x:c r="X26" s="11" t="n">
        <x:v>0</x:v>
      </x:c>
      <x:c r="Y26" s="11" t="n">
        <x:v>899</x:v>
      </x:c>
      <x:c r="Z26" s="11" t="n">
        <x:v>1060</x:v>
      </x:c>
      <x:c r="AA26" s="11" t="n">
        <x:v>135</x:v>
      </x:c>
      <x:c r="AB26" s="11" t="n">
        <x:v>0</x:v>
      </x:c>
      <x:c r="AC26" s="11" t="n">
        <x:v>879</x:v>
      </x:c>
      <x:c r="AD26" s="11" t="n">
        <x:v>1006</x:v>
      </x:c>
      <x:c r="AE26" s="11" t="n">
        <x:v>1128</x:v>
      </x:c>
      <x:c r="AF26" s="11" t="n">
        <x:v>167</x:v>
      </x:c>
      <x:c r="AG26" s="11" t="n">
        <x:v>67</x:v>
      </x:c>
      <x:c r="AH26" s="11" t="n">
        <x:v>40</x:v>
      </x:c>
    </x:row>
    <x:row r="27" ht="23" customHeight="1">
      <x:c r="A27" s="12" t="str">
        <x:v>b</x:v>
      </x:c>
      <x:c r="B27" s="12" t="str">
        <x:v>NCG_H0</x:v>
      </x:c>
      <x:c r="C27" s="13" t="n">
        <x:v>1481</x:v>
      </x:c>
      <x:c r="D27" s="11" t="n">
        <x:v>3433060</x:v>
      </x:c>
      <x:c r="E27" s="11" t="n">
        <x:v>0</x:v>
      </x:c>
      <x:c r="F27" s="11" t="n">
        <x:v>161</x:v>
      </x:c>
      <x:c r="G27" s="11" t="n">
        <x:v>0</x:v>
      </x:c>
      <x:c r="H27" s="11" t="n">
        <x:v>0</x:v>
      </x:c>
      <x:c r="I27" s="11" t="n">
        <x:v>481</x:v>
      </x:c>
      <x:c r="J27" s="11" t="n">
        <x:v>419</x:v>
      </x:c>
      <x:c r="K27" s="11" t="n">
        <x:v>346</x:v>
      </x:c>
      <x:c r="L27" s="11" t="n">
        <x:v>35</x:v>
      </x:c>
      <x:c r="M27" s="11" t="n">
        <x:v>39</x:v>
      </x:c>
      <x:c r="N27" s="11" t="n">
        <x:v>0</x:v>
      </x:c>
      <x:c r="O27" s="11" t="n">
        <x:v>0</x:v>
      </x:c>
      <x:c r="P27" s="11" t="n">
        <x:v>321568</x:v>
      </x:c>
      <x:c r="Q27" s="11" t="n">
        <x:v>0</x:v>
      </x:c>
      <x:c r="R27" s="11" t="n">
        <x:v>0</x:v>
      </x:c>
      <x:c r="S27" s="11" t="n">
        <x:v>378996</x:v>
      </x:c>
      <x:c r="T27" s="11" t="n">
        <x:v>1172564</x:v>
      </x:c>
      <x:c r="U27" s="11" t="n">
        <x:v>982506</x:v>
      </x:c>
      <x:c r="V27" s="11" t="n">
        <x:v>201026</x:v>
      </x:c>
      <x:c r="W27" s="11" t="n">
        <x:v>376400</x:v>
      </x:c>
      <x:c r="X27" s="11" t="n">
        <x:v>0</x:v>
      </x:c>
      <x:c r="Y27" s="11" t="n">
        <x:v>899</x:v>
      </x:c>
      <x:c r="Z27" s="11" t="n">
        <x:v>1060</x:v>
      </x:c>
      <x:c r="AA27" s="11" t="n">
        <x:v>135</x:v>
      </x:c>
      <x:c r="AB27" s="11" t="n">
        <x:v>0</x:v>
      </x:c>
      <x:c r="AC27" s="11" t="n">
        <x:v>804</x:v>
      </x:c>
      <x:c r="AD27" s="11" t="n">
        <x:v>1006</x:v>
      </x:c>
      <x:c r="AE27" s="11" t="n">
        <x:v>1128</x:v>
      </x:c>
      <x:c r="AF27" s="11" t="n">
        <x:v>167</x:v>
      </x:c>
      <x:c r="AG27" s="11" t="n">
        <x:v>67</x:v>
      </x:c>
      <x:c r="AH27" s="11" t="n">
        <x:v>40</x:v>
      </x:c>
    </x:row>
    <x:row r="28" ht="23" customHeight="1">
      <x:c r="A28" s="12" t="str">
        <x:v>b</x:v>
      </x:c>
      <x:c r="B28" s="12" t="str">
        <x:v>NCG_H1</x:v>
      </x:c>
      <x:c r="C28" s="13" t="n">
        <x:v>1481</x:v>
      </x:c>
      <x:c r="D28" s="11" t="n">
        <x:v>3433060</x:v>
      </x:c>
      <x:c r="E28" s="11" t="n">
        <x:v>0</x:v>
      </x:c>
      <x:c r="F28" s="11" t="n">
        <x:v>147</x:v>
      </x:c>
      <x:c r="G28" s="11" t="n">
        <x:v>0</x:v>
      </x:c>
      <x:c r="H28" s="11" t="n">
        <x:v>0</x:v>
      </x:c>
      <x:c r="I28" s="11" t="n">
        <x:v>481</x:v>
      </x:c>
      <x:c r="J28" s="11" t="n">
        <x:v>433</x:v>
      </x:c>
      <x:c r="K28" s="11" t="n">
        <x:v>346</x:v>
      </x:c>
      <x:c r="L28" s="11" t="n">
        <x:v>35</x:v>
      </x:c>
      <x:c r="M28" s="11" t="n">
        <x:v>39</x:v>
      </x:c>
      <x:c r="N28" s="11" t="n">
        <x:v>0</x:v>
      </x:c>
      <x:c r="O28" s="11" t="n">
        <x:v>0</x:v>
      </x:c>
      <x:c r="P28" s="11" t="n">
        <x:v>310690</x:v>
      </x:c>
      <x:c r="Q28" s="11" t="n">
        <x:v>0</x:v>
      </x:c>
      <x:c r="R28" s="11" t="n">
        <x:v>0</x:v>
      </x:c>
      <x:c r="S28" s="11" t="n">
        <x:v>380980</x:v>
      </x:c>
      <x:c r="T28" s="11" t="n">
        <x:v>1181458</x:v>
      </x:c>
      <x:c r="U28" s="11" t="n">
        <x:v>982506</x:v>
      </x:c>
      <x:c r="V28" s="11" t="n">
        <x:v>201026</x:v>
      </x:c>
      <x:c r="W28" s="11" t="n">
        <x:v>376400</x:v>
      </x:c>
      <x:c r="X28" s="11" t="n">
        <x:v>0</x:v>
      </x:c>
      <x:c r="Y28" s="11" t="n">
        <x:v>900</x:v>
      </x:c>
      <x:c r="Z28" s="11" t="n">
        <x:v>1061</x:v>
      </x:c>
      <x:c r="AA28" s="11" t="n">
        <x:v>135</x:v>
      </x:c>
      <x:c r="AB28" s="11" t="n">
        <x:v>1</x:v>
      </x:c>
      <x:c r="AC28" s="11" t="n">
        <x:v>880</x:v>
      </x:c>
      <x:c r="AD28" s="11" t="n">
        <x:v>1006</x:v>
      </x:c>
      <x:c r="AE28" s="11" t="n">
        <x:v>1128</x:v>
      </x:c>
      <x:c r="AF28" s="11" t="n">
        <x:v>167</x:v>
      </x:c>
      <x:c r="AG28" s="11" t="n">
        <x:v>67</x:v>
      </x:c>
      <x:c r="AH28" s="11" t="n">
        <x:v>40</x:v>
      </x:c>
    </x:row>
    <x:row r="29" ht="23" customHeight="1">
      <x:c r="A29" s="12" t="str">
        <x:v>c</x:v>
      </x:c>
      <x:c r="B29" s="12" t="str">
        <x:v>N_H0</x:v>
      </x:c>
      <x:c r="C29" s="13" t="n">
        <x:v>1747</x:v>
      </x:c>
      <x:c r="D29" s="11" t="n">
        <x:v>11760345</x:v>
      </x:c>
      <x:c r="E29" s="11" t="n">
        <x:v>0</x:v>
      </x:c>
      <x:c r="F29" s="11" t="n">
        <x:v>185</x:v>
      </x:c>
      <x:c r="G29" s="11" t="n">
        <x:v>0</x:v>
      </x:c>
      <x:c r="H29" s="11" t="n">
        <x:v>0</x:v>
      </x:c>
      <x:c r="I29" s="11" t="n">
        <x:v>1005</x:v>
      </x:c>
      <x:c r="J29" s="11" t="n">
        <x:v>0</x:v>
      </x:c>
      <x:c r="K29" s="11" t="n">
        <x:v>449</x:v>
      </x:c>
      <x:c r="L29" s="11" t="n">
        <x:v>33</x:v>
      </x:c>
      <x:c r="M29" s="11" t="n">
        <x:v>75</x:v>
      </x:c>
      <x:c r="N29" s="11" t="n">
        <x:v>0</x:v>
      </x:c>
      <x:c r="O29" s="11" t="n">
        <x:v>0</x:v>
      </x:c>
      <x:c r="P29" s="11" t="n">
        <x:v>463012</x:v>
      </x:c>
      <x:c r="Q29" s="11" t="n">
        <x:v>0</x:v>
      </x:c>
      <x:c r="R29" s="11" t="n">
        <x:v>0</x:v>
      </x:c>
      <x:c r="S29" s="11" t="n">
        <x:v>4619542</x:v>
      </x:c>
      <x:c r="T29" s="11" t="n">
        <x:v>0</x:v>
      </x:c>
      <x:c r="U29" s="11" t="n">
        <x:v>4478203</x:v>
      </x:c>
      <x:c r="V29" s="11" t="n">
        <x:v>793838</x:v>
      </x:c>
      <x:c r="W29" s="11" t="n">
        <x:v>1405750</x:v>
      </x:c>
      <x:c r="X29" s="11" t="n">
        <x:v>0</x:v>
      </x:c>
      <x:c r="Y29" s="11" t="n">
        <x:v>1133</x:v>
      </x:c>
      <x:c r="Z29" s="11" t="n">
        <x:v>1343</x:v>
      </x:c>
      <x:c r="AA29" s="11" t="n">
        <x:v>0</x:v>
      </x:c>
      <x:c r="AB29" s="11" t="n">
        <x:v>0</x:v>
      </x:c>
      <x:c r="AC29" s="11" t="n">
        <x:v>1133</x:v>
      </x:c>
      <x:c r="AD29" s="11" t="n">
        <x:v>1133</x:v>
      </x:c>
      <x:c r="AE29" s="11" t="str">
        <x:v>n.a.</x:v>
      </x:c>
      <x:c r="AF29" s="11" t="n">
        <x:v>125</x:v>
      </x:c>
      <x:c r="AG29" s="11" t="n">
        <x:v>23</x:v>
      </x:c>
      <x:c r="AH29" s="11" t="n">
        <x:v>21</x:v>
      </x:c>
    </x:row>
    <x:row r="30" ht="23" customHeight="1">
      <x:c r="A30" s="12" t="str">
        <x:v>c</x:v>
      </x:c>
      <x:c r="B30" s="12" t="str">
        <x:v>N_H1</x:v>
      </x:c>
      <x:c r="C30" s="13" t="n">
        <x:v>1747</x:v>
      </x:c>
      <x:c r="D30" s="11" t="n">
        <x:v>11760345</x:v>
      </x:c>
      <x:c r="E30" s="11" t="n">
        <x:v>0</x:v>
      </x:c>
      <x:c r="F30" s="11" t="n">
        <x:v>185</x:v>
      </x:c>
      <x:c r="G30" s="11" t="n">
        <x:v>0</x:v>
      </x:c>
      <x:c r="H30" s="11" t="n">
        <x:v>0</x:v>
      </x:c>
      <x:c r="I30" s="11" t="n">
        <x:v>971</x:v>
      </x:c>
      <x:c r="J30" s="11" t="n">
        <x:v>34</x:v>
      </x:c>
      <x:c r="K30" s="11" t="n">
        <x:v>449</x:v>
      </x:c>
      <x:c r="L30" s="11" t="n">
        <x:v>33</x:v>
      </x:c>
      <x:c r="M30" s="11" t="n">
        <x:v>75</x:v>
      </x:c>
      <x:c r="N30" s="11" t="n">
        <x:v>0</x:v>
      </x:c>
      <x:c r="O30" s="11" t="n">
        <x:v>0</x:v>
      </x:c>
      <x:c r="P30" s="11" t="n">
        <x:v>463012</x:v>
      </x:c>
      <x:c r="Q30" s="11" t="n">
        <x:v>0</x:v>
      </x:c>
      <x:c r="R30" s="11" t="n">
        <x:v>0</x:v>
      </x:c>
      <x:c r="S30" s="11" t="n">
        <x:v>4527846</x:v>
      </x:c>
      <x:c r="T30" s="11" t="n">
        <x:v>91696</x:v>
      </x:c>
      <x:c r="U30" s="11" t="n">
        <x:v>4478203</x:v>
      </x:c>
      <x:c r="V30" s="11" t="n">
        <x:v>793838</x:v>
      </x:c>
      <x:c r="W30" s="11" t="n">
        <x:v>1405750</x:v>
      </x:c>
      <x:c r="X30" s="11" t="n">
        <x:v>0</x:v>
      </x:c>
      <x:c r="Y30" s="11" t="n">
        <x:v>1133</x:v>
      </x:c>
      <x:c r="Z30" s="11" t="n">
        <x:v>1343</x:v>
      </x:c>
      <x:c r="AA30" s="11" t="n">
        <x:v>0</x:v>
      </x:c>
      <x:c r="AB30" s="11" t="n">
        <x:v>0</x:v>
      </x:c>
      <x:c r="AC30" s="11" t="n">
        <x:v>1248</x:v>
      </x:c>
      <x:c r="AD30" s="11" t="n">
        <x:v>1133</x:v>
      </x:c>
      <x:c r="AE30" s="11" t="str">
        <x:v>n.a.</x:v>
      </x:c>
      <x:c r="AF30" s="11" t="n">
        <x:v>125</x:v>
      </x:c>
      <x:c r="AG30" s="11" t="n">
        <x:v>23</x:v>
      </x:c>
      <x:c r="AH30" s="11" t="n">
        <x:v>21</x:v>
      </x:c>
    </x:row>
    <x:row r="31" ht="23" customHeight="1">
      <x:c r="A31" s="12" t="str">
        <x:v>c</x:v>
      </x:c>
      <x:c r="B31" s="12" t="str">
        <x:v>C_H0</x:v>
      </x:c>
      <x:c r="C31" s="13" t="n">
        <x:v>1747</x:v>
      </x:c>
      <x:c r="D31" s="11" t="n">
        <x:v>11760345</x:v>
      </x:c>
      <x:c r="E31" s="11" t="n">
        <x:v>0</x:v>
      </x:c>
      <x:c r="F31" s="11" t="n">
        <x:v>495</x:v>
      </x:c>
      <x:c r="G31" s="11" t="n">
        <x:v>0</x:v>
      </x:c>
      <x:c r="H31" s="11" t="n">
        <x:v>0</x:v>
      </x:c>
      <x:c r="I31" s="11" t="n">
        <x:v>1252</x:v>
      </x:c>
      <x:c r="J31" s="11" t="n">
        <x:v>0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 t="n">
        <x:v>0</x:v>
      </x:c>
      <x:c r="P31" s="11" t="n">
        <x:v>1254214</x:v>
      </x:c>
      <x:c r="Q31" s="11" t="n">
        <x:v>0</x:v>
      </x:c>
      <x:c r="R31" s="11" t="n">
        <x:v>0</x:v>
      </x:c>
      <x:c r="S31" s="11" t="n">
        <x:v>10506131</x:v>
      </x:c>
      <x:c r="T31" s="11" t="n">
        <x:v>0</x:v>
      </x:c>
      <x:c r="U31" s="11" t="n">
        <x:v>0</x:v>
      </x:c>
      <x:c r="V31" s="11" t="n">
        <x:v>0</x:v>
      </x:c>
      <x:c r="W31" s="11" t="n">
        <x:v>0</x:v>
      </x:c>
      <x:c r="X31" s="11" t="n">
        <x:v>0</x:v>
      </x:c>
      <x:c r="Y31" s="11" t="n">
        <x:v>1252</x:v>
      </x:c>
      <x:c r="Z31" s="11" t="n">
        <x:v>1252</x:v>
      </x:c>
      <x:c r="AA31" s="11" t="n">
        <x:v>0</x:v>
      </x:c>
      <x:c r="AB31" s="11" t="n">
        <x:v>0</x:v>
      </x:c>
      <x:c r="AC31" s="11" t="n">
        <x:v>1135</x:v>
      </x:c>
      <x:c r="AD31" s="11" t="str">
        <x:v>n.a.</x:v>
      </x:c>
      <x:c r="AE31" s="11" t="n">
        <x:v>1252</x:v>
      </x:c>
      <x:c r="AF31" s="11" t="n">
        <x:v>125</x:v>
      </x:c>
      <x:c r="AG31" s="11" t="n">
        <x:v>4</x:v>
      </x:c>
      <x:c r="AH31" s="11" t="n">
        <x:v>0</x:v>
      </x:c>
    </x:row>
    <x:row r="32" ht="23" customHeight="1">
      <x:c r="A32" s="12" t="str">
        <x:v>c</x:v>
      </x:c>
      <x:c r="B32" s="12" t="str">
        <x:v>C_H1</x:v>
      </x:c>
      <x:c r="C32" s="13" t="n">
        <x:v>1747</x:v>
      </x:c>
      <x:c r="D32" s="11" t="n">
        <x:v>11760345</x:v>
      </x:c>
      <x:c r="E32" s="11" t="n">
        <x:v>0</x:v>
      </x:c>
      <x:c r="F32" s="11" t="n">
        <x:v>491</x:v>
      </x:c>
      <x:c r="G32" s="11" t="n">
        <x:v>0</x:v>
      </x:c>
      <x:c r="H32" s="11" t="n">
        <x:v>0</x:v>
      </x:c>
      <x:c r="I32" s="11" t="n">
        <x:v>1252</x:v>
      </x:c>
      <x:c r="J32" s="11" t="n">
        <x:v>4</x:v>
      </x:c>
      <x:c r="K32" s="11" t="n">
        <x:v>0</x:v>
      </x:c>
      <x:c r="L32" s="11" t="n">
        <x:v>0</x:v>
      </x:c>
      <x:c r="M32" s="11" t="n">
        <x:v>0</x:v>
      </x:c>
      <x:c r="N32" s="11" t="n">
        <x:v>0</x:v>
      </x:c>
      <x:c r="O32" s="11" t="n">
        <x:v>0</x:v>
      </x:c>
      <x:c r="P32" s="11" t="n">
        <x:v>1248866</x:v>
      </x:c>
      <x:c r="Q32" s="11" t="n">
        <x:v>0</x:v>
      </x:c>
      <x:c r="R32" s="11" t="n">
        <x:v>0</x:v>
      </x:c>
      <x:c r="S32" s="11" t="n">
        <x:v>10506131</x:v>
      </x:c>
      <x:c r="T32" s="11" t="n">
        <x:v>5348</x:v>
      </x:c>
      <x:c r="U32" s="11" t="n">
        <x:v>0</x:v>
      </x:c>
      <x:c r="V32" s="11" t="n">
        <x:v>0</x:v>
      </x:c>
      <x:c r="W32" s="11" t="n">
        <x:v>0</x:v>
      </x:c>
      <x:c r="X32" s="11" t="n">
        <x:v>0</x:v>
      </x:c>
      <x:c r="Y32" s="11" t="n">
        <x:v>1252</x:v>
      </x:c>
      <x:c r="Z32" s="11" t="n">
        <x:v>1252</x:v>
      </x:c>
      <x:c r="AA32" s="11" t="n">
        <x:v>0</x:v>
      </x:c>
      <x:c r="AB32" s="11" t="n">
        <x:v>0</x:v>
      </x:c>
      <x:c r="AC32" s="11" t="n">
        <x:v>1139</x:v>
      </x:c>
      <x:c r="AD32" s="11" t="str">
        <x:v>n.a.</x:v>
      </x:c>
      <x:c r="AE32" s="11" t="n">
        <x:v>1252</x:v>
      </x:c>
      <x:c r="AF32" s="11" t="n">
        <x:v>125</x:v>
      </x:c>
      <x:c r="AG32" s="11" t="n">
        <x:v>4</x:v>
      </x:c>
      <x:c r="AH32" s="11" t="n">
        <x:v>0</x:v>
      </x:c>
    </x:row>
    <x:row r="33" ht="23" customHeight="1">
      <x:c r="A33" s="12" t="str">
        <x:v>c</x:v>
      </x:c>
      <x:c r="B33" s="12" t="str">
        <x:v>NG_H0</x:v>
      </x:c>
      <x:c r="C33" s="13" t="n">
        <x:v>1747</x:v>
      </x:c>
      <x:c r="D33" s="11" t="n">
        <x:v>11760345</x:v>
      </x:c>
      <x:c r="E33" s="11" t="n">
        <x:v>0</x:v>
      </x:c>
      <x:c r="F33" s="11" t="n">
        <x:v>126</x:v>
      </x:c>
      <x:c r="G33" s="11" t="n">
        <x:v>0</x:v>
      </x:c>
      <x:c r="H33" s="11" t="n">
        <x:v>0</x:v>
      </x:c>
      <x:c r="I33" s="11" t="n">
        <x:v>529</x:v>
      </x:c>
      <x:c r="J33" s="11" t="n">
        <x:v>535</x:v>
      </x:c>
      <x:c r="K33" s="11" t="n">
        <x:v>449</x:v>
      </x:c>
      <x:c r="L33" s="11" t="n">
        <x:v>33</x:v>
      </x:c>
      <x:c r="M33" s="11" t="n">
        <x:v>75</x:v>
      </x:c>
      <x:c r="N33" s="11" t="n">
        <x:v>0</x:v>
      </x:c>
      <x:c r="O33" s="11" t="n">
        <x:v>0</x:v>
      </x:c>
      <x:c r="P33" s="11" t="n">
        <x:v>122354</x:v>
      </x:c>
      <x:c r="Q33" s="11" t="n">
        <x:v>0</x:v>
      </x:c>
      <x:c r="R33" s="11" t="n">
        <x:v>0</x:v>
      </x:c>
      <x:c r="S33" s="11" t="n">
        <x:v>1198464</x:v>
      </x:c>
      <x:c r="T33" s="11" t="n">
        <x:v>3761736</x:v>
      </x:c>
      <x:c r="U33" s="11" t="n">
        <x:v>4478203</x:v>
      </x:c>
      <x:c r="V33" s="11" t="n">
        <x:v>793838</x:v>
      </x:c>
      <x:c r="W33" s="11" t="n">
        <x:v>1405750</x:v>
      </x:c>
      <x:c r="X33" s="11" t="n">
        <x:v>0</x:v>
      </x:c>
      <x:c r="Y33" s="11" t="n">
        <x:v>1133</x:v>
      </x:c>
      <x:c r="Z33" s="11" t="n">
        <x:v>1343</x:v>
      </x:c>
      <x:c r="AA33" s="11" t="n">
        <x:v>0</x:v>
      </x:c>
      <x:c r="AB33" s="11" t="n">
        <x:v>0</x:v>
      </x:c>
      <x:c r="AC33" s="11" t="n">
        <x:v>1133</x:v>
      </x:c>
      <x:c r="AD33" s="11" t="n">
        <x:v>1133</x:v>
      </x:c>
      <x:c r="AE33" s="11" t="str">
        <x:v>n.a.</x:v>
      </x:c>
      <x:c r="AF33" s="11" t="n">
        <x:v>125</x:v>
      </x:c>
      <x:c r="AG33" s="11" t="n">
        <x:v>23</x:v>
      </x:c>
      <x:c r="AH33" s="11" t="n">
        <x:v>21</x:v>
      </x:c>
    </x:row>
    <x:row r="34" ht="23" customHeight="1">
      <x:c r="A34" s="12" t="str">
        <x:v>c</x:v>
      </x:c>
      <x:c r="B34" s="12" t="str">
        <x:v>NG_H1</x:v>
      </x:c>
      <x:c r="C34" s="13" t="n">
        <x:v>1747</x:v>
      </x:c>
      <x:c r="D34" s="11" t="n">
        <x:v>11760345</x:v>
      </x:c>
      <x:c r="E34" s="11" t="n">
        <x:v>0</x:v>
      </x:c>
      <x:c r="F34" s="11" t="n">
        <x:v>107</x:v>
      </x:c>
      <x:c r="G34" s="11" t="n">
        <x:v>0</x:v>
      </x:c>
      <x:c r="H34" s="11" t="n">
        <x:v>0</x:v>
      </x:c>
      <x:c r="I34" s="11" t="n">
        <x:v>531</x:v>
      </x:c>
      <x:c r="J34" s="11" t="n">
        <x:v>552</x:v>
      </x:c>
      <x:c r="K34" s="11" t="n">
        <x:v>449</x:v>
      </x:c>
      <x:c r="L34" s="11" t="n">
        <x:v>33</x:v>
      </x:c>
      <x:c r="M34" s="11" t="n">
        <x:v>75</x:v>
      </x:c>
      <x:c r="N34" s="11" t="n">
        <x:v>0</x:v>
      </x:c>
      <x:c r="O34" s="11" t="n">
        <x:v>0</x:v>
      </x:c>
      <x:c r="P34" s="11" t="n">
        <x:v>110342</x:v>
      </x:c>
      <x:c r="Q34" s="11" t="n">
        <x:v>0</x:v>
      </x:c>
      <x:c r="R34" s="11" t="n">
        <x:v>0</x:v>
      </x:c>
      <x:c r="S34" s="11" t="n">
        <x:v>1203060</x:v>
      </x:c>
      <x:c r="T34" s="11" t="n">
        <x:v>3769152</x:v>
      </x:c>
      <x:c r="U34" s="11" t="n">
        <x:v>4478203</x:v>
      </x:c>
      <x:c r="V34" s="11" t="n">
        <x:v>793838</x:v>
      </x:c>
      <x:c r="W34" s="11" t="n">
        <x:v>1405750</x:v>
      </x:c>
      <x:c r="X34" s="11" t="n">
        <x:v>0</x:v>
      </x:c>
      <x:c r="Y34" s="11" t="n">
        <x:v>1133</x:v>
      </x:c>
      <x:c r="Z34" s="11" t="n">
        <x:v>1343</x:v>
      </x:c>
      <x:c r="AA34" s="11" t="n">
        <x:v>0</x:v>
      </x:c>
      <x:c r="AB34" s="11" t="n">
        <x:v>0</x:v>
      </x:c>
      <x:c r="AC34" s="11" t="n">
        <x:v>1248</x:v>
      </x:c>
      <x:c r="AD34" s="11" t="n">
        <x:v>1133</x:v>
      </x:c>
      <x:c r="AE34" s="11" t="str">
        <x:v>n.a.</x:v>
      </x:c>
      <x:c r="AF34" s="11" t="n">
        <x:v>125</x:v>
      </x:c>
      <x:c r="AG34" s="11" t="n">
        <x:v>23</x:v>
      </x:c>
      <x:c r="AH34" s="11" t="n">
        <x:v>21</x:v>
      </x:c>
    </x:row>
    <x:row r="35" ht="23" customHeight="1">
      <x:c r="A35" s="12" t="str">
        <x:v>c</x:v>
      </x:c>
      <x:c r="B35" s="12" t="str">
        <x:v>CG_H0</x:v>
      </x:c>
      <x:c r="C35" s="13" t="n">
        <x:v>1747</x:v>
      </x:c>
      <x:c r="D35" s="11" t="n">
        <x:v>11760345</x:v>
      </x:c>
      <x:c r="E35" s="11" t="n">
        <x:v>0</x:v>
      </x:c>
      <x:c r="F35" s="11" t="n">
        <x:v>232</x:v>
      </x:c>
      <x:c r="G35" s="11" t="n">
        <x:v>0</x:v>
      </x:c>
      <x:c r="H35" s="11" t="n">
        <x:v>0</x:v>
      </x:c>
      <x:c r="I35" s="11" t="n">
        <x:v>619</x:v>
      </x:c>
      <x:c r="J35" s="11" t="n">
        <x:v>896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0</x:v>
      </x:c>
      <x:c r="P35" s="11" t="n">
        <x:v>384966</x:v>
      </x:c>
      <x:c r="Q35" s="11" t="n">
        <x:v>0</x:v>
      </x:c>
      <x:c r="R35" s="11" t="n">
        <x:v>0</x:v>
      </x:c>
      <x:c r="S35" s="11" t="n">
        <x:v>2276274</x:v>
      </x:c>
      <x:c r="T35" s="11" t="n">
        <x:v>9099105</x:v>
      </x:c>
      <x:c r="U35" s="11" t="n">
        <x:v>0</x:v>
      </x:c>
      <x:c r="V35" s="11" t="n">
        <x:v>0</x:v>
      </x:c>
      <x:c r="W35" s="11" t="n">
        <x:v>0</x:v>
      </x:c>
      <x:c r="X35" s="11" t="n">
        <x:v>0</x:v>
      </x:c>
      <x:c r="Y35" s="11" t="n">
        <x:v>1252</x:v>
      </x:c>
      <x:c r="Z35" s="11" t="n">
        <x:v>1252</x:v>
      </x:c>
      <x:c r="AA35" s="11" t="n">
        <x:v>0</x:v>
      </x:c>
      <x:c r="AB35" s="11" t="n">
        <x:v>0</x:v>
      </x:c>
      <x:c r="AC35" s="11" t="n">
        <x:v>1135</x:v>
      </x:c>
      <x:c r="AD35" s="11" t="str">
        <x:v>n.a.</x:v>
      </x:c>
      <x:c r="AE35" s="11" t="n">
        <x:v>1252</x:v>
      </x:c>
      <x:c r="AF35" s="11" t="n">
        <x:v>125</x:v>
      </x:c>
      <x:c r="AG35" s="11" t="n">
        <x:v>4</x:v>
      </x:c>
      <x:c r="AH35" s="11" t="n">
        <x:v>0</x:v>
      </x:c>
    </x:row>
    <x:row r="36" ht="23" customHeight="1">
      <x:c r="A36" s="12" t="str">
        <x:v>c</x:v>
      </x:c>
      <x:c r="B36" s="12" t="str">
        <x:v>CG_H1</x:v>
      </x:c>
      <x:c r="C36" s="13" t="n">
        <x:v>1747</x:v>
      </x:c>
      <x:c r="D36" s="11" t="n">
        <x:v>11760345</x:v>
      </x:c>
      <x:c r="E36" s="11" t="n">
        <x:v>0</x:v>
      </x:c>
      <x:c r="F36" s="11" t="n">
        <x:v>186</x:v>
      </x:c>
      <x:c r="G36" s="11" t="n">
        <x:v>0</x:v>
      </x:c>
      <x:c r="H36" s="11" t="n">
        <x:v>0</x:v>
      </x:c>
      <x:c r="I36" s="11" t="n">
        <x:v>664</x:v>
      </x:c>
      <x:c r="J36" s="11" t="n">
        <x:v>897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0</x:v>
      </x:c>
      <x:c r="P36" s="11" t="n">
        <x:v>325848</x:v>
      </x:c>
      <x:c r="Q36" s="11" t="n">
        <x:v>0</x:v>
      </x:c>
      <x:c r="R36" s="11" t="n">
        <x:v>0</x:v>
      </x:c>
      <x:c r="S36" s="11" t="n">
        <x:v>2333636</x:v>
      </x:c>
      <x:c r="T36" s="11" t="n">
        <x:v>9100861</x:v>
      </x:c>
      <x:c r="U36" s="11" t="n">
        <x:v>0</x:v>
      </x:c>
      <x:c r="V36" s="11" t="n">
        <x:v>0</x:v>
      </x:c>
      <x:c r="W36" s="11" t="n">
        <x:v>0</x:v>
      </x:c>
      <x:c r="X36" s="11" t="n">
        <x:v>0</x:v>
      </x:c>
      <x:c r="Y36" s="11" t="n">
        <x:v>1252</x:v>
      </x:c>
      <x:c r="Z36" s="11" t="n">
        <x:v>1252</x:v>
      </x:c>
      <x:c r="AA36" s="11" t="n">
        <x:v>0</x:v>
      </x:c>
      <x:c r="AB36" s="11" t="n">
        <x:v>0</x:v>
      </x:c>
      <x:c r="AC36" s="11" t="n">
        <x:v>1139</x:v>
      </x:c>
      <x:c r="AD36" s="11" t="str">
        <x:v>n.a.</x:v>
      </x:c>
      <x:c r="AE36" s="11" t="n">
        <x:v>1252</x:v>
      </x:c>
      <x:c r="AF36" s="11" t="n">
        <x:v>125</x:v>
      </x:c>
      <x:c r="AG36" s="11" t="n">
        <x:v>4</x:v>
      </x:c>
      <x:c r="AH36" s="11" t="n">
        <x:v>0</x:v>
      </x:c>
    </x:row>
    <x:row r="37" ht="23" customHeight="1">
      <x:c r="A37" s="12" t="str">
        <x:v>c</x:v>
      </x:c>
      <x:c r="B37" s="12" t="str">
        <x:v>NC_H0</x:v>
      </x:c>
      <x:c r="C37" s="13" t="n">
        <x:v>1747</x:v>
      </x:c>
      <x:c r="D37" s="11" t="n">
        <x:v>11760345</x:v>
      </x:c>
      <x:c r="E37" s="11" t="n">
        <x:v>0</x:v>
      </x:c>
      <x:c r="F37" s="11" t="n">
        <x:v>440</x:v>
      </x:c>
      <x:c r="G37" s="11" t="n">
        <x:v>0</x:v>
      </x:c>
      <x:c r="H37" s="11" t="n">
        <x:v>0</x:v>
      </x:c>
      <x:c r="I37" s="11" t="n">
        <x:v>805</x:v>
      </x:c>
      <x:c r="J37" s="11" t="n">
        <x:v>0</x:v>
      </x:c>
      <x:c r="K37" s="11" t="n">
        <x:v>429</x:v>
      </x:c>
      <x:c r="L37" s="11" t="n">
        <x:v>33</x:v>
      </x:c>
      <x:c r="M37" s="11" t="n">
        <x:v>40</x:v>
      </x:c>
      <x:c r="N37" s="11" t="n">
        <x:v>0</x:v>
      </x:c>
      <x:c r="O37" s="11" t="n">
        <x:v>0</x:v>
      </x:c>
      <x:c r="P37" s="11" t="n">
        <x:v>1041218</x:v>
      </x:c>
      <x:c r="Q37" s="11" t="n">
        <x:v>0</x:v>
      </x:c>
      <x:c r="R37" s="11" t="n">
        <x:v>0</x:v>
      </x:c>
      <x:c r="S37" s="11" t="n">
        <x:v>4368020</x:v>
      </x:c>
      <x:c r="T37" s="11" t="n">
        <x:v>0</x:v>
      </x:c>
      <x:c r="U37" s="11" t="n">
        <x:v>4759739</x:v>
      </x:c>
      <x:c r="V37" s="11" t="n">
        <x:v>793838</x:v>
      </x:c>
      <x:c r="W37" s="11" t="n">
        <x:v>797530</x:v>
      </x:c>
      <x:c r="X37" s="11" t="n">
        <x:v>0</x:v>
      </x:c>
      <x:c r="Y37" s="11" t="n">
        <x:v>937</x:v>
      </x:c>
      <x:c r="Z37" s="11" t="n">
        <x:v>1131</x:v>
      </x:c>
      <x:c r="AA37" s="11" t="n">
        <x:v>265</x:v>
      </x:c>
      <x:c r="AB37" s="11" t="n">
        <x:v>0</x:v>
      </x:c>
      <x:c r="AC37" s="11" t="n">
        <x:v>1001</x:v>
      </x:c>
      <x:c r="AD37" s="11" t="n">
        <x:v>1133</x:v>
      </x:c>
      <x:c r="AE37" s="11" t="n">
        <x:v>1252</x:v>
      </x:c>
      <x:c r="AF37" s="11" t="n">
        <x:v>125</x:v>
      </x:c>
      <x:c r="AG37" s="11" t="n">
        <x:v>6</x:v>
      </x:c>
      <x:c r="AH37" s="11" t="n">
        <x:v>4</x:v>
      </x:c>
    </x:row>
    <x:row r="38" ht="23" customHeight="1">
      <x:c r="A38" s="12" t="str">
        <x:v>c</x:v>
      </x:c>
      <x:c r="B38" s="12" t="str">
        <x:v>NC_H1</x:v>
      </x:c>
      <x:c r="C38" s="13" t="n">
        <x:v>1747</x:v>
      </x:c>
      <x:c r="D38" s="11" t="n">
        <x:v>11760345</x:v>
      </x:c>
      <x:c r="E38" s="11" t="n">
        <x:v>0</x:v>
      </x:c>
      <x:c r="F38" s="11" t="n">
        <x:v>434</x:v>
      </x:c>
      <x:c r="G38" s="11" t="n">
        <x:v>0</x:v>
      </x:c>
      <x:c r="H38" s="11" t="n">
        <x:v>0</x:v>
      </x:c>
      <x:c r="I38" s="11" t="n">
        <x:v>772</x:v>
      </x:c>
      <x:c r="J38" s="11" t="n">
        <x:v>37</x:v>
      </x:c>
      <x:c r="K38" s="11" t="n">
        <x:v>431</x:v>
      </x:c>
      <x:c r="L38" s="11" t="n">
        <x:v>33</x:v>
      </x:c>
      <x:c r="M38" s="11" t="n">
        <x:v>40</x:v>
      </x:c>
      <x:c r="N38" s="11" t="n">
        <x:v>0</x:v>
      </x:c>
      <x:c r="O38" s="11" t="n">
        <x:v>0</x:v>
      </x:c>
      <x:c r="P38" s="11" t="n">
        <x:v>1032958</x:v>
      </x:c>
      <x:c r="Q38" s="11" t="n">
        <x:v>0</x:v>
      </x:c>
      <x:c r="R38" s="11" t="n">
        <x:v>0</x:v>
      </x:c>
      <x:c r="S38" s="11" t="n">
        <x:v>4318252</x:v>
      </x:c>
      <x:c r="T38" s="11" t="n">
        <x:v>55116</x:v>
      </x:c>
      <x:c r="U38" s="11" t="n">
        <x:v>4762651</x:v>
      </x:c>
      <x:c r="V38" s="11" t="n">
        <x:v>793838</x:v>
      </x:c>
      <x:c r="W38" s="11" t="n">
        <x:v>797530</x:v>
      </x:c>
      <x:c r="X38" s="11" t="n">
        <x:v>0</x:v>
      </x:c>
      <x:c r="Y38" s="11" t="n">
        <x:v>937</x:v>
      </x:c>
      <x:c r="Z38" s="11" t="n">
        <x:v>1131</x:v>
      </x:c>
      <x:c r="AA38" s="11" t="n">
        <x:v>265</x:v>
      </x:c>
      <x:c r="AB38" s="11" t="n">
        <x:v>0</x:v>
      </x:c>
      <x:c r="AC38" s="11" t="n">
        <x:v>1088</x:v>
      </x:c>
      <x:c r="AD38" s="11" t="n">
        <x:v>1133</x:v>
      </x:c>
      <x:c r="AE38" s="11" t="n">
        <x:v>1252</x:v>
      </x:c>
      <x:c r="AF38" s="11" t="n">
        <x:v>125</x:v>
      </x:c>
      <x:c r="AG38" s="11" t="n">
        <x:v>6</x:v>
      </x:c>
      <x:c r="AH38" s="11" t="n">
        <x:v>4</x:v>
      </x:c>
    </x:row>
    <x:row r="39" ht="23" customHeight="1">
      <x:c r="A39" s="12" t="str">
        <x:v>c</x:v>
      </x:c>
      <x:c r="B39" s="12" t="str">
        <x:v>NCG_H0</x:v>
      </x:c>
      <x:c r="C39" s="13" t="n">
        <x:v>1747</x:v>
      </x:c>
      <x:c r="D39" s="11" t="n">
        <x:v>11760345</x:v>
      </x:c>
      <x:c r="E39" s="11" t="n">
        <x:v>0</x:v>
      </x:c>
      <x:c r="F39" s="11" t="n">
        <x:v>209</x:v>
      </x:c>
      <x:c r="G39" s="11" t="n">
        <x:v>0</x:v>
      </x:c>
      <x:c r="H39" s="11" t="n">
        <x:v>0</x:v>
      </x:c>
      <x:c r="I39" s="11" t="n">
        <x:v>458</x:v>
      </x:c>
      <x:c r="J39" s="11" t="n">
        <x:v>578</x:v>
      </x:c>
      <x:c r="K39" s="11" t="n">
        <x:v>429</x:v>
      </x:c>
      <x:c r="L39" s="11" t="n">
        <x:v>33</x:v>
      </x:c>
      <x:c r="M39" s="11" t="n">
        <x:v>40</x:v>
      </x:c>
      <x:c r="N39" s="11" t="n">
        <x:v>0</x:v>
      </x:c>
      <x:c r="O39" s="11" t="n">
        <x:v>0</x:v>
      </x:c>
      <x:c r="P39" s="11" t="n">
        <x:v>355536</x:v>
      </x:c>
      <x:c r="Q39" s="11" t="n">
        <x:v>0</x:v>
      </x:c>
      <x:c r="R39" s="11" t="n">
        <x:v>0</x:v>
      </x:c>
      <x:c r="S39" s="11" t="n">
        <x:v>1064542</x:v>
      </x:c>
      <x:c r="T39" s="11" t="n">
        <x:v>3989160</x:v>
      </x:c>
      <x:c r="U39" s="11" t="n">
        <x:v>4759739</x:v>
      </x:c>
      <x:c r="V39" s="11" t="n">
        <x:v>793838</x:v>
      </x:c>
      <x:c r="W39" s="11" t="n">
        <x:v>797530</x:v>
      </x:c>
      <x:c r="X39" s="11" t="n">
        <x:v>0</x:v>
      </x:c>
      <x:c r="Y39" s="11" t="n">
        <x:v>937</x:v>
      </x:c>
      <x:c r="Z39" s="11" t="n">
        <x:v>1131</x:v>
      </x:c>
      <x:c r="AA39" s="11" t="n">
        <x:v>265</x:v>
      </x:c>
      <x:c r="AB39" s="11" t="n">
        <x:v>0</x:v>
      </x:c>
      <x:c r="AC39" s="11" t="n">
        <x:v>1001</x:v>
      </x:c>
      <x:c r="AD39" s="11" t="n">
        <x:v>1133</x:v>
      </x:c>
      <x:c r="AE39" s="11" t="n">
        <x:v>1252</x:v>
      </x:c>
      <x:c r="AF39" s="11" t="n">
        <x:v>125</x:v>
      </x:c>
      <x:c r="AG39" s="11" t="n">
        <x:v>6</x:v>
      </x:c>
      <x:c r="AH39" s="11" t="n">
        <x:v>4</x:v>
      </x:c>
    </x:row>
    <x:row r="40" ht="23" customHeight="1">
      <x:c r="A40" s="12" t="str">
        <x:v>c</x:v>
      </x:c>
      <x:c r="B40" s="12" t="str">
        <x:v>NCG_H1</x:v>
      </x:c>
      <x:c r="C40" s="13" t="n">
        <x:v>1747</x:v>
      </x:c>
      <x:c r="D40" s="11" t="n">
        <x:v>11760345</x:v>
      </x:c>
      <x:c r="E40" s="11" t="n">
        <x:v>0</x:v>
      </x:c>
      <x:c r="F40" s="11" t="n">
        <x:v>169</x:v>
      </x:c>
      <x:c r="G40" s="11" t="n">
        <x:v>0</x:v>
      </x:c>
      <x:c r="H40" s="11" t="n">
        <x:v>0</x:v>
      </x:c>
      <x:c r="I40" s="11" t="n">
        <x:v>478</x:v>
      </x:c>
      <x:c r="J40" s="11" t="n">
        <x:v>596</x:v>
      </x:c>
      <x:c r="K40" s="11" t="n">
        <x:v>431</x:v>
      </x:c>
      <x:c r="L40" s="11" t="n">
        <x:v>33</x:v>
      </x:c>
      <x:c r="M40" s="11" t="n">
        <x:v>40</x:v>
      </x:c>
      <x:c r="N40" s="11" t="n">
        <x:v>0</x:v>
      </x:c>
      <x:c r="O40" s="11" t="n">
        <x:v>0</x:v>
      </x:c>
      <x:c r="P40" s="11" t="n">
        <x:v>297226</x:v>
      </x:c>
      <x:c r="Q40" s="11" t="n">
        <x:v>0</x:v>
      </x:c>
      <x:c r="R40" s="11" t="n">
        <x:v>0</x:v>
      </x:c>
      <x:c r="S40" s="11" t="n">
        <x:v>1110768</x:v>
      </x:c>
      <x:c r="T40" s="11" t="n">
        <x:v>3998332</x:v>
      </x:c>
      <x:c r="U40" s="11" t="n">
        <x:v>4762651</x:v>
      </x:c>
      <x:c r="V40" s="11" t="n">
        <x:v>793838</x:v>
      </x:c>
      <x:c r="W40" s="11" t="n">
        <x:v>797530</x:v>
      </x:c>
      <x:c r="X40" s="11" t="n">
        <x:v>0</x:v>
      </x:c>
      <x:c r="Y40" s="11" t="n">
        <x:v>937</x:v>
      </x:c>
      <x:c r="Z40" s="11" t="n">
        <x:v>1131</x:v>
      </x:c>
      <x:c r="AA40" s="11" t="n">
        <x:v>265</x:v>
      </x:c>
      <x:c r="AB40" s="11" t="n">
        <x:v>0</x:v>
      </x:c>
      <x:c r="AC40" s="11" t="n">
        <x:v>1088</x:v>
      </x:c>
      <x:c r="AD40" s="11" t="n">
        <x:v>1133</x:v>
      </x:c>
      <x:c r="AE40" s="11" t="n">
        <x:v>1252</x:v>
      </x:c>
      <x:c r="AF40" s="11" t="n">
        <x:v>125</x:v>
      </x:c>
      <x:c r="AG40" s="11" t="n">
        <x:v>6</x:v>
      </x:c>
      <x:c r="AH40" s="11" t="n">
        <x:v>4</x:v>
      </x:c>
    </x:row>
    <x:row r="41" ht="23" customHeight="1">
      <x:c r="A41" s="12" t="str">
        <x:v>d</x:v>
      </x:c>
      <x:c r="B41" s="12" t="str">
        <x:v>N_H0</x:v>
      </x:c>
      <x:c r="C41" s="13" t="n">
        <x:v>1167</x:v>
      </x:c>
      <x:c r="D41" s="11" t="n">
        <x:v>1723934</x:v>
      </x:c>
      <x:c r="E41" s="11" t="n">
        <x:v>0</x:v>
      </x:c>
      <x:c r="F41" s="11" t="n">
        <x:v>156</x:v>
      </x:c>
      <x:c r="G41" s="11" t="n">
        <x:v>0</x:v>
      </x:c>
      <x:c r="H41" s="11" t="n">
        <x:v>0</x:v>
      </x:c>
      <x:c r="I41" s="11" t="n">
        <x:v>836</x:v>
      </x:c>
      <x:c r="J41" s="11" t="n">
        <x:v>0</x:v>
      </x:c>
      <x:c r="K41" s="11" t="n">
        <x:v>155</x:v>
      </x:c>
      <x:c r="L41" s="11" t="n">
        <x:v>12</x:v>
      </x:c>
      <x:c r="M41" s="11" t="n">
        <x:v>8</x:v>
      </x:c>
      <x:c r="N41" s="11" t="n">
        <x:v>0</x:v>
      </x:c>
      <x:c r="O41" s="11" t="n">
        <x:v>0</x:v>
      </x:c>
      <x:c r="P41" s="11" t="n">
        <x:v>113092</x:v>
      </x:c>
      <x:c r="Q41" s="11" t="n">
        <x:v>0</x:v>
      </x:c>
      <x:c r="R41" s="11" t="n">
        <x:v>0</x:v>
      </x:c>
      <x:c r="S41" s="11" t="n">
        <x:v>1303682</x:v>
      </x:c>
      <x:c r="T41" s="11" t="n">
        <x:v>0</x:v>
      </x:c>
      <x:c r="U41" s="11" t="n">
        <x:v>250090</x:v>
      </x:c>
      <x:c r="V41" s="11" t="n">
        <x:v>44386</x:v>
      </x:c>
      <x:c r="W41" s="11" t="n">
        <x:v>12684</x:v>
      </x:c>
      <x:c r="X41" s="11" t="n">
        <x:v>0</x:v>
      </x:c>
      <x:c r="Y41" s="11" t="n">
        <x:v>725</x:v>
      </x:c>
      <x:c r="Z41" s="11" t="n">
        <x:v>925</x:v>
      </x:c>
      <x:c r="AA41" s="11" t="n">
        <x:v>0</x:v>
      </x:c>
      <x:c r="AB41" s="11" t="n">
        <x:v>0</x:v>
      </x:c>
      <x:c r="AC41" s="11" t="n">
        <x:v>725</x:v>
      </x:c>
      <x:c r="AD41" s="11" t="n">
        <x:v>725</x:v>
      </x:c>
      <x:c r="AE41" s="11" t="str">
        <x:v>n.a.</x:v>
      </x:c>
      <x:c r="AF41" s="11" t="n">
        <x:v>60</x:v>
      </x:c>
      <x:c r="AG41" s="11" t="n">
        <x:v>22</x:v>
      </x:c>
      <x:c r="AH41" s="11" t="n">
        <x:v>11</x:v>
      </x:c>
    </x:row>
    <x:row r="42" ht="23" customHeight="1">
      <x:c r="A42" s="12" t="str">
        <x:v>d</x:v>
      </x:c>
      <x:c r="B42" s="12" t="str">
        <x:v>N_H1</x:v>
      </x:c>
      <x:c r="C42" s="13" t="n">
        <x:v>1167</x:v>
      </x:c>
      <x:c r="D42" s="11" t="n">
        <x:v>1723934</x:v>
      </x:c>
      <x:c r="E42" s="11" t="n">
        <x:v>0</x:v>
      </x:c>
      <x:c r="F42" s="11" t="n">
        <x:v>156</x:v>
      </x:c>
      <x:c r="G42" s="11" t="n">
        <x:v>0</x:v>
      </x:c>
      <x:c r="H42" s="11" t="n">
        <x:v>0</x:v>
      </x:c>
      <x:c r="I42" s="11" t="n">
        <x:v>824</x:v>
      </x:c>
      <x:c r="J42" s="11" t="n">
        <x:v>11</x:v>
      </x:c>
      <x:c r="K42" s="11" t="n">
        <x:v>156</x:v>
      </x:c>
      <x:c r="L42" s="11" t="n">
        <x:v>12</x:v>
      </x:c>
      <x:c r="M42" s="11" t="n">
        <x:v>8</x:v>
      </x:c>
      <x:c r="N42" s="11" t="n">
        <x:v>0</x:v>
      </x:c>
      <x:c r="O42" s="11" t="n">
        <x:v>0</x:v>
      </x:c>
      <x:c r="P42" s="11" t="n">
        <x:v>113092</x:v>
      </x:c>
      <x:c r="Q42" s="11" t="n">
        <x:v>0</x:v>
      </x:c>
      <x:c r="R42" s="11" t="n">
        <x:v>0</x:v>
      </x:c>
      <x:c r="S42" s="11" t="n">
        <x:v>1297232</x:v>
      </x:c>
      <x:c r="T42" s="11" t="n">
        <x:v>5558</x:v>
      </x:c>
      <x:c r="U42" s="11" t="n">
        <x:v>250982</x:v>
      </x:c>
      <x:c r="V42" s="11" t="n">
        <x:v>44386</x:v>
      </x:c>
      <x:c r="W42" s="11" t="n">
        <x:v>12684</x:v>
      </x:c>
      <x:c r="X42" s="11" t="n">
        <x:v>0</x:v>
      </x:c>
      <x:c r="Y42" s="11" t="n">
        <x:v>725</x:v>
      </x:c>
      <x:c r="Z42" s="11" t="n">
        <x:v>925</x:v>
      </x:c>
      <x:c r="AA42" s="11" t="n">
        <x:v>0</x:v>
      </x:c>
      <x:c r="AB42" s="11" t="n">
        <x:v>0</x:v>
      </x:c>
      <x:c r="AC42" s="11" t="n">
        <x:v>740</x:v>
      </x:c>
      <x:c r="AD42" s="11" t="n">
        <x:v>725</x:v>
      </x:c>
      <x:c r="AE42" s="11" t="str">
        <x:v>n.a.</x:v>
      </x:c>
      <x:c r="AF42" s="11" t="n">
        <x:v>60</x:v>
      </x:c>
      <x:c r="AG42" s="11" t="n">
        <x:v>22</x:v>
      </x:c>
      <x:c r="AH42" s="11" t="n">
        <x:v>11</x:v>
      </x:c>
    </x:row>
    <x:row r="43" ht="23" customHeight="1">
      <x:c r="A43" s="12" t="str">
        <x:v>d</x:v>
      </x:c>
      <x:c r="B43" s="12" t="str">
        <x:v>C_H0</x:v>
      </x:c>
      <x:c r="C43" s="13" t="n">
        <x:v>1167</x:v>
      </x:c>
      <x:c r="D43" s="11" t="n">
        <x:v>1723934</x:v>
      </x:c>
      <x:c r="E43" s="11" t="n">
        <x:v>0</x:v>
      </x:c>
      <x:c r="F43" s="11" t="n">
        <x:v>301</x:v>
      </x:c>
      <x:c r="G43" s="11" t="n">
        <x:v>0</x:v>
      </x:c>
      <x:c r="H43" s="11" t="n">
        <x:v>0</x:v>
      </x:c>
      <x:c r="I43" s="11" t="n">
        <x:v>861</x:v>
      </x:c>
      <x:c r="J43" s="11" t="n">
        <x:v>0</x:v>
      </x:c>
      <x:c r="K43" s="11" t="n">
        <x:v>5</x:v>
      </x:c>
      <x:c r="L43" s="11" t="n">
        <x:v>0</x:v>
      </x:c>
      <x:c r="M43" s="11" t="n">
        <x:v>0</x:v>
      </x:c>
      <x:c r="N43" s="11" t="n">
        <x:v>0</x:v>
      </x:c>
      <x:c r="O43" s="11" t="n">
        <x:v>0</x:v>
      </x:c>
      <x:c r="P43" s="11" t="n">
        <x:v>260850</x:v>
      </x:c>
      <x:c r="Q43" s="11" t="n">
        <x:v>0</x:v>
      </x:c>
      <x:c r="R43" s="11" t="n">
        <x:v>0</x:v>
      </x:c>
      <x:c r="S43" s="11" t="n">
        <x:v>1446848</x:v>
      </x:c>
      <x:c r="T43" s="11" t="n">
        <x:v>0</x:v>
      </x:c>
      <x:c r="U43" s="11" t="n">
        <x:v>16236</x:v>
      </x:c>
      <x:c r="V43" s="11" t="n">
        <x:v>0</x:v>
      </x:c>
      <x:c r="W43" s="11" t="n">
        <x:v>0</x:v>
      </x:c>
      <x:c r="X43" s="11" t="n">
        <x:v>0</x:v>
      </x:c>
      <x:c r="Y43" s="11" t="n">
        <x:v>861</x:v>
      </x:c>
      <x:c r="Z43" s="11" t="n">
        <x:v>866</x:v>
      </x:c>
      <x:c r="AA43" s="11" t="n">
        <x:v>0</x:v>
      </x:c>
      <x:c r="AB43" s="11" t="n">
        <x:v>0</x:v>
      </x:c>
      <x:c r="AC43" s="11" t="n">
        <x:v>720</x:v>
      </x:c>
      <x:c r="AD43" s="11" t="str">
        <x:v>n.a.</x:v>
      </x:c>
      <x:c r="AE43" s="11" t="n">
        <x:v>861</x:v>
      </x:c>
      <x:c r="AF43" s="11" t="n">
        <x:v>60</x:v>
      </x:c>
      <x:c r="AG43" s="11" t="n">
        <x:v>32</x:v>
      </x:c>
      <x:c r="AH43" s="11" t="n">
        <x:v>20</x:v>
      </x:c>
    </x:row>
    <x:row r="44" ht="23" customHeight="1">
      <x:c r="A44" s="12" t="str">
        <x:v>d</x:v>
      </x:c>
      <x:c r="B44" s="12" t="str">
        <x:v>C_H1</x:v>
      </x:c>
      <x:c r="C44" s="13" t="n">
        <x:v>1167</x:v>
      </x:c>
      <x:c r="D44" s="11" t="n">
        <x:v>1723934</x:v>
      </x:c>
      <x:c r="E44" s="11" t="n">
        <x:v>0</x:v>
      </x:c>
      <x:c r="F44" s="11" t="n">
        <x:v>301</x:v>
      </x:c>
      <x:c r="G44" s="11" t="n">
        <x:v>0</x:v>
      </x:c>
      <x:c r="H44" s="11" t="n">
        <x:v>0</x:v>
      </x:c>
      <x:c r="I44" s="11" t="n">
        <x:v>861</x:v>
      </x:c>
      <x:c r="J44" s="11" t="n">
        <x:v>0</x:v>
      </x:c>
      <x:c r="K44" s="11" t="n">
        <x:v>5</x:v>
      </x:c>
      <x:c r="L44" s="11" t="n">
        <x:v>0</x:v>
      </x:c>
      <x:c r="M44" s="11" t="n">
        <x:v>0</x:v>
      </x:c>
      <x:c r="N44" s="11" t="n">
        <x:v>0</x:v>
      </x:c>
      <x:c r="O44" s="11" t="n">
        <x:v>0</x:v>
      </x:c>
      <x:c r="P44" s="11" t="n">
        <x:v>260850</x:v>
      </x:c>
      <x:c r="Q44" s="11" t="n">
        <x:v>0</x:v>
      </x:c>
      <x:c r="R44" s="11" t="n">
        <x:v>0</x:v>
      </x:c>
      <x:c r="S44" s="11" t="n">
        <x:v>1446848</x:v>
      </x:c>
      <x:c r="T44" s="11" t="n">
        <x:v>0</x:v>
      </x:c>
      <x:c r="U44" s="11" t="n">
        <x:v>16236</x:v>
      </x:c>
      <x:c r="V44" s="11" t="n">
        <x:v>0</x:v>
      </x:c>
      <x:c r="W44" s="11" t="n">
        <x:v>0</x:v>
      </x:c>
      <x:c r="X44" s="11" t="n">
        <x:v>0</x:v>
      </x:c>
      <x:c r="Y44" s="11" t="n">
        <x:v>861</x:v>
      </x:c>
      <x:c r="Z44" s="11" t="n">
        <x:v>866</x:v>
      </x:c>
      <x:c r="AA44" s="11" t="n">
        <x:v>0</x:v>
      </x:c>
      <x:c r="AB44" s="11" t="n">
        <x:v>0</x:v>
      </x:c>
      <x:c r="AC44" s="11" t="n">
        <x:v>720</x:v>
      </x:c>
      <x:c r="AD44" s="11" t="str">
        <x:v>n.a.</x:v>
      </x:c>
      <x:c r="AE44" s="11" t="n">
        <x:v>861</x:v>
      </x:c>
      <x:c r="AF44" s="11" t="n">
        <x:v>60</x:v>
      </x:c>
      <x:c r="AG44" s="11" t="n">
        <x:v>32</x:v>
      </x:c>
      <x:c r="AH44" s="11" t="n">
        <x:v>20</x:v>
      </x:c>
    </x:row>
    <x:row r="45" ht="23" customHeight="1">
      <x:c r="A45" s="12" t="str">
        <x:v>d</x:v>
      </x:c>
      <x:c r="B45" s="12" t="str">
        <x:v>NG_H0</x:v>
      </x:c>
      <x:c r="C45" s="13" t="n">
        <x:v>1167</x:v>
      </x:c>
      <x:c r="D45" s="11" t="n">
        <x:v>1723934</x:v>
      </x:c>
      <x:c r="E45" s="11" t="n">
        <x:v>0</x:v>
      </x:c>
      <x:c r="F45" s="11" t="n">
        <x:v>148</x:v>
      </x:c>
      <x:c r="G45" s="11" t="n">
        <x:v>0</x:v>
      </x:c>
      <x:c r="H45" s="11" t="n">
        <x:v>0</x:v>
      </x:c>
      <x:c r="I45" s="11" t="n">
        <x:v>420</x:v>
      </x:c>
      <x:c r="J45" s="11" t="n">
        <x:v>424</x:v>
      </x:c>
      <x:c r="K45" s="11" t="n">
        <x:v>155</x:v>
      </x:c>
      <x:c r="L45" s="11" t="n">
        <x:v>12</x:v>
      </x:c>
      <x:c r="M45" s="11" t="n">
        <x:v>8</x:v>
      </x:c>
      <x:c r="N45" s="11" t="n">
        <x:v>0</x:v>
      </x:c>
      <x:c r="O45" s="11" t="n">
        <x:v>0</x:v>
      </x:c>
      <x:c r="P45" s="11" t="n">
        <x:v>95532</x:v>
      </x:c>
      <x:c r="Q45" s="11" t="n">
        <x:v>0</x:v>
      </x:c>
      <x:c r="R45" s="11" t="n">
        <x:v>0</x:v>
      </x:c>
      <x:c r="S45" s="11" t="n">
        <x:v>468602</x:v>
      </x:c>
      <x:c r="T45" s="11" t="n">
        <x:v>852640</x:v>
      </x:c>
      <x:c r="U45" s="11" t="n">
        <x:v>250090</x:v>
      </x:c>
      <x:c r="V45" s="11" t="n">
        <x:v>44386</x:v>
      </x:c>
      <x:c r="W45" s="11" t="n">
        <x:v>12684</x:v>
      </x:c>
      <x:c r="X45" s="11" t="n">
        <x:v>0</x:v>
      </x:c>
      <x:c r="Y45" s="11" t="n">
        <x:v>725</x:v>
      </x:c>
      <x:c r="Z45" s="11" t="n">
        <x:v>925</x:v>
      </x:c>
      <x:c r="AA45" s="11" t="n">
        <x:v>0</x:v>
      </x:c>
      <x:c r="AB45" s="11" t="n">
        <x:v>0</x:v>
      </x:c>
      <x:c r="AC45" s="11" t="n">
        <x:v>725</x:v>
      </x:c>
      <x:c r="AD45" s="11" t="n">
        <x:v>725</x:v>
      </x:c>
      <x:c r="AE45" s="11" t="str">
        <x:v>n.a.</x:v>
      </x:c>
      <x:c r="AF45" s="11" t="n">
        <x:v>60</x:v>
      </x:c>
      <x:c r="AG45" s="11" t="n">
        <x:v>22</x:v>
      </x:c>
      <x:c r="AH45" s="11" t="n">
        <x:v>11</x:v>
      </x:c>
    </x:row>
    <x:row r="46" ht="23" customHeight="1">
      <x:c r="A46" s="12" t="str">
        <x:v>d</x:v>
      </x:c>
      <x:c r="B46" s="12" t="str">
        <x:v>NG_H1</x:v>
      </x:c>
      <x:c r="C46" s="13" t="n">
        <x:v>1167</x:v>
      </x:c>
      <x:c r="D46" s="11" t="n">
        <x:v>1723934</x:v>
      </x:c>
      <x:c r="E46" s="11" t="n">
        <x:v>0</x:v>
      </x:c>
      <x:c r="F46" s="11" t="n">
        <x:v>148</x:v>
      </x:c>
      <x:c r="G46" s="11" t="n">
        <x:v>0</x:v>
      </x:c>
      <x:c r="H46" s="11" t="n">
        <x:v>0</x:v>
      </x:c>
      <x:c r="I46" s="11" t="n">
        <x:v>408</x:v>
      </x:c>
      <x:c r="J46" s="11" t="n">
        <x:v>435</x:v>
      </x:c>
      <x:c r="K46" s="11" t="n">
        <x:v>156</x:v>
      </x:c>
      <x:c r="L46" s="11" t="n">
        <x:v>12</x:v>
      </x:c>
      <x:c r="M46" s="11" t="n">
        <x:v>8</x:v>
      </x:c>
      <x:c r="N46" s="11" t="n">
        <x:v>0</x:v>
      </x:c>
      <x:c r="O46" s="11" t="n">
        <x:v>0</x:v>
      </x:c>
      <x:c r="P46" s="11" t="n">
        <x:v>95532</x:v>
      </x:c>
      <x:c r="Q46" s="11" t="n">
        <x:v>0</x:v>
      </x:c>
      <x:c r="R46" s="11" t="n">
        <x:v>0</x:v>
      </x:c>
      <x:c r="S46" s="11" t="n">
        <x:v>462152</x:v>
      </x:c>
      <x:c r="T46" s="11" t="n">
        <x:v>858198</x:v>
      </x:c>
      <x:c r="U46" s="11" t="n">
        <x:v>250982</x:v>
      </x:c>
      <x:c r="V46" s="11" t="n">
        <x:v>44386</x:v>
      </x:c>
      <x:c r="W46" s="11" t="n">
        <x:v>12684</x:v>
      </x:c>
      <x:c r="X46" s="11" t="n">
        <x:v>0</x:v>
      </x:c>
      <x:c r="Y46" s="11" t="n">
        <x:v>725</x:v>
      </x:c>
      <x:c r="Z46" s="11" t="n">
        <x:v>925</x:v>
      </x:c>
      <x:c r="AA46" s="11" t="n">
        <x:v>0</x:v>
      </x:c>
      <x:c r="AB46" s="11" t="n">
        <x:v>0</x:v>
      </x:c>
      <x:c r="AC46" s="11" t="n">
        <x:v>740</x:v>
      </x:c>
      <x:c r="AD46" s="11" t="n">
        <x:v>725</x:v>
      </x:c>
      <x:c r="AE46" s="11" t="str">
        <x:v>n.a.</x:v>
      </x:c>
      <x:c r="AF46" s="11" t="n">
        <x:v>60</x:v>
      </x:c>
      <x:c r="AG46" s="11" t="n">
        <x:v>22</x:v>
      </x:c>
      <x:c r="AH46" s="11" t="n">
        <x:v>11</x:v>
      </x:c>
    </x:row>
    <x:row r="47" ht="23" customHeight="1">
      <x:c r="A47" s="12" t="str">
        <x:v>d</x:v>
      </x:c>
      <x:c r="B47" s="12" t="str">
        <x:v>CG_H0</x:v>
      </x:c>
      <x:c r="C47" s="13" t="n">
        <x:v>1167</x:v>
      </x:c>
      <x:c r="D47" s="11" t="n">
        <x:v>1723934</x:v>
      </x:c>
      <x:c r="E47" s="11" t="n">
        <x:v>0</x:v>
      </x:c>
      <x:c r="F47" s="11" t="n">
        <x:v>138</x:v>
      </x:c>
      <x:c r="G47" s="11" t="n">
        <x:v>0</x:v>
      </x:c>
      <x:c r="H47" s="11" t="n">
        <x:v>0</x:v>
      </x:c>
      <x:c r="I47" s="11" t="n">
        <x:v>522</x:v>
      </x:c>
      <x:c r="J47" s="11" t="n">
        <x:v>502</x:v>
      </x:c>
      <x:c r="K47" s="11" t="n">
        <x:v>5</x:v>
      </x:c>
      <x:c r="L47" s="11" t="n">
        <x:v>0</x:v>
      </x:c>
      <x:c r="M47" s="11" t="n">
        <x:v>0</x:v>
      </x:c>
      <x:c r="N47" s="11" t="n">
        <x:v>0</x:v>
      </x:c>
      <x:c r="O47" s="11" t="n">
        <x:v>0</x:v>
      </x:c>
      <x:c r="P47" s="11" t="n">
        <x:v>98794</x:v>
      </x:c>
      <x:c r="Q47" s="11" t="n">
        <x:v>0</x:v>
      </x:c>
      <x:c r="R47" s="11" t="n">
        <x:v>0</x:v>
      </x:c>
      <x:c r="S47" s="11" t="n">
        <x:v>538068</x:v>
      </x:c>
      <x:c r="T47" s="11" t="n">
        <x:v>1070836</x:v>
      </x:c>
      <x:c r="U47" s="11" t="n">
        <x:v>16236</x:v>
      </x:c>
      <x:c r="V47" s="11" t="n">
        <x:v>0</x:v>
      </x:c>
      <x:c r="W47" s="11" t="n">
        <x:v>0</x:v>
      </x:c>
      <x:c r="X47" s="11" t="n">
        <x:v>0</x:v>
      </x:c>
      <x:c r="Y47" s="11" t="n">
        <x:v>861</x:v>
      </x:c>
      <x:c r="Z47" s="11" t="n">
        <x:v>866</x:v>
      </x:c>
      <x:c r="AA47" s="11" t="n">
        <x:v>0</x:v>
      </x:c>
      <x:c r="AB47" s="11" t="n">
        <x:v>0</x:v>
      </x:c>
      <x:c r="AC47" s="11" t="n">
        <x:v>720</x:v>
      </x:c>
      <x:c r="AD47" s="11" t="str">
        <x:v>n.a.</x:v>
      </x:c>
      <x:c r="AE47" s="11" t="n">
        <x:v>861</x:v>
      </x:c>
      <x:c r="AF47" s="11" t="n">
        <x:v>60</x:v>
      </x:c>
      <x:c r="AG47" s="11" t="n">
        <x:v>32</x:v>
      </x:c>
      <x:c r="AH47" s="11" t="n">
        <x:v>20</x:v>
      </x:c>
    </x:row>
    <x:row r="48" ht="23" customHeight="1">
      <x:c r="A48" s="12" t="str">
        <x:v>d</x:v>
      </x:c>
      <x:c r="B48" s="12" t="str">
        <x:v>CG_H1</x:v>
      </x:c>
      <x:c r="C48" s="13" t="n">
        <x:v>1167</x:v>
      </x:c>
      <x:c r="D48" s="11" t="n">
        <x:v>1723934</x:v>
      </x:c>
      <x:c r="E48" s="11" t="n">
        <x:v>0</x:v>
      </x:c>
      <x:c r="F48" s="11" t="n">
        <x:v>130</x:v>
      </x:c>
      <x:c r="G48" s="11" t="n">
        <x:v>0</x:v>
      </x:c>
      <x:c r="H48" s="11" t="n">
        <x:v>0</x:v>
      </x:c>
      <x:c r="I48" s="11" t="n">
        <x:v>530</x:v>
      </x:c>
      <x:c r="J48" s="11" t="n">
        <x:v>502</x:v>
      </x:c>
      <x:c r="K48" s="11" t="n">
        <x:v>5</x:v>
      </x:c>
      <x:c r="L48" s="11" t="n">
        <x:v>0</x:v>
      </x:c>
      <x:c r="M48" s="11" t="n">
        <x:v>0</x:v>
      </x:c>
      <x:c r="N48" s="11" t="n">
        <x:v>0</x:v>
      </x:c>
      <x:c r="O48" s="11" t="n">
        <x:v>0</x:v>
      </x:c>
      <x:c r="P48" s="11" t="n">
        <x:v>88246</x:v>
      </x:c>
      <x:c r="Q48" s="11" t="n">
        <x:v>0</x:v>
      </x:c>
      <x:c r="R48" s="11" t="n">
        <x:v>0</x:v>
      </x:c>
      <x:c r="S48" s="11" t="n">
        <x:v>548616</x:v>
      </x:c>
      <x:c r="T48" s="11" t="n">
        <x:v>1070836</x:v>
      </x:c>
      <x:c r="U48" s="11" t="n">
        <x:v>16236</x:v>
      </x:c>
      <x:c r="V48" s="11" t="n">
        <x:v>0</x:v>
      </x:c>
      <x:c r="W48" s="11" t="n">
        <x:v>0</x:v>
      </x:c>
      <x:c r="X48" s="11" t="n">
        <x:v>0</x:v>
      </x:c>
      <x:c r="Y48" s="11" t="n">
        <x:v>890</x:v>
      </x:c>
      <x:c r="Z48" s="11" t="n">
        <x:v>895</x:v>
      </x:c>
      <x:c r="AA48" s="11" t="n">
        <x:v>0</x:v>
      </x:c>
      <x:c r="AB48" s="11" t="n">
        <x:v>29</x:v>
      </x:c>
      <x:c r="AC48" s="11" t="n">
        <x:v>749</x:v>
      </x:c>
      <x:c r="AD48" s="11" t="str">
        <x:v>n.a.</x:v>
      </x:c>
      <x:c r="AE48" s="11" t="n">
        <x:v>861</x:v>
      </x:c>
      <x:c r="AF48" s="11" t="n">
        <x:v>60</x:v>
      </x:c>
      <x:c r="AG48" s="11" t="n">
        <x:v>28</x:v>
      </x:c>
      <x:c r="AH48" s="11" t="n">
        <x:v>20</x:v>
      </x:c>
    </x:row>
    <x:row r="49" ht="23" customHeight="1">
      <x:c r="A49" s="12" t="str">
        <x:v>d</x:v>
      </x:c>
      <x:c r="B49" s="12" t="str">
        <x:v>NC_H0</x:v>
      </x:c>
      <x:c r="C49" s="13" t="n">
        <x:v>1167</x:v>
      </x:c>
      <x:c r="D49" s="11" t="n">
        <x:v>1723934</x:v>
      </x:c>
      <x:c r="E49" s="11" t="n">
        <x:v>0</x:v>
      </x:c>
      <x:c r="F49" s="11" t="n">
        <x:v>330</x:v>
      </x:c>
      <x:c r="G49" s="11" t="n">
        <x:v>0</x:v>
      </x:c>
      <x:c r="H49" s="11" t="n">
        <x:v>0</x:v>
      </x:c>
      <x:c r="I49" s="11" t="n">
        <x:v>658</x:v>
      </x:c>
      <x:c r="J49" s="11" t="n">
        <x:v>0</x:v>
      </x:c>
      <x:c r="K49" s="11" t="n">
        <x:v>159</x:v>
      </x:c>
      <x:c r="L49" s="11" t="n">
        <x:v>12</x:v>
      </x:c>
      <x:c r="M49" s="11" t="n">
        <x:v>8</x:v>
      </x:c>
      <x:c r="N49" s="11" t="n">
        <x:v>0</x:v>
      </x:c>
      <x:c r="O49" s="11" t="n">
        <x:v>0</x:v>
      </x:c>
      <x:c r="P49" s="11" t="n">
        <x:v>285916</x:v>
      </x:c>
      <x:c r="Q49" s="11" t="n">
        <x:v>0</x:v>
      </x:c>
      <x:c r="R49" s="11" t="n">
        <x:v>0</x:v>
      </x:c>
      <x:c r="S49" s="11" t="n">
        <x:v>1151186</x:v>
      </x:c>
      <x:c r="T49" s="11" t="n">
        <x:v>0</x:v>
      </x:c>
      <x:c r="U49" s="11" t="n">
        <x:v>229762</x:v>
      </x:c>
      <x:c r="V49" s="11" t="n">
        <x:v>44386</x:v>
      </x:c>
      <x:c r="W49" s="11" t="n">
        <x:v>12684</x:v>
      </x:c>
      <x:c r="X49" s="11" t="n">
        <x:v>0</x:v>
      </x:c>
      <x:c r="Y49" s="11" t="n">
        <x:v>576</x:v>
      </x:c>
      <x:c r="Z49" s="11" t="n">
        <x:v>757</x:v>
      </x:c>
      <x:c r="AA49" s="11" t="n">
        <x:v>94</x:v>
      </x:c>
      <x:c r="AB49" s="11" t="n">
        <x:v>0</x:v>
      </x:c>
      <x:c r="AC49" s="11" t="n">
        <x:v>489</x:v>
      </x:c>
      <x:c r="AD49" s="11" t="n">
        <x:v>725</x:v>
      </x:c>
      <x:c r="AE49" s="11" t="n">
        <x:v>861</x:v>
      </x:c>
      <x:c r="AF49" s="11" t="n">
        <x:v>60</x:v>
      </x:c>
      <x:c r="AG49" s="11" t="n">
        <x:v>34</x:v>
      </x:c>
      <x:c r="AH49" s="11" t="n">
        <x:v>26</x:v>
      </x:c>
    </x:row>
    <x:row r="50" ht="23" customHeight="1">
      <x:c r="A50" s="12" t="str">
        <x:v>d</x:v>
      </x:c>
      <x:c r="B50" s="12" t="str">
        <x:v>NC_H1</x:v>
      </x:c>
      <x:c r="C50" s="13" t="n">
        <x:v>1167</x:v>
      </x:c>
      <x:c r="D50" s="11" t="n">
        <x:v>1723934</x:v>
      </x:c>
      <x:c r="E50" s="11" t="n">
        <x:v>0</x:v>
      </x:c>
      <x:c r="F50" s="11" t="n">
        <x:v>330</x:v>
      </x:c>
      <x:c r="G50" s="11" t="n">
        <x:v>0</x:v>
      </x:c>
      <x:c r="H50" s="11" t="n">
        <x:v>0</x:v>
      </x:c>
      <x:c r="I50" s="11" t="n">
        <x:v>652</x:v>
      </x:c>
      <x:c r="J50" s="11" t="n">
        <x:v>5</x:v>
      </x:c>
      <x:c r="K50" s="11" t="n">
        <x:v>160</x:v>
      </x:c>
      <x:c r="L50" s="11" t="n">
        <x:v>12</x:v>
      </x:c>
      <x:c r="M50" s="11" t="n">
        <x:v>8</x:v>
      </x:c>
      <x:c r="N50" s="11" t="n">
        <x:v>0</x:v>
      </x:c>
      <x:c r="O50" s="11" t="n">
        <x:v>0</x:v>
      </x:c>
      <x:c r="P50" s="11" t="n">
        <x:v>285916</x:v>
      </x:c>
      <x:c r="Q50" s="11" t="n">
        <x:v>0</x:v>
      </x:c>
      <x:c r="R50" s="11" t="n">
        <x:v>0</x:v>
      </x:c>
      <x:c r="S50" s="11" t="n">
        <x:v>1148458</x:v>
      </x:c>
      <x:c r="T50" s="11" t="n">
        <x:v>1836</x:v>
      </x:c>
      <x:c r="U50" s="11" t="n">
        <x:v>230654</x:v>
      </x:c>
      <x:c r="V50" s="11" t="n">
        <x:v>44386</x:v>
      </x:c>
      <x:c r="W50" s="11" t="n">
        <x:v>12684</x:v>
      </x:c>
      <x:c r="X50" s="11" t="n">
        <x:v>0</x:v>
      </x:c>
      <x:c r="Y50" s="11" t="n">
        <x:v>576</x:v>
      </x:c>
      <x:c r="Z50" s="11" t="n">
        <x:v>757</x:v>
      </x:c>
      <x:c r="AA50" s="11" t="n">
        <x:v>94</x:v>
      </x:c>
      <x:c r="AB50" s="11" t="n">
        <x:v>0</x:v>
      </x:c>
      <x:c r="AC50" s="11" t="n">
        <x:v>498</x:v>
      </x:c>
      <x:c r="AD50" s="11" t="n">
        <x:v>725</x:v>
      </x:c>
      <x:c r="AE50" s="11" t="n">
        <x:v>861</x:v>
      </x:c>
      <x:c r="AF50" s="11" t="n">
        <x:v>60</x:v>
      </x:c>
      <x:c r="AG50" s="11" t="n">
        <x:v>34</x:v>
      </x:c>
      <x:c r="AH50" s="11" t="n">
        <x:v>26</x:v>
      </x:c>
    </x:row>
    <x:row r="51" ht="23" customHeight="1">
      <x:c r="A51" s="12" t="str">
        <x:v>d</x:v>
      </x:c>
      <x:c r="B51" s="12" t="str">
        <x:v>NCG_H0</x:v>
      </x:c>
      <x:c r="C51" s="13" t="n">
        <x:v>1167</x:v>
      </x:c>
      <x:c r="D51" s="11" t="n">
        <x:v>1723934</x:v>
      </x:c>
      <x:c r="E51" s="11" t="n">
        <x:v>0</x:v>
      </x:c>
      <x:c r="F51" s="11" t="n">
        <x:v>166</x:v>
      </x:c>
      <x:c r="G51" s="11" t="n">
        <x:v>0</x:v>
      </x:c>
      <x:c r="H51" s="11" t="n">
        <x:v>0</x:v>
      </x:c>
      <x:c r="I51" s="11" t="n">
        <x:v>379</x:v>
      </x:c>
      <x:c r="J51" s="11" t="n">
        <x:v>443</x:v>
      </x:c>
      <x:c r="K51" s="11" t="n">
        <x:v>159</x:v>
      </x:c>
      <x:c r="L51" s="11" t="n">
        <x:v>12</x:v>
      </x:c>
      <x:c r="M51" s="11" t="n">
        <x:v>8</x:v>
      </x:c>
      <x:c r="N51" s="11" t="n">
        <x:v>0</x:v>
      </x:c>
      <x:c r="O51" s="11" t="n">
        <x:v>0</x:v>
      </x:c>
      <x:c r="P51" s="11" t="n">
        <x:v>110360</x:v>
      </x:c>
      <x:c r="Q51" s="11" t="n">
        <x:v>0</x:v>
      </x:c>
      <x:c r="R51" s="11" t="n">
        <x:v>0</x:v>
      </x:c>
      <x:c r="S51" s="11" t="n">
        <x:v>451344</x:v>
      </x:c>
      <x:c r="T51" s="11" t="n">
        <x:v>875398</x:v>
      </x:c>
      <x:c r="U51" s="11" t="n">
        <x:v>229762</x:v>
      </x:c>
      <x:c r="V51" s="11" t="n">
        <x:v>44386</x:v>
      </x:c>
      <x:c r="W51" s="11" t="n">
        <x:v>12684</x:v>
      </x:c>
      <x:c r="X51" s="11" t="n">
        <x:v>0</x:v>
      </x:c>
      <x:c r="Y51" s="11" t="n">
        <x:v>576</x:v>
      </x:c>
      <x:c r="Z51" s="11" t="n">
        <x:v>757</x:v>
      </x:c>
      <x:c r="AA51" s="11" t="n">
        <x:v>94</x:v>
      </x:c>
      <x:c r="AB51" s="11" t="n">
        <x:v>0</x:v>
      </x:c>
      <x:c r="AC51" s="11" t="n">
        <x:v>489</x:v>
      </x:c>
      <x:c r="AD51" s="11" t="n">
        <x:v>725</x:v>
      </x:c>
      <x:c r="AE51" s="11" t="n">
        <x:v>861</x:v>
      </x:c>
      <x:c r="AF51" s="11" t="n">
        <x:v>60</x:v>
      </x:c>
      <x:c r="AG51" s="11" t="n">
        <x:v>34</x:v>
      </x:c>
      <x:c r="AH51" s="11" t="n">
        <x:v>26</x:v>
      </x:c>
    </x:row>
    <x:row r="52" ht="23" customHeight="1">
      <x:c r="A52" s="12" t="str">
        <x:v>d</x:v>
      </x:c>
      <x:c r="B52" s="12" t="str">
        <x:v>NCG_H1</x:v>
      </x:c>
      <x:c r="C52" s="13" t="n">
        <x:v>1167</x:v>
      </x:c>
      <x:c r="D52" s="11" t="n">
        <x:v>1723934</x:v>
      </x:c>
      <x:c r="E52" s="11" t="n">
        <x:v>0</x:v>
      </x:c>
      <x:c r="F52" s="11" t="n">
        <x:v>158</x:v>
      </x:c>
      <x:c r="G52" s="11" t="n">
        <x:v>0</x:v>
      </x:c>
      <x:c r="H52" s="11" t="n">
        <x:v>0</x:v>
      </x:c>
      <x:c r="I52" s="11" t="n">
        <x:v>381</x:v>
      </x:c>
      <x:c r="J52" s="11" t="n">
        <x:v>448</x:v>
      </x:c>
      <x:c r="K52" s="11" t="n">
        <x:v>160</x:v>
      </x:c>
      <x:c r="L52" s="11" t="n">
        <x:v>12</x:v>
      </x:c>
      <x:c r="M52" s="11" t="n">
        <x:v>8</x:v>
      </x:c>
      <x:c r="N52" s="11" t="n">
        <x:v>0</x:v>
      </x:c>
      <x:c r="O52" s="11" t="n">
        <x:v>0</x:v>
      </x:c>
      <x:c r="P52" s="11" t="n">
        <x:v>99812</x:v>
      </x:c>
      <x:c r="Q52" s="11" t="n">
        <x:v>0</x:v>
      </x:c>
      <x:c r="R52" s="11" t="n">
        <x:v>0</x:v>
      </x:c>
      <x:c r="S52" s="11" t="n">
        <x:v>459164</x:v>
      </x:c>
      <x:c r="T52" s="11" t="n">
        <x:v>877234</x:v>
      </x:c>
      <x:c r="U52" s="11" t="n">
        <x:v>230654</x:v>
      </x:c>
      <x:c r="V52" s="11" t="n">
        <x:v>44386</x:v>
      </x:c>
      <x:c r="W52" s="11" t="n">
        <x:v>12684</x:v>
      </x:c>
      <x:c r="X52" s="11" t="n">
        <x:v>0</x:v>
      </x:c>
      <x:c r="Y52" s="11" t="n">
        <x:v>602</x:v>
      </x:c>
      <x:c r="Z52" s="11" t="n">
        <x:v>783</x:v>
      </x:c>
      <x:c r="AA52" s="11" t="n">
        <x:v>94</x:v>
      </x:c>
      <x:c r="AB52" s="11" t="n">
        <x:v>26</x:v>
      </x:c>
      <x:c r="AC52" s="11" t="n">
        <x:v>522</x:v>
      </x:c>
      <x:c r="AD52" s="11" t="n">
        <x:v>725</x:v>
      </x:c>
      <x:c r="AE52" s="11" t="n">
        <x:v>861</x:v>
      </x:c>
      <x:c r="AF52" s="11" t="n">
        <x:v>60</x:v>
      </x:c>
      <x:c r="AG52" s="11" t="n">
        <x:v>30</x:v>
      </x:c>
      <x:c r="AH52" s="11" t="n">
        <x:v>26</x:v>
      </x:c>
    </x:row>
    <x:row r="53" ht="23" customHeight="1">
      <x:c r="A53" s="12" t="str">
        <x:v>e</x:v>
      </x:c>
      <x:c r="B53" s="12" t="str">
        <x:v>N_H0</x:v>
      </x:c>
      <x:c r="C53" s="13" t="n">
        <x:v>3347</x:v>
      </x:c>
      <x:c r="D53" s="11" t="n">
        <x:v>15496224</x:v>
      </x:c>
      <x:c r="E53" s="11" t="n">
        <x:v>0</x:v>
      </x:c>
      <x:c r="F53" s="11" t="n">
        <x:v>572</x:v>
      </x:c>
      <x:c r="G53" s="11" t="n">
        <x:v>0</x:v>
      </x:c>
      <x:c r="H53" s="11" t="n">
        <x:v>0</x:v>
      </x:c>
      <x:c r="I53" s="11" t="n">
        <x:v>1855</x:v>
      </x:c>
      <x:c r="J53" s="11" t="n">
        <x:v>0</x:v>
      </x:c>
      <x:c r="K53" s="11" t="n">
        <x:v>626</x:v>
      </x:c>
      <x:c r="L53" s="11" t="n">
        <x:v>33</x:v>
      </x:c>
      <x:c r="M53" s="11" t="n">
        <x:v>261</x:v>
      </x:c>
      <x:c r="N53" s="11" t="n">
        <x:v>0</x:v>
      </x:c>
      <x:c r="O53" s="11" t="n">
        <x:v>0</x:v>
      </x:c>
      <x:c r="P53" s="11" t="n">
        <x:v>1461706</x:v>
      </x:c>
      <x:c r="Q53" s="11" t="n">
        <x:v>0</x:v>
      </x:c>
      <x:c r="R53" s="11" t="n">
        <x:v>0</x:v>
      </x:c>
      <x:c r="S53" s="11" t="n">
        <x:v>6912528</x:v>
      </x:c>
      <x:c r="T53" s="11" t="n">
        <x:v>0</x:v>
      </x:c>
      <x:c r="U53" s="11" t="n">
        <x:v>4261914</x:v>
      </x:c>
      <x:c r="V53" s="11" t="n">
        <x:v>919250</x:v>
      </x:c>
      <x:c r="W53" s="11" t="n">
        <x:v>1940826</x:v>
      </x:c>
      <x:c r="X53" s="11" t="n">
        <x:v>0</x:v>
      </x:c>
      <x:c r="Y53" s="11" t="n">
        <x:v>1696</x:v>
      </x:c>
      <x:c r="Z53" s="11" t="n">
        <x:v>2198</x:v>
      </x:c>
      <x:c r="AA53" s="11" t="n">
        <x:v>0</x:v>
      </x:c>
      <x:c r="AB53" s="11" t="n">
        <x:v>0</x:v>
      </x:c>
      <x:c r="AC53" s="11" t="n">
        <x:v>1696</x:v>
      </x:c>
      <x:c r="AD53" s="11" t="n">
        <x:v>1696</x:v>
      </x:c>
      <x:c r="AE53" s="11" t="str">
        <x:v>n.a.</x:v>
      </x:c>
      <x:c r="AF53" s="11" t="n">
        <x:v>107</x:v>
      </x:c>
      <x:c r="AG53" s="11" t="n">
        <x:v>87</x:v>
      </x:c>
      <x:c r="AH53" s="11" t="n">
        <x:v>87</x:v>
      </x:c>
    </x:row>
    <x:row r="54" ht="23" customHeight="1">
      <x:c r="A54" s="12" t="str">
        <x:v>e</x:v>
      </x:c>
      <x:c r="B54" s="12" t="str">
        <x:v>N_H1</x:v>
      </x:c>
      <x:c r="C54" s="13" t="n">
        <x:v>3347</x:v>
      </x:c>
      <x:c r="D54" s="11" t="n">
        <x:v>15496224</x:v>
      </x:c>
      <x:c r="E54" s="11" t="n">
        <x:v>0</x:v>
      </x:c>
      <x:c r="F54" s="11" t="n">
        <x:v>572</x:v>
      </x:c>
      <x:c r="G54" s="11" t="n">
        <x:v>0</x:v>
      </x:c>
      <x:c r="H54" s="11" t="n">
        <x:v>0</x:v>
      </x:c>
      <x:c r="I54" s="11" t="n">
        <x:v>1842</x:v>
      </x:c>
      <x:c r="J54" s="11" t="n">
        <x:v>13</x:v>
      </x:c>
      <x:c r="K54" s="11" t="n">
        <x:v>626</x:v>
      </x:c>
      <x:c r="L54" s="11" t="n">
        <x:v>33</x:v>
      </x:c>
      <x:c r="M54" s="11" t="n">
        <x:v>261</x:v>
      </x:c>
      <x:c r="N54" s="11" t="n">
        <x:v>0</x:v>
      </x:c>
      <x:c r="O54" s="11" t="n">
        <x:v>0</x:v>
      </x:c>
      <x:c r="P54" s="11" t="n">
        <x:v>1461706</x:v>
      </x:c>
      <x:c r="Q54" s="11" t="n">
        <x:v>0</x:v>
      </x:c>
      <x:c r="R54" s="11" t="n">
        <x:v>0</x:v>
      </x:c>
      <x:c r="S54" s="11" t="n">
        <x:v>6888698</x:v>
      </x:c>
      <x:c r="T54" s="11" t="n">
        <x:v>23830</x:v>
      </x:c>
      <x:c r="U54" s="11" t="n">
        <x:v>4261914</x:v>
      </x:c>
      <x:c r="V54" s="11" t="n">
        <x:v>919250</x:v>
      </x:c>
      <x:c r="W54" s="11" t="n">
        <x:v>1940826</x:v>
      </x:c>
      <x:c r="X54" s="11" t="n">
        <x:v>0</x:v>
      </x:c>
      <x:c r="Y54" s="11" t="n">
        <x:v>1696</x:v>
      </x:c>
      <x:c r="Z54" s="11" t="n">
        <x:v>2198</x:v>
      </x:c>
      <x:c r="AA54" s="11" t="n">
        <x:v>0</x:v>
      </x:c>
      <x:c r="AB54" s="11" t="n">
        <x:v>0</x:v>
      </x:c>
      <x:c r="AC54" s="11" t="n">
        <x:v>1891</x:v>
      </x:c>
      <x:c r="AD54" s="11" t="n">
        <x:v>1696</x:v>
      </x:c>
      <x:c r="AE54" s="11" t="str">
        <x:v>n.a.</x:v>
      </x:c>
      <x:c r="AF54" s="11" t="n">
        <x:v>107</x:v>
      </x:c>
      <x:c r="AG54" s="11" t="n">
        <x:v>87</x:v>
      </x:c>
      <x:c r="AH54" s="11" t="n">
        <x:v>87</x:v>
      </x:c>
    </x:row>
    <x:row r="55" ht="23" customHeight="1">
      <x:c r="A55" s="12" t="str">
        <x:v>e</x:v>
      </x:c>
      <x:c r="B55" s="12" t="str">
        <x:v>C_H0</x:v>
      </x:c>
      <x:c r="C55" s="13" t="n">
        <x:v>3347</x:v>
      </x:c>
      <x:c r="D55" s="11" t="n">
        <x:v>15496224</x:v>
      </x:c>
      <x:c r="E55" s="11" t="n">
        <x:v>0</x:v>
      </x:c>
      <x:c r="F55" s="11" t="n">
        <x:v>1122</x:v>
      </x:c>
      <x:c r="G55" s="11" t="n">
        <x:v>0</x:v>
      </x:c>
      <x:c r="H55" s="11" t="n">
        <x:v>0</x:v>
      </x:c>
      <x:c r="I55" s="11" t="n">
        <x:v>2204</x:v>
      </x:c>
      <x:c r="J55" s="11" t="n">
        <x:v>0</x:v>
      </x:c>
      <x:c r="K55" s="11" t="n">
        <x:v>21</x:v>
      </x:c>
      <x:c r="L55" s="11" t="n">
        <x:v>0</x:v>
      </x:c>
      <x:c r="M55" s="11" t="n">
        <x:v>0</x:v>
      </x:c>
      <x:c r="N55" s="11" t="n">
        <x:v>0</x:v>
      </x:c>
      <x:c r="O55" s="11" t="n">
        <x:v>0</x:v>
      </x:c>
      <x:c r="P55" s="11" t="n">
        <x:v>2813742</x:v>
      </x:c>
      <x:c r="Q55" s="11" t="n">
        <x:v>0</x:v>
      </x:c>
      <x:c r="R55" s="11" t="n">
        <x:v>0</x:v>
      </x:c>
      <x:c r="S55" s="11" t="n">
        <x:v>12654612</x:v>
      </x:c>
      <x:c r="T55" s="11" t="n">
        <x:v>0</x:v>
      </x:c>
      <x:c r="U55" s="11" t="n">
        <x:v>27870</x:v>
      </x:c>
      <x:c r="V55" s="11" t="n">
        <x:v>0</x:v>
      </x:c>
      <x:c r="W55" s="11" t="n">
        <x:v>0</x:v>
      </x:c>
      <x:c r="X55" s="11" t="n">
        <x:v>0</x:v>
      </x:c>
      <x:c r="Y55" s="11" t="n">
        <x:v>2204</x:v>
      </x:c>
      <x:c r="Z55" s="11" t="n">
        <x:v>2223</x:v>
      </x:c>
      <x:c r="AA55" s="11" t="n">
        <x:v>0</x:v>
      </x:c>
      <x:c r="AB55" s="11" t="n">
        <x:v>0</x:v>
      </x:c>
      <x:c r="AC55" s="11" t="n">
        <x:v>1858</x:v>
      </x:c>
      <x:c r="AD55" s="11" t="str">
        <x:v>n.a.</x:v>
      </x:c>
      <x:c r="AE55" s="11" t="n">
        <x:v>2204</x:v>
      </x:c>
      <x:c r="AF55" s="11" t="n">
        <x:v>107</x:v>
      </x:c>
      <x:c r="AG55" s="11" t="n">
        <x:v>4</x:v>
      </x:c>
      <x:c r="AH55" s="11" t="n">
        <x:v>1</x:v>
      </x:c>
    </x:row>
    <x:row r="56" ht="23" customHeight="1">
      <x:c r="A56" s="12" t="str">
        <x:v>e</x:v>
      </x:c>
      <x:c r="B56" s="12" t="str">
        <x:v>C_H1</x:v>
      </x:c>
      <x:c r="C56" s="13" t="n">
        <x:v>3347</x:v>
      </x:c>
      <x:c r="D56" s="11" t="n">
        <x:v>15496224</x:v>
      </x:c>
      <x:c r="E56" s="11" t="n">
        <x:v>0</x:v>
      </x:c>
      <x:c r="F56" s="11" t="n">
        <x:v>1121</x:v>
      </x:c>
      <x:c r="G56" s="11" t="n">
        <x:v>0</x:v>
      </x:c>
      <x:c r="H56" s="11" t="n">
        <x:v>0</x:v>
      </x:c>
      <x:c r="I56" s="11" t="n">
        <x:v>2204</x:v>
      </x:c>
      <x:c r="J56" s="11" t="n">
        <x:v>1</x:v>
      </x:c>
      <x:c r="K56" s="11" t="n">
        <x:v>21</x:v>
      </x:c>
      <x:c r="L56" s="11" t="n">
        <x:v>0</x:v>
      </x:c>
      <x:c r="M56" s="11" t="n">
        <x:v>0</x:v>
      </x:c>
      <x:c r="N56" s="11" t="n">
        <x:v>0</x:v>
      </x:c>
      <x:c r="O56" s="11" t="n">
        <x:v>0</x:v>
      </x:c>
      <x:c r="P56" s="11" t="n">
        <x:v>2812758</x:v>
      </x:c>
      <x:c r="Q56" s="11" t="n">
        <x:v>0</x:v>
      </x:c>
      <x:c r="R56" s="11" t="n">
        <x:v>0</x:v>
      </x:c>
      <x:c r="S56" s="11" t="n">
        <x:v>12654612</x:v>
      </x:c>
      <x:c r="T56" s="11" t="n">
        <x:v>984</x:v>
      </x:c>
      <x:c r="U56" s="11" t="n">
        <x:v>27870</x:v>
      </x:c>
      <x:c r="V56" s="11" t="n">
        <x:v>0</x:v>
      </x:c>
      <x:c r="W56" s="11" t="n">
        <x:v>0</x:v>
      </x:c>
      <x:c r="X56" s="11" t="n">
        <x:v>0</x:v>
      </x:c>
      <x:c r="Y56" s="11" t="n">
        <x:v>2204</x:v>
      </x:c>
      <x:c r="Z56" s="11" t="n">
        <x:v>2223</x:v>
      </x:c>
      <x:c r="AA56" s="11" t="n">
        <x:v>0</x:v>
      </x:c>
      <x:c r="AB56" s="11" t="n">
        <x:v>0</x:v>
      </x:c>
      <x:c r="AC56" s="11" t="n">
        <x:v>1859</x:v>
      </x:c>
      <x:c r="AD56" s="11" t="str">
        <x:v>n.a.</x:v>
      </x:c>
      <x:c r="AE56" s="11" t="n">
        <x:v>2204</x:v>
      </x:c>
      <x:c r="AF56" s="11" t="n">
        <x:v>107</x:v>
      </x:c>
      <x:c r="AG56" s="11" t="n">
        <x:v>4</x:v>
      </x:c>
      <x:c r="AH56" s="11" t="n">
        <x:v>1</x:v>
      </x:c>
    </x:row>
    <x:row r="57" ht="23" customHeight="1">
      <x:c r="A57" s="12" t="str">
        <x:v>e</x:v>
      </x:c>
      <x:c r="B57" s="12" t="str">
        <x:v>NG_H0</x:v>
      </x:c>
      <x:c r="C57" s="13" t="n">
        <x:v>3347</x:v>
      </x:c>
      <x:c r="D57" s="11" t="n">
        <x:v>15496224</x:v>
      </x:c>
      <x:c r="E57" s="11" t="n">
        <x:v>0</x:v>
      </x:c>
      <x:c r="F57" s="11" t="n">
        <x:v>328</x:v>
      </x:c>
      <x:c r="G57" s="11" t="n">
        <x:v>0</x:v>
      </x:c>
      <x:c r="H57" s="11" t="n">
        <x:v>0</x:v>
      </x:c>
      <x:c r="I57" s="11" t="n">
        <x:v>948</x:v>
      </x:c>
      <x:c r="J57" s="11" t="n">
        <x:v>1151</x:v>
      </x:c>
      <x:c r="K57" s="11" t="n">
        <x:v>626</x:v>
      </x:c>
      <x:c r="L57" s="11" t="n">
        <x:v>33</x:v>
      </x:c>
      <x:c r="M57" s="11" t="n">
        <x:v>261</x:v>
      </x:c>
      <x:c r="N57" s="11" t="n">
        <x:v>0</x:v>
      </x:c>
      <x:c r="O57" s="11" t="n">
        <x:v>0</x:v>
      </x:c>
      <x:c r="P57" s="11" t="n">
        <x:v>472420</x:v>
      </x:c>
      <x:c r="Q57" s="11" t="n">
        <x:v>0</x:v>
      </x:c>
      <x:c r="R57" s="11" t="n">
        <x:v>0</x:v>
      </x:c>
      <x:c r="S57" s="11" t="n">
        <x:v>1710234</x:v>
      </x:c>
      <x:c r="T57" s="11" t="n">
        <x:v>6191580</x:v>
      </x:c>
      <x:c r="U57" s="11" t="n">
        <x:v>4261914</x:v>
      </x:c>
      <x:c r="V57" s="11" t="n">
        <x:v>919250</x:v>
      </x:c>
      <x:c r="W57" s="11" t="n">
        <x:v>1940826</x:v>
      </x:c>
      <x:c r="X57" s="11" t="n">
        <x:v>0</x:v>
      </x:c>
      <x:c r="Y57" s="11" t="n">
        <x:v>1696</x:v>
      </x:c>
      <x:c r="Z57" s="11" t="n">
        <x:v>2198</x:v>
      </x:c>
      <x:c r="AA57" s="11" t="n">
        <x:v>0</x:v>
      </x:c>
      <x:c r="AB57" s="11" t="n">
        <x:v>0</x:v>
      </x:c>
      <x:c r="AC57" s="11" t="n">
        <x:v>1696</x:v>
      </x:c>
      <x:c r="AD57" s="11" t="n">
        <x:v>1696</x:v>
      </x:c>
      <x:c r="AE57" s="11" t="str">
        <x:v>n.a.</x:v>
      </x:c>
      <x:c r="AF57" s="11" t="n">
        <x:v>107</x:v>
      </x:c>
      <x:c r="AG57" s="11" t="n">
        <x:v>87</x:v>
      </x:c>
      <x:c r="AH57" s="11" t="n">
        <x:v>87</x:v>
      </x:c>
    </x:row>
    <x:row r="58" ht="23" customHeight="1">
      <x:c r="A58" s="12" t="str">
        <x:v>e</x:v>
      </x:c>
      <x:c r="B58" s="12" t="str">
        <x:v>NG_H1</x:v>
      </x:c>
      <x:c r="C58" s="13" t="n">
        <x:v>3347</x:v>
      </x:c>
      <x:c r="D58" s="11" t="n">
        <x:v>15496224</x:v>
      </x:c>
      <x:c r="E58" s="11" t="n">
        <x:v>0</x:v>
      </x:c>
      <x:c r="F58" s="11" t="n">
        <x:v>254</x:v>
      </x:c>
      <x:c r="G58" s="11" t="n">
        <x:v>0</x:v>
      </x:c>
      <x:c r="H58" s="11" t="n">
        <x:v>0</x:v>
      </x:c>
      <x:c r="I58" s="11" t="n">
        <x:v>1019</x:v>
      </x:c>
      <x:c r="J58" s="11" t="n">
        <x:v>1154</x:v>
      </x:c>
      <x:c r="K58" s="11" t="n">
        <x:v>626</x:v>
      </x:c>
      <x:c r="L58" s="11" t="n">
        <x:v>33</x:v>
      </x:c>
      <x:c r="M58" s="11" t="n">
        <x:v>261</x:v>
      </x:c>
      <x:c r="N58" s="11" t="n">
        <x:v>0</x:v>
      </x:c>
      <x:c r="O58" s="11" t="n">
        <x:v>0</x:v>
      </x:c>
      <x:c r="P58" s="11" t="n">
        <x:v>356296</x:v>
      </x:c>
      <x:c r="Q58" s="11" t="n">
        <x:v>0</x:v>
      </x:c>
      <x:c r="R58" s="11" t="n">
        <x:v>0</x:v>
      </x:c>
      <x:c r="S58" s="11" t="n">
        <x:v>1823172</x:v>
      </x:c>
      <x:c r="T58" s="11" t="n">
        <x:v>6194766</x:v>
      </x:c>
      <x:c r="U58" s="11" t="n">
        <x:v>4261914</x:v>
      </x:c>
      <x:c r="V58" s="11" t="n">
        <x:v>919250</x:v>
      </x:c>
      <x:c r="W58" s="11" t="n">
        <x:v>1940826</x:v>
      </x:c>
      <x:c r="X58" s="11" t="n">
        <x:v>0</x:v>
      </x:c>
      <x:c r="Y58" s="11" t="n">
        <x:v>1696</x:v>
      </x:c>
      <x:c r="Z58" s="11" t="n">
        <x:v>2198</x:v>
      </x:c>
      <x:c r="AA58" s="11" t="n">
        <x:v>0</x:v>
      </x:c>
      <x:c r="AB58" s="11" t="n">
        <x:v>0</x:v>
      </x:c>
      <x:c r="AC58" s="11" t="n">
        <x:v>1891</x:v>
      </x:c>
      <x:c r="AD58" s="11" t="n">
        <x:v>1696</x:v>
      </x:c>
      <x:c r="AE58" s="11" t="str">
        <x:v>n.a.</x:v>
      </x:c>
      <x:c r="AF58" s="11" t="n">
        <x:v>107</x:v>
      </x:c>
      <x:c r="AG58" s="11" t="n">
        <x:v>87</x:v>
      </x:c>
      <x:c r="AH58" s="11" t="n">
        <x:v>87</x:v>
      </x:c>
    </x:row>
    <x:row r="59" ht="23" customHeight="1">
      <x:c r="A59" s="12" t="str">
        <x:v>e</x:v>
      </x:c>
      <x:c r="B59" s="12" t="str">
        <x:v>CG_H0</x:v>
      </x:c>
      <x:c r="C59" s="13" t="n">
        <x:v>3347</x:v>
      </x:c>
      <x:c r="D59" s="11" t="n">
        <x:v>15496224</x:v>
      </x:c>
      <x:c r="E59" s="11" t="n">
        <x:v>0</x:v>
      </x:c>
      <x:c r="F59" s="11" t="n">
        <x:v>355</x:v>
      </x:c>
      <x:c r="G59" s="11" t="n">
        <x:v>0</x:v>
      </x:c>
      <x:c r="H59" s="11" t="n">
        <x:v>0</x:v>
      </x:c>
      <x:c r="I59" s="11" t="n">
        <x:v>1297</x:v>
      </x:c>
      <x:c r="J59" s="11" t="n">
        <x:v>1674</x:v>
      </x:c>
      <x:c r="K59" s="11" t="n">
        <x:v>21</x:v>
      </x:c>
      <x:c r="L59" s="11" t="n">
        <x:v>0</x:v>
      </x:c>
      <x:c r="M59" s="11" t="n">
        <x:v>0</x:v>
      </x:c>
      <x:c r="N59" s="11" t="n">
        <x:v>0</x:v>
      </x:c>
      <x:c r="O59" s="11" t="n">
        <x:v>0</x:v>
      </x:c>
      <x:c r="P59" s="11" t="n">
        <x:v>508232</x:v>
      </x:c>
      <x:c r="Q59" s="11" t="n">
        <x:v>0</x:v>
      </x:c>
      <x:c r="R59" s="11" t="n">
        <x:v>0</x:v>
      </x:c>
      <x:c r="S59" s="11" t="n">
        <x:v>3067748</x:v>
      </x:c>
      <x:c r="T59" s="11" t="n">
        <x:v>11892374</x:v>
      </x:c>
      <x:c r="U59" s="11" t="n">
        <x:v>27870</x:v>
      </x:c>
      <x:c r="V59" s="11" t="n">
        <x:v>0</x:v>
      </x:c>
      <x:c r="W59" s="11" t="n">
        <x:v>0</x:v>
      </x:c>
      <x:c r="X59" s="11" t="n">
        <x:v>0</x:v>
      </x:c>
      <x:c r="Y59" s="11" t="n">
        <x:v>2205</x:v>
      </x:c>
      <x:c r="Z59" s="11" t="n">
        <x:v>2224</x:v>
      </x:c>
      <x:c r="AA59" s="11" t="n">
        <x:v>0</x:v>
      </x:c>
      <x:c r="AB59" s="11" t="n">
        <x:v>1</x:v>
      </x:c>
      <x:c r="AC59" s="11" t="n">
        <x:v>1859</x:v>
      </x:c>
      <x:c r="AD59" s="11" t="str">
        <x:v>n.a.</x:v>
      </x:c>
      <x:c r="AE59" s="11" t="n">
        <x:v>2204</x:v>
      </x:c>
      <x:c r="AF59" s="11" t="n">
        <x:v>107</x:v>
      </x:c>
      <x:c r="AG59" s="11" t="n">
        <x:v>4</x:v>
      </x:c>
      <x:c r="AH59" s="11" t="n">
        <x:v>1</x:v>
      </x:c>
    </x:row>
    <x:row r="60" ht="23" customHeight="1">
      <x:c r="A60" s="12" t="str">
        <x:v>e</x:v>
      </x:c>
      <x:c r="B60" s="12" t="str">
        <x:v>CG_H1</x:v>
      </x:c>
      <x:c r="C60" s="13" t="n">
        <x:v>3347</x:v>
      </x:c>
      <x:c r="D60" s="11" t="n">
        <x:v>15496224</x:v>
      </x:c>
      <x:c r="E60" s="11" t="n">
        <x:v>0</x:v>
      </x:c>
      <x:c r="F60" s="11" t="n">
        <x:v>252</x:v>
      </x:c>
      <x:c r="G60" s="11" t="n">
        <x:v>0</x:v>
      </x:c>
      <x:c r="H60" s="11" t="n">
        <x:v>0</x:v>
      </x:c>
      <x:c r="I60" s="11" t="n">
        <x:v>1399</x:v>
      </x:c>
      <x:c r="J60" s="11" t="n">
        <x:v>1675</x:v>
      </x:c>
      <x:c r="K60" s="11" t="n">
        <x:v>21</x:v>
      </x:c>
      <x:c r="L60" s="11" t="n">
        <x:v>0</x:v>
      </x:c>
      <x:c r="M60" s="11" t="n">
        <x:v>0</x:v>
      </x:c>
      <x:c r="N60" s="11" t="n">
        <x:v>0</x:v>
      </x:c>
      <x:c r="O60" s="11" t="n">
        <x:v>0</x:v>
      </x:c>
      <x:c r="P60" s="11" t="n">
        <x:v>344846</x:v>
      </x:c>
      <x:c r="Q60" s="11" t="n">
        <x:v>0</x:v>
      </x:c>
      <x:c r="R60" s="11" t="n">
        <x:v>0</x:v>
      </x:c>
      <x:c r="S60" s="11" t="n">
        <x:v>3230150</x:v>
      </x:c>
      <x:c r="T60" s="11" t="n">
        <x:v>11893358</x:v>
      </x:c>
      <x:c r="U60" s="11" t="n">
        <x:v>27870</x:v>
      </x:c>
      <x:c r="V60" s="11" t="n">
        <x:v>0</x:v>
      </x:c>
      <x:c r="W60" s="11" t="n">
        <x:v>0</x:v>
      </x:c>
      <x:c r="X60" s="11" t="n">
        <x:v>0</x:v>
      </x:c>
      <x:c r="Y60" s="11" t="n">
        <x:v>2205</x:v>
      </x:c>
      <x:c r="Z60" s="11" t="n">
        <x:v>2224</x:v>
      </x:c>
      <x:c r="AA60" s="11" t="n">
        <x:v>0</x:v>
      </x:c>
      <x:c r="AB60" s="11" t="n">
        <x:v>1</x:v>
      </x:c>
      <x:c r="AC60" s="11" t="n">
        <x:v>1860</x:v>
      </x:c>
      <x:c r="AD60" s="11" t="str">
        <x:v>n.a.</x:v>
      </x:c>
      <x:c r="AE60" s="11" t="n">
        <x:v>2204</x:v>
      </x:c>
      <x:c r="AF60" s="11" t="n">
        <x:v>107</x:v>
      </x:c>
      <x:c r="AG60" s="11" t="n">
        <x:v>4</x:v>
      </x:c>
      <x:c r="AH60" s="11" t="n">
        <x:v>1</x:v>
      </x:c>
    </x:row>
    <x:row r="61" ht="23" customHeight="1">
      <x:c r="A61" s="12" t="str">
        <x:v>e</x:v>
      </x:c>
      <x:c r="B61" s="12" t="str">
        <x:v>NC_H0</x:v>
      </x:c>
      <x:c r="C61" s="13" t="n">
        <x:v>3347</x:v>
      </x:c>
      <x:c r="D61" s="11" t="n">
        <x:v>15496224</x:v>
      </x:c>
      <x:c r="E61" s="11" t="n">
        <x:v>0</x:v>
      </x:c>
      <x:c r="F61" s="11" t="n">
        <x:v>1078</x:v>
      </x:c>
      <x:c r="G61" s="11" t="n">
        <x:v>0</x:v>
      </x:c>
      <x:c r="H61" s="11" t="n">
        <x:v>0</x:v>
      </x:c>
      <x:c r="I61" s="11" t="n">
        <x:v>1362</x:v>
      </x:c>
      <x:c r="J61" s="11" t="n">
        <x:v>0</x:v>
      </x:c>
      <x:c r="K61" s="11" t="n">
        <x:v>687</x:v>
      </x:c>
      <x:c r="L61" s="11" t="n">
        <x:v>32</x:v>
      </x:c>
      <x:c r="M61" s="11" t="n">
        <x:v>188</x:v>
      </x:c>
      <x:c r="N61" s="11" t="n">
        <x:v>0</x:v>
      </x:c>
      <x:c r="O61" s="11" t="n">
        <x:v>0</x:v>
      </x:c>
      <x:c r="P61" s="11" t="n">
        <x:v>2740308</x:v>
      </x:c>
      <x:c r="Q61" s="11" t="n">
        <x:v>0</x:v>
      </x:c>
      <x:c r="R61" s="11" t="n">
        <x:v>0</x:v>
      </x:c>
      <x:c r="S61" s="11" t="n">
        <x:v>6106080</x:v>
      </x:c>
      <x:c r="T61" s="11" t="n">
        <x:v>0</x:v>
      </x:c>
      <x:c r="U61" s="11" t="n">
        <x:v>4752750</x:v>
      </x:c>
      <x:c r="V61" s="11" t="n">
        <x:v>918672</x:v>
      </x:c>
      <x:c r="W61" s="11" t="n">
        <x:v>978414</x:v>
      </x:c>
      <x:c r="X61" s="11" t="n">
        <x:v>0</x:v>
      </x:c>
      <x:c r="Y61" s="11" t="n">
        <x:v>1305</x:v>
      </x:c>
      <x:c r="Z61" s="11" t="n">
        <x:v>1798</x:v>
      </x:c>
      <x:c r="AA61" s="11" t="n">
        <x:v>396</x:v>
      </x:c>
      <x:c r="AB61" s="11" t="n">
        <x:v>0</x:v>
      </x:c>
      <x:c r="AC61" s="11" t="n">
        <x:v>1221</x:v>
      </x:c>
      <x:c r="AD61" s="11" t="n">
        <x:v>1696</x:v>
      </x:c>
      <x:c r="AE61" s="11" t="n">
        <x:v>2204</x:v>
      </x:c>
      <x:c r="AF61" s="11" t="n">
        <x:v>107</x:v>
      </x:c>
      <x:c r="AG61" s="11" t="n">
        <x:v>65</x:v>
      </x:c>
      <x:c r="AH61" s="11" t="n">
        <x:v>65</x:v>
      </x:c>
    </x:row>
    <x:row r="62" ht="23" customHeight="1">
      <x:c r="A62" s="12" t="str">
        <x:v>e</x:v>
      </x:c>
      <x:c r="B62" s="12" t="str">
        <x:v>NC_H1</x:v>
      </x:c>
      <x:c r="C62" s="13" t="n">
        <x:v>3347</x:v>
      </x:c>
      <x:c r="D62" s="11" t="n">
        <x:v>15496224</x:v>
      </x:c>
      <x:c r="E62" s="11" t="n">
        <x:v>0</x:v>
      </x:c>
      <x:c r="F62" s="11" t="n">
        <x:v>1077</x:v>
      </x:c>
      <x:c r="G62" s="11" t="n">
        <x:v>0</x:v>
      </x:c>
      <x:c r="H62" s="11" t="n">
        <x:v>0</x:v>
      </x:c>
      <x:c r="I62" s="11" t="n">
        <x:v>1352</x:v>
      </x:c>
      <x:c r="J62" s="11" t="n">
        <x:v>11</x:v>
      </x:c>
      <x:c r="K62" s="11" t="n">
        <x:v>687</x:v>
      </x:c>
      <x:c r="L62" s="11" t="n">
        <x:v>32</x:v>
      </x:c>
      <x:c r="M62" s="11" t="n">
        <x:v>188</x:v>
      </x:c>
      <x:c r="N62" s="11" t="n">
        <x:v>0</x:v>
      </x:c>
      <x:c r="O62" s="11" t="n">
        <x:v>0</x:v>
      </x:c>
      <x:c r="P62" s="11" t="n">
        <x:v>2739324</x:v>
      </x:c>
      <x:c r="Q62" s="11" t="n">
        <x:v>0</x:v>
      </x:c>
      <x:c r="R62" s="11" t="n">
        <x:v>0</x:v>
      </x:c>
      <x:c r="S62" s="11" t="n">
        <x:v>6085436</x:v>
      </x:c>
      <x:c r="T62" s="11" t="n">
        <x:v>21628</x:v>
      </x:c>
      <x:c r="U62" s="11" t="n">
        <x:v>4752750</x:v>
      </x:c>
      <x:c r="V62" s="11" t="n">
        <x:v>918672</x:v>
      </x:c>
      <x:c r="W62" s="11" t="n">
        <x:v>978414</x:v>
      </x:c>
      <x:c r="X62" s="11" t="n">
        <x:v>0</x:v>
      </x:c>
      <x:c r="Y62" s="11" t="n">
        <x:v>1305</x:v>
      </x:c>
      <x:c r="Z62" s="11" t="n">
        <x:v>1798</x:v>
      </x:c>
      <x:c r="AA62" s="11" t="n">
        <x:v>396</x:v>
      </x:c>
      <x:c r="AB62" s="11" t="n">
        <x:v>0</x:v>
      </x:c>
      <x:c r="AC62" s="11" t="n">
        <x:v>1352</x:v>
      </x:c>
      <x:c r="AD62" s="11" t="n">
        <x:v>1696</x:v>
      </x:c>
      <x:c r="AE62" s="11" t="n">
        <x:v>2204</x:v>
      </x:c>
      <x:c r="AF62" s="11" t="n">
        <x:v>107</x:v>
      </x:c>
      <x:c r="AG62" s="11" t="n">
        <x:v>65</x:v>
      </x:c>
      <x:c r="AH62" s="11" t="n">
        <x:v>65</x:v>
      </x:c>
    </x:row>
    <x:row r="63" ht="23" customHeight="1">
      <x:c r="A63" s="12" t="str">
        <x:v>e</x:v>
      </x:c>
      <x:c r="B63" s="12" t="str">
        <x:v>NCG_H0</x:v>
      </x:c>
      <x:c r="C63" s="13" t="n">
        <x:v>3347</x:v>
      </x:c>
      <x:c r="D63" s="11" t="n">
        <x:v>15496224</x:v>
      </x:c>
      <x:c r="E63" s="11" t="n">
        <x:v>0</x:v>
      </x:c>
      <x:c r="F63" s="11" t="n">
        <x:v>353</x:v>
      </x:c>
      <x:c r="G63" s="11" t="n">
        <x:v>0</x:v>
      </x:c>
      <x:c r="H63" s="11" t="n">
        <x:v>0</x:v>
      </x:c>
      <x:c r="I63" s="11" t="n">
        <x:v>886</x:v>
      </x:c>
      <x:c r="J63" s="11" t="n">
        <x:v>1201</x:v>
      </x:c>
      <x:c r="K63" s="11" t="n">
        <x:v>687</x:v>
      </x:c>
      <x:c r="L63" s="11" t="n">
        <x:v>32</x:v>
      </x:c>
      <x:c r="M63" s="11" t="n">
        <x:v>188</x:v>
      </x:c>
      <x:c r="N63" s="11" t="n">
        <x:v>0</x:v>
      </x:c>
      <x:c r="O63" s="11" t="n">
        <x:v>0</x:v>
      </x:c>
      <x:c r="P63" s="11" t="n">
        <x:v>472606</x:v>
      </x:c>
      <x:c r="Q63" s="11" t="n">
        <x:v>0</x:v>
      </x:c>
      <x:c r="R63" s="11" t="n">
        <x:v>0</x:v>
      </x:c>
      <x:c r="S63" s="11" t="n">
        <x:v>1871070</x:v>
      </x:c>
      <x:c r="T63" s="11" t="n">
        <x:v>6502712</x:v>
      </x:c>
      <x:c r="U63" s="11" t="n">
        <x:v>4752750</x:v>
      </x:c>
      <x:c r="V63" s="11" t="n">
        <x:v>918672</x:v>
      </x:c>
      <x:c r="W63" s="11" t="n">
        <x:v>978414</x:v>
      </x:c>
      <x:c r="X63" s="11" t="n">
        <x:v>0</x:v>
      </x:c>
      <x:c r="Y63" s="11" t="n">
        <x:v>1306</x:v>
      </x:c>
      <x:c r="Z63" s="11" t="n">
        <x:v>1799</x:v>
      </x:c>
      <x:c r="AA63" s="11" t="n">
        <x:v>396</x:v>
      </x:c>
      <x:c r="AB63" s="11" t="n">
        <x:v>1</x:v>
      </x:c>
      <x:c r="AC63" s="11" t="n">
        <x:v>1222</x:v>
      </x:c>
      <x:c r="AD63" s="11" t="n">
        <x:v>1696</x:v>
      </x:c>
      <x:c r="AE63" s="11" t="n">
        <x:v>2204</x:v>
      </x:c>
      <x:c r="AF63" s="11" t="n">
        <x:v>107</x:v>
      </x:c>
      <x:c r="AG63" s="11" t="n">
        <x:v>65</x:v>
      </x:c>
      <x:c r="AH63" s="11" t="n">
        <x:v>65</x:v>
      </x:c>
    </x:row>
    <x:row r="64" ht="23" customHeight="1">
      <x:c r="A64" s="12" t="str">
        <x:v>e</x:v>
      </x:c>
      <x:c r="B64" s="12" t="str">
        <x:v>NCG_H1</x:v>
      </x:c>
      <x:c r="C64" s="13" t="n">
        <x:v>3347</x:v>
      </x:c>
      <x:c r="D64" s="11" t="n">
        <x:v>15496224</x:v>
      </x:c>
      <x:c r="E64" s="11" t="n">
        <x:v>0</x:v>
      </x:c>
      <x:c r="F64" s="11" t="n">
        <x:v>274</x:v>
      </x:c>
      <x:c r="G64" s="11" t="n">
        <x:v>0</x:v>
      </x:c>
      <x:c r="H64" s="11" t="n">
        <x:v>0</x:v>
      </x:c>
      <x:c r="I64" s="11" t="n">
        <x:v>964</x:v>
      </x:c>
      <x:c r="J64" s="11" t="n">
        <x:v>1202</x:v>
      </x:c>
      <x:c r="K64" s="11" t="n">
        <x:v>687</x:v>
      </x:c>
      <x:c r="L64" s="11" t="n">
        <x:v>32</x:v>
      </x:c>
      <x:c r="M64" s="11" t="n">
        <x:v>188</x:v>
      </x:c>
      <x:c r="N64" s="11" t="n">
        <x:v>0</x:v>
      </x:c>
      <x:c r="O64" s="11" t="n">
        <x:v>0</x:v>
      </x:c>
      <x:c r="P64" s="11" t="n">
        <x:v>356864</x:v>
      </x:c>
      <x:c r="Q64" s="11" t="n">
        <x:v>0</x:v>
      </x:c>
      <x:c r="R64" s="11" t="n">
        <x:v>0</x:v>
      </x:c>
      <x:c r="S64" s="11" t="n">
        <x:v>1985828</x:v>
      </x:c>
      <x:c r="T64" s="11" t="n">
        <x:v>6503696</x:v>
      </x:c>
      <x:c r="U64" s="11" t="n">
        <x:v>4752750</x:v>
      </x:c>
      <x:c r="V64" s="11" t="n">
        <x:v>918672</x:v>
      </x:c>
      <x:c r="W64" s="11" t="n">
        <x:v>978414</x:v>
      </x:c>
      <x:c r="X64" s="11" t="n">
        <x:v>0</x:v>
      </x:c>
      <x:c r="Y64" s="11" t="n">
        <x:v>1306</x:v>
      </x:c>
      <x:c r="Z64" s="11" t="n">
        <x:v>1799</x:v>
      </x:c>
      <x:c r="AA64" s="11" t="n">
        <x:v>396</x:v>
      </x:c>
      <x:c r="AB64" s="11" t="n">
        <x:v>1</x:v>
      </x:c>
      <x:c r="AC64" s="11" t="n">
        <x:v>1353</x:v>
      </x:c>
      <x:c r="AD64" s="11" t="n">
        <x:v>1696</x:v>
      </x:c>
      <x:c r="AE64" s="11" t="n">
        <x:v>2204</x:v>
      </x:c>
      <x:c r="AF64" s="11" t="n">
        <x:v>107</x:v>
      </x:c>
      <x:c r="AG64" s="11" t="n">
        <x:v>65</x:v>
      </x:c>
      <x:c r="AH64" s="11" t="n">
        <x:v>65</x:v>
      </x:c>
    </x:row>
    <x:row r="65" ht="23" customHeight="1">
      <x:c r="A65" s="12" t="str">
        <x:v>f</x:v>
      </x:c>
      <x:c r="B65" s="12" t="str">
        <x:v>N_H0</x:v>
      </x:c>
      <x:c r="C65" s="13" t="n">
        <x:v>1480</x:v>
      </x:c>
      <x:c r="D65" s="11" t="n">
        <x:v>2911273</x:v>
      </x:c>
      <x:c r="E65" s="11" t="n">
        <x:v>0</x:v>
      </x:c>
      <x:c r="F65" s="11" t="n">
        <x:v>260</x:v>
      </x:c>
      <x:c r="G65" s="11" t="n">
        <x:v>0</x:v>
      </x:c>
      <x:c r="H65" s="11" t="n">
        <x:v>0</x:v>
      </x:c>
      <x:c r="I65" s="11" t="n">
        <x:v>777</x:v>
      </x:c>
      <x:c r="J65" s="11" t="n">
        <x:v>0</x:v>
      </x:c>
      <x:c r="K65" s="11" t="n">
        <x:v>330</x:v>
      </x:c>
      <x:c r="L65" s="11" t="n">
        <x:v>12</x:v>
      </x:c>
      <x:c r="M65" s="11" t="n">
        <x:v>101</x:v>
      </x:c>
      <x:c r="N65" s="11" t="n">
        <x:v>0</x:v>
      </x:c>
      <x:c r="O65" s="11" t="n">
        <x:v>0</x:v>
      </x:c>
      <x:c r="P65" s="11" t="n">
        <x:v>76748</x:v>
      </x:c>
      <x:c r="Q65" s="11" t="n">
        <x:v>0</x:v>
      </x:c>
      <x:c r="R65" s="11" t="n">
        <x:v>0</x:v>
      </x:c>
      <x:c r="S65" s="11" t="n">
        <x:v>502051</x:v>
      </x:c>
      <x:c r="T65" s="11" t="n">
        <x:v>0</x:v>
      </x:c>
      <x:c r="U65" s="11" t="n">
        <x:v>200816</x:v>
      </x:c>
      <x:c r="V65" s="11" t="n">
        <x:v>7532</x:v>
      </x:c>
      <x:c r="W65" s="11" t="n">
        <x:v>2124126</x:v>
      </x:c>
      <x:c r="X65" s="11" t="n">
        <x:v>0</x:v>
      </x:c>
      <x:c r="Y65" s="11" t="n">
        <x:v>928</x:v>
      </x:c>
      <x:c r="Z65" s="11" t="n">
        <x:v>1037</x:v>
      </x:c>
      <x:c r="AA65" s="11" t="n">
        <x:v>0</x:v>
      </x:c>
      <x:c r="AB65" s="11" t="n">
        <x:v>0</x:v>
      </x:c>
      <x:c r="AC65" s="11" t="n">
        <x:v>928</x:v>
      </x:c>
      <x:c r="AD65" s="11" t="n">
        <x:v>928</x:v>
      </x:c>
      <x:c r="AE65" s="11" t="str">
        <x:v>n.a.</x:v>
      </x:c>
      <x:c r="AF65" s="11" t="n">
        <x:v>196</x:v>
      </x:c>
      <x:c r="AG65" s="11" t="n">
        <x:v>110</x:v>
      </x:c>
      <x:c r="AH65" s="11" t="n">
        <x:v>75</x:v>
      </x:c>
    </x:row>
    <x:row r="66" ht="23" customHeight="1">
      <x:c r="A66" s="12" t="str">
        <x:v>f</x:v>
      </x:c>
      <x:c r="B66" s="12" t="str">
        <x:v>N_H1</x:v>
      </x:c>
      <x:c r="C66" s="13" t="n">
        <x:v>1480</x:v>
      </x:c>
      <x:c r="D66" s="11" t="n">
        <x:v>2911273</x:v>
      </x:c>
      <x:c r="E66" s="11" t="n">
        <x:v>0</x:v>
      </x:c>
      <x:c r="F66" s="11" t="n">
        <x:v>193</x:v>
      </x:c>
      <x:c r="G66" s="11" t="n">
        <x:v>0</x:v>
      </x:c>
      <x:c r="H66" s="11" t="n">
        <x:v>0</x:v>
      </x:c>
      <x:c r="I66" s="11" t="n">
        <x:v>727</x:v>
      </x:c>
      <x:c r="J66" s="11" t="n">
        <x:v>114</x:v>
      </x:c>
      <x:c r="K66" s="11" t="n">
        <x:v>333</x:v>
      </x:c>
      <x:c r="L66" s="11" t="n">
        <x:v>12</x:v>
      </x:c>
      <x:c r="M66" s="11" t="n">
        <x:v>101</x:v>
      </x:c>
      <x:c r="N66" s="11" t="n">
        <x:v>0</x:v>
      </x:c>
      <x:c r="O66" s="11" t="n">
        <x:v>0</x:v>
      </x:c>
      <x:c r="P66" s="11" t="n">
        <x:v>65164</x:v>
      </x:c>
      <x:c r="Q66" s="11" t="n">
        <x:v>0</x:v>
      </x:c>
      <x:c r="R66" s="11" t="n">
        <x:v>0</x:v>
      </x:c>
      <x:c r="S66" s="11" t="n">
        <x:v>465155</x:v>
      </x:c>
      <x:c r="T66" s="11" t="n">
        <x:v>45764</x:v>
      </x:c>
      <x:c r="U66" s="11" t="n">
        <x:v>203532</x:v>
      </x:c>
      <x:c r="V66" s="11" t="n">
        <x:v>7532</x:v>
      </x:c>
      <x:c r="W66" s="11" t="n">
        <x:v>2124126</x:v>
      </x:c>
      <x:c r="X66" s="11" t="n">
        <x:v>0</x:v>
      </x:c>
      <x:c r="Y66" s="11" t="n">
        <x:v>928</x:v>
      </x:c>
      <x:c r="Z66" s="11" t="n">
        <x:v>1037</x:v>
      </x:c>
      <x:c r="AA66" s="11" t="n">
        <x:v>0</x:v>
      </x:c>
      <x:c r="AB66" s="11" t="n">
        <x:v>0</x:v>
      </x:c>
      <x:c r="AC66" s="11" t="n">
        <x:v>1115</x:v>
      </x:c>
      <x:c r="AD66" s="11" t="n">
        <x:v>928</x:v>
      </x:c>
      <x:c r="AE66" s="11" t="str">
        <x:v>n.a.</x:v>
      </x:c>
      <x:c r="AF66" s="11" t="n">
        <x:v>196</x:v>
      </x:c>
      <x:c r="AG66" s="11" t="n">
        <x:v>110</x:v>
      </x:c>
      <x:c r="AH66" s="11" t="n">
        <x:v>75</x:v>
      </x:c>
    </x:row>
    <x:row r="67" ht="23" customHeight="1">
      <x:c r="A67" s="12" t="str">
        <x:v>f</x:v>
      </x:c>
      <x:c r="B67" s="12" t="str">
        <x:v>C_H0</x:v>
      </x:c>
      <x:c r="C67" s="13" t="n">
        <x:v>1480</x:v>
      </x:c>
      <x:c r="D67" s="11" t="n">
        <x:v>2911273</x:v>
      </x:c>
      <x:c r="E67" s="11" t="n">
        <x:v>0</x:v>
      </x:c>
      <x:c r="F67" s="11" t="n">
        <x:v>556</x:v>
      </x:c>
      <x:c r="G67" s="11" t="n">
        <x:v>0</x:v>
      </x:c>
      <x:c r="H67" s="11" t="n">
        <x:v>0</x:v>
      </x:c>
      <x:c r="I67" s="11" t="n">
        <x:v>923</x:v>
      </x:c>
      <x:c r="J67" s="11" t="n">
        <x:v>0</x:v>
      </x:c>
      <x:c r="K67" s="11" t="n">
        <x:v>0</x:v>
      </x:c>
      <x:c r="L67" s="11" t="n">
        <x:v>0</x:v>
      </x:c>
      <x:c r="M67" s="11" t="n">
        <x:v>1</x:v>
      </x:c>
      <x:c r="N67" s="11" t="n">
        <x:v>0</x:v>
      </x:c>
      <x:c r="O67" s="11" t="n">
        <x:v>0</x:v>
      </x:c>
      <x:c r="P67" s="11" t="n">
        <x:v>2250252</x:v>
      </x:c>
      <x:c r="Q67" s="11" t="n">
        <x:v>0</x:v>
      </x:c>
      <x:c r="R67" s="11" t="n">
        <x:v>0</x:v>
      </x:c>
      <x:c r="S67" s="11" t="n">
        <x:v>660189</x:v>
      </x:c>
      <x:c r="T67" s="11" t="n">
        <x:v>0</x:v>
      </x:c>
      <x:c r="U67" s="11" t="n">
        <x:v>0</x:v>
      </x:c>
      <x:c r="V67" s="11" t="n">
        <x:v>0</x:v>
      </x:c>
      <x:c r="W67" s="11" t="n">
        <x:v>832</x:v>
      </x:c>
      <x:c r="X67" s="11" t="n">
        <x:v>0</x:v>
      </x:c>
      <x:c r="Y67" s="11" t="n">
        <x:v>923</x:v>
      </x:c>
      <x:c r="Z67" s="11" t="n">
        <x:v>923</x:v>
      </x:c>
      <x:c r="AA67" s="11" t="n">
        <x:v>0</x:v>
      </x:c>
      <x:c r="AB67" s="11" t="n">
        <x:v>0</x:v>
      </x:c>
      <x:c r="AC67" s="11" t="n">
        <x:v>698</x:v>
      </x:c>
      <x:c r="AD67" s="11" t="str">
        <x:v>n.a.</x:v>
      </x:c>
      <x:c r="AE67" s="11" t="n">
        <x:v>923</x:v>
      </x:c>
      <x:c r="AF67" s="11" t="n">
        <x:v>196</x:v>
      </x:c>
      <x:c r="AG67" s="11" t="n">
        <x:v>82</x:v>
      </x:c>
      <x:c r="AH67" s="11" t="n">
        <x:v>25</x:v>
      </x:c>
    </x:row>
    <x:row r="68" ht="23" customHeight="1">
      <x:c r="A68" s="12" t="str">
        <x:v>f</x:v>
      </x:c>
      <x:c r="B68" s="12" t="str">
        <x:v>C_H1</x:v>
      </x:c>
      <x:c r="C68" s="13" t="n">
        <x:v>1480</x:v>
      </x:c>
      <x:c r="D68" s="11" t="n">
        <x:v>2911273</x:v>
      </x:c>
      <x:c r="E68" s="11" t="n">
        <x:v>0</x:v>
      </x:c>
      <x:c r="F68" s="11" t="n">
        <x:v>452</x:v>
      </x:c>
      <x:c r="G68" s="11" t="n">
        <x:v>0</x:v>
      </x:c>
      <x:c r="H68" s="11" t="n">
        <x:v>0</x:v>
      </x:c>
      <x:c r="I68" s="11" t="n">
        <x:v>923</x:v>
      </x:c>
      <x:c r="J68" s="11" t="n">
        <x:v>104</x:v>
      </x:c>
      <x:c r="K68" s="11" t="n">
        <x:v>0</x:v>
      </x:c>
      <x:c r="L68" s="11" t="n">
        <x:v>0</x:v>
      </x:c>
      <x:c r="M68" s="11" t="n">
        <x:v>1</x:v>
      </x:c>
      <x:c r="N68" s="11" t="n">
        <x:v>0</x:v>
      </x:c>
      <x:c r="O68" s="11" t="n">
        <x:v>0</x:v>
      </x:c>
      <x:c r="P68" s="11" t="n">
        <x:v>2223258</x:v>
      </x:c>
      <x:c r="Q68" s="11" t="n">
        <x:v>0</x:v>
      </x:c>
      <x:c r="R68" s="11" t="n">
        <x:v>0</x:v>
      </x:c>
      <x:c r="S68" s="11" t="n">
        <x:v>660189</x:v>
      </x:c>
      <x:c r="T68" s="11" t="n">
        <x:v>26994</x:v>
      </x:c>
      <x:c r="U68" s="11" t="n">
        <x:v>0</x:v>
      </x:c>
      <x:c r="V68" s="11" t="n">
        <x:v>0</x:v>
      </x:c>
      <x:c r="W68" s="11" t="n">
        <x:v>832</x:v>
      </x:c>
      <x:c r="X68" s="11" t="n">
        <x:v>0</x:v>
      </x:c>
      <x:c r="Y68" s="11" t="n">
        <x:v>923</x:v>
      </x:c>
      <x:c r="Z68" s="11" t="n">
        <x:v>923</x:v>
      </x:c>
      <x:c r="AA68" s="11" t="n">
        <x:v>0</x:v>
      </x:c>
      <x:c r="AB68" s="11" t="n">
        <x:v>0</x:v>
      </x:c>
      <x:c r="AC68" s="11" t="n">
        <x:v>803</x:v>
      </x:c>
      <x:c r="AD68" s="11" t="str">
        <x:v>n.a.</x:v>
      </x:c>
      <x:c r="AE68" s="11" t="n">
        <x:v>923</x:v>
      </x:c>
      <x:c r="AF68" s="11" t="n">
        <x:v>196</x:v>
      </x:c>
      <x:c r="AG68" s="11" t="n">
        <x:v>82</x:v>
      </x:c>
      <x:c r="AH68" s="11" t="n">
        <x:v>25</x:v>
      </x:c>
    </x:row>
    <x:row r="69" ht="23" customHeight="1">
      <x:c r="A69" s="12" t="str">
        <x:v>f</x:v>
      </x:c>
      <x:c r="B69" s="12" t="str">
        <x:v>NG_H0</x:v>
      </x:c>
      <x:c r="C69" s="13" t="n">
        <x:v>1480</x:v>
      </x:c>
      <x:c r="D69" s="11" t="n">
        <x:v>2911273</x:v>
      </x:c>
      <x:c r="E69" s="11" t="n">
        <x:v>0</x:v>
      </x:c>
      <x:c r="F69" s="11" t="n">
        <x:v>224</x:v>
      </x:c>
      <x:c r="G69" s="11" t="n">
        <x:v>0</x:v>
      </x:c>
      <x:c r="H69" s="11" t="n">
        <x:v>0</x:v>
      </x:c>
      <x:c r="I69" s="11" t="n">
        <x:v>441</x:v>
      </x:c>
      <x:c r="J69" s="11" t="n">
        <x:v>372</x:v>
      </x:c>
      <x:c r="K69" s="11" t="n">
        <x:v>330</x:v>
      </x:c>
      <x:c r="L69" s="11" t="n">
        <x:v>12</x:v>
      </x:c>
      <x:c r="M69" s="11" t="n">
        <x:v>101</x:v>
      </x:c>
      <x:c r="N69" s="11" t="n">
        <x:v>0</x:v>
      </x:c>
      <x:c r="O69" s="11" t="n">
        <x:v>0</x:v>
      </x:c>
      <x:c r="P69" s="11" t="n">
        <x:v>63524</x:v>
      </x:c>
      <x:c r="Q69" s="11" t="n">
        <x:v>0</x:v>
      </x:c>
      <x:c r="R69" s="11" t="n">
        <x:v>0</x:v>
      </x:c>
      <x:c r="S69" s="11" t="n">
        <x:v>225990</x:v>
      </x:c>
      <x:c r="T69" s="11" t="n">
        <x:v>289285</x:v>
      </x:c>
      <x:c r="U69" s="11" t="n">
        <x:v>200816</x:v>
      </x:c>
      <x:c r="V69" s="11" t="n">
        <x:v>7532</x:v>
      </x:c>
      <x:c r="W69" s="11" t="n">
        <x:v>2124126</x:v>
      </x:c>
      <x:c r="X69" s="11" t="n">
        <x:v>0</x:v>
      </x:c>
      <x:c r="Y69" s="11" t="n">
        <x:v>928</x:v>
      </x:c>
      <x:c r="Z69" s="11" t="n">
        <x:v>1037</x:v>
      </x:c>
      <x:c r="AA69" s="11" t="n">
        <x:v>0</x:v>
      </x:c>
      <x:c r="AB69" s="11" t="n">
        <x:v>0</x:v>
      </x:c>
      <x:c r="AC69" s="11" t="n">
        <x:v>928</x:v>
      </x:c>
      <x:c r="AD69" s="11" t="n">
        <x:v>928</x:v>
      </x:c>
      <x:c r="AE69" s="11" t="str">
        <x:v>n.a.</x:v>
      </x:c>
      <x:c r="AF69" s="11" t="n">
        <x:v>196</x:v>
      </x:c>
      <x:c r="AG69" s="11" t="n">
        <x:v>110</x:v>
      </x:c>
      <x:c r="AH69" s="11" t="n">
        <x:v>75</x:v>
      </x:c>
    </x:row>
    <x:row r="70" ht="23" customHeight="1">
      <x:c r="A70" s="12" t="str">
        <x:v>f</x:v>
      </x:c>
      <x:c r="B70" s="12" t="str">
        <x:v>NG_H1</x:v>
      </x:c>
      <x:c r="C70" s="13" t="n">
        <x:v>1480</x:v>
      </x:c>
      <x:c r="D70" s="11" t="n">
        <x:v>2911273</x:v>
      </x:c>
      <x:c r="E70" s="11" t="n">
        <x:v>0</x:v>
      </x:c>
      <x:c r="F70" s="11" t="n">
        <x:v>124</x:v>
      </x:c>
      <x:c r="G70" s="11" t="n">
        <x:v>0</x:v>
      </x:c>
      <x:c r="H70" s="11" t="n">
        <x:v>0</x:v>
      </x:c>
      <x:c r="I70" s="11" t="n">
        <x:v>474</x:v>
      </x:c>
      <x:c r="J70" s="11" t="n">
        <x:v>436</x:v>
      </x:c>
      <x:c r="K70" s="11" t="n">
        <x:v>333</x:v>
      </x:c>
      <x:c r="L70" s="11" t="n">
        <x:v>12</x:v>
      </x:c>
      <x:c r="M70" s="11" t="n">
        <x:v>101</x:v>
      </x:c>
      <x:c r="N70" s="11" t="n">
        <x:v>0</x:v>
      </x:c>
      <x:c r="O70" s="11" t="n">
        <x:v>0</x:v>
      </x:c>
      <x:c r="P70" s="11" t="n">
        <x:v>45000</x:v>
      </x:c>
      <x:c r="Q70" s="11" t="n">
        <x:v>0</x:v>
      </x:c>
      <x:c r="R70" s="11" t="n">
        <x:v>0</x:v>
      </x:c>
      <x:c r="S70" s="11" t="n">
        <x:v>232878</x:v>
      </x:c>
      <x:c r="T70" s="11" t="n">
        <x:v>298205</x:v>
      </x:c>
      <x:c r="U70" s="11" t="n">
        <x:v>203532</x:v>
      </x:c>
      <x:c r="V70" s="11" t="n">
        <x:v>7532</x:v>
      </x:c>
      <x:c r="W70" s="11" t="n">
        <x:v>2124126</x:v>
      </x:c>
      <x:c r="X70" s="11" t="n">
        <x:v>0</x:v>
      </x:c>
      <x:c r="Y70" s="11" t="n">
        <x:v>928</x:v>
      </x:c>
      <x:c r="Z70" s="11" t="n">
        <x:v>1037</x:v>
      </x:c>
      <x:c r="AA70" s="11" t="n">
        <x:v>0</x:v>
      </x:c>
      <x:c r="AB70" s="11" t="n">
        <x:v>0</x:v>
      </x:c>
      <x:c r="AC70" s="11" t="n">
        <x:v>1115</x:v>
      </x:c>
      <x:c r="AD70" s="11" t="n">
        <x:v>928</x:v>
      </x:c>
      <x:c r="AE70" s="11" t="str">
        <x:v>n.a.</x:v>
      </x:c>
      <x:c r="AF70" s="11" t="n">
        <x:v>196</x:v>
      </x:c>
      <x:c r="AG70" s="11" t="n">
        <x:v>110</x:v>
      </x:c>
      <x:c r="AH70" s="11" t="n">
        <x:v>75</x:v>
      </x:c>
    </x:row>
    <x:row r="71" ht="23" customHeight="1">
      <x:c r="A71" s="12" t="str">
        <x:v>f</x:v>
      </x:c>
      <x:c r="B71" s="12" t="str">
        <x:v>CG_H0</x:v>
      </x:c>
      <x:c r="C71" s="13" t="n">
        <x:v>1480</x:v>
      </x:c>
      <x:c r="D71" s="11" t="n">
        <x:v>2911273</x:v>
      </x:c>
      <x:c r="E71" s="11" t="n">
        <x:v>0</x:v>
      </x:c>
      <x:c r="F71" s="11" t="n">
        <x:v>319</x:v>
      </x:c>
      <x:c r="G71" s="11" t="n">
        <x:v>0</x:v>
      </x:c>
      <x:c r="H71" s="11" t="n">
        <x:v>0</x:v>
      </x:c>
      <x:c r="I71" s="11" t="n">
        <x:v>631</x:v>
      </x:c>
      <x:c r="J71" s="11" t="n">
        <x:v>529</x:v>
      </x:c>
      <x:c r="K71" s="11" t="n">
        <x:v>0</x:v>
      </x:c>
      <x:c r="L71" s="11" t="n">
        <x:v>0</x:v>
      </x:c>
      <x:c r="M71" s="11" t="n">
        <x:v>1</x:v>
      </x:c>
      <x:c r="N71" s="11" t="n">
        <x:v>0</x:v>
      </x:c>
      <x:c r="O71" s="11" t="n">
        <x:v>0</x:v>
      </x:c>
      <x:c r="P71" s="11" t="n">
        <x:v>127576</x:v>
      </x:c>
      <x:c r="Q71" s="11" t="n">
        <x:v>0</x:v>
      </x:c>
      <x:c r="R71" s="11" t="n">
        <x:v>0</x:v>
      </x:c>
      <x:c r="S71" s="11" t="n">
        <x:v>286242</x:v>
      </x:c>
      <x:c r="T71" s="11" t="n">
        <x:v>2496623</x:v>
      </x:c>
      <x:c r="U71" s="11" t="n">
        <x:v>0</x:v>
      </x:c>
      <x:c r="V71" s="11" t="n">
        <x:v>0</x:v>
      </x:c>
      <x:c r="W71" s="11" t="n">
        <x:v>832</x:v>
      </x:c>
      <x:c r="X71" s="11" t="n">
        <x:v>0</x:v>
      </x:c>
      <x:c r="Y71" s="11" t="n">
        <x:v>923</x:v>
      </x:c>
      <x:c r="Z71" s="11" t="n">
        <x:v>923</x:v>
      </x:c>
      <x:c r="AA71" s="11" t="n">
        <x:v>0</x:v>
      </x:c>
      <x:c r="AB71" s="11" t="n">
        <x:v>0</x:v>
      </x:c>
      <x:c r="AC71" s="11" t="n">
        <x:v>698</x:v>
      </x:c>
      <x:c r="AD71" s="11" t="str">
        <x:v>n.a.</x:v>
      </x:c>
      <x:c r="AE71" s="11" t="n">
        <x:v>923</x:v>
      </x:c>
      <x:c r="AF71" s="11" t="n">
        <x:v>196</x:v>
      </x:c>
      <x:c r="AG71" s="11" t="n">
        <x:v>82</x:v>
      </x:c>
      <x:c r="AH71" s="11" t="n">
        <x:v>25</x:v>
      </x:c>
    </x:row>
    <x:row r="72" ht="23" customHeight="1">
      <x:c r="A72" s="12" t="str">
        <x:v>f</x:v>
      </x:c>
      <x:c r="B72" s="12" t="str">
        <x:v>CG_H1</x:v>
      </x:c>
      <x:c r="C72" s="13" t="n">
        <x:v>1480</x:v>
      </x:c>
      <x:c r="D72" s="11" t="n">
        <x:v>2911273</x:v>
      </x:c>
      <x:c r="E72" s="11" t="n">
        <x:v>0</x:v>
      </x:c>
      <x:c r="F72" s="11" t="n">
        <x:v>159</x:v>
      </x:c>
      <x:c r="G72" s="11" t="n">
        <x:v>0</x:v>
      </x:c>
      <x:c r="H72" s="11" t="n">
        <x:v>0</x:v>
      </x:c>
      <x:c r="I72" s="11" t="n">
        <x:v>704</x:v>
      </x:c>
      <x:c r="J72" s="11" t="n">
        <x:v>616</x:v>
      </x:c>
      <x:c r="K72" s="11" t="n">
        <x:v>0</x:v>
      </x:c>
      <x:c r="L72" s="11" t="n">
        <x:v>0</x:v>
      </x:c>
      <x:c r="M72" s="11" t="n">
        <x:v>1</x:v>
      </x:c>
      <x:c r="N72" s="11" t="n">
        <x:v>0</x:v>
      </x:c>
      <x:c r="O72" s="11" t="n">
        <x:v>0</x:v>
      </x:c>
      <x:c r="P72" s="11" t="n">
        <x:v>63624</x:v>
      </x:c>
      <x:c r="Q72" s="11" t="n">
        <x:v>0</x:v>
      </x:c>
      <x:c r="R72" s="11" t="n">
        <x:v>0</x:v>
      </x:c>
      <x:c r="S72" s="11" t="n">
        <x:v>329944</x:v>
      </x:c>
      <x:c r="T72" s="11" t="n">
        <x:v>2516873</x:v>
      </x:c>
      <x:c r="U72" s="11" t="n">
        <x:v>0</x:v>
      </x:c>
      <x:c r="V72" s="11" t="n">
        <x:v>0</x:v>
      </x:c>
      <x:c r="W72" s="11" t="n">
        <x:v>832</x:v>
      </x:c>
      <x:c r="X72" s="11" t="n">
        <x:v>0</x:v>
      </x:c>
      <x:c r="Y72" s="11" t="n">
        <x:v>935</x:v>
      </x:c>
      <x:c r="Z72" s="11" t="n">
        <x:v>935</x:v>
      </x:c>
      <x:c r="AA72" s="11" t="n">
        <x:v>0</x:v>
      </x:c>
      <x:c r="AB72" s="11" t="n">
        <x:v>12</x:v>
      </x:c>
      <x:c r="AC72" s="11" t="n">
        <x:v>815</x:v>
      </x:c>
      <x:c r="AD72" s="11" t="str">
        <x:v>n.a.</x:v>
      </x:c>
      <x:c r="AE72" s="11" t="n">
        <x:v>923</x:v>
      </x:c>
      <x:c r="AF72" s="11" t="n">
        <x:v>196</x:v>
      </x:c>
      <x:c r="AG72" s="11" t="n">
        <x:v>82</x:v>
      </x:c>
      <x:c r="AH72" s="11" t="n">
        <x:v>25</x:v>
      </x:c>
    </x:row>
    <x:row r="73" ht="23" customHeight="1">
      <x:c r="A73" s="12" t="str">
        <x:v>f</x:v>
      </x:c>
      <x:c r="B73" s="12" t="str">
        <x:v>NC_H0</x:v>
      </x:c>
      <x:c r="C73" s="13" t="n">
        <x:v>1480</x:v>
      </x:c>
      <x:c r="D73" s="11" t="n">
        <x:v>2911273</x:v>
      </x:c>
      <x:c r="E73" s="11" t="n">
        <x:v>0</x:v>
      </x:c>
      <x:c r="F73" s="11" t="n">
        <x:v>448</x:v>
      </x:c>
      <x:c r="G73" s="11" t="n">
        <x:v>0</x:v>
      </x:c>
      <x:c r="H73" s="11" t="n">
        <x:v>0</x:v>
      </x:c>
      <x:c r="I73" s="11" t="n">
        <x:v>655</x:v>
      </x:c>
      <x:c r="J73" s="11" t="n">
        <x:v>0</x:v>
      </x:c>
      <x:c r="K73" s="11" t="n">
        <x:v>315</x:v>
      </x:c>
      <x:c r="L73" s="11" t="n">
        <x:v>10</x:v>
      </x:c>
      <x:c r="M73" s="11" t="n">
        <x:v>52</x:v>
      </x:c>
      <x:c r="N73" s="11" t="n">
        <x:v>0</x:v>
      </x:c>
      <x:c r="O73" s="11" t="n">
        <x:v>0</x:v>
      </x:c>
      <x:c r="P73" s="11" t="n">
        <x:v>216490</x:v>
      </x:c>
      <x:c r="Q73" s="11" t="n">
        <x:v>0</x:v>
      </x:c>
      <x:c r="R73" s="11" t="n">
        <x:v>0</x:v>
      </x:c>
      <x:c r="S73" s="11" t="n">
        <x:v>430795</x:v>
      </x:c>
      <x:c r="T73" s="11" t="n">
        <x:v>0</x:v>
      </x:c>
      <x:c r="U73" s="11" t="n">
        <x:v>2160374</x:v>
      </x:c>
      <x:c r="V73" s="11" t="n">
        <x:v>6892</x:v>
      </x:c>
      <x:c r="W73" s="11" t="n">
        <x:v>96722</x:v>
      </x:c>
      <x:c r="X73" s="11" t="n">
        <x:v>0</x:v>
      </x:c>
      <x:c r="Y73" s="11" t="n">
        <x:v>808</x:v>
      </x:c>
      <x:c r="Z73" s="11" t="n">
        <x:v>901</x:v>
      </x:c>
      <x:c r="AA73" s="11" t="n">
        <x:v>296</x:v>
      </x:c>
      <x:c r="AB73" s="11" t="n">
        <x:v>0</x:v>
      </x:c>
      <x:c r="AC73" s="11" t="n">
        <x:v>766</x:v>
      </x:c>
      <x:c r="AD73" s="11" t="n">
        <x:v>928</x:v>
      </x:c>
      <x:c r="AE73" s="11" t="n">
        <x:v>923</x:v>
      </x:c>
      <x:c r="AF73" s="11" t="n">
        <x:v>196</x:v>
      </x:c>
      <x:c r="AG73" s="11" t="n">
        <x:v>66</x:v>
      </x:c>
      <x:c r="AH73" s="11" t="n">
        <x:v>36</x:v>
      </x:c>
    </x:row>
    <x:row r="74" ht="23" customHeight="1">
      <x:c r="A74" s="12" t="str">
        <x:v>f</x:v>
      </x:c>
      <x:c r="B74" s="12" t="str">
        <x:v>NC_H1</x:v>
      </x:c>
      <x:c r="C74" s="13" t="n">
        <x:v>1480</x:v>
      </x:c>
      <x:c r="D74" s="11" t="n">
        <x:v>2911273</x:v>
      </x:c>
      <x:c r="E74" s="11" t="n">
        <x:v>0</x:v>
      </x:c>
      <x:c r="F74" s="11" t="n">
        <x:v>377</x:v>
      </x:c>
      <x:c r="G74" s="11" t="n">
        <x:v>0</x:v>
      </x:c>
      <x:c r="H74" s="11" t="n">
        <x:v>0</x:v>
      </x:c>
      <x:c r="I74" s="11" t="n">
        <x:v>606</x:v>
      </x:c>
      <x:c r="J74" s="11" t="n">
        <x:v>118</x:v>
      </x:c>
      <x:c r="K74" s="11" t="n">
        <x:v>317</x:v>
      </x:c>
      <x:c r="L74" s="11" t="n">
        <x:v>10</x:v>
      </x:c>
      <x:c r="M74" s="11" t="n">
        <x:v>52</x:v>
      </x:c>
      <x:c r="N74" s="11" t="n">
        <x:v>0</x:v>
      </x:c>
      <x:c r="O74" s="11" t="n">
        <x:v>0</x:v>
      </x:c>
      <x:c r="P74" s="11" t="n">
        <x:v>193488</x:v>
      </x:c>
      <x:c r="Q74" s="11" t="n">
        <x:v>0</x:v>
      </x:c>
      <x:c r="R74" s="11" t="n">
        <x:v>0</x:v>
      </x:c>
      <x:c r="S74" s="11" t="n">
        <x:v>395695</x:v>
      </x:c>
      <x:c r="T74" s="11" t="n">
        <x:v>57182</x:v>
      </x:c>
      <x:c r="U74" s="11" t="n">
        <x:v>2161294</x:v>
      </x:c>
      <x:c r="V74" s="11" t="n">
        <x:v>6892</x:v>
      </x:c>
      <x:c r="W74" s="11" t="n">
        <x:v>96722</x:v>
      </x:c>
      <x:c r="X74" s="11" t="n">
        <x:v>0</x:v>
      </x:c>
      <x:c r="Y74" s="11" t="n">
        <x:v>808</x:v>
      </x:c>
      <x:c r="Z74" s="11" t="n">
        <x:v>901</x:v>
      </x:c>
      <x:c r="AA74" s="11" t="n">
        <x:v>296</x:v>
      </x:c>
      <x:c r="AB74" s="11" t="n">
        <x:v>0</x:v>
      </x:c>
      <x:c r="AC74" s="11" t="n">
        <x:v>899</x:v>
      </x:c>
      <x:c r="AD74" s="11" t="n">
        <x:v>928</x:v>
      </x:c>
      <x:c r="AE74" s="11" t="n">
        <x:v>923</x:v>
      </x:c>
      <x:c r="AF74" s="11" t="n">
        <x:v>196</x:v>
      </x:c>
      <x:c r="AG74" s="11" t="n">
        <x:v>66</x:v>
      </x:c>
      <x:c r="AH74" s="11" t="n">
        <x:v>36</x:v>
      </x:c>
    </x:row>
    <x:row r="75" ht="23" customHeight="1">
      <x:c r="A75" s="12" t="str">
        <x:v>f</x:v>
      </x:c>
      <x:c r="B75" s="12" t="str">
        <x:v>NCG_H0</x:v>
      </x:c>
      <x:c r="C75" s="13" t="n">
        <x:v>1480</x:v>
      </x:c>
      <x:c r="D75" s="11" t="n">
        <x:v>2911273</x:v>
      </x:c>
      <x:c r="E75" s="11" t="n">
        <x:v>0</x:v>
      </x:c>
      <x:c r="F75" s="11" t="n">
        <x:v>267</x:v>
      </x:c>
      <x:c r="G75" s="11" t="n">
        <x:v>0</x:v>
      </x:c>
      <x:c r="H75" s="11" t="n">
        <x:v>0</x:v>
      </x:c>
      <x:c r="I75" s="11" t="n">
        <x:v>458</x:v>
      </x:c>
      <x:c r="J75" s="11" t="n">
        <x:v>378</x:v>
      </x:c>
      <x:c r="K75" s="11" t="n">
        <x:v>315</x:v>
      </x:c>
      <x:c r="L75" s="11" t="n">
        <x:v>10</x:v>
      </x:c>
      <x:c r="M75" s="11" t="n">
        <x:v>52</x:v>
      </x:c>
      <x:c r="N75" s="11" t="n">
        <x:v>0</x:v>
      </x:c>
      <x:c r="O75" s="11" t="n">
        <x:v>0</x:v>
      </x:c>
      <x:c r="P75" s="11" t="n">
        <x:v>110256</x:v>
      </x:c>
      <x:c r="Q75" s="11" t="n">
        <x:v>0</x:v>
      </x:c>
      <x:c r="R75" s="11" t="n">
        <x:v>0</x:v>
      </x:c>
      <x:c r="S75" s="11" t="n">
        <x:v>224592</x:v>
      </x:c>
      <x:c r="T75" s="11" t="n">
        <x:v>312437</x:v>
      </x:c>
      <x:c r="U75" s="11" t="n">
        <x:v>2160374</x:v>
      </x:c>
      <x:c r="V75" s="11" t="n">
        <x:v>6892</x:v>
      </x:c>
      <x:c r="W75" s="11" t="n">
        <x:v>96722</x:v>
      </x:c>
      <x:c r="X75" s="11" t="n">
        <x:v>0</x:v>
      </x:c>
      <x:c r="Y75" s="11" t="n">
        <x:v>808</x:v>
      </x:c>
      <x:c r="Z75" s="11" t="n">
        <x:v>901</x:v>
      </x:c>
      <x:c r="AA75" s="11" t="n">
        <x:v>296</x:v>
      </x:c>
      <x:c r="AB75" s="11" t="n">
        <x:v>0</x:v>
      </x:c>
      <x:c r="AC75" s="11" t="n">
        <x:v>766</x:v>
      </x:c>
      <x:c r="AD75" s="11" t="n">
        <x:v>928</x:v>
      </x:c>
      <x:c r="AE75" s="11" t="n">
        <x:v>923</x:v>
      </x:c>
      <x:c r="AF75" s="11" t="n">
        <x:v>196</x:v>
      </x:c>
      <x:c r="AG75" s="11" t="n">
        <x:v>66</x:v>
      </x:c>
      <x:c r="AH75" s="11" t="n">
        <x:v>36</x:v>
      </x:c>
    </x:row>
    <x:row r="76" ht="23" customHeight="1">
      <x:c r="A76" s="12" t="str">
        <x:v>f</x:v>
      </x:c>
      <x:c r="B76" s="12" t="str">
        <x:v>NCG_H1</x:v>
      </x:c>
      <x:c r="C76" s="13" t="n">
        <x:v>1480</x:v>
      </x:c>
      <x:c r="D76" s="11" t="n">
        <x:v>2911273</x:v>
      </x:c>
      <x:c r="E76" s="11" t="n">
        <x:v>0</x:v>
      </x:c>
      <x:c r="F76" s="11" t="n">
        <x:v>151</x:v>
      </x:c>
      <x:c r="G76" s="11" t="n">
        <x:v>0</x:v>
      </x:c>
      <x:c r="H76" s="11" t="n">
        <x:v>0</x:v>
      </x:c>
      <x:c r="I76" s="11" t="n">
        <x:v>517</x:v>
      </x:c>
      <x:c r="J76" s="11" t="n">
        <x:v>433</x:v>
      </x:c>
      <x:c r="K76" s="11" t="n">
        <x:v>317</x:v>
      </x:c>
      <x:c r="L76" s="11" t="n">
        <x:v>10</x:v>
      </x:c>
      <x:c r="M76" s="11" t="n">
        <x:v>52</x:v>
      </x:c>
      <x:c r="N76" s="11" t="n">
        <x:v>0</x:v>
      </x:c>
      <x:c r="O76" s="11" t="n">
        <x:v>0</x:v>
      </x:c>
      <x:c r="P76" s="11" t="n">
        <x:v>57328</x:v>
      </x:c>
      <x:c r="Q76" s="11" t="n">
        <x:v>0</x:v>
      </x:c>
      <x:c r="R76" s="11" t="n">
        <x:v>0</x:v>
      </x:c>
      <x:c r="S76" s="11" t="n">
        <x:v>260062</x:v>
      </x:c>
      <x:c r="T76" s="11" t="n">
        <x:v>328975</x:v>
      </x:c>
      <x:c r="U76" s="11" t="n">
        <x:v>2161294</x:v>
      </x:c>
      <x:c r="V76" s="11" t="n">
        <x:v>6892</x:v>
      </x:c>
      <x:c r="W76" s="11" t="n">
        <x:v>96722</x:v>
      </x:c>
      <x:c r="X76" s="11" t="n">
        <x:v>0</x:v>
      </x:c>
      <x:c r="Y76" s="11" t="n">
        <x:v>820</x:v>
      </x:c>
      <x:c r="Z76" s="11" t="n">
        <x:v>913</x:v>
      </x:c>
      <x:c r="AA76" s="11" t="n">
        <x:v>296</x:v>
      </x:c>
      <x:c r="AB76" s="11" t="n">
        <x:v>12</x:v>
      </x:c>
      <x:c r="AC76" s="11" t="n">
        <x:v>909</x:v>
      </x:c>
      <x:c r="AD76" s="11" t="n">
        <x:v>928</x:v>
      </x:c>
      <x:c r="AE76" s="11" t="n">
        <x:v>923</x:v>
      </x:c>
      <x:c r="AF76" s="11" t="n">
        <x:v>196</x:v>
      </x:c>
      <x:c r="AG76" s="11" t="n">
        <x:v>66</x:v>
      </x:c>
      <x:c r="AH76" s="11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35d0ee694f634d94"/>
  </x:tableParts>
</x:worksheet>
</file>

<file path=xl/worksheets/sheet9.xml><?xml version="1.0" encoding="utf-8"?>
<x:worksheet xmlns:x="http://schemas.openxmlformats.org/spreadsheetml/2006/main">
  <x:sheetPr>
    <x:tabColor rgb="FF98A4AE"/>
  </x:sheetPr>
  <x:sheetViews>
    <x:sheetView showGridLines="0" workbookViewId="0"/>
  </x:sheetViews>
  <x:sheetFormatPr defaultRowHeight="15"/>
  <x:cols>
    <x:col min="1" max="1" width="23" hidden="0" customWidth="1"/>
    <x:col min="2" max="2" width="115" hidden="0" customWidth="1"/>
    <x:col min="3" max="3" width="17" hidden="0" customWidth="1"/>
    <x:col min="4" max="4" width="17" hidden="0" customWidth="1"/>
    <x:col min="5" max="5" width="80" hidden="0" customWidth="1"/>
  </x:cols>
  <x:sheetData>
    <x:row r="1" ht="23" customHeight="1">
      <x:c r="A1" s="2"/>
      <x:c r="B1" s="2"/>
    </x:row>
    <x:row r="2" ht="32" customHeight="1">
      <x:c r="A2" s="3" t="str">
        <x:v>实验口径与来源</x:v>
      </x:c>
      <x:c r="B2" s="2"/>
    </x:row>
    <x:row r="3" ht="23" customHeight="1">
      <x:c r="A3" s="4" t="str">
        <x:v>统计计数供追溯，其他工作表的比例由计数公式计算。</x:v>
      </x:c>
      <x:c r="B3" s="2"/>
    </x:row>
    <x:row r="4" ht="34" customHeight="1">
      <x:c r="A4" s="8" t="str">
        <x:v>项目</x:v>
      </x:c>
      <x:c r="B4" s="8" t="str">
        <x:v>定义</x:v>
      </x:c>
    </x:row>
    <x:row r="5" ht="28" customHeight="1">
      <x:c r="A5" s="17" t="str">
        <x:v>主组合</x:v>
      </x:c>
      <x:c r="B5" s="25" t="str">
        <x:v>N、C、NG、CG、NC、NCG；纯G在附表。</x:v>
      </x:c>
    </x:row>
    <x:row r="6" ht="28" customHeight="1">
      <x:c r="A6" s="17" t="str">
        <x:v>H0</x:v>
      </x:c>
      <x:c r="B6" s="25" t="str">
        <x:v>完全关闭装配辅助，包含父组相对尺寸；保持输入几何及世界坐标一致。</x:v>
      </x:c>
    </x:row>
    <x:row r="7" ht="28" customHeight="1">
      <x:c r="A7" s="17" t="str">
        <x:v>H1</x:v>
      </x:c>
      <x:c r="B7" s="25" t="str">
        <x:v>局部父组尺度与祖先名称上下文；不是纯拓扑效果。</x:v>
      </x:c>
    </x:row>
    <x:row r="8" ht="28" customHeight="1">
      <x:c r="A8" s="17" t="str">
        <x:v>HT</x:v>
      </x:c>
      <x:c r="B8" s="25" t="str">
        <x:v>仅拓扑和局部尺度，不用祖先名称；详见supplementary_controls.csv。</x:v>
      </x:c>
    </x:row>
    <x:row r="9" ht="28" customHeight="1">
      <x:c r="A9" s="17" t="str">
        <x:v>固定开关</x:v>
      </x:c>
      <x:c r="B9" s="25" t="str">
        <x:v>主72组均M=0、旧策略几何回退=0；禁用分支输入已遮蔽。</x:v>
      </x:c>
    </x:row>
    <x:row r="10" ht="28" customHeight="1">
      <x:c r="A10" s="17" t="str">
        <x:v>N未可靠</x:v>
      </x:c>
      <x:c r="B10" s="25" t="str">
        <x:v>p&lt;0.70或Top1−Top2&lt;0.08。不是错误率。</x:v>
      </x:c>
    </x:row>
    <x:row r="11" ht="28" customHeight="1">
      <x:c r="A11" s="17" t="str">
        <x:v>C无对象输出</x:v>
      </x:c>
      <x:c r="B11" s="25" t="str">
        <x:v>family_only或abstain；证据质量未校准，不与N概率直接比较。</x:v>
      </x:c>
    </x:row>
    <x:row r="12" ht="28" customHeight="1">
      <x:c r="A12" s="17" t="str">
        <x:v>名称参考</x:v>
      </x:c>
      <x:c r="B12" s="25" t="str">
        <x:v>仅655个可映射到14类的名称实例，重复件不独立；M辅助不做名称评分。</x:v>
      </x:c>
    </x:row>
    <x:row r="13" ht="28" customHeight="1">
      <x:c r="A13" s="17" t="str">
        <x:v>P档位</x:v>
      </x:c>
      <x:c r="B13" s="25" t="str">
        <x:v>当前主实验P1/P3/P4/P10为0；P6可能只是几何保护，不表示类别识别成功。</x:v>
      </x:c>
    </x:row>
    <x:row r="14" ht="28" customHeight="1">
      <x:c r="A14" s="17" t="str">
        <x:v>几何指标</x:v>
      </x:c>
      <x:c r="B14" s="25" t="str">
        <x:v>单网格QEM代理；非Hausdorff、孔洞保持率、真实cluster LOD质量或FPS。</x:v>
      </x:c>
    </x:row>
    <x:row r="15" ht="28" customHeight="1">
      <x:c r="A15" s="17" t="str">
        <x:v>来源</x:v>
      </x:c>
      <x:c r="B15" s="25" t="str">
        <x:v>main_72_comparison.csv、tree_pairs_with_total.csv、low_confidence_candidate_types.csv、geometry_comparison.csv。</x:v>
      </x:c>
    </x:row>
    <x:row r="16" ht="28" customHeight="1">
      <x:c r="A16" s="17" t="str">
        <x:v>版本与哈希</x:v>
      </x:c>
      <x:c r="B16" s="25" t="str">
        <x:v>见provenance.json及method目录；所有场景参与过开发，不是独立测试集。</x:v>
      </x:c>
    </x:row>
    <x:row r="19" ht="26" customHeight="1">
      <x:c r="A19" s="26" t="str">
        <x:v>模型</x:v>
      </x:c>
      <x:c r="B19" s="26" t="str">
        <x:v>场景名称</x:v>
      </x:c>
      <x:c r="C19" s="26" t="str">
        <x:v>节点数</x:v>
      </x:c>
      <x:c r="D19" s="26" t="str">
        <x:v>装配节点数</x:v>
      </x:c>
      <x:c r="E19" s="26" t="str">
        <x:v>文件SHA256</x:v>
      </x:c>
    </x:row>
    <x:row r="20" ht="25" customHeight="1">
      <x:c r="A20" s="27" t="str">
        <x:v>a</x:v>
      </x:c>
      <x:c r="B20" s="27" t="str">
        <x:v>无可用名称/装配树</x:v>
      </x:c>
      <x:c r="C20" s="27" t="n">
        <x:v>1778</x:v>
      </x:c>
      <x:c r="D20" s="27" t="n">
        <x:v>0</x:v>
      </x:c>
      <x:c r="E20" s="27" t="str">
        <x:v>3fcbd0e5d17cf911fbb2ad3cfc82be37e819d2d4e9cda23fb4f1e826f37c2621</x:v>
      </x:c>
    </x:row>
    <x:row r="21" ht="25" customHeight="1">
      <x:c r="A21" s="27" t="str">
        <x:v>b</x:v>
      </x:c>
      <x:c r="B21" s="27" t="str">
        <x:v>K31自动铆压机</x:v>
      </x:c>
      <x:c r="C21" s="27" t="n">
        <x:v>1481</x:v>
      </x:c>
      <x:c r="D21" s="27" t="n">
        <x:v>62</x:v>
      </x:c>
      <x:c r="E21" s="27" t="str">
        <x:v>97f8f13e427ca5f368ddaf515fea0117aa9cc85b266711fef61c3ac48547886b</x:v>
      </x:c>
    </x:row>
    <x:row r="22" ht="25" customHeight="1">
      <x:c r="A22" s="27" t="str">
        <x:v>c</x:v>
      </x:c>
      <x:c r="B22" s="27" t="str">
        <x:v>汽车链接器植入-折弯设备</x:v>
      </x:c>
      <x:c r="C22" s="27" t="n">
        <x:v>1747</x:v>
      </x:c>
      <x:c r="D22" s="27" t="n">
        <x:v>198</x:v>
      </x:c>
      <x:c r="E22" s="27" t="str">
        <x:v>dde06a4a6c8d67374c3a8574b60f4815ef724451b3c62df36bae6417b1212dff</x:v>
      </x:c>
    </x:row>
    <x:row r="23" ht="25" customHeight="1">
      <x:c r="A23" s="27" t="str">
        <x:v>d</x:v>
      </x:c>
      <x:c r="B23" s="27" t="str">
        <x:v>手机喇叭检测线</x:v>
      </x:c>
      <x:c r="C23" s="27" t="n">
        <x:v>1167</x:v>
      </x:c>
      <x:c r="D23" s="27" t="n">
        <x:v>118</x:v>
      </x:c>
      <x:c r="E23" s="27" t="str">
        <x:v>0b9a5597b267f63edde781b2dfad3019fb20b4ee75d0ebf3ff708c4b2fc24d7b</x:v>
      </x:c>
    </x:row>
    <x:row r="24" ht="25" customHeight="1">
      <x:c r="A24" s="27" t="str">
        <x:v>e</x:v>
      </x:c>
      <x:c r="B24" s="27" t="str">
        <x:v>透气阀产线</x:v>
      </x:c>
      <x:c r="C24" s="27" t="n">
        <x:v>3347</x:v>
      </x:c>
      <x:c r="D24" s="27" t="n">
        <x:v>211</x:v>
      </x:c>
      <x:c r="E24" s="27" t="str">
        <x:v>c27eb7aa2a3066621f9bf9a681cdc568d25f9a104e73e9a8c922ea449ec59d72</x:v>
      </x:c>
    </x:row>
    <x:row r="25" ht="25" customHeight="1">
      <x:c r="A25" s="27" t="str">
        <x:v>f</x:v>
      </x:c>
      <x:c r="B25" s="27" t="str">
        <x:v>圆形电容穿心焊接机</x:v>
      </x:c>
      <x:c r="C25" s="27" t="n">
        <x:v>1480</x:v>
      </x:c>
      <x:c r="D25" s="27" t="n">
        <x:v>157</x:v>
      </x:c>
      <x:c r="E25" s="27" t="str">
        <x:v>220dcd99f554c2148a6c1c7028fc72317d46c69def1967e1b58962ddb3fa8a1c</x:v>
      </x:c>
    </x:row>
  </x:sheetData>
  <x:pageMargins left="0.7" right="0.7" top="0.75" bottom="0.75" header="0.3" footer="0.3"/>
</x:worksheet>
</file>